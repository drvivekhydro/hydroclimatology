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Indicators" sheetId="3" state="visible" r:id="rId3"/>
    <sheet xmlns:r="http://schemas.openxmlformats.org/officeDocument/2006/relationships" name="S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</font>
    <font>
      <name val="Calibri"/>
      <b val="1"/>
    </font>
    <font>
      <name val="Calibri"/>
      <color rgb="000000FF"/>
    </font>
    <font>
      <name val="Calibri"/>
      <color rgb="00000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0" fontId="3" fillId="0" borderId="0" pivotButton="0" quotePrefix="0" xfId="0"/>
    <xf numFmtId="2" fontId="5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" fontId="5" fillId="0" borderId="0" pivotButton="0" quotePrefix="0" xfId="0"/>
    <xf numFmtId="0" fontId="5" fillId="3" borderId="0" pivotButton="0" quotePrefix="0" xfId="0"/>
    <xf numFmtId="166" fontId="5" fillId="3" borderId="0" pivotButton="0" quotePrefix="0" xfId="0"/>
    <xf numFmtId="165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Lecture 26</author>
  </authors>
  <commentList>
    <comment ref="E4" authorId="0" shapeId="0">
      <text>
        <t>IMD classes: large excess &gt;= +60 %, excess +20 to +59 %, normal -19 to +19 %, deficient -20 to -59 %, large deficient -60 to -99 %, no rain -100 %.</t>
      </text>
    </comment>
    <comment ref="H4" authorId="0" shapeId="0">
      <text>
        <t>Decile = 10 x F rounded up (Gibbs and Maher 1967): deciles 1-2 much below normal, 3-4 below, 5-6 near, 7-8 above, 9-10 much above normal.</t>
      </text>
    </comment>
  </commentList>
</comments>
</file>

<file path=xl/comments/comment2.xml><?xml version="1.0" encoding="utf-8"?>
<comments xmlns="http://schemas.openxmlformats.org/spreadsheetml/2006/main">
  <authors>
    <author>Lecture 26</author>
  </authors>
  <commentList>
    <comment ref="E4" authorId="0" shapeId="0">
      <text>
        <t>H(x) = q + (1 - q) G(x): zeros get probability q, the gamma covers the rest.</t>
      </text>
    </comment>
    <comment ref="F4" authorId="0" shapeId="0">
      <text>
        <t>SPI = NORM.S.INV(H): the z-score with the same cumulative probability.</t>
      </text>
    </comment>
    <comment ref="K12" authorId="0" shapeId="0">
      <text>
        <t>Thom (1958) approximation to the maximum-likelihood gamma shape; the code checks it against scipy's exact fit (1.828).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Lecture 26: Droughts I, definitions and drought indices. Companion workbook (CE524 Applied Hydroclimatology)</t>
        </is>
      </c>
    </row>
    <row r="2">
      <c r="A2" s="2" t="inlineStr"/>
    </row>
    <row r="3">
      <c r="A3" s="2" t="inlineStr">
        <is>
          <t>Purpose: the hand-solved example of the lecture with live formulas. Twelve January-to-March rainfall totals (k = 3 months, SPI-3 for March) at an invented dry-season rain gauge.</t>
        </is>
      </c>
    </row>
    <row r="4">
      <c r="A4" s="2" t="inlineStr">
        <is>
          <t>ALL NUMBERS ARE INVENTED for teaching. To use your own data, type over the blue cells on the sheet Data (keep 12 values, or extend the formulas).</t>
        </is>
      </c>
    </row>
    <row r="5">
      <c r="A5" s="2" t="inlineStr"/>
    </row>
    <row r="6">
      <c r="A6" s="2" t="inlineStr">
        <is>
          <t>Colour code: BLUE font = input. BLACK font = formula. Green row = the year asked about in the lecture (x = 4 mm). Hover over a cell with a red corner to read a note.</t>
        </is>
      </c>
    </row>
    <row r="7">
      <c r="A7" s="2" t="inlineStr"/>
    </row>
    <row r="8">
      <c r="A8" s="3" t="inlineStr">
        <is>
          <t>Sheets</t>
        </is>
      </c>
    </row>
    <row r="9">
      <c r="A9" s="2" t="inlineStr">
        <is>
          <t>Data: the 12 totals x (mm).</t>
        </is>
      </c>
    </row>
    <row r="10">
      <c r="A10" s="2" t="inlineStr">
        <is>
          <t>Indicators: percent of normal 100 x / x_bar_N, departure (%), IMD class, rank, cumulative probability rank/(n+1) and decile.</t>
        </is>
      </c>
    </row>
    <row r="11">
      <c r="A11" s="2" t="inlineStr">
        <is>
          <t>SPI: q = (n - m)/n, x_bar, A = ln(x_bar) - mean(ln x), alpha = (1 + sqrt(1 + 4A/3))/(4A), beta = x_bar/alpha (Thom), G(x) = GAMMA.DIST(x, alpha, beta, TRUE), H = q + (1 - q) G, SPI = NORM.S.INV(H), SPI class (McKee et al. 1993).</t>
        </is>
      </c>
    </row>
    <row r="12">
      <c r="A12" s="2" t="inlineStr"/>
    </row>
    <row r="13">
      <c r="A13" s="2" t="inlineStr">
        <is>
          <t>Functions used: AVERAGE, AVERAGEIF, COUNT, COUNTIF, LN, SQRT, IF, RANK, ROUNDUP, GAMMA.DIST, NORM.S.INV. Excel computes the results on opening (press F9 if cells look empty). The same numbers are printed in lecture-26-droughts-definitions-and-indices.ipynb.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2" max="2"/>
  </cols>
  <sheetData>
    <row r="1">
      <c r="A1" s="4" t="inlineStr">
        <is>
          <t>Data: January-to-March rainfall totals x (mm), invented</t>
        </is>
      </c>
    </row>
    <row r="4">
      <c r="A4" s="5" t="inlineStr">
        <is>
          <t>year i</t>
        </is>
      </c>
      <c r="B4" s="5" t="inlineStr">
        <is>
          <t>x (mm)</t>
        </is>
      </c>
    </row>
    <row r="5">
      <c r="A5" s="6" t="n">
        <v>1</v>
      </c>
      <c r="B5" s="6" t="n">
        <v>0</v>
      </c>
    </row>
    <row r="6">
      <c r="A6" s="6" t="n">
        <v>2</v>
      </c>
      <c r="B6" s="6" t="n">
        <v>14</v>
      </c>
    </row>
    <row r="7">
      <c r="A7" s="6" t="n">
        <v>3</v>
      </c>
      <c r="B7" s="6" t="n">
        <v>38</v>
      </c>
    </row>
    <row r="8">
      <c r="A8" s="6" t="n">
        <v>4</v>
      </c>
      <c r="B8" s="6" t="n">
        <v>9</v>
      </c>
    </row>
    <row r="9">
      <c r="A9" s="6" t="n">
        <v>5</v>
      </c>
      <c r="B9" s="6" t="n">
        <v>57</v>
      </c>
    </row>
    <row r="10">
      <c r="A10" s="6" t="n">
        <v>6</v>
      </c>
      <c r="B10" s="6" t="n">
        <v>23</v>
      </c>
    </row>
    <row r="11">
      <c r="A11" s="6" t="n">
        <v>7</v>
      </c>
      <c r="B11" s="6" t="n">
        <v>4</v>
      </c>
    </row>
    <row r="12">
      <c r="A12" s="6" t="n">
        <v>8</v>
      </c>
      <c r="B12" s="6" t="n">
        <v>45</v>
      </c>
    </row>
    <row r="13">
      <c r="A13" s="6" t="n">
        <v>9</v>
      </c>
      <c r="B13" s="6" t="n">
        <v>18</v>
      </c>
    </row>
    <row r="14">
      <c r="A14" s="6" t="n">
        <v>10</v>
      </c>
      <c r="B14" s="6" t="n">
        <v>71</v>
      </c>
    </row>
    <row r="15">
      <c r="A15" s="6" t="n">
        <v>11</v>
      </c>
      <c r="B15" s="6" t="n">
        <v>29</v>
      </c>
    </row>
    <row r="16">
      <c r="A16" s="6" t="n">
        <v>12</v>
      </c>
      <c r="B16" s="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3" customWidth="1" min="4" max="4"/>
    <col width="16" customWidth="1" min="5" max="5"/>
    <col width="12" customWidth="1" min="6" max="6"/>
    <col width="12" customWidth="1" min="7" max="7"/>
    <col width="9" customWidth="1" min="8" max="8"/>
    <col width="18" customWidth="1" min="9" max="9"/>
    <col width="30" customWidth="1" min="10" max="10"/>
    <col width="11" customWidth="1" min="11" max="11"/>
  </cols>
  <sheetData>
    <row r="1">
      <c r="A1" s="4" t="inlineStr">
        <is>
          <t>Simple indicators: percent of normal, departure, IMD class, decile</t>
        </is>
      </c>
    </row>
    <row r="2">
      <c r="A2" s="7" t="inlineStr">
        <is>
          <t>normal x_bar_N (mean of all n totals, mm)</t>
        </is>
      </c>
      <c r="E2" s="8">
        <f>AVERAGE(B5:B16)</f>
        <v/>
      </c>
    </row>
    <row r="4">
      <c r="A4" s="5" t="inlineStr">
        <is>
          <t>year i</t>
        </is>
      </c>
      <c r="B4" s="5" t="inlineStr">
        <is>
          <t>x (mm)</t>
        </is>
      </c>
      <c r="C4" s="5" t="inlineStr">
        <is>
          <t>% of normal</t>
        </is>
      </c>
      <c r="D4" s="5" t="inlineStr">
        <is>
          <t>departure (%)</t>
        </is>
      </c>
      <c r="E4" s="5" t="inlineStr">
        <is>
          <t>IMD class</t>
        </is>
      </c>
      <c r="F4" s="5" t="inlineStr">
        <is>
          <t>rank (1 = driest)</t>
        </is>
      </c>
      <c r="G4" s="5" t="inlineStr">
        <is>
          <t>F = rank/(n+1)</t>
        </is>
      </c>
      <c r="H4" s="5" t="inlineStr">
        <is>
          <t>decile</t>
        </is>
      </c>
      <c r="I4" s="5" t="inlineStr">
        <is>
          <t>decile class</t>
        </is>
      </c>
    </row>
    <row r="5">
      <c r="A5" s="9">
        <f>Data!A5</f>
        <v/>
      </c>
      <c r="B5" s="9">
        <f>Data!B5</f>
        <v/>
      </c>
      <c r="C5" s="10">
        <f>100*B5/$E$2</f>
        <v/>
      </c>
      <c r="D5" s="10">
        <f>C5-100</f>
        <v/>
      </c>
      <c r="E5" s="9">
        <f>IF(D5&lt;=-99.5,"no rain",IF(D5&lt;=-59.5,"large deficient",IF(D5&lt;=-19.5,"deficient",IF(D5&lt;19.5,"normal",IF(D5&lt;59.5,"excess","large excess")))))</f>
        <v/>
      </c>
      <c r="F5" s="9">
        <f>RANK(B5,$B$5:$B$16,1)</f>
        <v/>
      </c>
      <c r="G5" s="11">
        <f>F5/(COUNT($B$5:$B$16)+1)</f>
        <v/>
      </c>
      <c r="H5" s="9">
        <f>ROUNDUP(10*G5,0)</f>
        <v/>
      </c>
      <c r="I5" s="9">
        <f>IF(H5&lt;=2,"much below normal",IF(H5&lt;=4,"below normal",IF(H5&lt;=6,"near normal",IF(H5&lt;=8,"above normal","much above normal"))))</f>
        <v/>
      </c>
    </row>
    <row r="6">
      <c r="A6" s="9">
        <f>Data!A6</f>
        <v/>
      </c>
      <c r="B6" s="9">
        <f>Data!B6</f>
        <v/>
      </c>
      <c r="C6" s="10">
        <f>100*B6/$E$2</f>
        <v/>
      </c>
      <c r="D6" s="10">
        <f>C6-100</f>
        <v/>
      </c>
      <c r="E6" s="9">
        <f>IF(D6&lt;=-99.5,"no rain",IF(D6&lt;=-59.5,"large deficient",IF(D6&lt;=-19.5,"deficient",IF(D6&lt;19.5,"normal",IF(D6&lt;59.5,"excess","large excess")))))</f>
        <v/>
      </c>
      <c r="F6" s="9">
        <f>RANK(B6,$B$5:$B$16,1)</f>
        <v/>
      </c>
      <c r="G6" s="11">
        <f>F6/(COUNT($B$5:$B$16)+1)</f>
        <v/>
      </c>
      <c r="H6" s="9">
        <f>ROUNDUP(10*G6,0)</f>
        <v/>
      </c>
      <c r="I6" s="9">
        <f>IF(H6&lt;=2,"much below normal",IF(H6&lt;=4,"below normal",IF(H6&lt;=6,"near normal",IF(H6&lt;=8,"above normal","much above normal"))))</f>
        <v/>
      </c>
    </row>
    <row r="7">
      <c r="A7" s="9">
        <f>Data!A7</f>
        <v/>
      </c>
      <c r="B7" s="9">
        <f>Data!B7</f>
        <v/>
      </c>
      <c r="C7" s="10">
        <f>100*B7/$E$2</f>
        <v/>
      </c>
      <c r="D7" s="10">
        <f>C7-100</f>
        <v/>
      </c>
      <c r="E7" s="9">
        <f>IF(D7&lt;=-99.5,"no rain",IF(D7&lt;=-59.5,"large deficient",IF(D7&lt;=-19.5,"deficient",IF(D7&lt;19.5,"normal",IF(D7&lt;59.5,"excess","large excess")))))</f>
        <v/>
      </c>
      <c r="F7" s="9">
        <f>RANK(B7,$B$5:$B$16,1)</f>
        <v/>
      </c>
      <c r="G7" s="11">
        <f>F7/(COUNT($B$5:$B$16)+1)</f>
        <v/>
      </c>
      <c r="H7" s="9">
        <f>ROUNDUP(10*G7,0)</f>
        <v/>
      </c>
      <c r="I7" s="9">
        <f>IF(H7&lt;=2,"much below normal",IF(H7&lt;=4,"below normal",IF(H7&lt;=6,"near normal",IF(H7&lt;=8,"above normal","much above normal"))))</f>
        <v/>
      </c>
    </row>
    <row r="8">
      <c r="A8" s="9">
        <f>Data!A8</f>
        <v/>
      </c>
      <c r="B8" s="9">
        <f>Data!B8</f>
        <v/>
      </c>
      <c r="C8" s="10">
        <f>100*B8/$E$2</f>
        <v/>
      </c>
      <c r="D8" s="10">
        <f>C8-100</f>
        <v/>
      </c>
      <c r="E8" s="9">
        <f>IF(D8&lt;=-99.5,"no rain",IF(D8&lt;=-59.5,"large deficient",IF(D8&lt;=-19.5,"deficient",IF(D8&lt;19.5,"normal",IF(D8&lt;59.5,"excess","large excess")))))</f>
        <v/>
      </c>
      <c r="F8" s="9">
        <f>RANK(B8,$B$5:$B$16,1)</f>
        <v/>
      </c>
      <c r="G8" s="11">
        <f>F8/(COUNT($B$5:$B$16)+1)</f>
        <v/>
      </c>
      <c r="H8" s="9">
        <f>ROUNDUP(10*G8,0)</f>
        <v/>
      </c>
      <c r="I8" s="9">
        <f>IF(H8&lt;=2,"much below normal",IF(H8&lt;=4,"below normal",IF(H8&lt;=6,"near normal",IF(H8&lt;=8,"above normal","much above normal"))))</f>
        <v/>
      </c>
    </row>
    <row r="9">
      <c r="A9" s="9">
        <f>Data!A9</f>
        <v/>
      </c>
      <c r="B9" s="9">
        <f>Data!B9</f>
        <v/>
      </c>
      <c r="C9" s="10">
        <f>100*B9/$E$2</f>
        <v/>
      </c>
      <c r="D9" s="10">
        <f>C9-100</f>
        <v/>
      </c>
      <c r="E9" s="9">
        <f>IF(D9&lt;=-99.5,"no rain",IF(D9&lt;=-59.5,"large deficient",IF(D9&lt;=-19.5,"deficient",IF(D9&lt;19.5,"normal",IF(D9&lt;59.5,"excess","large excess")))))</f>
        <v/>
      </c>
      <c r="F9" s="9">
        <f>RANK(B9,$B$5:$B$16,1)</f>
        <v/>
      </c>
      <c r="G9" s="11">
        <f>F9/(COUNT($B$5:$B$16)+1)</f>
        <v/>
      </c>
      <c r="H9" s="9">
        <f>ROUNDUP(10*G9,0)</f>
        <v/>
      </c>
      <c r="I9" s="9">
        <f>IF(H9&lt;=2,"much below normal",IF(H9&lt;=4,"below normal",IF(H9&lt;=6,"near normal",IF(H9&lt;=8,"above normal","much above normal"))))</f>
        <v/>
      </c>
    </row>
    <row r="10">
      <c r="A10" s="9">
        <f>Data!A10</f>
        <v/>
      </c>
      <c r="B10" s="9">
        <f>Data!B10</f>
        <v/>
      </c>
      <c r="C10" s="10">
        <f>100*B10/$E$2</f>
        <v/>
      </c>
      <c r="D10" s="10">
        <f>C10-100</f>
        <v/>
      </c>
      <c r="E10" s="9">
        <f>IF(D10&lt;=-99.5,"no rain",IF(D10&lt;=-59.5,"large deficient",IF(D10&lt;=-19.5,"deficient",IF(D10&lt;19.5,"normal",IF(D10&lt;59.5,"excess","large excess")))))</f>
        <v/>
      </c>
      <c r="F10" s="9">
        <f>RANK(B10,$B$5:$B$16,1)</f>
        <v/>
      </c>
      <c r="G10" s="11">
        <f>F10/(COUNT($B$5:$B$16)+1)</f>
        <v/>
      </c>
      <c r="H10" s="9">
        <f>ROUNDUP(10*G10,0)</f>
        <v/>
      </c>
      <c r="I10" s="9">
        <f>IF(H10&lt;=2,"much below normal",IF(H10&lt;=4,"below normal",IF(H10&lt;=6,"near normal",IF(H10&lt;=8,"above normal","much above normal"))))</f>
        <v/>
      </c>
    </row>
    <row r="11">
      <c r="A11" s="9">
        <f>Data!A11</f>
        <v/>
      </c>
      <c r="B11" s="9">
        <f>Data!B11</f>
        <v/>
      </c>
      <c r="C11" s="10">
        <f>100*B11/$E$2</f>
        <v/>
      </c>
      <c r="D11" s="10">
        <f>C11-100</f>
        <v/>
      </c>
      <c r="E11" s="9">
        <f>IF(D11&lt;=-99.5,"no rain",IF(D11&lt;=-59.5,"large deficient",IF(D11&lt;=-19.5,"deficient",IF(D11&lt;19.5,"normal",IF(D11&lt;59.5,"excess","large excess")))))</f>
        <v/>
      </c>
      <c r="F11" s="9">
        <f>RANK(B11,$B$5:$B$16,1)</f>
        <v/>
      </c>
      <c r="G11" s="11">
        <f>F11/(COUNT($B$5:$B$16)+1)</f>
        <v/>
      </c>
      <c r="H11" s="9">
        <f>ROUNDUP(10*G11,0)</f>
        <v/>
      </c>
      <c r="I11" s="9">
        <f>IF(H11&lt;=2,"much below normal",IF(H11&lt;=4,"below normal",IF(H11&lt;=6,"near normal",IF(H11&lt;=8,"above normal","much above normal"))))</f>
        <v/>
      </c>
    </row>
    <row r="12">
      <c r="A12" s="9">
        <f>Data!A12</f>
        <v/>
      </c>
      <c r="B12" s="9">
        <f>Data!B12</f>
        <v/>
      </c>
      <c r="C12" s="10">
        <f>100*B12/$E$2</f>
        <v/>
      </c>
      <c r="D12" s="10">
        <f>C12-100</f>
        <v/>
      </c>
      <c r="E12" s="9">
        <f>IF(D12&lt;=-99.5,"no rain",IF(D12&lt;=-59.5,"large deficient",IF(D12&lt;=-19.5,"deficient",IF(D12&lt;19.5,"normal",IF(D12&lt;59.5,"excess","large excess")))))</f>
        <v/>
      </c>
      <c r="F12" s="9">
        <f>RANK(B12,$B$5:$B$16,1)</f>
        <v/>
      </c>
      <c r="G12" s="11">
        <f>F12/(COUNT($B$5:$B$16)+1)</f>
        <v/>
      </c>
      <c r="H12" s="9">
        <f>ROUNDUP(10*G12,0)</f>
        <v/>
      </c>
      <c r="I12" s="9">
        <f>IF(H12&lt;=2,"much below normal",IF(H12&lt;=4,"below normal",IF(H12&lt;=6,"near normal",IF(H12&lt;=8,"above normal","much above normal"))))</f>
        <v/>
      </c>
    </row>
    <row r="13">
      <c r="A13" s="9">
        <f>Data!A13</f>
        <v/>
      </c>
      <c r="B13" s="9">
        <f>Data!B13</f>
        <v/>
      </c>
      <c r="C13" s="10">
        <f>100*B13/$E$2</f>
        <v/>
      </c>
      <c r="D13" s="10">
        <f>C13-100</f>
        <v/>
      </c>
      <c r="E13" s="9">
        <f>IF(D13&lt;=-99.5,"no rain",IF(D13&lt;=-59.5,"large deficient",IF(D13&lt;=-19.5,"deficient",IF(D13&lt;19.5,"normal",IF(D13&lt;59.5,"excess","large excess")))))</f>
        <v/>
      </c>
      <c r="F13" s="9">
        <f>RANK(B13,$B$5:$B$16,1)</f>
        <v/>
      </c>
      <c r="G13" s="11">
        <f>F13/(COUNT($B$5:$B$16)+1)</f>
        <v/>
      </c>
      <c r="H13" s="9">
        <f>ROUNDUP(10*G13,0)</f>
        <v/>
      </c>
      <c r="I13" s="9">
        <f>IF(H13&lt;=2,"much below normal",IF(H13&lt;=4,"below normal",IF(H13&lt;=6,"near normal",IF(H13&lt;=8,"above normal","much above normal"))))</f>
        <v/>
      </c>
    </row>
    <row r="14">
      <c r="A14" s="9">
        <f>Data!A14</f>
        <v/>
      </c>
      <c r="B14" s="9">
        <f>Data!B14</f>
        <v/>
      </c>
      <c r="C14" s="10">
        <f>100*B14/$E$2</f>
        <v/>
      </c>
      <c r="D14" s="10">
        <f>C14-100</f>
        <v/>
      </c>
      <c r="E14" s="9">
        <f>IF(D14&lt;=-99.5,"no rain",IF(D14&lt;=-59.5,"large deficient",IF(D14&lt;=-19.5,"deficient",IF(D14&lt;19.5,"normal",IF(D14&lt;59.5,"excess","large excess")))))</f>
        <v/>
      </c>
      <c r="F14" s="9">
        <f>RANK(B14,$B$5:$B$16,1)</f>
        <v/>
      </c>
      <c r="G14" s="11">
        <f>F14/(COUNT($B$5:$B$16)+1)</f>
        <v/>
      </c>
      <c r="H14" s="9">
        <f>ROUNDUP(10*G14,0)</f>
        <v/>
      </c>
      <c r="I14" s="9">
        <f>IF(H14&lt;=2,"much below normal",IF(H14&lt;=4,"below normal",IF(H14&lt;=6,"near normal",IF(H14&lt;=8,"above normal","much above normal"))))</f>
        <v/>
      </c>
    </row>
    <row r="15">
      <c r="A15" s="9">
        <f>Data!A15</f>
        <v/>
      </c>
      <c r="B15" s="9">
        <f>Data!B15</f>
        <v/>
      </c>
      <c r="C15" s="10">
        <f>100*B15/$E$2</f>
        <v/>
      </c>
      <c r="D15" s="10">
        <f>C15-100</f>
        <v/>
      </c>
      <c r="E15" s="9">
        <f>IF(D15&lt;=-99.5,"no rain",IF(D15&lt;=-59.5,"large deficient",IF(D15&lt;=-19.5,"deficient",IF(D15&lt;19.5,"normal",IF(D15&lt;59.5,"excess","large excess")))))</f>
        <v/>
      </c>
      <c r="F15" s="9">
        <f>RANK(B15,$B$5:$B$16,1)</f>
        <v/>
      </c>
      <c r="G15" s="11">
        <f>F15/(COUNT($B$5:$B$16)+1)</f>
        <v/>
      </c>
      <c r="H15" s="9">
        <f>ROUNDUP(10*G15,0)</f>
        <v/>
      </c>
      <c r="I15" s="9">
        <f>IF(H15&lt;=2,"much below normal",IF(H15&lt;=4,"below normal",IF(H15&lt;=6,"near normal",IF(H15&lt;=8,"above normal","much above normal"))))</f>
        <v/>
      </c>
    </row>
    <row r="16">
      <c r="A16" s="9">
        <f>Data!A16</f>
        <v/>
      </c>
      <c r="B16" s="9">
        <f>Data!B16</f>
        <v/>
      </c>
      <c r="C16" s="10">
        <f>100*B16/$E$2</f>
        <v/>
      </c>
      <c r="D16" s="10">
        <f>C16-100</f>
        <v/>
      </c>
      <c r="E16" s="9">
        <f>IF(D16&lt;=-99.5,"no rain",IF(D16&lt;=-59.5,"large deficient",IF(D16&lt;=-19.5,"deficient",IF(D16&lt;19.5,"normal",IF(D16&lt;59.5,"excess","large excess")))))</f>
        <v/>
      </c>
      <c r="F16" s="9">
        <f>RANK(B16,$B$5:$B$16,1)</f>
        <v/>
      </c>
      <c r="G16" s="11">
        <f>F16/(COUNT($B$5:$B$16)+1)</f>
        <v/>
      </c>
      <c r="H16" s="9">
        <f>ROUNDUP(10*G16,0)</f>
        <v/>
      </c>
      <c r="I16" s="9">
        <f>IF(H16&lt;=2,"much below normal",IF(H16&lt;=4,"below normal",IF(H16&lt;=6,"near normal",IF(H16&lt;=8,"above normal","much above normal"))))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3" customWidth="1" min="4" max="4"/>
    <col width="16" customWidth="1" min="5" max="5"/>
    <col width="12" customWidth="1" min="6" max="6"/>
    <col width="12" customWidth="1" min="7" max="7"/>
    <col width="9" customWidth="1" min="8" max="8"/>
    <col width="18" customWidth="1" min="9" max="9"/>
    <col width="30" customWidth="1" min="10" max="10"/>
    <col width="11" customWidth="1" min="11" max="11"/>
  </cols>
  <sheetData>
    <row r="1">
      <c r="A1" s="4" t="inlineStr">
        <is>
          <t>SPI by hand: Thom's gamma fit, zero handling, transform to the standard normal</t>
        </is>
      </c>
    </row>
    <row r="4">
      <c r="A4" s="5" t="inlineStr">
        <is>
          <t>year i</t>
        </is>
      </c>
      <c r="B4" s="5" t="inlineStr">
        <is>
          <t>x (mm)</t>
        </is>
      </c>
      <c r="C4" s="5" t="inlineStr">
        <is>
          <t>ln x (non-zero only)</t>
        </is>
      </c>
      <c r="D4" s="5" t="inlineStr">
        <is>
          <t>G(x)</t>
        </is>
      </c>
      <c r="E4" s="5" t="inlineStr">
        <is>
          <t>H(x)</t>
        </is>
      </c>
      <c r="F4" s="5" t="inlineStr">
        <is>
          <t>SPI</t>
        </is>
      </c>
      <c r="G4" s="5" t="inlineStr">
        <is>
          <t>SPI class</t>
        </is>
      </c>
      <c r="J4" s="5" t="inlineStr">
        <is>
          <t>Thom's fit</t>
        </is>
      </c>
      <c r="K4" s="5" t="inlineStr">
        <is>
          <t>value</t>
        </is>
      </c>
    </row>
    <row r="5">
      <c r="A5" s="9">
        <f>Data!A5</f>
        <v/>
      </c>
      <c r="B5" s="9">
        <f>Data!B5</f>
        <v/>
      </c>
      <c r="C5" s="12">
        <f>IF(B5&gt;0,LN(B5),"")</f>
        <v/>
      </c>
      <c r="D5" s="12">
        <f>IF(B5&gt;0,_xlfn.GAMMA.DIST(B5,$K$12,$K$13,TRUE),0)</f>
        <v/>
      </c>
      <c r="E5" s="12">
        <f>$K$7+(1-$K$7)*D5</f>
        <v/>
      </c>
      <c r="F5" s="11">
        <f>_xlfn.NORM.S.INV(E5)</f>
        <v/>
      </c>
      <c r="G5" s="9">
        <f>IF(F5&lt;=-2,"extremely dry",IF(F5&lt;=-1.5,"severely dry",IF(F5&lt;=-1,"moderately dry",IF(F5&lt;1,"near normal",IF(F5&lt;1.5,"moderately wet",IF(F5&lt;2,"very wet","extremely wet"))))))</f>
        <v/>
      </c>
      <c r="J5" s="9" t="inlineStr">
        <is>
          <t>n (number of totals)</t>
        </is>
      </c>
      <c r="K5" s="13">
        <f>COUNT(B5:B16)</f>
        <v/>
      </c>
    </row>
    <row r="6">
      <c r="A6" s="9">
        <f>Data!A6</f>
        <v/>
      </c>
      <c r="B6" s="9">
        <f>Data!B6</f>
        <v/>
      </c>
      <c r="C6" s="12">
        <f>IF(B6&gt;0,LN(B6),"")</f>
        <v/>
      </c>
      <c r="D6" s="12">
        <f>IF(B6&gt;0,_xlfn.GAMMA.DIST(B6,$K$12,$K$13,TRUE),0)</f>
        <v/>
      </c>
      <c r="E6" s="12">
        <f>$K$7+(1-$K$7)*D6</f>
        <v/>
      </c>
      <c r="F6" s="11">
        <f>_xlfn.NORM.S.INV(E6)</f>
        <v/>
      </c>
      <c r="G6" s="9">
        <f>IF(F6&lt;=-2,"extremely dry",IF(F6&lt;=-1.5,"severely dry",IF(F6&lt;=-1,"moderately dry",IF(F6&lt;1,"near normal",IF(F6&lt;1.5,"moderately wet",IF(F6&lt;2,"very wet","extremely wet"))))))</f>
        <v/>
      </c>
      <c r="J6" s="9" t="inlineStr">
        <is>
          <t>m (non-zero totals)</t>
        </is>
      </c>
      <c r="K6" s="13">
        <f>COUNTIF(B5:B16,"&gt;0")</f>
        <v/>
      </c>
    </row>
    <row r="7">
      <c r="A7" s="9">
        <f>Data!A7</f>
        <v/>
      </c>
      <c r="B7" s="9">
        <f>Data!B7</f>
        <v/>
      </c>
      <c r="C7" s="12">
        <f>IF(B7&gt;0,LN(B7),"")</f>
        <v/>
      </c>
      <c r="D7" s="12">
        <f>IF(B7&gt;0,_xlfn.GAMMA.DIST(B7,$K$12,$K$13,TRUE),0)</f>
        <v/>
      </c>
      <c r="E7" s="12">
        <f>$K$7+(1-$K$7)*D7</f>
        <v/>
      </c>
      <c r="F7" s="11">
        <f>_xlfn.NORM.S.INV(E7)</f>
        <v/>
      </c>
      <c r="G7" s="9">
        <f>IF(F7&lt;=-2,"extremely dry",IF(F7&lt;=-1.5,"severely dry",IF(F7&lt;=-1,"moderately dry",IF(F7&lt;1,"near normal",IF(F7&lt;1.5,"moderately wet",IF(F7&lt;2,"very wet","extremely wet"))))))</f>
        <v/>
      </c>
      <c r="J7" s="9" t="inlineStr">
        <is>
          <t>q = (n - m)/n</t>
        </is>
      </c>
      <c r="K7" s="12">
        <f>(K5-K6)/K5</f>
        <v/>
      </c>
    </row>
    <row r="8">
      <c r="A8" s="9">
        <f>Data!A8</f>
        <v/>
      </c>
      <c r="B8" s="9">
        <f>Data!B8</f>
        <v/>
      </c>
      <c r="C8" s="12">
        <f>IF(B8&gt;0,LN(B8),"")</f>
        <v/>
      </c>
      <c r="D8" s="12">
        <f>IF(B8&gt;0,_xlfn.GAMMA.DIST(B8,$K$12,$K$13,TRUE),0)</f>
        <v/>
      </c>
      <c r="E8" s="12">
        <f>$K$7+(1-$K$7)*D8</f>
        <v/>
      </c>
      <c r="F8" s="11">
        <f>_xlfn.NORM.S.INV(E8)</f>
        <v/>
      </c>
      <c r="G8" s="9">
        <f>IF(F8&lt;=-2,"extremely dry",IF(F8&lt;=-1.5,"severely dry",IF(F8&lt;=-1,"moderately dry",IF(F8&lt;1,"near normal",IF(F8&lt;1.5,"moderately wet",IF(F8&lt;2,"very wet","extremely wet"))))))</f>
        <v/>
      </c>
      <c r="J8" s="9" t="inlineStr">
        <is>
          <t>x_bar (mean of non-zero, mm)</t>
        </is>
      </c>
      <c r="K8" s="8">
        <f>AVERAGEIF(B5:B16,"&gt;0")</f>
        <v/>
      </c>
    </row>
    <row r="9">
      <c r="A9" s="9">
        <f>Data!A9</f>
        <v/>
      </c>
      <c r="B9" s="9">
        <f>Data!B9</f>
        <v/>
      </c>
      <c r="C9" s="12">
        <f>IF(B9&gt;0,LN(B9),"")</f>
        <v/>
      </c>
      <c r="D9" s="12">
        <f>IF(B9&gt;0,_xlfn.GAMMA.DIST(B9,$K$12,$K$13,TRUE),0)</f>
        <v/>
      </c>
      <c r="E9" s="12">
        <f>$K$7+(1-$K$7)*D9</f>
        <v/>
      </c>
      <c r="F9" s="11">
        <f>_xlfn.NORM.S.INV(E9)</f>
        <v/>
      </c>
      <c r="G9" s="9">
        <f>IF(F9&lt;=-2,"extremely dry",IF(F9&lt;=-1.5,"severely dry",IF(F9&lt;=-1,"moderately dry",IF(F9&lt;1,"near normal",IF(F9&lt;1.5,"moderately wet",IF(F9&lt;2,"very wet","extremely wet"))))))</f>
        <v/>
      </c>
      <c r="J9" s="9" t="inlineStr">
        <is>
          <t>ln(x_bar)</t>
        </is>
      </c>
      <c r="K9" s="12">
        <f>LN(K8)</f>
        <v/>
      </c>
    </row>
    <row r="10">
      <c r="A10" s="9">
        <f>Data!A10</f>
        <v/>
      </c>
      <c r="B10" s="9">
        <f>Data!B10</f>
        <v/>
      </c>
      <c r="C10" s="12">
        <f>IF(B10&gt;0,LN(B10),"")</f>
        <v/>
      </c>
      <c r="D10" s="12">
        <f>IF(B10&gt;0,_xlfn.GAMMA.DIST(B10,$K$12,$K$13,TRUE),0)</f>
        <v/>
      </c>
      <c r="E10" s="12">
        <f>$K$7+(1-$K$7)*D10</f>
        <v/>
      </c>
      <c r="F10" s="11">
        <f>_xlfn.NORM.S.INV(E10)</f>
        <v/>
      </c>
      <c r="G10" s="9">
        <f>IF(F10&lt;=-2,"extremely dry",IF(F10&lt;=-1.5,"severely dry",IF(F10&lt;=-1,"moderately dry",IF(F10&lt;1,"near normal",IF(F10&lt;1.5,"moderately wet",IF(F10&lt;2,"very wet","extremely wet"))))))</f>
        <v/>
      </c>
      <c r="J10" s="9" t="inlineStr">
        <is>
          <t>mean of ln x</t>
        </is>
      </c>
      <c r="K10" s="12">
        <f>AVERAGE(C5:C16)</f>
        <v/>
      </c>
    </row>
    <row r="11">
      <c r="A11" s="14">
        <f>Data!A11</f>
        <v/>
      </c>
      <c r="B11" s="14">
        <f>Data!B11</f>
        <v/>
      </c>
      <c r="C11" s="15">
        <f>IF(B11&gt;0,LN(B11),"")</f>
        <v/>
      </c>
      <c r="D11" s="15">
        <f>IF(B11&gt;0,_xlfn.GAMMA.DIST(B11,$K$12,$K$13,TRUE),0)</f>
        <v/>
      </c>
      <c r="E11" s="15">
        <f>$K$7+(1-$K$7)*D11</f>
        <v/>
      </c>
      <c r="F11" s="16">
        <f>_xlfn.NORM.S.INV(E11)</f>
        <v/>
      </c>
      <c r="G11" s="14">
        <f>IF(F11&lt;=-2,"extremely dry",IF(F11&lt;=-1.5,"severely dry",IF(F11&lt;=-1,"moderately dry",IF(F11&lt;1,"near normal",IF(F11&lt;1.5,"moderately wet",IF(F11&lt;2,"very wet","extremely wet"))))))</f>
        <v/>
      </c>
      <c r="J11" s="9" t="inlineStr">
        <is>
          <t>A = ln(x_bar) - mean(ln x)</t>
        </is>
      </c>
      <c r="K11" s="12">
        <f>K9-K10</f>
        <v/>
      </c>
    </row>
    <row r="12">
      <c r="A12" s="9">
        <f>Data!A12</f>
        <v/>
      </c>
      <c r="B12" s="9">
        <f>Data!B12</f>
        <v/>
      </c>
      <c r="C12" s="12">
        <f>IF(B12&gt;0,LN(B12),"")</f>
        <v/>
      </c>
      <c r="D12" s="12">
        <f>IF(B12&gt;0,_xlfn.GAMMA.DIST(B12,$K$12,$K$13,TRUE),0)</f>
        <v/>
      </c>
      <c r="E12" s="12">
        <f>$K$7+(1-$K$7)*D12</f>
        <v/>
      </c>
      <c r="F12" s="11">
        <f>_xlfn.NORM.S.INV(E12)</f>
        <v/>
      </c>
      <c r="G12" s="9">
        <f>IF(F12&lt;=-2,"extremely dry",IF(F12&lt;=-1.5,"severely dry",IF(F12&lt;=-1,"moderately dry",IF(F12&lt;1,"near normal",IF(F12&lt;1.5,"moderately wet",IF(F12&lt;2,"very wet","extremely wet"))))))</f>
        <v/>
      </c>
      <c r="J12" s="9" t="inlineStr">
        <is>
          <t>alpha = (1+SQRT(1+4A/3))/(4A)</t>
        </is>
      </c>
      <c r="K12" s="12">
        <f>(1+SQRT(1+4*K11/3))/(4*K11)</f>
        <v/>
      </c>
    </row>
    <row r="13">
      <c r="A13" s="9">
        <f>Data!A13</f>
        <v/>
      </c>
      <c r="B13" s="9">
        <f>Data!B13</f>
        <v/>
      </c>
      <c r="C13" s="12">
        <f>IF(B13&gt;0,LN(B13),"")</f>
        <v/>
      </c>
      <c r="D13" s="12">
        <f>IF(B13&gt;0,_xlfn.GAMMA.DIST(B13,$K$12,$K$13,TRUE),0)</f>
        <v/>
      </c>
      <c r="E13" s="12">
        <f>$K$7+(1-$K$7)*D13</f>
        <v/>
      </c>
      <c r="F13" s="11">
        <f>_xlfn.NORM.S.INV(E13)</f>
        <v/>
      </c>
      <c r="G13" s="9">
        <f>IF(F13&lt;=-2,"extremely dry",IF(F13&lt;=-1.5,"severely dry",IF(F13&lt;=-1,"moderately dry",IF(F13&lt;1,"near normal",IF(F13&lt;1.5,"moderately wet",IF(F13&lt;2,"very wet","extremely wet"))))))</f>
        <v/>
      </c>
      <c r="J13" s="9" t="inlineStr">
        <is>
          <t>beta = x_bar/alpha (mm)</t>
        </is>
      </c>
      <c r="K13" s="11">
        <f>K8/K12</f>
        <v/>
      </c>
    </row>
    <row r="14">
      <c r="A14" s="9">
        <f>Data!A14</f>
        <v/>
      </c>
      <c r="B14" s="9">
        <f>Data!B14</f>
        <v/>
      </c>
      <c r="C14" s="12">
        <f>IF(B14&gt;0,LN(B14),"")</f>
        <v/>
      </c>
      <c r="D14" s="12">
        <f>IF(B14&gt;0,_xlfn.GAMMA.DIST(B14,$K$12,$K$13,TRUE),0)</f>
        <v/>
      </c>
      <c r="E14" s="12">
        <f>$K$7+(1-$K$7)*D14</f>
        <v/>
      </c>
      <c r="F14" s="11">
        <f>_xlfn.NORM.S.INV(E14)</f>
        <v/>
      </c>
      <c r="G14" s="9">
        <f>IF(F14&lt;=-2,"extremely dry",IF(F14&lt;=-1.5,"severely dry",IF(F14&lt;=-1,"moderately dry",IF(F14&lt;1,"near normal",IF(F14&lt;1.5,"moderately wet",IF(F14&lt;2,"very wet","extremely wet"))))))</f>
        <v/>
      </c>
    </row>
    <row r="15">
      <c r="A15" s="9">
        <f>Data!A15</f>
        <v/>
      </c>
      <c r="B15" s="9">
        <f>Data!B15</f>
        <v/>
      </c>
      <c r="C15" s="12">
        <f>IF(B15&gt;0,LN(B15),"")</f>
        <v/>
      </c>
      <c r="D15" s="12">
        <f>IF(B15&gt;0,_xlfn.GAMMA.DIST(B15,$K$12,$K$13,TRUE),0)</f>
        <v/>
      </c>
      <c r="E15" s="12">
        <f>$K$7+(1-$K$7)*D15</f>
        <v/>
      </c>
      <c r="F15" s="11">
        <f>_xlfn.NORM.S.INV(E15)</f>
        <v/>
      </c>
      <c r="G15" s="9">
        <f>IF(F15&lt;=-2,"extremely dry",IF(F15&lt;=-1.5,"severely dry",IF(F15&lt;=-1,"moderately dry",IF(F15&lt;1,"near normal",IF(F15&lt;1.5,"moderately wet",IF(F15&lt;2,"very wet","extremely wet"))))))</f>
        <v/>
      </c>
    </row>
    <row r="16">
      <c r="A16" s="9">
        <f>Data!A16</f>
        <v/>
      </c>
      <c r="B16" s="9">
        <f>Data!B16</f>
        <v/>
      </c>
      <c r="C16" s="12">
        <f>IF(B16&gt;0,LN(B16),"")</f>
        <v/>
      </c>
      <c r="D16" s="12">
        <f>IF(B16&gt;0,_xlfn.GAMMA.DIST(B16,$K$12,$K$13,TRUE),0)</f>
        <v/>
      </c>
      <c r="E16" s="12">
        <f>$K$7+(1-$K$7)*D16</f>
        <v/>
      </c>
      <c r="F16" s="11">
        <f>_xlfn.NORM.S.INV(E16)</f>
        <v/>
      </c>
      <c r="G16" s="9">
        <f>IF(F16&lt;=-2,"extremely dry",IF(F16&lt;=-1.5,"severely dry",IF(F16&lt;=-1,"moderately dry",IF(F16&lt;1,"near normal",IF(F16&lt;1.5,"moderately wet",IF(F16&lt;2,"very wet","extremely wet"))))))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2026-10-28T07:41:51Z</dcterms:created>
  <dcterms:modified xmlns:dcterms="http://purl.org/dc/terms/" xmlns:xsi="http://www.w3.org/2001/XMLSchema-instance" xsi:type="dcterms:W3CDTF">2026-10-28T07:41:51Z</dcterms:modified>
</cp:coreProperties>
</file>