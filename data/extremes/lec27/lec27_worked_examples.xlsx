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uns" sheetId="3" state="visible" r:id="rId3"/>
    <sheet xmlns:r="http://schemas.openxmlformats.org/officeDocument/2006/relationships" name="Frequ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</font>
    <font>
      <name val="Calibri"/>
      <b val="1"/>
    </font>
    <font>
      <name val="Calibri"/>
      <color rgb="000000FF"/>
    </font>
    <font>
      <name val="Calibri"/>
      <color rgb="00000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5" fillId="0" borderId="0" pivotButton="0" quotePrefix="0" xfId="0"/>
    <xf numFmtId="2" fontId="5" fillId="0" borderId="0" pivotButton="0" quotePrefix="0" xfId="0"/>
    <xf numFmtId="0" fontId="4" fillId="3" borderId="0" pivotButton="0" quotePrefix="0" xfId="0"/>
    <xf numFmtId="0" fontId="5" fillId="3" borderId="0" pivotButton="0" quotePrefix="0" xfId="0"/>
    <xf numFmtId="2" fontId="5" fillId="3" borderId="0" pivotButton="0" quotePrefix="0" xfId="0"/>
    <xf numFmtId="164" fontId="5" fillId="0" borderId="0" pivotButton="0" quotePrefix="0" xfId="0"/>
    <xf numFmtId="165" fontId="4" fillId="0" borderId="0" pivotButton="0" quotePrefix="0" xfId="0"/>
    <xf numFmtId="165" fontId="5" fillId="0" borderId="0" pivotButton="0" quotePrefix="0" xfId="0"/>
    <xf numFmtId="165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Lecture 27</author>
  </authors>
  <commentList>
    <comment ref="E4" authorId="0" shapeId="0">
      <text>
        <t>A new event number starts when a month is below x0 and the month before was not.</t>
      </text>
    </comment>
    <comment ref="G4" authorId="0" shapeId="0">
      <text>
        <t>Event numbers 1..3 are typed in; extend the table if a new series has more events.</t>
      </text>
    </comment>
    <comment ref="J4" authorId="0" shapeId="0">
      <text>
        <t>S = sum of the deficits x0 - x_t over the months of the event.</t>
      </text>
    </comment>
  </commentList>
</comments>
</file>

<file path=xl/comments/comment2.xml><?xml version="1.0" encoding="utf-8"?>
<comments xmlns="http://schemas.openxmlformats.org/spreadsheetml/2006/main">
  <authors>
    <author>Lecture 27</author>
  </authors>
  <commentList>
    <comment ref="G6" authorId="0" shapeId="0">
      <text>
        <t>T(s) = 1/(lambda exp(-s/S_bar)): mean interval between events with severity above s, exponential distribution.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Lecture 27: Droughts II, theory of runs and drought frequency. Companion workbook (CE524 Applied Hydroclimatology)</t>
        </is>
      </c>
    </row>
    <row r="2">
      <c r="A2" s="2" t="inlineStr"/>
    </row>
    <row r="3">
      <c r="A3" s="2" t="inlineStr">
        <is>
          <t>Purpose: (1) the hand-solved theory-of-runs example of the lecture with live formulas; (2) the frequency analysis of the 20 Chattooga streamflow droughts below Q80.</t>
        </is>
      </c>
    </row>
    <row r="4">
      <c r="A4" s="2" t="inlineStr">
        <is>
          <t>The 18 monthly runoff values of the hand example are INVENTED for teaching. The Chattooga event durations and severities are computed in the lecture from data/chattooga_daily.csv (monthly runoff, threshold Q80 = 43.65 mm/month) and typed here as inputs.</t>
        </is>
      </c>
    </row>
    <row r="5">
      <c r="A5" s="2" t="inlineStr"/>
    </row>
    <row r="6">
      <c r="A6" s="2" t="inlineStr">
        <is>
          <t>Colour code: BLUE font = input. BLACK font = formula. Green = the largest event. Hover over a cell with a red corner to read a note.</t>
        </is>
      </c>
    </row>
    <row r="7">
      <c r="A7" s="2" t="inlineStr"/>
    </row>
    <row r="8">
      <c r="A8" s="3" t="inlineStr">
        <is>
          <t>Sheets</t>
        </is>
      </c>
    </row>
    <row r="9">
      <c r="A9" s="2" t="inlineStr">
        <is>
          <t>Data: threshold x0 and the hand-example series x_t (mm/month).</t>
        </is>
      </c>
    </row>
    <row r="10">
      <c r="A10" s="2" t="inlineStr">
        <is>
          <t>Runs: below the threshold (1/0), deficit x0 - x_t, event number j; event table with D, S = sum of deficits, I = S/D, inter-arrival time L, m = number of events with S &gt;= s, empirical T = N_y/m.</t>
        </is>
      </c>
    </row>
    <row r="11">
      <c r="A11" s="2" t="inlineStr">
        <is>
          <t>Frequency: Chattooga events; lambda = n_e/N_y, S_bar = mean severity, empirical T = N_y/m, exponential T(s) = 1/(lambda exp(-s/S_bar)) and s_T = S_bar ln(lambda T).</t>
        </is>
      </c>
    </row>
    <row r="12">
      <c r="A12" s="2" t="inlineStr"/>
    </row>
    <row r="13">
      <c r="A13" s="2" t="inlineStr">
        <is>
          <t>Functions used: IF, MAX, MATCH, COUNT, COUNTIF, SUMIF, AVERAGE, RANK, EXP, LN, INDEX. Excel computes the results on opening (press F9 if cells look empty). The same numbers are printed in lecture-27-drought-characteristics-frequency-and-management.ipynb.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Data: hand example (invented monthly runoff)</t>
        </is>
      </c>
    </row>
    <row r="2">
      <c r="A2" s="5" t="inlineStr">
        <is>
          <t>threshold x0 (mm/month)</t>
        </is>
      </c>
      <c r="C2" s="6" t="n">
        <v>30</v>
      </c>
    </row>
    <row r="4">
      <c r="A4" s="7" t="inlineStr">
        <is>
          <t>month t</t>
        </is>
      </c>
      <c r="B4" s="7" t="inlineStr">
        <is>
          <t>x_t (mm)</t>
        </is>
      </c>
    </row>
    <row r="5">
      <c r="A5" s="6" t="n">
        <v>1</v>
      </c>
      <c r="B5" s="6" t="n">
        <v>52</v>
      </c>
    </row>
    <row r="6">
      <c r="A6" s="6" t="n">
        <v>2</v>
      </c>
      <c r="B6" s="6" t="n">
        <v>41</v>
      </c>
    </row>
    <row r="7">
      <c r="A7" s="6" t="n">
        <v>3</v>
      </c>
      <c r="B7" s="6" t="n">
        <v>27</v>
      </c>
    </row>
    <row r="8">
      <c r="A8" s="6" t="n">
        <v>4</v>
      </c>
      <c r="B8" s="6" t="n">
        <v>22</v>
      </c>
    </row>
    <row r="9">
      <c r="A9" s="6" t="n">
        <v>5</v>
      </c>
      <c r="B9" s="6" t="n">
        <v>35</v>
      </c>
    </row>
    <row r="10">
      <c r="A10" s="6" t="n">
        <v>6</v>
      </c>
      <c r="B10" s="6" t="n">
        <v>48</v>
      </c>
    </row>
    <row r="11">
      <c r="A11" s="6" t="n">
        <v>7</v>
      </c>
      <c r="B11" s="6" t="n">
        <v>60</v>
      </c>
    </row>
    <row r="12">
      <c r="A12" s="6" t="n">
        <v>8</v>
      </c>
      <c r="B12" s="6" t="n">
        <v>33</v>
      </c>
    </row>
    <row r="13">
      <c r="A13" s="6" t="n">
        <v>9</v>
      </c>
      <c r="B13" s="6" t="n">
        <v>26</v>
      </c>
    </row>
    <row r="14">
      <c r="A14" s="6" t="n">
        <v>10</v>
      </c>
      <c r="B14" s="6" t="n">
        <v>18</v>
      </c>
    </row>
    <row r="15">
      <c r="A15" s="6" t="n">
        <v>11</v>
      </c>
      <c r="B15" s="6" t="n">
        <v>12</v>
      </c>
    </row>
    <row r="16">
      <c r="A16" s="6" t="n">
        <v>12</v>
      </c>
      <c r="B16" s="6" t="n">
        <v>21</v>
      </c>
    </row>
    <row r="17">
      <c r="A17" s="6" t="n">
        <v>13</v>
      </c>
      <c r="B17" s="6" t="n">
        <v>29</v>
      </c>
    </row>
    <row r="18">
      <c r="A18" s="6" t="n">
        <v>14</v>
      </c>
      <c r="B18" s="6" t="n">
        <v>44</v>
      </c>
    </row>
    <row r="19">
      <c r="A19" s="6" t="n">
        <v>15</v>
      </c>
      <c r="B19" s="6" t="n">
        <v>38</v>
      </c>
    </row>
    <row r="20">
      <c r="A20" s="6" t="n">
        <v>16</v>
      </c>
      <c r="B20" s="6" t="n">
        <v>24</v>
      </c>
    </row>
    <row r="21">
      <c r="A21" s="6" t="n">
        <v>17</v>
      </c>
      <c r="B21" s="6" t="n">
        <v>31</v>
      </c>
    </row>
    <row r="22">
      <c r="A22" s="6" t="n">
        <v>18</v>
      </c>
      <c r="B22" s="6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3" customWidth="1" min="14" max="14"/>
  </cols>
  <sheetData>
    <row r="1">
      <c r="A1" s="4" t="inlineStr">
        <is>
          <t>Theory of runs (Yevjevich 1967): events below x0</t>
        </is>
      </c>
    </row>
    <row r="2">
      <c r="A2" s="5" t="inlineStr">
        <is>
          <t>x0 (mm/month)</t>
        </is>
      </c>
      <c r="C2" s="8">
        <f>Data!C2</f>
        <v/>
      </c>
      <c r="G2" s="5" t="inlineStr">
        <is>
          <t>N_y = record length (years)</t>
        </is>
      </c>
      <c r="K2" s="9">
        <f>COUNT(B5:B22)/12</f>
        <v/>
      </c>
    </row>
    <row r="4">
      <c r="A4" s="7" t="inlineStr">
        <is>
          <t>month t</t>
        </is>
      </c>
      <c r="B4" s="7" t="inlineStr">
        <is>
          <t>x_t (mm)</t>
        </is>
      </c>
      <c r="C4" s="7" t="inlineStr">
        <is>
          <t>below x0 (1 = yes)</t>
        </is>
      </c>
      <c r="D4" s="7" t="inlineStr">
        <is>
          <t>deficit x0 - x_t</t>
        </is>
      </c>
      <c r="E4" s="7" t="inlineStr">
        <is>
          <t>event j</t>
        </is>
      </c>
      <c r="G4" s="7" t="inlineStr">
        <is>
          <t>event j</t>
        </is>
      </c>
      <c r="H4" s="7" t="inlineStr">
        <is>
          <t>start month</t>
        </is>
      </c>
      <c r="I4" s="7" t="inlineStr">
        <is>
          <t>D (months)</t>
        </is>
      </c>
      <c r="J4" s="7" t="inlineStr">
        <is>
          <t>S (mm)</t>
        </is>
      </c>
      <c r="K4" s="7" t="inlineStr">
        <is>
          <t>I = S/D</t>
        </is>
      </c>
      <c r="L4" s="7" t="inlineStr">
        <is>
          <t>L (months)</t>
        </is>
      </c>
      <c r="M4" s="7" t="inlineStr">
        <is>
          <t>m (S &gt;= s)</t>
        </is>
      </c>
      <c r="N4" s="7" t="inlineStr">
        <is>
          <t>T = N_y/m (yr)</t>
        </is>
      </c>
    </row>
    <row r="5">
      <c r="A5" s="8">
        <f>Data!A5</f>
        <v/>
      </c>
      <c r="B5" s="8">
        <f>Data!B5</f>
        <v/>
      </c>
      <c r="C5" s="8">
        <f>IF(B5&lt;$C$2,1,0)</f>
        <v/>
      </c>
      <c r="D5" s="8">
        <f>IF(C5=1,$C$2-B5,0)</f>
        <v/>
      </c>
      <c r="E5" s="8">
        <f>IF(C5=1,1,"")</f>
        <v/>
      </c>
      <c r="G5" s="6" t="n">
        <v>1</v>
      </c>
      <c r="H5" s="8">
        <f>INDEX($A$5:$A$22,MATCH(G5,$E$5:$E$22,0))</f>
        <v/>
      </c>
      <c r="I5" s="8">
        <f>COUNTIF($E$5:$E$22,G5)</f>
        <v/>
      </c>
      <c r="J5" s="8">
        <f>SUMIF($E$5:$E$22,G5,$D$5:$D$22)</f>
        <v/>
      </c>
      <c r="K5" s="9">
        <f>J5/I5</f>
        <v/>
      </c>
      <c r="L5" s="8">
        <f>H6-H5</f>
        <v/>
      </c>
      <c r="M5" s="8">
        <f>COUNTIF($J$5:$J$7,"&gt;="&amp;J5)</f>
        <v/>
      </c>
      <c r="N5" s="9">
        <f>$K$2/M5</f>
        <v/>
      </c>
    </row>
    <row r="6">
      <c r="A6" s="8">
        <f>Data!A6</f>
        <v/>
      </c>
      <c r="B6" s="8">
        <f>Data!B6</f>
        <v/>
      </c>
      <c r="C6" s="8">
        <f>IF(B6&lt;$C$2,1,0)</f>
        <v/>
      </c>
      <c r="D6" s="8">
        <f>IF(C6=1,$C$2-B6,0)</f>
        <v/>
      </c>
      <c r="E6" s="8">
        <f>IF(C6=1,IF(C5=1,E5,MAX(E$5:E5)+1),"")</f>
        <v/>
      </c>
      <c r="G6" s="10" t="n">
        <v>2</v>
      </c>
      <c r="H6" s="11">
        <f>INDEX($A$5:$A$22,MATCH(G6,$E$5:$E$22,0))</f>
        <v/>
      </c>
      <c r="I6" s="11">
        <f>COUNTIF($E$5:$E$22,G6)</f>
        <v/>
      </c>
      <c r="J6" s="11">
        <f>SUMIF($E$5:$E$22,G6,$D$5:$D$22)</f>
        <v/>
      </c>
      <c r="K6" s="12">
        <f>J6/I6</f>
        <v/>
      </c>
      <c r="L6" s="11">
        <f>H7-H6</f>
        <v/>
      </c>
      <c r="M6" s="11">
        <f>COUNTIF($J$5:$J$7,"&gt;="&amp;J6)</f>
        <v/>
      </c>
      <c r="N6" s="12">
        <f>$K$2/M6</f>
        <v/>
      </c>
    </row>
    <row r="7">
      <c r="A7" s="8">
        <f>Data!A7</f>
        <v/>
      </c>
      <c r="B7" s="8">
        <f>Data!B7</f>
        <v/>
      </c>
      <c r="C7" s="8">
        <f>IF(B7&lt;$C$2,1,0)</f>
        <v/>
      </c>
      <c r="D7" s="8">
        <f>IF(C7=1,$C$2-B7,0)</f>
        <v/>
      </c>
      <c r="E7" s="8">
        <f>IF(C7=1,IF(C6=1,E6,MAX(E$5:E6)+1),"")</f>
        <v/>
      </c>
      <c r="G7" s="6" t="n">
        <v>3</v>
      </c>
      <c r="H7" s="8">
        <f>INDEX($A$5:$A$22,MATCH(G7,$E$5:$E$22,0))</f>
        <v/>
      </c>
      <c r="I7" s="8">
        <f>COUNTIF($E$5:$E$22,G7)</f>
        <v/>
      </c>
      <c r="J7" s="8">
        <f>SUMIF($E$5:$E$22,G7,$D$5:$D$22)</f>
        <v/>
      </c>
      <c r="K7" s="9">
        <f>J7/I7</f>
        <v/>
      </c>
      <c r="L7" s="8" t="inlineStr">
        <is>
          <t>(last)</t>
        </is>
      </c>
      <c r="M7" s="8">
        <f>COUNTIF($J$5:$J$7,"&gt;="&amp;J7)</f>
        <v/>
      </c>
      <c r="N7" s="9">
        <f>$K$2/M7</f>
        <v/>
      </c>
    </row>
    <row r="8">
      <c r="A8" s="8">
        <f>Data!A8</f>
        <v/>
      </c>
      <c r="B8" s="8">
        <f>Data!B8</f>
        <v/>
      </c>
      <c r="C8" s="8">
        <f>IF(B8&lt;$C$2,1,0)</f>
        <v/>
      </c>
      <c r="D8" s="8">
        <f>IF(C8=1,$C$2-B8,0)</f>
        <v/>
      </c>
      <c r="E8" s="8">
        <f>IF(C8=1,IF(C7=1,E7,MAX(E$5:E7)+1),"")</f>
        <v/>
      </c>
    </row>
    <row r="9">
      <c r="A9" s="8">
        <f>Data!A9</f>
        <v/>
      </c>
      <c r="B9" s="8">
        <f>Data!B9</f>
        <v/>
      </c>
      <c r="C9" s="8">
        <f>IF(B9&lt;$C$2,1,0)</f>
        <v/>
      </c>
      <c r="D9" s="8">
        <f>IF(C9=1,$C$2-B9,0)</f>
        <v/>
      </c>
      <c r="E9" s="8">
        <f>IF(C9=1,IF(C8=1,E8,MAX(E$5:E8)+1),"")</f>
        <v/>
      </c>
    </row>
    <row r="10">
      <c r="A10" s="8">
        <f>Data!A10</f>
        <v/>
      </c>
      <c r="B10" s="8">
        <f>Data!B10</f>
        <v/>
      </c>
      <c r="C10" s="8">
        <f>IF(B10&lt;$C$2,1,0)</f>
        <v/>
      </c>
      <c r="D10" s="8">
        <f>IF(C10=1,$C$2-B10,0)</f>
        <v/>
      </c>
      <c r="E10" s="8">
        <f>IF(C10=1,IF(C9=1,E9,MAX(E$5:E9)+1),"")</f>
        <v/>
      </c>
      <c r="G10" s="5" t="inlineStr">
        <is>
          <t>largest severity S_max</t>
        </is>
      </c>
      <c r="K10" s="8">
        <f>MAX(J5:J7)</f>
        <v/>
      </c>
    </row>
    <row r="11">
      <c r="A11" s="8">
        <f>Data!A11</f>
        <v/>
      </c>
      <c r="B11" s="8">
        <f>Data!B11</f>
        <v/>
      </c>
      <c r="C11" s="8">
        <f>IF(B11&lt;$C$2,1,0)</f>
        <v/>
      </c>
      <c r="D11" s="8">
        <f>IF(C11=1,$C$2-B11,0)</f>
        <v/>
      </c>
      <c r="E11" s="8">
        <f>IF(C11=1,IF(C10=1,E10,MAX(E$5:E10)+1),"")</f>
        <v/>
      </c>
      <c r="G11" s="5" t="inlineStr">
        <is>
          <t>event with S_max</t>
        </is>
      </c>
      <c r="K11" s="8">
        <f>MATCH(K10,J5:J7,0)</f>
        <v/>
      </c>
    </row>
    <row r="12">
      <c r="A12" s="8">
        <f>Data!A12</f>
        <v/>
      </c>
      <c r="B12" s="8">
        <f>Data!B12</f>
        <v/>
      </c>
      <c r="C12" s="8">
        <f>IF(B12&lt;$C$2,1,0)</f>
        <v/>
      </c>
      <c r="D12" s="8">
        <f>IF(C12=1,$C$2-B12,0)</f>
        <v/>
      </c>
      <c r="E12" s="8">
        <f>IF(C12=1,IF(C11=1,E11,MAX(E$5:E11)+1),"")</f>
        <v/>
      </c>
      <c r="G12" s="5" t="inlineStr">
        <is>
          <t>its D, I, T</t>
        </is>
      </c>
      <c r="K12" s="8">
        <f>INDEX(I5:I7,K11)</f>
        <v/>
      </c>
      <c r="L12" s="9">
        <f>INDEX(K5:K7,K11)</f>
        <v/>
      </c>
      <c r="M12" s="9">
        <f>INDEX(N5:N7,K11)</f>
        <v/>
      </c>
    </row>
    <row r="13">
      <c r="A13" s="8">
        <f>Data!A13</f>
        <v/>
      </c>
      <c r="B13" s="8">
        <f>Data!B13</f>
        <v/>
      </c>
      <c r="C13" s="8">
        <f>IF(B13&lt;$C$2,1,0)</f>
        <v/>
      </c>
      <c r="D13" s="8">
        <f>IF(C13=1,$C$2-B13,0)</f>
        <v/>
      </c>
      <c r="E13" s="8">
        <f>IF(C13=1,IF(C12=1,E12,MAX(E$5:E12)+1),"")</f>
        <v/>
      </c>
    </row>
    <row r="14">
      <c r="A14" s="8">
        <f>Data!A14</f>
        <v/>
      </c>
      <c r="B14" s="8">
        <f>Data!B14</f>
        <v/>
      </c>
      <c r="C14" s="8">
        <f>IF(B14&lt;$C$2,1,0)</f>
        <v/>
      </c>
      <c r="D14" s="8">
        <f>IF(C14=1,$C$2-B14,0)</f>
        <v/>
      </c>
      <c r="E14" s="8">
        <f>IF(C14=1,IF(C13=1,E13,MAX(E$5:E13)+1),"")</f>
        <v/>
      </c>
    </row>
    <row r="15">
      <c r="A15" s="8">
        <f>Data!A15</f>
        <v/>
      </c>
      <c r="B15" s="8">
        <f>Data!B15</f>
        <v/>
      </c>
      <c r="C15" s="8">
        <f>IF(B15&lt;$C$2,1,0)</f>
        <v/>
      </c>
      <c r="D15" s="8">
        <f>IF(C15=1,$C$2-B15,0)</f>
        <v/>
      </c>
      <c r="E15" s="8">
        <f>IF(C15=1,IF(C14=1,E14,MAX(E$5:E14)+1),"")</f>
        <v/>
      </c>
    </row>
    <row r="16">
      <c r="A16" s="8">
        <f>Data!A16</f>
        <v/>
      </c>
      <c r="B16" s="8">
        <f>Data!B16</f>
        <v/>
      </c>
      <c r="C16" s="8">
        <f>IF(B16&lt;$C$2,1,0)</f>
        <v/>
      </c>
      <c r="D16" s="8">
        <f>IF(C16=1,$C$2-B16,0)</f>
        <v/>
      </c>
      <c r="E16" s="8">
        <f>IF(C16=1,IF(C15=1,E15,MAX(E$5:E15)+1),"")</f>
        <v/>
      </c>
    </row>
    <row r="17">
      <c r="A17" s="8">
        <f>Data!A17</f>
        <v/>
      </c>
      <c r="B17" s="8">
        <f>Data!B17</f>
        <v/>
      </c>
      <c r="C17" s="8">
        <f>IF(B17&lt;$C$2,1,0)</f>
        <v/>
      </c>
      <c r="D17" s="8">
        <f>IF(C17=1,$C$2-B17,0)</f>
        <v/>
      </c>
      <c r="E17" s="8">
        <f>IF(C17=1,IF(C16=1,E16,MAX(E$5:E16)+1),"")</f>
        <v/>
      </c>
    </row>
    <row r="18">
      <c r="A18" s="8">
        <f>Data!A18</f>
        <v/>
      </c>
      <c r="B18" s="8">
        <f>Data!B18</f>
        <v/>
      </c>
      <c r="C18" s="8">
        <f>IF(B18&lt;$C$2,1,0)</f>
        <v/>
      </c>
      <c r="D18" s="8">
        <f>IF(C18=1,$C$2-B18,0)</f>
        <v/>
      </c>
      <c r="E18" s="8">
        <f>IF(C18=1,IF(C17=1,E17,MAX(E$5:E17)+1),"")</f>
        <v/>
      </c>
    </row>
    <row r="19">
      <c r="A19" s="8">
        <f>Data!A19</f>
        <v/>
      </c>
      <c r="B19" s="8">
        <f>Data!B19</f>
        <v/>
      </c>
      <c r="C19" s="8">
        <f>IF(B19&lt;$C$2,1,0)</f>
        <v/>
      </c>
      <c r="D19" s="8">
        <f>IF(C19=1,$C$2-B19,0)</f>
        <v/>
      </c>
      <c r="E19" s="8">
        <f>IF(C19=1,IF(C18=1,E18,MAX(E$5:E18)+1),"")</f>
        <v/>
      </c>
    </row>
    <row r="20">
      <c r="A20" s="8">
        <f>Data!A20</f>
        <v/>
      </c>
      <c r="B20" s="8">
        <f>Data!B20</f>
        <v/>
      </c>
      <c r="C20" s="8">
        <f>IF(B20&lt;$C$2,1,0)</f>
        <v/>
      </c>
      <c r="D20" s="8">
        <f>IF(C20=1,$C$2-B20,0)</f>
        <v/>
      </c>
      <c r="E20" s="8">
        <f>IF(C20=1,IF(C19=1,E19,MAX(E$5:E19)+1),"")</f>
        <v/>
      </c>
    </row>
    <row r="21">
      <c r="A21" s="8">
        <f>Data!A21</f>
        <v/>
      </c>
      <c r="B21" s="8">
        <f>Data!B21</f>
        <v/>
      </c>
      <c r="C21" s="8">
        <f>IF(B21&lt;$C$2,1,0)</f>
        <v/>
      </c>
      <c r="D21" s="8">
        <f>IF(C21=1,$C$2-B21,0)</f>
        <v/>
      </c>
      <c r="E21" s="8">
        <f>IF(C21=1,IF(C20=1,E20,MAX(E$5:E20)+1),"")</f>
        <v/>
      </c>
    </row>
    <row r="22">
      <c r="A22" s="8">
        <f>Data!A22</f>
        <v/>
      </c>
      <c r="B22" s="8">
        <f>Data!B22</f>
        <v/>
      </c>
      <c r="C22" s="8">
        <f>IF(B22&lt;$C$2,1,0)</f>
        <v/>
      </c>
      <c r="D22" s="8">
        <f>IF(C22=1,$C$2-B22,0)</f>
        <v/>
      </c>
      <c r="E22" s="8">
        <f>IF(C22=1,IF(C21=1,E21,MAX(E$5:E21)+1),"")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3" customWidth="1" min="14" max="14"/>
  </cols>
  <sheetData>
    <row r="1">
      <c r="A1" s="4" t="inlineStr">
        <is>
          <t>Drought frequency: Chattooga streamflow events below Q80 (1991-2015)</t>
        </is>
      </c>
    </row>
    <row r="2">
      <c r="A2" s="5" t="inlineStr">
        <is>
          <t>N_y (years)</t>
        </is>
      </c>
      <c r="C2" s="6" t="n">
        <v>25</v>
      </c>
      <c r="E2" s="5" t="inlineStr">
        <is>
          <t>lambda = n_e/N_y (1/yr)</t>
        </is>
      </c>
      <c r="H2" s="13">
        <f>C3/C2</f>
        <v/>
      </c>
    </row>
    <row r="3">
      <c r="A3" s="5" t="inlineStr">
        <is>
          <t>n_e (events)</t>
        </is>
      </c>
      <c r="C3" s="8">
        <f>COUNT(D7:D26)</f>
        <v/>
      </c>
      <c r="E3" s="5" t="inlineStr">
        <is>
          <t>S_bar = mean S (mm)</t>
        </is>
      </c>
      <c r="H3" s="9">
        <f>AVERAGE(D7:D26)</f>
        <v/>
      </c>
    </row>
    <row r="6">
      <c r="A6" s="7" t="inlineStr">
        <is>
          <t>start</t>
        </is>
      </c>
      <c r="B6" s="7" t="inlineStr">
        <is>
          <t>end</t>
        </is>
      </c>
      <c r="C6" s="7" t="inlineStr">
        <is>
          <t>D (months)</t>
        </is>
      </c>
      <c r="D6" s="7" t="inlineStr">
        <is>
          <t>S (mm)</t>
        </is>
      </c>
      <c r="E6" s="7" t="inlineStr">
        <is>
          <t>m (rank, 1 = largest)</t>
        </is>
      </c>
      <c r="F6" s="7" t="inlineStr">
        <is>
          <t>empirical T = N_y/m</t>
        </is>
      </c>
      <c r="G6" s="7" t="inlineStr">
        <is>
          <t>exponential T(s)</t>
        </is>
      </c>
      <c r="J6" s="7" t="inlineStr">
        <is>
          <t>T (years)</t>
        </is>
      </c>
      <c r="K6" s="7" t="inlineStr">
        <is>
          <t>s_T = S_bar ln(lambda T) (mm)</t>
        </is>
      </c>
    </row>
    <row r="7">
      <c r="A7" s="6" t="inlineStr">
        <is>
          <t>1993-07</t>
        </is>
      </c>
      <c r="B7" s="6" t="inlineStr">
        <is>
          <t>1993-11</t>
        </is>
      </c>
      <c r="C7" s="6" t="n">
        <v>5</v>
      </c>
      <c r="D7" s="14" t="n">
        <v>61.902</v>
      </c>
      <c r="E7" s="8">
        <f>RANK(D7,$D$7:$D$26,0)</f>
        <v/>
      </c>
      <c r="F7" s="9">
        <f>$C$2/E7</f>
        <v/>
      </c>
      <c r="G7" s="9">
        <f>1/($H$2*EXP(-D7/$H$3))</f>
        <v/>
      </c>
      <c r="J7" s="6" t="n">
        <v>2</v>
      </c>
      <c r="K7" s="15">
        <f>$H$3*LN($H$2*J7)</f>
        <v/>
      </c>
    </row>
    <row r="8">
      <c r="A8" s="6" t="inlineStr">
        <is>
          <t>1996-07</t>
        </is>
      </c>
      <c r="B8" s="6" t="inlineStr">
        <is>
          <t>1996-07</t>
        </is>
      </c>
      <c r="C8" s="6" t="n">
        <v>1</v>
      </c>
      <c r="D8" s="14" t="n">
        <v>0.1312</v>
      </c>
      <c r="E8" s="8">
        <f>RANK(D8,$D$7:$D$26,0)</f>
        <v/>
      </c>
      <c r="F8" s="9">
        <f>$C$2/E8</f>
        <v/>
      </c>
      <c r="G8" s="9">
        <f>1/($H$2*EXP(-D8/$H$3))</f>
        <v/>
      </c>
      <c r="J8" s="6" t="n">
        <v>5</v>
      </c>
      <c r="K8" s="15">
        <f>$H$3*LN($H$2*J8)</f>
        <v/>
      </c>
    </row>
    <row r="9">
      <c r="A9" s="6" t="inlineStr">
        <is>
          <t>1997-09</t>
        </is>
      </c>
      <c r="B9" s="6" t="inlineStr">
        <is>
          <t>1997-09</t>
        </is>
      </c>
      <c r="C9" s="6" t="n">
        <v>1</v>
      </c>
      <c r="D9" s="14" t="n">
        <v>1.2631</v>
      </c>
      <c r="E9" s="8">
        <f>RANK(D9,$D$7:$D$26,0)</f>
        <v/>
      </c>
      <c r="F9" s="9">
        <f>$C$2/E9</f>
        <v/>
      </c>
      <c r="G9" s="9">
        <f>1/($H$2*EXP(-D9/$H$3))</f>
        <v/>
      </c>
      <c r="J9" s="6" t="n">
        <v>10</v>
      </c>
      <c r="K9" s="15">
        <f>$H$3*LN($H$2*J9)</f>
        <v/>
      </c>
    </row>
    <row r="10">
      <c r="A10" s="6" t="inlineStr">
        <is>
          <t>1998-08</t>
        </is>
      </c>
      <c r="B10" s="6" t="inlineStr">
        <is>
          <t>1998-11</t>
        </is>
      </c>
      <c r="C10" s="6" t="n">
        <v>4</v>
      </c>
      <c r="D10" s="14" t="n">
        <v>32.1362</v>
      </c>
      <c r="E10" s="8">
        <f>RANK(D10,$D$7:$D$26,0)</f>
        <v/>
      </c>
      <c r="F10" s="9">
        <f>$C$2/E10</f>
        <v/>
      </c>
      <c r="G10" s="9">
        <f>1/($H$2*EXP(-D10/$H$3))</f>
        <v/>
      </c>
      <c r="J10" s="6" t="n">
        <v>25</v>
      </c>
      <c r="K10" s="15">
        <f>$H$3*LN($H$2*J10)</f>
        <v/>
      </c>
    </row>
    <row r="11">
      <c r="A11" s="6" t="inlineStr">
        <is>
          <t>1999-08</t>
        </is>
      </c>
      <c r="B11" s="6" t="inlineStr">
        <is>
          <t>1999-09</t>
        </is>
      </c>
      <c r="C11" s="6" t="n">
        <v>2</v>
      </c>
      <c r="D11" s="14" t="n">
        <v>32.4029</v>
      </c>
      <c r="E11" s="8">
        <f>RANK(D11,$D$7:$D$26,0)</f>
        <v/>
      </c>
      <c r="F11" s="9">
        <f>$C$2/E11</f>
        <v/>
      </c>
      <c r="G11" s="9">
        <f>1/($H$2*EXP(-D11/$H$3))</f>
        <v/>
      </c>
      <c r="J11" s="6" t="n">
        <v>50</v>
      </c>
      <c r="K11" s="15">
        <f>$H$3*LN($H$2*J11)</f>
        <v/>
      </c>
    </row>
    <row r="12">
      <c r="A12" s="6" t="inlineStr">
        <is>
          <t>2000-06</t>
        </is>
      </c>
      <c r="B12" s="6" t="inlineStr">
        <is>
          <t>2000-12</t>
        </is>
      </c>
      <c r="C12" s="6" t="n">
        <v>7</v>
      </c>
      <c r="D12" s="14" t="n">
        <v>105.6542</v>
      </c>
      <c r="E12" s="8">
        <f>RANK(D12,$D$7:$D$26,0)</f>
        <v/>
      </c>
      <c r="F12" s="9">
        <f>$C$2/E12</f>
        <v/>
      </c>
      <c r="G12" s="9">
        <f>1/($H$2*EXP(-D12/$H$3))</f>
        <v/>
      </c>
    </row>
    <row r="13">
      <c r="A13" s="6" t="inlineStr">
        <is>
          <t>2001-05</t>
        </is>
      </c>
      <c r="B13" s="6" t="inlineStr">
        <is>
          <t>2001-08</t>
        </is>
      </c>
      <c r="C13" s="6" t="n">
        <v>4</v>
      </c>
      <c r="D13" s="14" t="n">
        <v>29.0778</v>
      </c>
      <c r="E13" s="8">
        <f>RANK(D13,$D$7:$D$26,0)</f>
        <v/>
      </c>
      <c r="F13" s="9">
        <f>$C$2/E13</f>
        <v/>
      </c>
      <c r="G13" s="9">
        <f>1/($H$2*EXP(-D13/$H$3))</f>
        <v/>
      </c>
      <c r="J13" s="5" t="inlineStr">
        <is>
          <t>events with D &gt;= 6</t>
        </is>
      </c>
      <c r="K13" s="8">
        <f>COUNTIF(C7:C26,"&gt;=6")</f>
        <v/>
      </c>
    </row>
    <row r="14">
      <c r="A14" s="6" t="inlineStr">
        <is>
          <t>2001-10</t>
        </is>
      </c>
      <c r="B14" s="6" t="inlineStr">
        <is>
          <t>2001-11</t>
        </is>
      </c>
      <c r="C14" s="6" t="n">
        <v>2</v>
      </c>
      <c r="D14" s="14" t="n">
        <v>13.8436</v>
      </c>
      <c r="E14" s="8">
        <f>RANK(D14,$D$7:$D$26,0)</f>
        <v/>
      </c>
      <c r="F14" s="9">
        <f>$C$2/E14</f>
        <v/>
      </c>
      <c r="G14" s="9">
        <f>1/($H$2*EXP(-D14/$H$3))</f>
        <v/>
      </c>
      <c r="J14" s="5" t="inlineStr">
        <is>
          <t>empirical T for D &gt;= 6 (yr)</t>
        </is>
      </c>
      <c r="K14" s="15">
        <f>C2/K13</f>
        <v/>
      </c>
    </row>
    <row r="15">
      <c r="A15" s="6" t="inlineStr">
        <is>
          <t>2002-06</t>
        </is>
      </c>
      <c r="B15" s="6" t="inlineStr">
        <is>
          <t>2002-08</t>
        </is>
      </c>
      <c r="C15" s="6" t="n">
        <v>3</v>
      </c>
      <c r="D15" s="14" t="n">
        <v>34.5194</v>
      </c>
      <c r="E15" s="8">
        <f>RANK(D15,$D$7:$D$26,0)</f>
        <v/>
      </c>
      <c r="F15" s="9">
        <f>$C$2/E15</f>
        <v/>
      </c>
      <c r="G15" s="9">
        <f>1/($H$2*EXP(-D15/$H$3))</f>
        <v/>
      </c>
    </row>
    <row r="16">
      <c r="A16" s="6" t="inlineStr">
        <is>
          <t>2006-05</t>
        </is>
      </c>
      <c r="B16" s="6" t="inlineStr">
        <is>
          <t>2006-08</t>
        </is>
      </c>
      <c r="C16" s="6" t="n">
        <v>4</v>
      </c>
      <c r="D16" s="14" t="n">
        <v>39.4425</v>
      </c>
      <c r="E16" s="8">
        <f>RANK(D16,$D$7:$D$26,0)</f>
        <v/>
      </c>
      <c r="F16" s="9">
        <f>$C$2/E16</f>
        <v/>
      </c>
      <c r="G16" s="9">
        <f>1/($H$2*EXP(-D16/$H$3))</f>
        <v/>
      </c>
    </row>
    <row r="17">
      <c r="A17" s="10" t="inlineStr">
        <is>
          <t>2007-05</t>
        </is>
      </c>
      <c r="B17" s="10" t="inlineStr">
        <is>
          <t>2007-12</t>
        </is>
      </c>
      <c r="C17" s="10" t="n">
        <v>8</v>
      </c>
      <c r="D17" s="16" t="n">
        <v>128.7779</v>
      </c>
      <c r="E17" s="11">
        <f>RANK(D17,$D$7:$D$26,0)</f>
        <v/>
      </c>
      <c r="F17" s="12">
        <f>$C$2/E17</f>
        <v/>
      </c>
      <c r="G17" s="12">
        <f>1/($H$2*EXP(-D17/$H$3))</f>
        <v/>
      </c>
    </row>
    <row r="18">
      <c r="A18" s="6" t="inlineStr">
        <is>
          <t>2008-06</t>
        </is>
      </c>
      <c r="B18" s="6" t="inlineStr">
        <is>
          <t>2008-11</t>
        </is>
      </c>
      <c r="C18" s="6" t="n">
        <v>6</v>
      </c>
      <c r="D18" s="14" t="n">
        <v>103.8684</v>
      </c>
      <c r="E18" s="8">
        <f>RANK(D18,$D$7:$D$26,0)</f>
        <v/>
      </c>
      <c r="F18" s="9">
        <f>$C$2/E18</f>
        <v/>
      </c>
      <c r="G18" s="9">
        <f>1/($H$2*EXP(-D18/$H$3))</f>
        <v/>
      </c>
    </row>
    <row r="19">
      <c r="A19" s="6" t="inlineStr">
        <is>
          <t>2009-08</t>
        </is>
      </c>
      <c r="B19" s="6" t="inlineStr">
        <is>
          <t>2009-08</t>
        </is>
      </c>
      <c r="C19" s="6" t="n">
        <v>1</v>
      </c>
      <c r="D19" s="14" t="n">
        <v>6.2783</v>
      </c>
      <c r="E19" s="8">
        <f>RANK(D19,$D$7:$D$26,0)</f>
        <v/>
      </c>
      <c r="F19" s="9">
        <f>$C$2/E19</f>
        <v/>
      </c>
      <c r="G19" s="9">
        <f>1/($H$2*EXP(-D19/$H$3))</f>
        <v/>
      </c>
    </row>
    <row r="20">
      <c r="A20" s="6" t="inlineStr">
        <is>
          <t>2010-09</t>
        </is>
      </c>
      <c r="B20" s="6" t="inlineStr">
        <is>
          <t>2010-10</t>
        </is>
      </c>
      <c r="C20" s="6" t="n">
        <v>2</v>
      </c>
      <c r="D20" s="14" t="n">
        <v>10.1335</v>
      </c>
      <c r="E20" s="8">
        <f>RANK(D20,$D$7:$D$26,0)</f>
        <v/>
      </c>
      <c r="F20" s="9">
        <f>$C$2/E20</f>
        <v/>
      </c>
      <c r="G20" s="9">
        <f>1/($H$2*EXP(-D20/$H$3))</f>
        <v/>
      </c>
    </row>
    <row r="21">
      <c r="A21" s="6" t="inlineStr">
        <is>
          <t>2011-08</t>
        </is>
      </c>
      <c r="B21" s="6" t="inlineStr">
        <is>
          <t>2011-10</t>
        </is>
      </c>
      <c r="C21" s="6" t="n">
        <v>3</v>
      </c>
      <c r="D21" s="14" t="n">
        <v>52.7312</v>
      </c>
      <c r="E21" s="8">
        <f>RANK(D21,$D$7:$D$26,0)</f>
        <v/>
      </c>
      <c r="F21" s="9">
        <f>$C$2/E21</f>
        <v/>
      </c>
      <c r="G21" s="9">
        <f>1/($H$2*EXP(-D21/$H$3))</f>
        <v/>
      </c>
    </row>
    <row r="22">
      <c r="A22" s="6" t="inlineStr">
        <is>
          <t>2012-06</t>
        </is>
      </c>
      <c r="B22" s="6" t="inlineStr">
        <is>
          <t>2012-06</t>
        </is>
      </c>
      <c r="C22" s="6" t="n">
        <v>1</v>
      </c>
      <c r="D22" s="14" t="n">
        <v>7.4054</v>
      </c>
      <c r="E22" s="8">
        <f>RANK(D22,$D$7:$D$26,0)</f>
        <v/>
      </c>
      <c r="F22" s="9">
        <f>$C$2/E22</f>
        <v/>
      </c>
      <c r="G22" s="9">
        <f>1/($H$2*EXP(-D22/$H$3))</f>
        <v/>
      </c>
    </row>
    <row r="23">
      <c r="A23" s="6" t="inlineStr">
        <is>
          <t>2012-08</t>
        </is>
      </c>
      <c r="B23" s="6" t="inlineStr">
        <is>
          <t>2012-08</t>
        </is>
      </c>
      <c r="C23" s="6" t="n">
        <v>1</v>
      </c>
      <c r="D23" s="14" t="n">
        <v>1.8562</v>
      </c>
      <c r="E23" s="8">
        <f>RANK(D23,$D$7:$D$26,0)</f>
        <v/>
      </c>
      <c r="F23" s="9">
        <f>$C$2/E23</f>
        <v/>
      </c>
      <c r="G23" s="9">
        <f>1/($H$2*EXP(-D23/$H$3))</f>
        <v/>
      </c>
    </row>
    <row r="24">
      <c r="A24" s="6" t="inlineStr">
        <is>
          <t>2012-11</t>
        </is>
      </c>
      <c r="B24" s="6" t="inlineStr">
        <is>
          <t>2012-11</t>
        </is>
      </c>
      <c r="C24" s="6" t="n">
        <v>1</v>
      </c>
      <c r="D24" s="14" t="n">
        <v>7.3142</v>
      </c>
      <c r="E24" s="8">
        <f>RANK(D24,$D$7:$D$26,0)</f>
        <v/>
      </c>
      <c r="F24" s="9">
        <f>$C$2/E24</f>
        <v/>
      </c>
      <c r="G24" s="9">
        <f>1/($H$2*EXP(-D24/$H$3))</f>
        <v/>
      </c>
    </row>
    <row r="25">
      <c r="A25" s="6" t="inlineStr">
        <is>
          <t>2014-09</t>
        </is>
      </c>
      <c r="B25" s="6" t="inlineStr">
        <is>
          <t>2014-09</t>
        </is>
      </c>
      <c r="C25" s="6" t="n">
        <v>1</v>
      </c>
      <c r="D25" s="14" t="n">
        <v>5.2196</v>
      </c>
      <c r="E25" s="8">
        <f>RANK(D25,$D$7:$D$26,0)</f>
        <v/>
      </c>
      <c r="F25" s="9">
        <f>$C$2/E25</f>
        <v/>
      </c>
      <c r="G25" s="9">
        <f>1/($H$2*EXP(-D25/$H$3))</f>
        <v/>
      </c>
    </row>
    <row r="26">
      <c r="A26" s="6" t="inlineStr">
        <is>
          <t>2015-07</t>
        </is>
      </c>
      <c r="B26" s="6" t="inlineStr">
        <is>
          <t>2015-09</t>
        </is>
      </c>
      <c r="C26" s="6" t="n">
        <v>3</v>
      </c>
      <c r="D26" s="14" t="n">
        <v>33.9489</v>
      </c>
      <c r="E26" s="8">
        <f>RANK(D26,$D$7:$D$26,0)</f>
        <v/>
      </c>
      <c r="F26" s="9">
        <f>$C$2/E26</f>
        <v/>
      </c>
      <c r="G26" s="9">
        <f>1/($H$2*EXP(-D26/$H$3))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2026-10-28T07:45:34Z</dcterms:created>
  <dcterms:modified xmlns:dcterms="http://purl.org/dc/terms/" xmlns:xsi="http://www.w3.org/2001/XMLSchema-instance" xsi:type="dcterms:W3CDTF">2026-10-28T07:45:34Z</dcterms:modified>
</cp:coreProperties>
</file>