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lotPos" sheetId="3" state="visible" r:id="rId3"/>
    <sheet xmlns:r="http://schemas.openxmlformats.org/officeDocument/2006/relationships"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CE524</author>
  </authors>
  <commentList>
    <comment ref="B2" authorId="0" shapeId="0">
      <text>
        <t>record length</t>
      </text>
    </comment>
    <comment ref="J2" authorId="0" shapeId="0">
      <text>
        <t>record length</t>
      </text>
    </comment>
    <comment ref="B5" authorId="0" shapeId="0">
      <text>
        <t>year of that value</t>
      </text>
    </comment>
    <comment ref="C5" authorId="0" shapeId="0">
      <text>
        <t>the m-th largest value</t>
      </text>
    </comment>
    <comment ref="D5" authorId="0" shapeId="0">
      <text>
        <t>Weibull plotting position</t>
      </text>
    </comment>
    <comment ref="E5" authorId="0" shapeId="0">
      <text>
        <t>empirical return period</t>
      </text>
    </comment>
    <comment ref="F5" authorId="0" shapeId="0">
      <text>
        <t>should equal m</t>
      </text>
    </comment>
    <comment ref="J5" authorId="0" shapeId="0">
      <text>
        <t>year of that value</t>
      </text>
    </comment>
    <comment ref="K5" authorId="0" shapeId="0">
      <text>
        <t>the m-th largest value</t>
      </text>
    </comment>
    <comment ref="L5" authorId="0" shapeId="0">
      <text>
        <t>Weibull plotting position</t>
      </text>
    </comment>
    <comment ref="M5" authorId="0" shapeId="0">
      <text>
        <t>empirical return period</t>
      </text>
    </comment>
    <comment ref="N5" authorId="0" shapeId="0">
      <text>
        <t>should equal m</t>
      </text>
    </comment>
    <comment ref="B6" authorId="0" shapeId="0">
      <text>
        <t>year of that value</t>
      </text>
    </comment>
    <comment ref="C6" authorId="0" shapeId="0">
      <text>
        <t>the m-th largest value</t>
      </text>
    </comment>
    <comment ref="D6" authorId="0" shapeId="0">
      <text>
        <t>Weibull plotting position</t>
      </text>
    </comment>
    <comment ref="E6" authorId="0" shapeId="0">
      <text>
        <t>empirical return period</t>
      </text>
    </comment>
    <comment ref="F6" authorId="0" shapeId="0">
      <text>
        <t>should equal m</t>
      </text>
    </comment>
    <comment ref="J6" authorId="0" shapeId="0">
      <text>
        <t>year of that value</t>
      </text>
    </comment>
    <comment ref="K6" authorId="0" shapeId="0">
      <text>
        <t>the m-th largest value</t>
      </text>
    </comment>
    <comment ref="L6" authorId="0" shapeId="0">
      <text>
        <t>Weibull plotting position</t>
      </text>
    </comment>
    <comment ref="M6" authorId="0" shapeId="0">
      <text>
        <t>empirical return period</t>
      </text>
    </comment>
    <comment ref="N6" authorId="0" shapeId="0">
      <text>
        <t>should equal m</t>
      </text>
    </comment>
    <comment ref="B7" authorId="0" shapeId="0">
      <text>
        <t>year of that value</t>
      </text>
    </comment>
    <comment ref="C7" authorId="0" shapeId="0">
      <text>
        <t>the m-th largest value</t>
      </text>
    </comment>
    <comment ref="D7" authorId="0" shapeId="0">
      <text>
        <t>Weibull plotting position</t>
      </text>
    </comment>
    <comment ref="E7" authorId="0" shapeId="0">
      <text>
        <t>empirical return period</t>
      </text>
    </comment>
    <comment ref="F7" authorId="0" shapeId="0">
      <text>
        <t>should equal m</t>
      </text>
    </comment>
    <comment ref="J7" authorId="0" shapeId="0">
      <text>
        <t>year of that value</t>
      </text>
    </comment>
    <comment ref="K7" authorId="0" shapeId="0">
      <text>
        <t>the m-th largest value</t>
      </text>
    </comment>
    <comment ref="L7" authorId="0" shapeId="0">
      <text>
        <t>Weibull plotting position</t>
      </text>
    </comment>
    <comment ref="M7" authorId="0" shapeId="0">
      <text>
        <t>empirical return period</t>
      </text>
    </comment>
    <comment ref="N7" authorId="0" shapeId="0">
      <text>
        <t>should equal m</t>
      </text>
    </comment>
    <comment ref="B8" authorId="0" shapeId="0">
      <text>
        <t>year of that value</t>
      </text>
    </comment>
    <comment ref="C8" authorId="0" shapeId="0">
      <text>
        <t>the m-th largest value</t>
      </text>
    </comment>
    <comment ref="D8" authorId="0" shapeId="0">
      <text>
        <t>Weibull plotting position</t>
      </text>
    </comment>
    <comment ref="E8" authorId="0" shapeId="0">
      <text>
        <t>empirical return period</t>
      </text>
    </comment>
    <comment ref="F8" authorId="0" shapeId="0">
      <text>
        <t>should equal m</t>
      </text>
    </comment>
    <comment ref="J8" authorId="0" shapeId="0">
      <text>
        <t>year of that value</t>
      </text>
    </comment>
    <comment ref="K8" authorId="0" shapeId="0">
      <text>
        <t>the m-th largest value</t>
      </text>
    </comment>
    <comment ref="L8" authorId="0" shapeId="0">
      <text>
        <t>Weibull plotting position</t>
      </text>
    </comment>
    <comment ref="M8" authorId="0" shapeId="0">
      <text>
        <t>empirical return period</t>
      </text>
    </comment>
    <comment ref="N8" authorId="0" shapeId="0">
      <text>
        <t>should equal m</t>
      </text>
    </comment>
    <comment ref="B9" authorId="0" shapeId="0">
      <text>
        <t>year of that value</t>
      </text>
    </comment>
    <comment ref="C9" authorId="0" shapeId="0">
      <text>
        <t>the m-th largest value</t>
      </text>
    </comment>
    <comment ref="D9" authorId="0" shapeId="0">
      <text>
        <t>Weibull plotting position</t>
      </text>
    </comment>
    <comment ref="E9" authorId="0" shapeId="0">
      <text>
        <t>empirical return period</t>
      </text>
    </comment>
    <comment ref="F9" authorId="0" shapeId="0">
      <text>
        <t>should equal m</t>
      </text>
    </comment>
    <comment ref="J9" authorId="0" shapeId="0">
      <text>
        <t>year of that value</t>
      </text>
    </comment>
    <comment ref="K9" authorId="0" shapeId="0">
      <text>
        <t>the m-th largest value</t>
      </text>
    </comment>
    <comment ref="L9" authorId="0" shapeId="0">
      <text>
        <t>Weibull plotting position</t>
      </text>
    </comment>
    <comment ref="M9" authorId="0" shapeId="0">
      <text>
        <t>empirical return period</t>
      </text>
    </comment>
    <comment ref="N9" authorId="0" shapeId="0">
      <text>
        <t>should equal m</t>
      </text>
    </comment>
    <comment ref="B10" authorId="0" shapeId="0">
      <text>
        <t>year of that value</t>
      </text>
    </comment>
    <comment ref="C10" authorId="0" shapeId="0">
      <text>
        <t>the m-th largest value</t>
      </text>
    </comment>
    <comment ref="D10" authorId="0" shapeId="0">
      <text>
        <t>Weibull plotting position</t>
      </text>
    </comment>
    <comment ref="E10" authorId="0" shapeId="0">
      <text>
        <t>empirical return period</t>
      </text>
    </comment>
    <comment ref="F10" authorId="0" shapeId="0">
      <text>
        <t>should equal m</t>
      </text>
    </comment>
    <comment ref="J10" authorId="0" shapeId="0">
      <text>
        <t>year of that value</t>
      </text>
    </comment>
    <comment ref="K10" authorId="0" shapeId="0">
      <text>
        <t>the m-th largest value</t>
      </text>
    </comment>
    <comment ref="L10" authorId="0" shapeId="0">
      <text>
        <t>Weibull plotting position</t>
      </text>
    </comment>
    <comment ref="M10" authorId="0" shapeId="0">
      <text>
        <t>empirical return period</t>
      </text>
    </comment>
    <comment ref="N10" authorId="0" shapeId="0">
      <text>
        <t>should equal m</t>
      </text>
    </comment>
    <comment ref="B11" authorId="0" shapeId="0">
      <text>
        <t>year of that value</t>
      </text>
    </comment>
    <comment ref="C11" authorId="0" shapeId="0">
      <text>
        <t>the m-th largest value</t>
      </text>
    </comment>
    <comment ref="D11" authorId="0" shapeId="0">
      <text>
        <t>Weibull plotting position</t>
      </text>
    </comment>
    <comment ref="E11" authorId="0" shapeId="0">
      <text>
        <t>empirical return period</t>
      </text>
    </comment>
    <comment ref="F11" authorId="0" shapeId="0">
      <text>
        <t>should equal m</t>
      </text>
    </comment>
    <comment ref="J11" authorId="0" shapeId="0">
      <text>
        <t>year of that value</t>
      </text>
    </comment>
    <comment ref="K11" authorId="0" shapeId="0">
      <text>
        <t>the m-th largest value</t>
      </text>
    </comment>
    <comment ref="L11" authorId="0" shapeId="0">
      <text>
        <t>Weibull plotting position</t>
      </text>
    </comment>
    <comment ref="M11" authorId="0" shapeId="0">
      <text>
        <t>empirical return period</t>
      </text>
    </comment>
    <comment ref="N11" authorId="0" shapeId="0">
      <text>
        <t>should equal m</t>
      </text>
    </comment>
    <comment ref="B12" authorId="0" shapeId="0">
      <text>
        <t>year of that value</t>
      </text>
    </comment>
    <comment ref="C12" authorId="0" shapeId="0">
      <text>
        <t>the m-th largest value</t>
      </text>
    </comment>
    <comment ref="D12" authorId="0" shapeId="0">
      <text>
        <t>Weibull plotting position</t>
      </text>
    </comment>
    <comment ref="E12" authorId="0" shapeId="0">
      <text>
        <t>empirical return period</t>
      </text>
    </comment>
    <comment ref="F12" authorId="0" shapeId="0">
      <text>
        <t>should equal m</t>
      </text>
    </comment>
    <comment ref="J12" authorId="0" shapeId="0">
      <text>
        <t>year of that value</t>
      </text>
    </comment>
    <comment ref="K12" authorId="0" shapeId="0">
      <text>
        <t>the m-th largest value</t>
      </text>
    </comment>
    <comment ref="L12" authorId="0" shapeId="0">
      <text>
        <t>Weibull plotting position</t>
      </text>
    </comment>
    <comment ref="M12" authorId="0" shapeId="0">
      <text>
        <t>empirical return period</t>
      </text>
    </comment>
    <comment ref="N12" authorId="0" shapeId="0">
      <text>
        <t>should equal m</t>
      </text>
    </comment>
    <comment ref="B13" authorId="0" shapeId="0">
      <text>
        <t>year of that value</t>
      </text>
    </comment>
    <comment ref="C13" authorId="0" shapeId="0">
      <text>
        <t>the m-th largest value</t>
      </text>
    </comment>
    <comment ref="D13" authorId="0" shapeId="0">
      <text>
        <t>Weibull plotting position</t>
      </text>
    </comment>
    <comment ref="E13" authorId="0" shapeId="0">
      <text>
        <t>empirical return period</t>
      </text>
    </comment>
    <comment ref="F13" authorId="0" shapeId="0">
      <text>
        <t>should equal m</t>
      </text>
    </comment>
    <comment ref="J13" authorId="0" shapeId="0">
      <text>
        <t>year of that value</t>
      </text>
    </comment>
    <comment ref="K13" authorId="0" shapeId="0">
      <text>
        <t>the m-th largest value</t>
      </text>
    </comment>
    <comment ref="L13" authorId="0" shapeId="0">
      <text>
        <t>Weibull plotting position</t>
      </text>
    </comment>
    <comment ref="M13" authorId="0" shapeId="0">
      <text>
        <t>empirical return period</t>
      </text>
    </comment>
    <comment ref="N13" authorId="0" shapeId="0">
      <text>
        <t>should equal m</t>
      </text>
    </comment>
    <comment ref="B14" authorId="0" shapeId="0">
      <text>
        <t>year of that value</t>
      </text>
    </comment>
    <comment ref="C14" authorId="0" shapeId="0">
      <text>
        <t>the m-th largest value</t>
      </text>
    </comment>
    <comment ref="D14" authorId="0" shapeId="0">
      <text>
        <t>Weibull plotting position</t>
      </text>
    </comment>
    <comment ref="E14" authorId="0" shapeId="0">
      <text>
        <t>empirical return period</t>
      </text>
    </comment>
    <comment ref="F14" authorId="0" shapeId="0">
      <text>
        <t>should equal m</t>
      </text>
    </comment>
    <comment ref="J14" authorId="0" shapeId="0">
      <text>
        <t>year of that value</t>
      </text>
    </comment>
    <comment ref="K14" authorId="0" shapeId="0">
      <text>
        <t>the m-th largest value</t>
      </text>
    </comment>
    <comment ref="L14" authorId="0" shapeId="0">
      <text>
        <t>Weibull plotting position</t>
      </text>
    </comment>
    <comment ref="M14" authorId="0" shapeId="0">
      <text>
        <t>empirical return period</t>
      </text>
    </comment>
    <comment ref="N14" authorId="0" shapeId="0">
      <text>
        <t>should equal m</t>
      </text>
    </comment>
    <comment ref="J15" authorId="0" shapeId="0">
      <text>
        <t>year of that value</t>
      </text>
    </comment>
    <comment ref="K15" authorId="0" shapeId="0">
      <text>
        <t>the m-th largest value</t>
      </text>
    </comment>
    <comment ref="L15" authorId="0" shapeId="0">
      <text>
        <t>Weibull plotting position</t>
      </text>
    </comment>
    <comment ref="M15" authorId="0" shapeId="0">
      <text>
        <t>empirical return period</t>
      </text>
    </comment>
    <comment ref="N15" authorId="0" shapeId="0">
      <text>
        <t>should equal m</t>
      </text>
    </comment>
    <comment ref="J16" authorId="0" shapeId="0">
      <text>
        <t>year of that value</t>
      </text>
    </comment>
    <comment ref="K16" authorId="0" shapeId="0">
      <text>
        <t>the m-th largest value</t>
      </text>
    </comment>
    <comment ref="L16" authorId="0" shapeId="0">
      <text>
        <t>Weibull plotting position</t>
      </text>
    </comment>
    <comment ref="M16" authorId="0" shapeId="0">
      <text>
        <t>empirical return period</t>
      </text>
    </comment>
    <comment ref="N16" authorId="0" shapeId="0">
      <text>
        <t>should equal m</t>
      </text>
    </comment>
    <comment ref="J17" authorId="0" shapeId="0">
      <text>
        <t>year of that value</t>
      </text>
    </comment>
    <comment ref="K17" authorId="0" shapeId="0">
      <text>
        <t>the m-th largest value</t>
      </text>
    </comment>
    <comment ref="L17" authorId="0" shapeId="0">
      <text>
        <t>Weibull plotting position</t>
      </text>
    </comment>
    <comment ref="M17" authorId="0" shapeId="0">
      <text>
        <t>empirical return period</t>
      </text>
    </comment>
    <comment ref="N17" authorId="0" shapeId="0">
      <text>
        <t>should equal m</t>
      </text>
    </comment>
    <comment ref="J18" authorId="0" shapeId="0">
      <text>
        <t>year of that value</t>
      </text>
    </comment>
    <comment ref="K18" authorId="0" shapeId="0">
      <text>
        <t>the m-th largest value</t>
      </text>
    </comment>
    <comment ref="L18" authorId="0" shapeId="0">
      <text>
        <t>Weibull plotting position</t>
      </text>
    </comment>
    <comment ref="M18" authorId="0" shapeId="0">
      <text>
        <t>empirical return period</t>
      </text>
    </comment>
    <comment ref="N18" authorId="0" shapeId="0">
      <text>
        <t>should equal m</t>
      </text>
    </comment>
    <comment ref="J19" authorId="0" shapeId="0">
      <text>
        <t>year of that value</t>
      </text>
    </comment>
    <comment ref="K19" authorId="0" shapeId="0">
      <text>
        <t>the m-th largest value</t>
      </text>
    </comment>
    <comment ref="L19" authorId="0" shapeId="0">
      <text>
        <t>Weibull plotting position</t>
      </text>
    </comment>
    <comment ref="M19" authorId="0" shapeId="0">
      <text>
        <t>empirical return period</t>
      </text>
    </comment>
    <comment ref="N19" authorId="0" shapeId="0">
      <text>
        <t>should equal m</t>
      </text>
    </comment>
    <comment ref="J20" authorId="0" shapeId="0">
      <text>
        <t>year of that value</t>
      </text>
    </comment>
    <comment ref="K20" authorId="0" shapeId="0">
      <text>
        <t>the m-th largest value</t>
      </text>
    </comment>
    <comment ref="L20" authorId="0" shapeId="0">
      <text>
        <t>Weibull plotting position</t>
      </text>
    </comment>
    <comment ref="M20" authorId="0" shapeId="0">
      <text>
        <t>empirical return period</t>
      </text>
    </comment>
    <comment ref="N20" authorId="0" shapeId="0">
      <text>
        <t>should equal m</t>
      </text>
    </comment>
    <comment ref="J21" authorId="0" shapeId="0">
      <text>
        <t>year of that value</t>
      </text>
    </comment>
    <comment ref="K21" authorId="0" shapeId="0">
      <text>
        <t>the m-th largest value</t>
      </text>
    </comment>
    <comment ref="L21" authorId="0" shapeId="0">
      <text>
        <t>Weibull plotting position</t>
      </text>
    </comment>
    <comment ref="M21" authorId="0" shapeId="0">
      <text>
        <t>empirical return period</t>
      </text>
    </comment>
    <comment ref="N21" authorId="0" shapeId="0">
      <text>
        <t>should equal m</t>
      </text>
    </comment>
    <comment ref="J22" authorId="0" shapeId="0">
      <text>
        <t>year of that value</t>
      </text>
    </comment>
    <comment ref="K22" authorId="0" shapeId="0">
      <text>
        <t>the m-th largest value</t>
      </text>
    </comment>
    <comment ref="L22" authorId="0" shapeId="0">
      <text>
        <t>Weibull plotting position</t>
      </text>
    </comment>
    <comment ref="M22" authorId="0" shapeId="0">
      <text>
        <t>empirical return period</t>
      </text>
    </comment>
    <comment ref="N22" authorId="0" shapeId="0">
      <text>
        <t>should equal m</t>
      </text>
    </comment>
    <comment ref="J23" authorId="0" shapeId="0">
      <text>
        <t>year of that value</t>
      </text>
    </comment>
    <comment ref="K23" authorId="0" shapeId="0">
      <text>
        <t>the m-th largest value</t>
      </text>
    </comment>
    <comment ref="L23" authorId="0" shapeId="0">
      <text>
        <t>Weibull plotting position</t>
      </text>
    </comment>
    <comment ref="M23" authorId="0" shapeId="0">
      <text>
        <t>empirical return period</t>
      </text>
    </comment>
    <comment ref="N23" authorId="0" shapeId="0">
      <text>
        <t>should equal m</t>
      </text>
    </comment>
    <comment ref="J24" authorId="0" shapeId="0">
      <text>
        <t>year of that value</t>
      </text>
    </comment>
    <comment ref="K24" authorId="0" shapeId="0">
      <text>
        <t>the m-th largest value</t>
      </text>
    </comment>
    <comment ref="L24" authorId="0" shapeId="0">
      <text>
        <t>Weibull plotting position</t>
      </text>
    </comment>
    <comment ref="M24" authorId="0" shapeId="0">
      <text>
        <t>empirical return period</t>
      </text>
    </comment>
    <comment ref="N24" authorId="0" shapeId="0">
      <text>
        <t>should equal m</t>
      </text>
    </comment>
    <comment ref="J25" authorId="0" shapeId="0">
      <text>
        <t>year of that value</t>
      </text>
    </comment>
    <comment ref="K25" authorId="0" shapeId="0">
      <text>
        <t>the m-th largest value</t>
      </text>
    </comment>
    <comment ref="L25" authorId="0" shapeId="0">
      <text>
        <t>Weibull plotting position</t>
      </text>
    </comment>
    <comment ref="M25" authorId="0" shapeId="0">
      <text>
        <t>empirical return period</t>
      </text>
    </comment>
    <comment ref="N25" authorId="0" shapeId="0">
      <text>
        <t>should equal m</t>
      </text>
    </comment>
    <comment ref="J26" authorId="0" shapeId="0">
      <text>
        <t>year of that value</t>
      </text>
    </comment>
    <comment ref="K26" authorId="0" shapeId="0">
      <text>
        <t>the m-th largest value</t>
      </text>
    </comment>
    <comment ref="L26" authorId="0" shapeId="0">
      <text>
        <t>Weibull plotting position</t>
      </text>
    </comment>
    <comment ref="M26" authorId="0" shapeId="0">
      <text>
        <t>empirical return period</t>
      </text>
    </comment>
    <comment ref="N26" authorId="0" shapeId="0">
      <text>
        <t>should equal m</t>
      </text>
    </comment>
    <comment ref="J27" authorId="0" shapeId="0">
      <text>
        <t>year of that value</t>
      </text>
    </comment>
    <comment ref="K27" authorId="0" shapeId="0">
      <text>
        <t>the m-th largest value</t>
      </text>
    </comment>
    <comment ref="L27" authorId="0" shapeId="0">
      <text>
        <t>Weibull plotting position</t>
      </text>
    </comment>
    <comment ref="M27" authorId="0" shapeId="0">
      <text>
        <t>empirical return period</t>
      </text>
    </comment>
    <comment ref="N27" authorId="0" shapeId="0">
      <text>
        <t>should equal m</t>
      </text>
    </comment>
    <comment ref="J28" authorId="0" shapeId="0">
      <text>
        <t>year of that value</t>
      </text>
    </comment>
    <comment ref="K28" authorId="0" shapeId="0">
      <text>
        <t>the m-th largest value</t>
      </text>
    </comment>
    <comment ref="L28" authorId="0" shapeId="0">
      <text>
        <t>Weibull plotting position</t>
      </text>
    </comment>
    <comment ref="M28" authorId="0" shapeId="0">
      <text>
        <t>empirical return period</t>
      </text>
    </comment>
    <comment ref="N28" authorId="0" shapeId="0">
      <text>
        <t>should equal m</t>
      </text>
    </comment>
    <comment ref="J29" authorId="0" shapeId="0">
      <text>
        <t>year of that value</t>
      </text>
    </comment>
    <comment ref="K29" authorId="0" shapeId="0">
      <text>
        <t>the m-th largest value</t>
      </text>
    </comment>
    <comment ref="L29" authorId="0" shapeId="0">
      <text>
        <t>Weibull plotting position</t>
      </text>
    </comment>
    <comment ref="M29" authorId="0" shapeId="0">
      <text>
        <t>empirical return period</t>
      </text>
    </comment>
    <comment ref="N29" authorId="0" shapeId="0">
      <text>
        <t>should equal m</t>
      </text>
    </comment>
  </commentList>
</comments>
</file>

<file path=xl/comments/comment2.xml><?xml version="1.0" encoding="utf-8"?>
<comments xmlns="http://schemas.openxmlformats.org/spreadsheetml/2006/main">
  <authors>
    <author>CE524</author>
  </authors>
  <commentList>
    <comment ref="B2" authorId="0" shapeId="0">
      <text>
        <t>T of the largest hand-example flood, from PlotPos</t>
      </text>
    </comment>
    <comment ref="D2" authorId="0" shapeId="0">
      <text>
        <t>Chow Eq. for risk, N = design life</t>
      </text>
    </comment>
    <comment ref="D3" authorId="0" shapeId="0">
      <text>
        <t>Chow Eq. for risk, N = design life</t>
      </text>
    </comment>
    <comment ref="D6" authorId="0" shapeId="0">
      <text>
        <t>return period needed for the target risk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CE524 Applied Hydroclimatology, Lecture 24 (Floods I): worked examples</t>
        </is>
      </c>
    </row>
    <row r="2">
      <c r="A2" t="inlineStr">
        <is>
          <t>Follows Chow, Maidment &amp; Mays (1988), Applied Hydrology, Chapter 12. Hand-example numbers are made up for this course.</t>
        </is>
      </c>
    </row>
    <row r="3">
      <c r="A3" t="inlineStr">
        <is>
          <t>Blue = input you can change. Black = live formula. Hover over a formula cell for a note.</t>
        </is>
      </c>
    </row>
    <row r="4">
      <c r="A4" t="inlineStr"/>
    </row>
    <row r="5">
      <c r="A5" s="2" t="inlineStr">
        <is>
          <t>Sheets</t>
        </is>
      </c>
    </row>
    <row r="6">
      <c r="A6" t="inlineStr">
        <is>
          <t>Data    : the 10-year hand-example AMS x (m3/s) and the 25-year Chattooga AMS of daily mean discharge (m3/s, 1991-2015).</t>
        </is>
      </c>
    </row>
    <row r="7">
      <c r="A7" t="inlineStr">
        <is>
          <t>PlotPos : rank m (largest = 1), Weibull plotting position p = m/(n+1) and return period T = 1/p, for both series (Section 5 and 6).</t>
        </is>
      </c>
    </row>
    <row r="8">
      <c r="A8" t="inlineStr">
        <is>
          <t>Risk    : R = 1 - (1 - 1/T)^N for the hand example (b), (c), and the T that gives a target risk, T = 1/[1 - (1 - R)^(1/N)] (d).</t>
        </is>
      </c>
    </row>
    <row r="9">
      <c r="A9" t="inlineStr"/>
    </row>
    <row r="10">
      <c r="A10" t="inlineStr">
        <is>
          <t>Symbols: x annual maximum, n record length, m rank, p exceedance probability, T return period, N design life, R risk.</t>
        </is>
      </c>
    </row>
    <row r="11">
      <c r="A11" t="inlineStr">
        <is>
          <t>Chattooga discharge: Q = q_mm * 536 / 86.4 (USGS 02177000). The notebook lecture-24 reproduces every number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" customWidth="1" min="3" max="3"/>
    <col width="16" customWidth="1" min="4" max="4"/>
    <col width="10" customWidth="1" min="5" max="5"/>
  </cols>
  <sheetData>
    <row r="1">
      <c r="A1" s="3" t="inlineStr">
        <is>
          <t>year (hand)</t>
        </is>
      </c>
      <c r="B1" s="3" t="inlineStr">
        <is>
          <t>x (m3/s)</t>
        </is>
      </c>
      <c r="D1" s="3" t="inlineStr">
        <is>
          <t>year (Chattooga)</t>
        </is>
      </c>
      <c r="E1" s="3" t="inlineStr">
        <is>
          <t>x (m3/s)</t>
        </is>
      </c>
    </row>
    <row r="2">
      <c r="A2" s="4" t="n">
        <v>2011</v>
      </c>
      <c r="B2" s="4" t="n">
        <v>420</v>
      </c>
      <c r="D2" s="4" t="n">
        <v>1991</v>
      </c>
      <c r="E2" s="4" t="n">
        <v>75.58799999999999</v>
      </c>
    </row>
    <row r="3">
      <c r="A3" s="4" t="n">
        <v>2012</v>
      </c>
      <c r="B3" s="4" t="n">
        <v>285</v>
      </c>
      <c r="D3" s="4" t="n">
        <v>1992</v>
      </c>
      <c r="E3" s="4" t="n">
        <v>129.377</v>
      </c>
    </row>
    <row r="4">
      <c r="A4" s="4" t="n">
        <v>2013</v>
      </c>
      <c r="B4" s="4" t="n">
        <v>540</v>
      </c>
      <c r="D4" s="4" t="n">
        <v>1993</v>
      </c>
      <c r="E4" s="4" t="n">
        <v>77.56999999999999</v>
      </c>
    </row>
    <row r="5">
      <c r="A5" s="4" t="n">
        <v>2014</v>
      </c>
      <c r="B5" s="4" t="n">
        <v>350</v>
      </c>
      <c r="D5" s="4" t="n">
        <v>1994</v>
      </c>
      <c r="E5" s="4" t="n">
        <v>272.06</v>
      </c>
    </row>
    <row r="6">
      <c r="A6" s="4" t="n">
        <v>2015</v>
      </c>
      <c r="B6" s="4" t="n">
        <v>710</v>
      </c>
      <c r="D6" s="4" t="n">
        <v>1995</v>
      </c>
      <c r="E6" s="4" t="n">
        <v>167.03</v>
      </c>
    </row>
    <row r="7">
      <c r="A7" s="4" t="n">
        <v>2016</v>
      </c>
      <c r="B7" s="4" t="n">
        <v>300</v>
      </c>
      <c r="D7" s="4" t="n">
        <v>1996</v>
      </c>
      <c r="E7" s="4" t="n">
        <v>178.637</v>
      </c>
    </row>
    <row r="8">
      <c r="A8" s="4" t="n">
        <v>2017</v>
      </c>
      <c r="B8" s="4" t="n">
        <v>465</v>
      </c>
      <c r="D8" s="4" t="n">
        <v>1997</v>
      </c>
      <c r="E8" s="4" t="n">
        <v>111.825</v>
      </c>
    </row>
    <row r="9">
      <c r="A9" s="4" t="n">
        <v>2018</v>
      </c>
      <c r="B9" s="4" t="n">
        <v>385</v>
      </c>
      <c r="D9" s="4" t="n">
        <v>1998</v>
      </c>
      <c r="E9" s="4" t="n">
        <v>195.906</v>
      </c>
    </row>
    <row r="10">
      <c r="A10" s="4" t="n">
        <v>2019</v>
      </c>
      <c r="B10" s="4" t="n">
        <v>615</v>
      </c>
      <c r="D10" s="4" t="n">
        <v>1999</v>
      </c>
      <c r="E10" s="4" t="n">
        <v>71.05800000000001</v>
      </c>
    </row>
    <row r="11">
      <c r="A11" s="4" t="n">
        <v>2020</v>
      </c>
      <c r="B11" s="4" t="n">
        <v>330</v>
      </c>
      <c r="D11" s="4" t="n">
        <v>2000</v>
      </c>
      <c r="E11" s="4" t="n">
        <v>57.469</v>
      </c>
    </row>
    <row r="12">
      <c r="D12" s="4" t="n">
        <v>2001</v>
      </c>
      <c r="E12" s="4" t="n">
        <v>35.954</v>
      </c>
    </row>
    <row r="13">
      <c r="D13" s="4" t="n">
        <v>2002</v>
      </c>
      <c r="E13" s="4" t="n">
        <v>96.254</v>
      </c>
    </row>
    <row r="14">
      <c r="D14" s="4" t="n">
        <v>2003</v>
      </c>
      <c r="E14" s="4" t="n">
        <v>126.263</v>
      </c>
    </row>
    <row r="15">
      <c r="D15" s="4" t="n">
        <v>2004</v>
      </c>
      <c r="E15" s="4" t="n">
        <v>523.737</v>
      </c>
    </row>
    <row r="16">
      <c r="D16" s="4" t="n">
        <v>2005</v>
      </c>
      <c r="E16" s="4" t="n">
        <v>163.349</v>
      </c>
    </row>
    <row r="17">
      <c r="D17" s="4" t="n">
        <v>2006</v>
      </c>
      <c r="E17" s="4" t="n">
        <v>63.698</v>
      </c>
    </row>
    <row r="18">
      <c r="D18" s="4" t="n">
        <v>2007</v>
      </c>
      <c r="E18" s="4" t="n">
        <v>95.405</v>
      </c>
    </row>
    <row r="19">
      <c r="D19" s="4" t="n">
        <v>2008</v>
      </c>
      <c r="E19" s="4" t="n">
        <v>62.566</v>
      </c>
    </row>
    <row r="20">
      <c r="D20" s="4" t="n">
        <v>2009</v>
      </c>
      <c r="E20" s="4" t="n">
        <v>200.153</v>
      </c>
    </row>
    <row r="21">
      <c r="D21" s="4" t="n">
        <v>2010</v>
      </c>
      <c r="E21" s="4" t="n">
        <v>105.031</v>
      </c>
    </row>
    <row r="22">
      <c r="D22" s="4" t="n">
        <v>2011</v>
      </c>
      <c r="E22" s="4" t="n">
        <v>125.131</v>
      </c>
    </row>
    <row r="23">
      <c r="D23" s="4" t="n">
        <v>2012</v>
      </c>
      <c r="E23" s="4" t="n">
        <v>74.738</v>
      </c>
    </row>
    <row r="24">
      <c r="D24" s="4" t="n">
        <v>2013</v>
      </c>
      <c r="E24" s="4" t="n">
        <v>124.565</v>
      </c>
    </row>
    <row r="25">
      <c r="D25" s="4" t="n">
        <v>2014</v>
      </c>
      <c r="E25" s="4" t="n">
        <v>68.511</v>
      </c>
    </row>
    <row r="26">
      <c r="D26" s="4" t="n">
        <v>2015</v>
      </c>
      <c r="E26" s="4" t="n">
        <v>208.928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15" customWidth="1" min="5" max="5"/>
    <col width="11" customWidth="1" min="6" max="6"/>
    <col width="3" customWidth="1" min="7" max="7"/>
    <col width="3" customWidth="1" min="8" max="8"/>
    <col width="5" customWidth="1" min="9" max="9"/>
    <col width="7" customWidth="1" min="10" max="10"/>
    <col width="10" customWidth="1" min="11" max="11"/>
    <col width="12" customWidth="1" min="12" max="12"/>
    <col width="15" customWidth="1" min="13" max="13"/>
    <col width="11" customWidth="1" min="14" max="14"/>
  </cols>
  <sheetData>
    <row r="1">
      <c r="A1" s="2" t="inlineStr">
        <is>
          <t>Hand example (Lecture 24, Section 5)</t>
        </is>
      </c>
      <c r="I1" s="2" t="inlineStr">
        <is>
          <t>Chattooga AMS (Section 6)</t>
        </is>
      </c>
    </row>
    <row r="2">
      <c r="A2" t="inlineStr">
        <is>
          <t>n</t>
        </is>
      </c>
      <c r="B2" s="5">
        <f>COUNT(Data!$B$2:$B$11)</f>
        <v/>
      </c>
      <c r="I2" t="inlineStr">
        <is>
          <t>n</t>
        </is>
      </c>
      <c r="J2" s="5">
        <f>COUNT(Data!$E$2:$E$26)</f>
        <v/>
      </c>
    </row>
    <row r="4">
      <c r="A4" s="3" t="inlineStr">
        <is>
          <t>m</t>
        </is>
      </c>
      <c r="B4" s="3" t="inlineStr">
        <is>
          <t>year</t>
        </is>
      </c>
      <c r="C4" s="3" t="inlineStr">
        <is>
          <t>x (m3/s)</t>
        </is>
      </c>
      <c r="D4" s="3" t="inlineStr">
        <is>
          <t>p = m/(n+1)</t>
        </is>
      </c>
      <c r="E4" s="3" t="inlineStr">
        <is>
          <t>T = 1/p (years)</t>
        </is>
      </c>
      <c r="F4" s="3" t="inlineStr">
        <is>
          <t>RANK check</t>
        </is>
      </c>
      <c r="I4" s="3" t="inlineStr">
        <is>
          <t>m</t>
        </is>
      </c>
      <c r="J4" s="3" t="inlineStr">
        <is>
          <t>year</t>
        </is>
      </c>
      <c r="K4" s="3" t="inlineStr">
        <is>
          <t>x (m3/s)</t>
        </is>
      </c>
      <c r="L4" s="3" t="inlineStr">
        <is>
          <t>p = m/(n+1)</t>
        </is>
      </c>
      <c r="M4" s="3" t="inlineStr">
        <is>
          <t>T = 1/p (years)</t>
        </is>
      </c>
      <c r="N4" s="3" t="inlineStr">
        <is>
          <t>RANK check</t>
        </is>
      </c>
    </row>
    <row r="5">
      <c r="A5" t="n">
        <v>1</v>
      </c>
      <c r="B5" s="5">
        <f>INDEX(Data!$A$2:$A$11,MATCH(C5,Data!$B$2:$B$11,0))</f>
        <v/>
      </c>
      <c r="C5" s="5">
        <f>LARGE(Data!$B$2:$B$11,A5)</f>
        <v/>
      </c>
      <c r="D5" s="5">
        <f>A5/($B$2+1)</f>
        <v/>
      </c>
      <c r="E5" s="5">
        <f>1/D5</f>
        <v/>
      </c>
      <c r="F5" s="5">
        <f>RANK(C5,Data!$B$2:$B$11,0)</f>
        <v/>
      </c>
      <c r="I5" t="n">
        <v>1</v>
      </c>
      <c r="J5" s="5">
        <f>INDEX(Data!$D$2:$D$26,MATCH(K5,Data!$E$2:$E$26,0))</f>
        <v/>
      </c>
      <c r="K5" s="5">
        <f>LARGE(Data!$E$2:$E$26,I5)</f>
        <v/>
      </c>
      <c r="L5" s="5">
        <f>I5/($J$2+1)</f>
        <v/>
      </c>
      <c r="M5" s="5">
        <f>1/L5</f>
        <v/>
      </c>
      <c r="N5" s="5">
        <f>RANK(K5,Data!$E$2:$E$26,0)</f>
        <v/>
      </c>
    </row>
    <row r="6">
      <c r="A6" t="n">
        <v>2</v>
      </c>
      <c r="B6" s="5">
        <f>INDEX(Data!$A$2:$A$11,MATCH(C6,Data!$B$2:$B$11,0))</f>
        <v/>
      </c>
      <c r="C6" s="5">
        <f>LARGE(Data!$B$2:$B$11,A6)</f>
        <v/>
      </c>
      <c r="D6" s="5">
        <f>A6/($B$2+1)</f>
        <v/>
      </c>
      <c r="E6" s="5">
        <f>1/D6</f>
        <v/>
      </c>
      <c r="F6" s="5">
        <f>RANK(C6,Data!$B$2:$B$11,0)</f>
        <v/>
      </c>
      <c r="I6" t="n">
        <v>2</v>
      </c>
      <c r="J6" s="5">
        <f>INDEX(Data!$D$2:$D$26,MATCH(K6,Data!$E$2:$E$26,0))</f>
        <v/>
      </c>
      <c r="K6" s="5">
        <f>LARGE(Data!$E$2:$E$26,I6)</f>
        <v/>
      </c>
      <c r="L6" s="5">
        <f>I6/($J$2+1)</f>
        <v/>
      </c>
      <c r="M6" s="5">
        <f>1/L6</f>
        <v/>
      </c>
      <c r="N6" s="5">
        <f>RANK(K6,Data!$E$2:$E$26,0)</f>
        <v/>
      </c>
    </row>
    <row r="7">
      <c r="A7" t="n">
        <v>3</v>
      </c>
      <c r="B7" s="5">
        <f>INDEX(Data!$A$2:$A$11,MATCH(C7,Data!$B$2:$B$11,0))</f>
        <v/>
      </c>
      <c r="C7" s="5">
        <f>LARGE(Data!$B$2:$B$11,A7)</f>
        <v/>
      </c>
      <c r="D7" s="5">
        <f>A7/($B$2+1)</f>
        <v/>
      </c>
      <c r="E7" s="5">
        <f>1/D7</f>
        <v/>
      </c>
      <c r="F7" s="5">
        <f>RANK(C7,Data!$B$2:$B$11,0)</f>
        <v/>
      </c>
      <c r="I7" t="n">
        <v>3</v>
      </c>
      <c r="J7" s="5">
        <f>INDEX(Data!$D$2:$D$26,MATCH(K7,Data!$E$2:$E$26,0))</f>
        <v/>
      </c>
      <c r="K7" s="5">
        <f>LARGE(Data!$E$2:$E$26,I7)</f>
        <v/>
      </c>
      <c r="L7" s="5">
        <f>I7/($J$2+1)</f>
        <v/>
      </c>
      <c r="M7" s="5">
        <f>1/L7</f>
        <v/>
      </c>
      <c r="N7" s="5">
        <f>RANK(K7,Data!$E$2:$E$26,0)</f>
        <v/>
      </c>
    </row>
    <row r="8">
      <c r="A8" t="n">
        <v>4</v>
      </c>
      <c r="B8" s="5">
        <f>INDEX(Data!$A$2:$A$11,MATCH(C8,Data!$B$2:$B$11,0))</f>
        <v/>
      </c>
      <c r="C8" s="5">
        <f>LARGE(Data!$B$2:$B$11,A8)</f>
        <v/>
      </c>
      <c r="D8" s="5">
        <f>A8/($B$2+1)</f>
        <v/>
      </c>
      <c r="E8" s="5">
        <f>1/D8</f>
        <v/>
      </c>
      <c r="F8" s="5">
        <f>RANK(C8,Data!$B$2:$B$11,0)</f>
        <v/>
      </c>
      <c r="I8" t="n">
        <v>4</v>
      </c>
      <c r="J8" s="5">
        <f>INDEX(Data!$D$2:$D$26,MATCH(K8,Data!$E$2:$E$26,0))</f>
        <v/>
      </c>
      <c r="K8" s="5">
        <f>LARGE(Data!$E$2:$E$26,I8)</f>
        <v/>
      </c>
      <c r="L8" s="5">
        <f>I8/($J$2+1)</f>
        <v/>
      </c>
      <c r="M8" s="5">
        <f>1/L8</f>
        <v/>
      </c>
      <c r="N8" s="5">
        <f>RANK(K8,Data!$E$2:$E$26,0)</f>
        <v/>
      </c>
    </row>
    <row r="9">
      <c r="A9" t="n">
        <v>5</v>
      </c>
      <c r="B9" s="5">
        <f>INDEX(Data!$A$2:$A$11,MATCH(C9,Data!$B$2:$B$11,0))</f>
        <v/>
      </c>
      <c r="C9" s="5">
        <f>LARGE(Data!$B$2:$B$11,A9)</f>
        <v/>
      </c>
      <c r="D9" s="5">
        <f>A9/($B$2+1)</f>
        <v/>
      </c>
      <c r="E9" s="5">
        <f>1/D9</f>
        <v/>
      </c>
      <c r="F9" s="5">
        <f>RANK(C9,Data!$B$2:$B$11,0)</f>
        <v/>
      </c>
      <c r="I9" t="n">
        <v>5</v>
      </c>
      <c r="J9" s="5">
        <f>INDEX(Data!$D$2:$D$26,MATCH(K9,Data!$E$2:$E$26,0))</f>
        <v/>
      </c>
      <c r="K9" s="5">
        <f>LARGE(Data!$E$2:$E$26,I9)</f>
        <v/>
      </c>
      <c r="L9" s="5">
        <f>I9/($J$2+1)</f>
        <v/>
      </c>
      <c r="M9" s="5">
        <f>1/L9</f>
        <v/>
      </c>
      <c r="N9" s="5">
        <f>RANK(K9,Data!$E$2:$E$26,0)</f>
        <v/>
      </c>
    </row>
    <row r="10">
      <c r="A10" t="n">
        <v>6</v>
      </c>
      <c r="B10" s="5">
        <f>INDEX(Data!$A$2:$A$11,MATCH(C10,Data!$B$2:$B$11,0))</f>
        <v/>
      </c>
      <c r="C10" s="5">
        <f>LARGE(Data!$B$2:$B$11,A10)</f>
        <v/>
      </c>
      <c r="D10" s="5">
        <f>A10/($B$2+1)</f>
        <v/>
      </c>
      <c r="E10" s="5">
        <f>1/D10</f>
        <v/>
      </c>
      <c r="F10" s="5">
        <f>RANK(C10,Data!$B$2:$B$11,0)</f>
        <v/>
      </c>
      <c r="I10" t="n">
        <v>6</v>
      </c>
      <c r="J10" s="5">
        <f>INDEX(Data!$D$2:$D$26,MATCH(K10,Data!$E$2:$E$26,0))</f>
        <v/>
      </c>
      <c r="K10" s="5">
        <f>LARGE(Data!$E$2:$E$26,I10)</f>
        <v/>
      </c>
      <c r="L10" s="5">
        <f>I10/($J$2+1)</f>
        <v/>
      </c>
      <c r="M10" s="5">
        <f>1/L10</f>
        <v/>
      </c>
      <c r="N10" s="5">
        <f>RANK(K10,Data!$E$2:$E$26,0)</f>
        <v/>
      </c>
    </row>
    <row r="11">
      <c r="A11" t="n">
        <v>7</v>
      </c>
      <c r="B11" s="5">
        <f>INDEX(Data!$A$2:$A$11,MATCH(C11,Data!$B$2:$B$11,0))</f>
        <v/>
      </c>
      <c r="C11" s="5">
        <f>LARGE(Data!$B$2:$B$11,A11)</f>
        <v/>
      </c>
      <c r="D11" s="5">
        <f>A11/($B$2+1)</f>
        <v/>
      </c>
      <c r="E11" s="5">
        <f>1/D11</f>
        <v/>
      </c>
      <c r="F11" s="5">
        <f>RANK(C11,Data!$B$2:$B$11,0)</f>
        <v/>
      </c>
      <c r="I11" t="n">
        <v>7</v>
      </c>
      <c r="J11" s="5">
        <f>INDEX(Data!$D$2:$D$26,MATCH(K11,Data!$E$2:$E$26,0))</f>
        <v/>
      </c>
      <c r="K11" s="5">
        <f>LARGE(Data!$E$2:$E$26,I11)</f>
        <v/>
      </c>
      <c r="L11" s="5">
        <f>I11/($J$2+1)</f>
        <v/>
      </c>
      <c r="M11" s="5">
        <f>1/L11</f>
        <v/>
      </c>
      <c r="N11" s="5">
        <f>RANK(K11,Data!$E$2:$E$26,0)</f>
        <v/>
      </c>
    </row>
    <row r="12">
      <c r="A12" t="n">
        <v>8</v>
      </c>
      <c r="B12" s="5">
        <f>INDEX(Data!$A$2:$A$11,MATCH(C12,Data!$B$2:$B$11,0))</f>
        <v/>
      </c>
      <c r="C12" s="5">
        <f>LARGE(Data!$B$2:$B$11,A12)</f>
        <v/>
      </c>
      <c r="D12" s="5">
        <f>A12/($B$2+1)</f>
        <v/>
      </c>
      <c r="E12" s="5">
        <f>1/D12</f>
        <v/>
      </c>
      <c r="F12" s="5">
        <f>RANK(C12,Data!$B$2:$B$11,0)</f>
        <v/>
      </c>
      <c r="I12" t="n">
        <v>8</v>
      </c>
      <c r="J12" s="5">
        <f>INDEX(Data!$D$2:$D$26,MATCH(K12,Data!$E$2:$E$26,0))</f>
        <v/>
      </c>
      <c r="K12" s="5">
        <f>LARGE(Data!$E$2:$E$26,I12)</f>
        <v/>
      </c>
      <c r="L12" s="5">
        <f>I12/($J$2+1)</f>
        <v/>
      </c>
      <c r="M12" s="5">
        <f>1/L12</f>
        <v/>
      </c>
      <c r="N12" s="5">
        <f>RANK(K12,Data!$E$2:$E$26,0)</f>
        <v/>
      </c>
    </row>
    <row r="13">
      <c r="A13" t="n">
        <v>9</v>
      </c>
      <c r="B13" s="5">
        <f>INDEX(Data!$A$2:$A$11,MATCH(C13,Data!$B$2:$B$11,0))</f>
        <v/>
      </c>
      <c r="C13" s="5">
        <f>LARGE(Data!$B$2:$B$11,A13)</f>
        <v/>
      </c>
      <c r="D13" s="5">
        <f>A13/($B$2+1)</f>
        <v/>
      </c>
      <c r="E13" s="5">
        <f>1/D13</f>
        <v/>
      </c>
      <c r="F13" s="5">
        <f>RANK(C13,Data!$B$2:$B$11,0)</f>
        <v/>
      </c>
      <c r="I13" t="n">
        <v>9</v>
      </c>
      <c r="J13" s="5">
        <f>INDEX(Data!$D$2:$D$26,MATCH(K13,Data!$E$2:$E$26,0))</f>
        <v/>
      </c>
      <c r="K13" s="5">
        <f>LARGE(Data!$E$2:$E$26,I13)</f>
        <v/>
      </c>
      <c r="L13" s="5">
        <f>I13/($J$2+1)</f>
        <v/>
      </c>
      <c r="M13" s="5">
        <f>1/L13</f>
        <v/>
      </c>
      <c r="N13" s="5">
        <f>RANK(K13,Data!$E$2:$E$26,0)</f>
        <v/>
      </c>
    </row>
    <row r="14">
      <c r="A14" t="n">
        <v>10</v>
      </c>
      <c r="B14" s="5">
        <f>INDEX(Data!$A$2:$A$11,MATCH(C14,Data!$B$2:$B$11,0))</f>
        <v/>
      </c>
      <c r="C14" s="5">
        <f>LARGE(Data!$B$2:$B$11,A14)</f>
        <v/>
      </c>
      <c r="D14" s="5">
        <f>A14/($B$2+1)</f>
        <v/>
      </c>
      <c r="E14" s="5">
        <f>1/D14</f>
        <v/>
      </c>
      <c r="F14" s="5">
        <f>RANK(C14,Data!$B$2:$B$11,0)</f>
        <v/>
      </c>
      <c r="I14" t="n">
        <v>10</v>
      </c>
      <c r="J14" s="5">
        <f>INDEX(Data!$D$2:$D$26,MATCH(K14,Data!$E$2:$E$26,0))</f>
        <v/>
      </c>
      <c r="K14" s="5">
        <f>LARGE(Data!$E$2:$E$26,I14)</f>
        <v/>
      </c>
      <c r="L14" s="5">
        <f>I14/($J$2+1)</f>
        <v/>
      </c>
      <c r="M14" s="5">
        <f>1/L14</f>
        <v/>
      </c>
      <c r="N14" s="5">
        <f>RANK(K14,Data!$E$2:$E$26,0)</f>
        <v/>
      </c>
    </row>
    <row r="15">
      <c r="I15" t="n">
        <v>11</v>
      </c>
      <c r="J15" s="5">
        <f>INDEX(Data!$D$2:$D$26,MATCH(K15,Data!$E$2:$E$26,0))</f>
        <v/>
      </c>
      <c r="K15" s="5">
        <f>LARGE(Data!$E$2:$E$26,I15)</f>
        <v/>
      </c>
      <c r="L15" s="5">
        <f>I15/($J$2+1)</f>
        <v/>
      </c>
      <c r="M15" s="5">
        <f>1/L15</f>
        <v/>
      </c>
      <c r="N15" s="5">
        <f>RANK(K15,Data!$E$2:$E$26,0)</f>
        <v/>
      </c>
    </row>
    <row r="16">
      <c r="I16" t="n">
        <v>12</v>
      </c>
      <c r="J16" s="5">
        <f>INDEX(Data!$D$2:$D$26,MATCH(K16,Data!$E$2:$E$26,0))</f>
        <v/>
      </c>
      <c r="K16" s="5">
        <f>LARGE(Data!$E$2:$E$26,I16)</f>
        <v/>
      </c>
      <c r="L16" s="5">
        <f>I16/($J$2+1)</f>
        <v/>
      </c>
      <c r="M16" s="5">
        <f>1/L16</f>
        <v/>
      </c>
      <c r="N16" s="5">
        <f>RANK(K16,Data!$E$2:$E$26,0)</f>
        <v/>
      </c>
    </row>
    <row r="17">
      <c r="I17" t="n">
        <v>13</v>
      </c>
      <c r="J17" s="5">
        <f>INDEX(Data!$D$2:$D$26,MATCH(K17,Data!$E$2:$E$26,0))</f>
        <v/>
      </c>
      <c r="K17" s="5">
        <f>LARGE(Data!$E$2:$E$26,I17)</f>
        <v/>
      </c>
      <c r="L17" s="5">
        <f>I17/($J$2+1)</f>
        <v/>
      </c>
      <c r="M17" s="5">
        <f>1/L17</f>
        <v/>
      </c>
      <c r="N17" s="5">
        <f>RANK(K17,Data!$E$2:$E$26,0)</f>
        <v/>
      </c>
    </row>
    <row r="18">
      <c r="I18" t="n">
        <v>14</v>
      </c>
      <c r="J18" s="5">
        <f>INDEX(Data!$D$2:$D$26,MATCH(K18,Data!$E$2:$E$26,0))</f>
        <v/>
      </c>
      <c r="K18" s="5">
        <f>LARGE(Data!$E$2:$E$26,I18)</f>
        <v/>
      </c>
      <c r="L18" s="5">
        <f>I18/($J$2+1)</f>
        <v/>
      </c>
      <c r="M18" s="5">
        <f>1/L18</f>
        <v/>
      </c>
      <c r="N18" s="5">
        <f>RANK(K18,Data!$E$2:$E$26,0)</f>
        <v/>
      </c>
    </row>
    <row r="19">
      <c r="I19" t="n">
        <v>15</v>
      </c>
      <c r="J19" s="5">
        <f>INDEX(Data!$D$2:$D$26,MATCH(K19,Data!$E$2:$E$26,0))</f>
        <v/>
      </c>
      <c r="K19" s="5">
        <f>LARGE(Data!$E$2:$E$26,I19)</f>
        <v/>
      </c>
      <c r="L19" s="5">
        <f>I19/($J$2+1)</f>
        <v/>
      </c>
      <c r="M19" s="5">
        <f>1/L19</f>
        <v/>
      </c>
      <c r="N19" s="5">
        <f>RANK(K19,Data!$E$2:$E$26,0)</f>
        <v/>
      </c>
    </row>
    <row r="20">
      <c r="I20" t="n">
        <v>16</v>
      </c>
      <c r="J20" s="5">
        <f>INDEX(Data!$D$2:$D$26,MATCH(K20,Data!$E$2:$E$26,0))</f>
        <v/>
      </c>
      <c r="K20" s="5">
        <f>LARGE(Data!$E$2:$E$26,I20)</f>
        <v/>
      </c>
      <c r="L20" s="5">
        <f>I20/($J$2+1)</f>
        <v/>
      </c>
      <c r="M20" s="5">
        <f>1/L20</f>
        <v/>
      </c>
      <c r="N20" s="5">
        <f>RANK(K20,Data!$E$2:$E$26,0)</f>
        <v/>
      </c>
    </row>
    <row r="21">
      <c r="I21" t="n">
        <v>17</v>
      </c>
      <c r="J21" s="5">
        <f>INDEX(Data!$D$2:$D$26,MATCH(K21,Data!$E$2:$E$26,0))</f>
        <v/>
      </c>
      <c r="K21" s="5">
        <f>LARGE(Data!$E$2:$E$26,I21)</f>
        <v/>
      </c>
      <c r="L21" s="5">
        <f>I21/($J$2+1)</f>
        <v/>
      </c>
      <c r="M21" s="5">
        <f>1/L21</f>
        <v/>
      </c>
      <c r="N21" s="5">
        <f>RANK(K21,Data!$E$2:$E$26,0)</f>
        <v/>
      </c>
    </row>
    <row r="22">
      <c r="I22" t="n">
        <v>18</v>
      </c>
      <c r="J22" s="5">
        <f>INDEX(Data!$D$2:$D$26,MATCH(K22,Data!$E$2:$E$26,0))</f>
        <v/>
      </c>
      <c r="K22" s="5">
        <f>LARGE(Data!$E$2:$E$26,I22)</f>
        <v/>
      </c>
      <c r="L22" s="5">
        <f>I22/($J$2+1)</f>
        <v/>
      </c>
      <c r="M22" s="5">
        <f>1/L22</f>
        <v/>
      </c>
      <c r="N22" s="5">
        <f>RANK(K22,Data!$E$2:$E$26,0)</f>
        <v/>
      </c>
    </row>
    <row r="23">
      <c r="I23" t="n">
        <v>19</v>
      </c>
      <c r="J23" s="5">
        <f>INDEX(Data!$D$2:$D$26,MATCH(K23,Data!$E$2:$E$26,0))</f>
        <v/>
      </c>
      <c r="K23" s="5">
        <f>LARGE(Data!$E$2:$E$26,I23)</f>
        <v/>
      </c>
      <c r="L23" s="5">
        <f>I23/($J$2+1)</f>
        <v/>
      </c>
      <c r="M23" s="5">
        <f>1/L23</f>
        <v/>
      </c>
      <c r="N23" s="5">
        <f>RANK(K23,Data!$E$2:$E$26,0)</f>
        <v/>
      </c>
    </row>
    <row r="24">
      <c r="I24" t="n">
        <v>20</v>
      </c>
      <c r="J24" s="5">
        <f>INDEX(Data!$D$2:$D$26,MATCH(K24,Data!$E$2:$E$26,0))</f>
        <v/>
      </c>
      <c r="K24" s="5">
        <f>LARGE(Data!$E$2:$E$26,I24)</f>
        <v/>
      </c>
      <c r="L24" s="5">
        <f>I24/($J$2+1)</f>
        <v/>
      </c>
      <c r="M24" s="5">
        <f>1/L24</f>
        <v/>
      </c>
      <c r="N24" s="5">
        <f>RANK(K24,Data!$E$2:$E$26,0)</f>
        <v/>
      </c>
    </row>
    <row r="25">
      <c r="I25" t="n">
        <v>21</v>
      </c>
      <c r="J25" s="5">
        <f>INDEX(Data!$D$2:$D$26,MATCH(K25,Data!$E$2:$E$26,0))</f>
        <v/>
      </c>
      <c r="K25" s="5">
        <f>LARGE(Data!$E$2:$E$26,I25)</f>
        <v/>
      </c>
      <c r="L25" s="5">
        <f>I25/($J$2+1)</f>
        <v/>
      </c>
      <c r="M25" s="5">
        <f>1/L25</f>
        <v/>
      </c>
      <c r="N25" s="5">
        <f>RANK(K25,Data!$E$2:$E$26,0)</f>
        <v/>
      </c>
    </row>
    <row r="26">
      <c r="I26" t="n">
        <v>22</v>
      </c>
      <c r="J26" s="5">
        <f>INDEX(Data!$D$2:$D$26,MATCH(K26,Data!$E$2:$E$26,0))</f>
        <v/>
      </c>
      <c r="K26" s="5">
        <f>LARGE(Data!$E$2:$E$26,I26)</f>
        <v/>
      </c>
      <c r="L26" s="5">
        <f>I26/($J$2+1)</f>
        <v/>
      </c>
      <c r="M26" s="5">
        <f>1/L26</f>
        <v/>
      </c>
      <c r="N26" s="5">
        <f>RANK(K26,Data!$E$2:$E$26,0)</f>
        <v/>
      </c>
    </row>
    <row r="27">
      <c r="I27" t="n">
        <v>23</v>
      </c>
      <c r="J27" s="5">
        <f>INDEX(Data!$D$2:$D$26,MATCH(K27,Data!$E$2:$E$26,0))</f>
        <v/>
      </c>
      <c r="K27" s="5">
        <f>LARGE(Data!$E$2:$E$26,I27)</f>
        <v/>
      </c>
      <c r="L27" s="5">
        <f>I27/($J$2+1)</f>
        <v/>
      </c>
      <c r="M27" s="5">
        <f>1/L27</f>
        <v/>
      </c>
      <c r="N27" s="5">
        <f>RANK(K27,Data!$E$2:$E$26,0)</f>
        <v/>
      </c>
    </row>
    <row r="28">
      <c r="I28" t="n">
        <v>24</v>
      </c>
      <c r="J28" s="5">
        <f>INDEX(Data!$D$2:$D$26,MATCH(K28,Data!$E$2:$E$26,0))</f>
        <v/>
      </c>
      <c r="K28" s="5">
        <f>LARGE(Data!$E$2:$E$26,I28)</f>
        <v/>
      </c>
      <c r="L28" s="5">
        <f>I28/($J$2+1)</f>
        <v/>
      </c>
      <c r="M28" s="5">
        <f>1/L28</f>
        <v/>
      </c>
      <c r="N28" s="5">
        <f>RANK(K28,Data!$E$2:$E$26,0)</f>
        <v/>
      </c>
    </row>
    <row r="29">
      <c r="I29" t="n">
        <v>25</v>
      </c>
      <c r="J29" s="5">
        <f>INDEX(Data!$D$2:$D$26,MATCH(K29,Data!$E$2:$E$26,0))</f>
        <v/>
      </c>
      <c r="K29" s="5">
        <f>LARGE(Data!$E$2:$E$26,I29)</f>
        <v/>
      </c>
      <c r="L29" s="5">
        <f>I29/($J$2+1)</f>
        <v/>
      </c>
      <c r="M29" s="5">
        <f>1/L29</f>
        <v/>
      </c>
      <c r="N29" s="5">
        <f>RANK(K29,Data!$E$2:$E$26,0)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4" customWidth="1" min="4" max="4"/>
    <col width="10" customWidth="1" min="5" max="5"/>
  </cols>
  <sheetData>
    <row r="1">
      <c r="A1" s="3" t="inlineStr">
        <is>
          <t>Case</t>
        </is>
      </c>
      <c r="B1" s="3" t="inlineStr">
        <is>
          <t>T (years)</t>
        </is>
      </c>
      <c r="C1" s="3" t="inlineStr">
        <is>
          <t>N (years)</t>
        </is>
      </c>
      <c r="D1" s="3" t="inlineStr">
        <is>
          <t>R = 1-(1-1/T)^N</t>
        </is>
      </c>
    </row>
    <row r="2">
      <c r="A2" t="inlineStr">
        <is>
          <t>(b) 2015 flood, next 5 years</t>
        </is>
      </c>
      <c r="B2" s="5">
        <f>PlotPos!E5</f>
        <v/>
      </c>
      <c r="C2" s="4" t="n">
        <v>5</v>
      </c>
      <c r="D2" s="5">
        <f>1-(1-1/B2)^C2</f>
        <v/>
      </c>
    </row>
    <row r="3">
      <c r="A3" t="inlineStr">
        <is>
          <t>(c) 100-year flood, 50-year life</t>
        </is>
      </c>
      <c r="B3" s="4" t="n">
        <v>100</v>
      </c>
      <c r="C3" s="4" t="n">
        <v>50</v>
      </c>
      <c r="D3" s="5">
        <f>1-(1-1/B3)^C3</f>
        <v/>
      </c>
    </row>
    <row r="5">
      <c r="A5" s="3" t="inlineStr">
        <is>
          <t>Case</t>
        </is>
      </c>
      <c r="B5" s="3" t="inlineStr">
        <is>
          <t>target R</t>
        </is>
      </c>
      <c r="C5" s="3" t="inlineStr">
        <is>
          <t>N (years)</t>
        </is>
      </c>
      <c r="D5" s="3" t="inlineStr">
        <is>
          <t>T = 1/[1-(1-R)^(1/N)]</t>
        </is>
      </c>
    </row>
    <row r="6">
      <c r="A6" t="inlineStr">
        <is>
          <t>(d) 10 % risk in 50 years</t>
        </is>
      </c>
      <c r="B6" s="4" t="n">
        <v>0.1</v>
      </c>
      <c r="C6" s="4" t="n">
        <v>50</v>
      </c>
      <c r="D6" s="5">
        <f>1/(1-(1-B6)^(1/C6))</f>
        <v/>
      </c>
    </row>
    <row r="8">
      <c r="A8" s="2" t="inlineStr">
        <is>
          <t>Risk table of Figure 4 (Section 6)</t>
        </is>
      </c>
    </row>
    <row r="9">
      <c r="A9" s="3" t="inlineStr">
        <is>
          <t>T (years)</t>
        </is>
      </c>
      <c r="B9" s="3" t="inlineStr">
        <is>
          <t>N = 10</t>
        </is>
      </c>
      <c r="C9" s="3" t="inlineStr">
        <is>
          <t>N = 25</t>
        </is>
      </c>
      <c r="D9" s="3" t="inlineStr">
        <is>
          <t>N = 50</t>
        </is>
      </c>
      <c r="E9" s="3" t="inlineStr">
        <is>
          <t>N = 100</t>
        </is>
      </c>
    </row>
    <row r="10">
      <c r="A10" s="4" t="n">
        <v>10</v>
      </c>
      <c r="B10" s="5">
        <f>1-(1-1/$A10)^10</f>
        <v/>
      </c>
      <c r="C10" s="5">
        <f>1-(1-1/$A10)^25</f>
        <v/>
      </c>
      <c r="D10" s="5">
        <f>1-(1-1/$A10)^50</f>
        <v/>
      </c>
      <c r="E10" s="5">
        <f>1-(1-1/$A10)^100</f>
        <v/>
      </c>
    </row>
    <row r="11">
      <c r="A11" s="4" t="n">
        <v>25</v>
      </c>
      <c r="B11" s="5">
        <f>1-(1-1/$A11)^10</f>
        <v/>
      </c>
      <c r="C11" s="5">
        <f>1-(1-1/$A11)^25</f>
        <v/>
      </c>
      <c r="D11" s="5">
        <f>1-(1-1/$A11)^50</f>
        <v/>
      </c>
      <c r="E11" s="5">
        <f>1-(1-1/$A11)^100</f>
        <v/>
      </c>
    </row>
    <row r="12">
      <c r="A12" s="4" t="n">
        <v>50</v>
      </c>
      <c r="B12" s="5">
        <f>1-(1-1/$A12)^10</f>
        <v/>
      </c>
      <c r="C12" s="5">
        <f>1-(1-1/$A12)^25</f>
        <v/>
      </c>
      <c r="D12" s="5">
        <f>1-(1-1/$A12)^50</f>
        <v/>
      </c>
      <c r="E12" s="5">
        <f>1-(1-1/$A12)^100</f>
        <v/>
      </c>
    </row>
    <row r="13">
      <c r="A13" s="4" t="n">
        <v>100</v>
      </c>
      <c r="B13" s="5">
        <f>1-(1-1/$A13)^10</f>
        <v/>
      </c>
      <c r="C13" s="5">
        <f>1-(1-1/$A13)^25</f>
        <v/>
      </c>
      <c r="D13" s="5">
        <f>1-(1-1/$A13)^50</f>
        <v/>
      </c>
      <c r="E13" s="5">
        <f>1-(1-1/$A13)^100</f>
        <v/>
      </c>
    </row>
    <row r="14">
      <c r="A14" s="4" t="n">
        <v>500</v>
      </c>
      <c r="B14" s="5">
        <f>1-(1-1/$A14)^10</f>
        <v/>
      </c>
      <c r="C14" s="5">
        <f>1-(1-1/$A14)^25</f>
        <v/>
      </c>
      <c r="D14" s="5">
        <f>1-(1-1/$A14)^50</f>
        <v/>
      </c>
      <c r="E14" s="5">
        <f>1-(1-1/$A14)^100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2026-10-28T07:41:07Z</dcterms:created>
  <dcterms:modified xmlns:dcterms="http://purl.org/dc/terms/" xmlns:xsi="http://www.w3.org/2001/XMLSchema-instance" xsi:type="dcterms:W3CDTF">2026-10-28T07:41:07Z</dcterms:modified>
</cp:coreProperties>
</file>