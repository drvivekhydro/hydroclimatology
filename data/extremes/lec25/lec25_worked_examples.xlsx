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Gumbel" sheetId="3" state="visible" r:id="rId3"/>
    <sheet xmlns:r="http://schemas.openxmlformats.org/officeDocument/2006/relationships" name="LP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CE524</author>
  </authors>
  <commentList>
    <comment ref="D10" authorId="0" shapeId="0">
      <text>
        <t>Gumbel frequency factor (Chow)</t>
      </text>
    </comment>
    <comment ref="E10" authorId="0" shapeId="0">
      <text>
        <t>x_T = x_bar + K_T s</t>
      </text>
    </comment>
    <comment ref="F10" authorId="0" shapeId="0">
      <text>
        <t>same flood from x_T = u + alpha y_T, y_T = -ln{ln[T/(T-1)]}</t>
      </text>
    </comment>
    <comment ref="G10" authorId="0" shapeId="0">
      <text>
        <t>x_T = x_bar + K_T s</t>
      </text>
    </comment>
    <comment ref="D11" authorId="0" shapeId="0">
      <text>
        <t>Gumbel frequency factor (Chow)</t>
      </text>
    </comment>
    <comment ref="E11" authorId="0" shapeId="0">
      <text>
        <t>x_T = x_bar + K_T s</t>
      </text>
    </comment>
    <comment ref="F11" authorId="0" shapeId="0">
      <text>
        <t>same flood from x_T = u + alpha y_T, y_T = -ln{ln[T/(T-1)]}</t>
      </text>
    </comment>
    <comment ref="G11" authorId="0" shapeId="0">
      <text>
        <t>x_T = x_bar + K_T s</t>
      </text>
    </comment>
    <comment ref="D12" authorId="0" shapeId="0">
      <text>
        <t>Gumbel frequency factor (Chow)</t>
      </text>
    </comment>
    <comment ref="E12" authorId="0" shapeId="0">
      <text>
        <t>x_T = x_bar + K_T s</t>
      </text>
    </comment>
    <comment ref="F12" authorId="0" shapeId="0">
      <text>
        <t>same flood from x_T = u + alpha y_T, y_T = -ln{ln[T/(T-1)]}</t>
      </text>
    </comment>
    <comment ref="G12" authorId="0" shapeId="0">
      <text>
        <t>x_T = x_bar + K_T s</t>
      </text>
    </comment>
  </commentList>
</comments>
</file>

<file path=xl/comments/comment2.xml><?xml version="1.0" encoding="utf-8"?>
<comments xmlns="http://schemas.openxmlformats.org/spreadsheetml/2006/main">
  <authors>
    <author>CE524</author>
  </authors>
  <commentList>
    <comment ref="G11" authorId="0" shapeId="0">
      <text>
        <t>standard normal value, K_T when Cs = 0</t>
      </text>
    </comment>
    <comment ref="H11" authorId="0" shapeId="0">
      <text>
        <t>Pearson III with mean 0, sd 1, skew Cs = standardised gamma(a = 4/Cs^2)</t>
      </text>
    </comment>
    <comment ref="I11" authorId="0" shapeId="0">
      <text>
        <t>Kite (1977) approximation</t>
      </text>
    </comment>
    <comment ref="K11" authorId="0" shapeId="0">
      <text>
        <t>T-year flood, log-Pearson III</t>
      </text>
    </comment>
    <comment ref="G12" authorId="0" shapeId="0">
      <text>
        <t>standard normal value, K_T when Cs = 0</t>
      </text>
    </comment>
    <comment ref="H12" authorId="0" shapeId="0">
      <text>
        <t>Pearson III with mean 0, sd 1, skew Cs = standardised gamma(a = 4/Cs^2)</t>
      </text>
    </comment>
    <comment ref="I12" authorId="0" shapeId="0">
      <text>
        <t>Kite (1977) approximation</t>
      </text>
    </comment>
    <comment ref="K12" authorId="0" shapeId="0">
      <text>
        <t>T-year flood, log-Pearson III</t>
      </text>
    </comment>
    <comment ref="G13" authorId="0" shapeId="0">
      <text>
        <t>standard normal value, K_T when Cs = 0</t>
      </text>
    </comment>
    <comment ref="H13" authorId="0" shapeId="0">
      <text>
        <t>Pearson III with mean 0, sd 1, skew Cs = standardised gamma(a = 4/Cs^2)</t>
      </text>
    </comment>
    <comment ref="I13" authorId="0" shapeId="0">
      <text>
        <t>Kite (1977) approximation</t>
      </text>
    </comment>
    <comment ref="K13" authorId="0" shapeId="0">
      <text>
        <t>T-year flood, log-Pearson III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CE524 Applied Hydroclimatology, Lecture 25 (Floods II): worked examples</t>
        </is>
      </c>
    </row>
    <row r="2">
      <c r="A2" t="inlineStr">
        <is>
          <t>Follows Chow, Maidment &amp; Mays (1988), Applied Hydrology, Chapter 12 (frequency factor method). Hand-example numbers are made up for this course.</t>
        </is>
      </c>
    </row>
    <row r="3">
      <c r="A3" t="inlineStr">
        <is>
          <t>Blue = input you can change. Black = live formula. Hover over a formula cell for a note.</t>
        </is>
      </c>
    </row>
    <row r="4">
      <c r="A4" t="inlineStr"/>
    </row>
    <row r="5">
      <c r="A5" s="2" t="inlineStr">
        <is>
          <t>Sheets</t>
        </is>
      </c>
    </row>
    <row r="6">
      <c r="A6" t="inlineStr">
        <is>
          <t>Data   : the 10-year hand-example AMS (same as Lecture 24) and the 25-year Chattooga AMS of daily mean discharge (m3/s).</t>
        </is>
      </c>
    </row>
    <row r="7">
      <c r="A7" t="inlineStr">
        <is>
          <t>Gumbel : method of moments. x_bar, s, alpha = (sqrt(6)/pi) s, u = x_bar - 0.5772 alpha, K_T, x_T = x_bar + K_T s, for the hand example (Section 3) and the Chattooga (Section 5).</t>
        </is>
      </c>
    </row>
    <row r="8">
      <c r="A8" t="inlineStr">
        <is>
          <t>LP3    : log-Pearson III for the Chattooga: y = log10(x), y_bar, s_y, Cs, K_T from the skew, x_T = 10^(y_bar + K_T s_y).</t>
        </is>
      </c>
    </row>
    <row r="9">
      <c r="A9" t="inlineStr">
        <is>
          <t xml:space="preserve">         K_T is computed exactly with GAMMA.INV (valid for Cs &gt; 0) and with the Kite approximation quoted by Chow.</t>
        </is>
      </c>
    </row>
    <row r="10">
      <c r="A10" t="inlineStr"/>
    </row>
    <row r="11">
      <c r="A11" t="inlineStr">
        <is>
          <t>Symbols: x annual maximum, n record length, T return period, K_T frequency factor, x_T T-year flood, y = log10 x, Cs skew of y.</t>
        </is>
      </c>
    </row>
    <row r="12">
      <c r="A12" t="inlineStr">
        <is>
          <t>The notebook lecture-25 reproduces every number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" customWidth="1" min="3" max="3"/>
    <col width="16" customWidth="1" min="4" max="4"/>
    <col width="10" customWidth="1" min="5" max="5"/>
  </cols>
  <sheetData>
    <row r="1">
      <c r="A1" s="3" t="inlineStr">
        <is>
          <t>year (hand)</t>
        </is>
      </c>
      <c r="B1" s="3" t="inlineStr">
        <is>
          <t>x (m3/s)</t>
        </is>
      </c>
      <c r="D1" s="3" t="inlineStr">
        <is>
          <t>year (Chattooga)</t>
        </is>
      </c>
      <c r="E1" s="3" t="inlineStr">
        <is>
          <t>x (m3/s)</t>
        </is>
      </c>
    </row>
    <row r="2">
      <c r="A2" s="4" t="n">
        <v>2011</v>
      </c>
      <c r="B2" s="4" t="n">
        <v>420</v>
      </c>
      <c r="D2" s="4" t="n">
        <v>1991</v>
      </c>
      <c r="E2" s="4" t="n">
        <v>75.58799999999999</v>
      </c>
    </row>
    <row r="3">
      <c r="A3" s="4" t="n">
        <v>2012</v>
      </c>
      <c r="B3" s="4" t="n">
        <v>285</v>
      </c>
      <c r="D3" s="4" t="n">
        <v>1992</v>
      </c>
      <c r="E3" s="4" t="n">
        <v>129.377</v>
      </c>
    </row>
    <row r="4">
      <c r="A4" s="4" t="n">
        <v>2013</v>
      </c>
      <c r="B4" s="4" t="n">
        <v>540</v>
      </c>
      <c r="D4" s="4" t="n">
        <v>1993</v>
      </c>
      <c r="E4" s="4" t="n">
        <v>77.56999999999999</v>
      </c>
    </row>
    <row r="5">
      <c r="A5" s="4" t="n">
        <v>2014</v>
      </c>
      <c r="B5" s="4" t="n">
        <v>350</v>
      </c>
      <c r="D5" s="4" t="n">
        <v>1994</v>
      </c>
      <c r="E5" s="4" t="n">
        <v>272.06</v>
      </c>
    </row>
    <row r="6">
      <c r="A6" s="4" t="n">
        <v>2015</v>
      </c>
      <c r="B6" s="4" t="n">
        <v>710</v>
      </c>
      <c r="D6" s="4" t="n">
        <v>1995</v>
      </c>
      <c r="E6" s="4" t="n">
        <v>167.03</v>
      </c>
    </row>
    <row r="7">
      <c r="A7" s="4" t="n">
        <v>2016</v>
      </c>
      <c r="B7" s="4" t="n">
        <v>300</v>
      </c>
      <c r="D7" s="4" t="n">
        <v>1996</v>
      </c>
      <c r="E7" s="4" t="n">
        <v>178.637</v>
      </c>
    </row>
    <row r="8">
      <c r="A8" s="4" t="n">
        <v>2017</v>
      </c>
      <c r="B8" s="4" t="n">
        <v>465</v>
      </c>
      <c r="D8" s="4" t="n">
        <v>1997</v>
      </c>
      <c r="E8" s="4" t="n">
        <v>111.825</v>
      </c>
    </row>
    <row r="9">
      <c r="A9" s="4" t="n">
        <v>2018</v>
      </c>
      <c r="B9" s="4" t="n">
        <v>385</v>
      </c>
      <c r="D9" s="4" t="n">
        <v>1998</v>
      </c>
      <c r="E9" s="4" t="n">
        <v>195.906</v>
      </c>
    </row>
    <row r="10">
      <c r="A10" s="4" t="n">
        <v>2019</v>
      </c>
      <c r="B10" s="4" t="n">
        <v>615</v>
      </c>
      <c r="D10" s="4" t="n">
        <v>1999</v>
      </c>
      <c r="E10" s="4" t="n">
        <v>71.05800000000001</v>
      </c>
    </row>
    <row r="11">
      <c r="A11" s="4" t="n">
        <v>2020</v>
      </c>
      <c r="B11" s="4" t="n">
        <v>330</v>
      </c>
      <c r="D11" s="4" t="n">
        <v>2000</v>
      </c>
      <c r="E11" s="4" t="n">
        <v>57.469</v>
      </c>
    </row>
    <row r="12">
      <c r="D12" s="4" t="n">
        <v>2001</v>
      </c>
      <c r="E12" s="4" t="n">
        <v>35.954</v>
      </c>
    </row>
    <row r="13">
      <c r="D13" s="4" t="n">
        <v>2002</v>
      </c>
      <c r="E13" s="4" t="n">
        <v>96.254</v>
      </c>
    </row>
    <row r="14">
      <c r="D14" s="4" t="n">
        <v>2003</v>
      </c>
      <c r="E14" s="4" t="n">
        <v>126.263</v>
      </c>
    </row>
    <row r="15">
      <c r="D15" s="4" t="n">
        <v>2004</v>
      </c>
      <c r="E15" s="4" t="n">
        <v>523.737</v>
      </c>
    </row>
    <row r="16">
      <c r="D16" s="4" t="n">
        <v>2005</v>
      </c>
      <c r="E16" s="4" t="n">
        <v>163.349</v>
      </c>
    </row>
    <row r="17">
      <c r="D17" s="4" t="n">
        <v>2006</v>
      </c>
      <c r="E17" s="4" t="n">
        <v>63.698</v>
      </c>
    </row>
    <row r="18">
      <c r="D18" s="4" t="n">
        <v>2007</v>
      </c>
      <c r="E18" s="4" t="n">
        <v>95.405</v>
      </c>
    </row>
    <row r="19">
      <c r="D19" s="4" t="n">
        <v>2008</v>
      </c>
      <c r="E19" s="4" t="n">
        <v>62.566</v>
      </c>
    </row>
    <row r="20">
      <c r="D20" s="4" t="n">
        <v>2009</v>
      </c>
      <c r="E20" s="4" t="n">
        <v>200.153</v>
      </c>
    </row>
    <row r="21">
      <c r="D21" s="4" t="n">
        <v>2010</v>
      </c>
      <c r="E21" s="4" t="n">
        <v>105.031</v>
      </c>
    </row>
    <row r="22">
      <c r="D22" s="4" t="n">
        <v>2011</v>
      </c>
      <c r="E22" s="4" t="n">
        <v>125.131</v>
      </c>
    </row>
    <row r="23">
      <c r="D23" s="4" t="n">
        <v>2012</v>
      </c>
      <c r="E23" s="4" t="n">
        <v>74.738</v>
      </c>
    </row>
    <row r="24">
      <c r="D24" s="4" t="n">
        <v>2013</v>
      </c>
      <c r="E24" s="4" t="n">
        <v>124.565</v>
      </c>
    </row>
    <row r="25">
      <c r="D25" s="4" t="n">
        <v>2014</v>
      </c>
      <c r="E25" s="4" t="n">
        <v>68.511</v>
      </c>
    </row>
    <row r="26">
      <c r="D26" s="4" t="n">
        <v>2015</v>
      </c>
      <c r="E26" s="4" t="n">
        <v>208.928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44" customWidth="1" min="4" max="4"/>
    <col width="16" customWidth="1" min="5" max="5"/>
    <col width="20" customWidth="1" min="6" max="6"/>
    <col width="20" customWidth="1" min="7" max="7"/>
  </cols>
  <sheetData>
    <row r="1">
      <c r="A1" s="3" t="inlineStr">
        <is>
          <t>Quantity</t>
        </is>
      </c>
      <c r="B1" s="3" t="inlineStr">
        <is>
          <t>Hand example</t>
        </is>
      </c>
      <c r="C1" s="3" t="inlineStr">
        <is>
          <t>Chattooga</t>
        </is>
      </c>
      <c r="D1" s="3" t="inlineStr">
        <is>
          <t>Formula / note</t>
        </is>
      </c>
    </row>
    <row r="2">
      <c r="A2" t="inlineStr">
        <is>
          <t>n</t>
        </is>
      </c>
      <c r="B2" s="5">
        <f>COUNT(Data!B2:B11)</f>
        <v/>
      </c>
      <c r="C2" s="5">
        <f>COUNT(Data!E2:E26)</f>
        <v/>
      </c>
      <c r="D2" t="inlineStr">
        <is>
          <t>record length</t>
        </is>
      </c>
    </row>
    <row r="3">
      <c r="A3" t="inlineStr">
        <is>
          <t>x_bar (m3/s)</t>
        </is>
      </c>
      <c r="B3" s="5">
        <f>AVERAGE(Data!B2:B11)</f>
        <v/>
      </c>
      <c r="C3" s="5">
        <f>AVERAGE(Data!E2:E26)</f>
        <v/>
      </c>
      <c r="D3" t="inlineStr">
        <is>
          <t>sample mean</t>
        </is>
      </c>
    </row>
    <row r="4">
      <c r="A4" t="inlineStr">
        <is>
          <t>s (m3/s)</t>
        </is>
      </c>
      <c r="B4" s="5">
        <f>STDEV.S(Data!B2:B11)</f>
        <v/>
      </c>
      <c r="C4" s="5">
        <f>STDEV.S(Data!E2:E26)</f>
        <v/>
      </c>
      <c r="D4" t="inlineStr">
        <is>
          <t>sample standard deviation, divisor n - 1</t>
        </is>
      </c>
    </row>
    <row r="5">
      <c r="A5" t="inlineStr">
        <is>
          <t>sqrt(6)/pi</t>
        </is>
      </c>
      <c r="B5" s="5">
        <f>SQRT(6)/PI()</f>
        <v/>
      </c>
      <c r="C5" s="5">
        <f>SQRT(6)/PI()</f>
        <v/>
      </c>
      <c r="D5" t="inlineStr">
        <is>
          <t>0.77970</t>
        </is>
      </c>
    </row>
    <row r="6">
      <c r="A6" t="inlineStr">
        <is>
          <t>alpha (m3/s)</t>
        </is>
      </c>
      <c r="B6" s="5">
        <f>B5*B4</f>
        <v/>
      </c>
      <c r="C6" s="5">
        <f>C5*C4</f>
        <v/>
      </c>
      <c r="D6" t="inlineStr">
        <is>
          <t>Gumbel scale, alpha = (sqrt(6)/pi) s</t>
        </is>
      </c>
    </row>
    <row r="7">
      <c r="A7" t="inlineStr">
        <is>
          <t>u (m3/s)</t>
        </is>
      </c>
      <c r="B7" s="5">
        <f>B3-0.5772*B6</f>
        <v/>
      </c>
      <c r="C7" s="5">
        <f>C3-0.5772*C6</f>
        <v/>
      </c>
      <c r="D7" t="inlineStr">
        <is>
          <t>Gumbel location, u = x_bar - 0.5772 alpha</t>
        </is>
      </c>
    </row>
    <row r="9">
      <c r="A9" s="3" t="inlineStr">
        <is>
          <t>T (years)</t>
        </is>
      </c>
      <c r="B9" s="3" t="inlineStr">
        <is>
          <t>ln[T/(T-1)]</t>
        </is>
      </c>
      <c r="C9" s="3" t="inlineStr">
        <is>
          <t>ln{ln[T/(T-1)]}</t>
        </is>
      </c>
      <c r="D9" s="3" t="inlineStr">
        <is>
          <t>K_T</t>
        </is>
      </c>
      <c r="E9" s="3" t="inlineStr">
        <is>
          <t>x_T hand (m3/s)</t>
        </is>
      </c>
      <c r="F9" s="3" t="inlineStr">
        <is>
          <t>check u + alpha y_T</t>
        </is>
      </c>
      <c r="G9" s="3" t="inlineStr">
        <is>
          <t>x_T Chattooga (m3/s)</t>
        </is>
      </c>
    </row>
    <row r="10">
      <c r="A10" s="4" t="n">
        <v>10</v>
      </c>
      <c r="B10" s="5">
        <f>LN(A10/(A10-1))</f>
        <v/>
      </c>
      <c r="C10" s="5">
        <f>LN(B10)</f>
        <v/>
      </c>
      <c r="D10" s="5">
        <f>-$B$5*(0.5772+C10)</f>
        <v/>
      </c>
      <c r="E10" s="5">
        <f>$B$3+D10*$B$4</f>
        <v/>
      </c>
      <c r="F10" s="5">
        <f>$B$7-$B$6*C10</f>
        <v/>
      </c>
      <c r="G10" s="5">
        <f>$C$3+D10*$C$4</f>
        <v/>
      </c>
    </row>
    <row r="11">
      <c r="A11" s="4" t="n">
        <v>50</v>
      </c>
      <c r="B11" s="5">
        <f>LN(A11/(A11-1))</f>
        <v/>
      </c>
      <c r="C11" s="5">
        <f>LN(B11)</f>
        <v/>
      </c>
      <c r="D11" s="5">
        <f>-$B$5*(0.5772+C11)</f>
        <v/>
      </c>
      <c r="E11" s="5">
        <f>$B$3+D11*$B$4</f>
        <v/>
      </c>
      <c r="F11" s="5">
        <f>$B$7-$B$6*C11</f>
        <v/>
      </c>
      <c r="G11" s="5">
        <f>$C$3+D11*$C$4</f>
        <v/>
      </c>
    </row>
    <row r="12">
      <c r="A12" s="4" t="n">
        <v>100</v>
      </c>
      <c r="B12" s="5">
        <f>LN(A12/(A12-1))</f>
        <v/>
      </c>
      <c r="C12" s="5">
        <f>LN(B12)</f>
        <v/>
      </c>
      <c r="D12" s="5">
        <f>-$B$5*(0.5772+C12)</f>
        <v/>
      </c>
      <c r="E12" s="5">
        <f>$B$3+D12*$B$4</f>
        <v/>
      </c>
      <c r="F12" s="5">
        <f>$B$7-$B$6*C12</f>
        <v/>
      </c>
      <c r="G12" s="5">
        <f>$C$3+D12*$C$4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3" customWidth="1" min="5" max="5"/>
    <col width="12" customWidth="1" min="6" max="6"/>
    <col width="22" customWidth="1" min="7" max="7"/>
    <col width="24" customWidth="1" min="8" max="8"/>
    <col width="12" customWidth="1" min="9" max="9"/>
    <col width="22" customWidth="1" min="10" max="10"/>
    <col width="20" customWidth="1" min="11" max="11"/>
  </cols>
  <sheetData>
    <row r="1">
      <c r="A1" s="3" t="inlineStr">
        <is>
          <t>year</t>
        </is>
      </c>
      <c r="B1" s="3" t="inlineStr">
        <is>
          <t>x (m3/s)</t>
        </is>
      </c>
      <c r="C1" s="3" t="inlineStr">
        <is>
          <t>y = log10 x</t>
        </is>
      </c>
      <c r="D1" s="3" t="inlineStr">
        <is>
          <t>(y - y_bar)^3</t>
        </is>
      </c>
      <c r="F1" s="3" t="inlineStr">
        <is>
          <t>Quantity</t>
        </is>
      </c>
      <c r="G1" s="3" t="inlineStr">
        <is>
          <t>Value</t>
        </is>
      </c>
      <c r="H1" s="3" t="inlineStr">
        <is>
          <t>Formula / note</t>
        </is>
      </c>
    </row>
    <row r="2">
      <c r="A2" s="5">
        <f>Data!D2</f>
        <v/>
      </c>
      <c r="B2" s="5">
        <f>Data!E2</f>
        <v/>
      </c>
      <c r="C2" s="5">
        <f>LOG10(B2)</f>
        <v/>
      </c>
      <c r="D2" s="5">
        <f>(C2-$G$3)^3</f>
        <v/>
      </c>
      <c r="F2" t="inlineStr">
        <is>
          <t>n</t>
        </is>
      </c>
      <c r="G2" s="5">
        <f>COUNT(C2:C26)</f>
        <v/>
      </c>
      <c r="H2" t="inlineStr">
        <is>
          <t>record length</t>
        </is>
      </c>
    </row>
    <row r="3">
      <c r="A3" s="5">
        <f>Data!D3</f>
        <v/>
      </c>
      <c r="B3" s="5">
        <f>Data!E3</f>
        <v/>
      </c>
      <c r="C3" s="5">
        <f>LOG10(B3)</f>
        <v/>
      </c>
      <c r="D3" s="5">
        <f>(C3-$G$3)^3</f>
        <v/>
      </c>
      <c r="F3" t="inlineStr">
        <is>
          <t>y_bar</t>
        </is>
      </c>
      <c r="G3" s="5">
        <f>AVERAGE(C2:C26)</f>
        <v/>
      </c>
      <c r="H3" t="inlineStr">
        <is>
          <t>mean of the logs</t>
        </is>
      </c>
    </row>
    <row r="4">
      <c r="A4" s="5">
        <f>Data!D4</f>
        <v/>
      </c>
      <c r="B4" s="5">
        <f>Data!E4</f>
        <v/>
      </c>
      <c r="C4" s="5">
        <f>LOG10(B4)</f>
        <v/>
      </c>
      <c r="D4" s="5">
        <f>(C4-$G$3)^3</f>
        <v/>
      </c>
      <c r="F4" t="inlineStr">
        <is>
          <t>s_y</t>
        </is>
      </c>
      <c r="G4" s="5">
        <f>STDEV.S(C2:C26)</f>
        <v/>
      </c>
      <c r="H4" t="inlineStr">
        <is>
          <t>standard deviation of the logs</t>
        </is>
      </c>
    </row>
    <row r="5">
      <c r="A5" s="5">
        <f>Data!D5</f>
        <v/>
      </c>
      <c r="B5" s="5">
        <f>Data!E5</f>
        <v/>
      </c>
      <c r="C5" s="5">
        <f>LOG10(B5)</f>
        <v/>
      </c>
      <c r="D5" s="5">
        <f>(C5-$G$3)^3</f>
        <v/>
      </c>
      <c r="F5" t="inlineStr">
        <is>
          <t>Cs</t>
        </is>
      </c>
      <c r="G5" s="5">
        <f>G2*SUM(D2:D26)/((G2-1)*(G2-2)*G4^3)</f>
        <v/>
      </c>
      <c r="H5" t="inlineStr">
        <is>
          <t>skew coefficient of the logs, n sum(y-y_bar)^3 / [(n-1)(n-2) s_y^3]</t>
        </is>
      </c>
    </row>
    <row r="6">
      <c r="A6" s="5">
        <f>Data!D6</f>
        <v/>
      </c>
      <c r="B6" s="5">
        <f>Data!E6</f>
        <v/>
      </c>
      <c r="C6" s="5">
        <f>LOG10(B6)</f>
        <v/>
      </c>
      <c r="D6" s="5">
        <f>(C6-$G$3)^3</f>
        <v/>
      </c>
      <c r="F6" t="inlineStr">
        <is>
          <t>k = Cs/6</t>
        </is>
      </c>
      <c r="G6" s="5">
        <f>G5/6</f>
        <v/>
      </c>
      <c r="H6" t="inlineStr">
        <is>
          <t>for the Kite approximation</t>
        </is>
      </c>
    </row>
    <row r="7">
      <c r="A7" s="5">
        <f>Data!D7</f>
        <v/>
      </c>
      <c r="B7" s="5">
        <f>Data!E7</f>
        <v/>
      </c>
      <c r="C7" s="5">
        <f>LOG10(B7)</f>
        <v/>
      </c>
      <c r="D7" s="5">
        <f>(C7-$G$3)^3</f>
        <v/>
      </c>
      <c r="F7" t="inlineStr">
        <is>
          <t>a = 4/Cs^2</t>
        </is>
      </c>
      <c r="G7" s="5">
        <f>4/G5^2</f>
        <v/>
      </c>
      <c r="H7" t="inlineStr">
        <is>
          <t>gamma shape whose skew is Cs (exact K_T, Cs &gt; 0)</t>
        </is>
      </c>
    </row>
    <row r="8">
      <c r="A8" s="5">
        <f>Data!D8</f>
        <v/>
      </c>
      <c r="B8" s="5">
        <f>Data!E8</f>
        <v/>
      </c>
      <c r="C8" s="5">
        <f>LOG10(B8)</f>
        <v/>
      </c>
      <c r="D8" s="5">
        <f>(C8-$G$3)^3</f>
        <v/>
      </c>
    </row>
    <row r="9">
      <c r="A9" s="5">
        <f>Data!D9</f>
        <v/>
      </c>
      <c r="B9" s="5">
        <f>Data!E9</f>
        <v/>
      </c>
      <c r="C9" s="5">
        <f>LOG10(B9)</f>
        <v/>
      </c>
      <c r="D9" s="5">
        <f>(C9-$G$3)^3</f>
        <v/>
      </c>
    </row>
    <row r="10">
      <c r="A10" s="5">
        <f>Data!D10</f>
        <v/>
      </c>
      <c r="B10" s="5">
        <f>Data!E10</f>
        <v/>
      </c>
      <c r="C10" s="5">
        <f>LOG10(B10)</f>
        <v/>
      </c>
      <c r="D10" s="5">
        <f>(C10-$G$3)^3</f>
        <v/>
      </c>
      <c r="F10" s="3" t="inlineStr">
        <is>
          <t>T (years)</t>
        </is>
      </c>
      <c r="G10" s="3" t="inlineStr">
        <is>
          <t>z = NORM.S.INV(1-1/T)</t>
        </is>
      </c>
      <c r="H10" s="3" t="inlineStr">
        <is>
          <t>K_T exact (GAMMA.INV)</t>
        </is>
      </c>
      <c r="I10" s="3" t="inlineStr">
        <is>
          <t>K_T Kite</t>
        </is>
      </c>
      <c r="J10" s="3" t="inlineStr">
        <is>
          <t>y_T = y_bar + K_T s_y</t>
        </is>
      </c>
      <c r="K10" s="3" t="inlineStr">
        <is>
          <t>x_T = 10^y_T (m3/s)</t>
        </is>
      </c>
    </row>
    <row r="11">
      <c r="A11" s="5">
        <f>Data!D11</f>
        <v/>
      </c>
      <c r="B11" s="5">
        <f>Data!E11</f>
        <v/>
      </c>
      <c r="C11" s="5">
        <f>LOG10(B11)</f>
        <v/>
      </c>
      <c r="D11" s="5">
        <f>(C11-$G$3)^3</f>
        <v/>
      </c>
      <c r="F11" s="4" t="n">
        <v>10</v>
      </c>
      <c r="G11" s="5">
        <f>NORM.S.INV(1-1/F11)</f>
        <v/>
      </c>
      <c r="H11" s="5">
        <f>(GAMMA.INV(1-1/F11,$G$7,1)-$G$7)*$G$5/2</f>
        <v/>
      </c>
      <c r="I11" s="5">
        <f>G11+(G11^2-1)*$G$6+(G11^3-6*G11)*$G$6^2/3-(G11^2-1)*$G$6^3+G11*$G$6^4+$G$6^5/3</f>
        <v/>
      </c>
      <c r="J11" s="5">
        <f>$G$3+H11*$G$4</f>
        <v/>
      </c>
      <c r="K11" s="5">
        <f>10^J11</f>
        <v/>
      </c>
    </row>
    <row r="12">
      <c r="A12" s="5">
        <f>Data!D12</f>
        <v/>
      </c>
      <c r="B12" s="5">
        <f>Data!E12</f>
        <v/>
      </c>
      <c r="C12" s="5">
        <f>LOG10(B12)</f>
        <v/>
      </c>
      <c r="D12" s="5">
        <f>(C12-$G$3)^3</f>
        <v/>
      </c>
      <c r="F12" s="4" t="n">
        <v>50</v>
      </c>
      <c r="G12" s="5">
        <f>NORM.S.INV(1-1/F12)</f>
        <v/>
      </c>
      <c r="H12" s="5">
        <f>(GAMMA.INV(1-1/F12,$G$7,1)-$G$7)*$G$5/2</f>
        <v/>
      </c>
      <c r="I12" s="5">
        <f>G12+(G12^2-1)*$G$6+(G12^3-6*G12)*$G$6^2/3-(G12^2-1)*$G$6^3+G12*$G$6^4+$G$6^5/3</f>
        <v/>
      </c>
      <c r="J12" s="5">
        <f>$G$3+H12*$G$4</f>
        <v/>
      </c>
      <c r="K12" s="5">
        <f>10^J12</f>
        <v/>
      </c>
    </row>
    <row r="13">
      <c r="A13" s="5">
        <f>Data!D13</f>
        <v/>
      </c>
      <c r="B13" s="5">
        <f>Data!E13</f>
        <v/>
      </c>
      <c r="C13" s="5">
        <f>LOG10(B13)</f>
        <v/>
      </c>
      <c r="D13" s="5">
        <f>(C13-$G$3)^3</f>
        <v/>
      </c>
      <c r="F13" s="4" t="n">
        <v>100</v>
      </c>
      <c r="G13" s="5">
        <f>NORM.S.INV(1-1/F13)</f>
        <v/>
      </c>
      <c r="H13" s="5">
        <f>(GAMMA.INV(1-1/F13,$G$7,1)-$G$7)*$G$5/2</f>
        <v/>
      </c>
      <c r="I13" s="5">
        <f>G13+(G13^2-1)*$G$6+(G13^3-6*G13)*$G$6^2/3-(G13^2-1)*$G$6^3+G13*$G$6^4+$G$6^5/3</f>
        <v/>
      </c>
      <c r="J13" s="5">
        <f>$G$3+H13*$G$4</f>
        <v/>
      </c>
      <c r="K13" s="5">
        <f>10^J13</f>
        <v/>
      </c>
    </row>
    <row r="14">
      <c r="A14" s="5">
        <f>Data!D14</f>
        <v/>
      </c>
      <c r="B14" s="5">
        <f>Data!E14</f>
        <v/>
      </c>
      <c r="C14" s="5">
        <f>LOG10(B14)</f>
        <v/>
      </c>
      <c r="D14" s="5">
        <f>(C14-$G$3)^3</f>
        <v/>
      </c>
    </row>
    <row r="15">
      <c r="A15" s="5">
        <f>Data!D15</f>
        <v/>
      </c>
      <c r="B15" s="5">
        <f>Data!E15</f>
        <v/>
      </c>
      <c r="C15" s="5">
        <f>LOG10(B15)</f>
        <v/>
      </c>
      <c r="D15" s="5">
        <f>(C15-$G$3)^3</f>
        <v/>
      </c>
    </row>
    <row r="16">
      <c r="A16" s="5">
        <f>Data!D16</f>
        <v/>
      </c>
      <c r="B16" s="5">
        <f>Data!E16</f>
        <v/>
      </c>
      <c r="C16" s="5">
        <f>LOG10(B16)</f>
        <v/>
      </c>
      <c r="D16" s="5">
        <f>(C16-$G$3)^3</f>
        <v/>
      </c>
    </row>
    <row r="17">
      <c r="A17" s="5">
        <f>Data!D17</f>
        <v/>
      </c>
      <c r="B17" s="5">
        <f>Data!E17</f>
        <v/>
      </c>
      <c r="C17" s="5">
        <f>LOG10(B17)</f>
        <v/>
      </c>
      <c r="D17" s="5">
        <f>(C17-$G$3)^3</f>
        <v/>
      </c>
    </row>
    <row r="18">
      <c r="A18" s="5">
        <f>Data!D18</f>
        <v/>
      </c>
      <c r="B18" s="5">
        <f>Data!E18</f>
        <v/>
      </c>
      <c r="C18" s="5">
        <f>LOG10(B18)</f>
        <v/>
      </c>
      <c r="D18" s="5">
        <f>(C18-$G$3)^3</f>
        <v/>
      </c>
    </row>
    <row r="19">
      <c r="A19" s="5">
        <f>Data!D19</f>
        <v/>
      </c>
      <c r="B19" s="5">
        <f>Data!E19</f>
        <v/>
      </c>
      <c r="C19" s="5">
        <f>LOG10(B19)</f>
        <v/>
      </c>
      <c r="D19" s="5">
        <f>(C19-$G$3)^3</f>
        <v/>
      </c>
    </row>
    <row r="20">
      <c r="A20" s="5">
        <f>Data!D20</f>
        <v/>
      </c>
      <c r="B20" s="5">
        <f>Data!E20</f>
        <v/>
      </c>
      <c r="C20" s="5">
        <f>LOG10(B20)</f>
        <v/>
      </c>
      <c r="D20" s="5">
        <f>(C20-$G$3)^3</f>
        <v/>
      </c>
    </row>
    <row r="21">
      <c r="A21" s="5">
        <f>Data!D21</f>
        <v/>
      </c>
      <c r="B21" s="5">
        <f>Data!E21</f>
        <v/>
      </c>
      <c r="C21" s="5">
        <f>LOG10(B21)</f>
        <v/>
      </c>
      <c r="D21" s="5">
        <f>(C21-$G$3)^3</f>
        <v/>
      </c>
    </row>
    <row r="22">
      <c r="A22" s="5">
        <f>Data!D22</f>
        <v/>
      </c>
      <c r="B22" s="5">
        <f>Data!E22</f>
        <v/>
      </c>
      <c r="C22" s="5">
        <f>LOG10(B22)</f>
        <v/>
      </c>
      <c r="D22" s="5">
        <f>(C22-$G$3)^3</f>
        <v/>
      </c>
    </row>
    <row r="23">
      <c r="A23" s="5">
        <f>Data!D23</f>
        <v/>
      </c>
      <c r="B23" s="5">
        <f>Data!E23</f>
        <v/>
      </c>
      <c r="C23" s="5">
        <f>LOG10(B23)</f>
        <v/>
      </c>
      <c r="D23" s="5">
        <f>(C23-$G$3)^3</f>
        <v/>
      </c>
    </row>
    <row r="24">
      <c r="A24" s="5">
        <f>Data!D24</f>
        <v/>
      </c>
      <c r="B24" s="5">
        <f>Data!E24</f>
        <v/>
      </c>
      <c r="C24" s="5">
        <f>LOG10(B24)</f>
        <v/>
      </c>
      <c r="D24" s="5">
        <f>(C24-$G$3)^3</f>
        <v/>
      </c>
    </row>
    <row r="25">
      <c r="A25" s="5">
        <f>Data!D25</f>
        <v/>
      </c>
      <c r="B25" s="5">
        <f>Data!E25</f>
        <v/>
      </c>
      <c r="C25" s="5">
        <f>LOG10(B25)</f>
        <v/>
      </c>
      <c r="D25" s="5">
        <f>(C25-$G$3)^3</f>
        <v/>
      </c>
    </row>
    <row r="26">
      <c r="A26" s="5">
        <f>Data!D26</f>
        <v/>
      </c>
      <c r="B26" s="5">
        <f>Data!E26</f>
        <v/>
      </c>
      <c r="C26" s="5">
        <f>LOG10(B26)</f>
        <v/>
      </c>
      <c r="D26" s="5">
        <f>(C26-$G$3)^3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2026-10-28T07:44:44Z</dcterms:created>
  <dcterms:modified xmlns:dcterms="http://purl.org/dc/terms/" xmlns:xsi="http://www.w3.org/2001/XMLSchema-instance" xsi:type="dcterms:W3CDTF">2026-10-28T07:44:44Z</dcterms:modified>
</cp:coreProperties>
</file>