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Exp_hand" sheetId="3" state="visible" r:id="rId3"/>
    <sheet xmlns:r="http://schemas.openxmlformats.org/officeDocument/2006/relationships" name="Fit_26yr" sheetId="4" state="visible" r:id="rId4"/>
    <sheet xmlns:r="http://schemas.openxmlformats.org/officeDocument/2006/relationships" name="Bivari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Plotting positions i/(n+1) and fitted CDFs</a:t>
            </a:r>
          </a:p>
        </rich>
      </tx>
    </title>
    <plotArea>
      <scatterChart>
        <ser>
          <idx val="0"/>
          <order val="0"/>
          <tx>
            <v>i/(n+1)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'Fit_26yr'!$B$4:$B$29</f>
            </numRef>
          </xVal>
          <yVal>
            <numRef>
              <f>'Fit_26yr'!$C$4:$C$29</f>
            </numRef>
          </yVal>
        </ser>
        <ser>
          <idx val="1"/>
          <order val="1"/>
          <tx>
            <v>exponential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'Fit_26yr'!$B$4:$B$29</f>
            </numRef>
          </xVal>
          <yVal>
            <numRef>
              <f>'Fit_26yr'!$D$4:$D$29</f>
            </numRef>
          </yVal>
        </ser>
        <ser>
          <idx val="2"/>
          <order val="2"/>
          <tx>
            <v>gamma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'Fit_26yr'!$B$4:$B$29</f>
            </numRef>
          </xVal>
          <yVal>
            <numRef>
              <f>'Fit_26yr'!$E$4:$E$29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[mm]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CE524</author>
  </authors>
  <commentList>
    <comment ref="B1" authorId="0" shapeId="0">
      <text>
        <t>January precipitation, synthetic</t>
      </text>
    </comment>
    <comment ref="E1" authorId="0" shapeId="0">
      <text>
        <t>Predictor X_2: model June-September mean</t>
      </text>
    </comment>
    <comment ref="F1" authorId="0" shapeId="0">
      <text>
        <t>Predictand X_1: station mean</t>
      </text>
    </comment>
  </commentList>
</comments>
</file>

<file path=xl/comments/comment2.xml><?xml version="1.0" encoding="utf-8"?>
<comments xmlns="http://schemas.openxmlformats.org/spreadsheetml/2006/main">
  <authors>
    <author>CE524</author>
  </authors>
  <commentList>
    <comment ref="B3" authorId="0" shapeId="0">
      <text>
        <t>Linked to Data!B2:B9</t>
      </text>
    </comment>
    <comment ref="C3" authorId="0" shapeId="0">
      <text>
        <t>x_i minus the sample mean</t>
      </text>
    </comment>
    <comment ref="D3" authorId="0" shapeId="0">
      <text>
        <t>Squared deviation, summed in s2 (Eq. 2.37)</t>
      </text>
    </comment>
    <comment ref="G4" authorId="0" shapeId="0">
      <text>
        <t>Eq. 2.36: sum of x_i divided by n</t>
      </text>
    </comment>
    <comment ref="G5" authorId="0" shapeId="0">
      <text>
        <t>Eq. 2.37: sum of squared deviations divided by n-1</t>
      </text>
    </comment>
    <comment ref="G6" authorId="0" shapeId="0">
      <text>
        <t>Eq. 2.24 and 2.41: MOM and MLE both give x_bar</t>
      </text>
    </comment>
    <comment ref="G7" authorId="0" shapeId="0">
      <text>
        <t>Eq. 2.40 for the exponential pdf: -n ln(alpha) - sum(x_i)/alpha</t>
      </text>
    </comment>
    <comment ref="G8" authorId="0" shapeId="0">
      <text>
        <t>Eq. 2.29: s2 / x_bar</t>
      </text>
    </comment>
    <comment ref="G9" authorId="0" shapeId="0">
      <text>
        <t>Eq. 2.30: x_bar / beta_hat</t>
      </text>
    </comment>
    <comment ref="B18" authorId="0" shapeId="0">
      <text>
        <t>Eq. 2.60: MOD(a + b*x_(j-1), M)</t>
      </text>
    </comment>
    <comment ref="C18" authorId="0" shapeId="0">
      <text>
        <t>Eq. 2.62: x_j / M</t>
      </text>
    </comment>
    <comment ref="D18" authorId="0" shapeId="0">
      <text>
        <t>Eq. 2.66: -alpha_hat * LN(1 - u_j)</t>
      </text>
    </comment>
  </commentList>
</comments>
</file>

<file path=xl/comments/comment3.xml><?xml version="1.0" encoding="utf-8"?>
<comments xmlns="http://schemas.openxmlformats.org/spreadsheetml/2006/main">
  <authors>
    <author>CE524</author>
  </authors>
  <commentList>
    <comment ref="B3" authorId="0" shapeId="0">
      <text>
        <t>SMALL: i-th smallest value</t>
      </text>
    </comment>
    <comment ref="C3" authorId="0" shapeId="0">
      <text>
        <t>Eq. 2.49 plotting position</t>
      </text>
    </comment>
    <comment ref="D3" authorId="0" shapeId="0">
      <text>
        <t>Eq. 2.22 with alpha_hat = x_bar</t>
      </text>
    </comment>
    <comment ref="E3" authorId="0" shapeId="0">
      <text>
        <t>Gamma CDF, Eq. 2.26, with the alpha_hat, beta_hat of the closed-form MLE</t>
      </text>
    </comment>
    <comment ref="F3" authorId="0" shapeId="0">
      <text>
        <t>Natural log of the data in Data order</t>
      </text>
    </comment>
    <comment ref="I5" authorId="0" shapeId="0">
      <text>
        <t>Eq. 2.36</t>
      </text>
    </comment>
    <comment ref="I6" authorId="0" shapeId="0">
      <text>
        <t>Eq. 2.37</t>
      </text>
    </comment>
    <comment ref="I7" authorId="0" shapeId="0">
      <text>
        <t>Eq. 2.41</t>
      </text>
    </comment>
    <comment ref="I9" authorId="0" shapeId="0">
      <text>
        <t>Eq. 2.29</t>
      </text>
    </comment>
    <comment ref="I10" authorId="0" shapeId="0">
      <text>
        <t>Eq. 2.30</t>
      </text>
    </comment>
    <comment ref="I11" authorId="0" shapeId="0">
      <text>
        <t>Right-hand side of the shape equation obtained from Eq. 2.43</t>
      </text>
    </comment>
    <comment ref="I13" authorId="0" shapeId="0">
      <text>
        <t>Greenwood-Durand approximation to the root of Eq. 2.43: (1+SQRT(1+4s/3))/(4s)</t>
      </text>
    </comment>
    <comment ref="I14" authorId="0" shapeId="0">
      <text>
        <t>Eq. 2.42: x_bar / alpha_hat</t>
      </text>
    </comment>
    <comment ref="I15" authorId="0" shapeId="0">
      <text>
        <t>Eq. 2.40 for the gamma pdf</t>
      </text>
    </comment>
    <comment ref="I19" authorId="0" shapeId="0">
      <text>
        <t>Eq. 2.44, rounded to a whole number</t>
      </text>
    </comment>
    <comment ref="I22" authorId="0" shapeId="0">
      <text>
        <t>(x_Up - x_Low) / n_c, see the note at the end of the lecture</t>
      </text>
    </comment>
    <comment ref="K24" authorId="0" shapeId="0">
      <text>
        <t>Count of x_i with lower &lt;= x_i &lt; upper</t>
      </text>
    </comment>
    <comment ref="L24" authorId="0" shapeId="0">
      <text>
        <t>Eq. 2.46: n(i)/n</t>
      </text>
    </comment>
    <comment ref="M24" authorId="0" shapeId="0">
      <text>
        <t>Eq. 2.48: p_hat(i)/delta_x</t>
      </text>
    </comment>
    <comment ref="N24" authorId="0" shapeId="0">
      <text>
        <t>Eq. 2.47: cumulative sum of p_hat</t>
      </text>
    </comment>
  </commentList>
</comments>
</file>

<file path=xl/comments/comment4.xml><?xml version="1.0" encoding="utf-8"?>
<comments xmlns="http://schemas.openxmlformats.org/spreadsheetml/2006/main">
  <authors>
    <author>CE524</author>
  </authors>
  <commentList>
    <comment ref="F3" authorId="0" shapeId="0">
      <text>
        <t>Term of Eq. 2.58</t>
      </text>
    </comment>
    <comment ref="J4" authorId="0" shapeId="0">
      <text>
        <t>Eq. 2.36</t>
      </text>
    </comment>
    <comment ref="J5" authorId="0" shapeId="0">
      <text>
        <t>Eq. 2.36</t>
      </text>
    </comment>
    <comment ref="J6" authorId="0" shapeId="0">
      <text>
        <t>Eq. 2.37, square root</t>
      </text>
    </comment>
    <comment ref="J7" authorId="0" shapeId="0">
      <text>
        <t>Eq. 2.37, square root</t>
      </text>
    </comment>
    <comment ref="J8" authorId="0" shapeId="0">
      <text>
        <t>Eq. 2.58</t>
      </text>
    </comment>
    <comment ref="J9" authorId="0" shapeId="0">
      <text>
        <t>Eq. 2.59</t>
      </text>
    </comment>
    <comment ref="J11" authorId="0" shapeId="0">
      <text>
        <t>mean of Eq. 2.55: mu_1 + rho (sigma_1/sigma_2)(x_2 - mu_2), with estimates</t>
      </text>
    </comment>
    <comment ref="J12" authorId="0" shapeId="0">
      <text>
        <t>sigma_1 * SQRT(1 - rho^2), Eq. 2.55</t>
      </text>
    </comment>
    <comment ref="J13" authorId="0" shapeId="0">
      <text>
        <t>Least-squares slope; equals rho * s_1/s_2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Lecture 17, Statistical background for downscaling: worked examples (all numbers synthetic)</t>
        </is>
      </c>
    </row>
    <row r="2">
      <c r="A2" t="inlineStr">
        <is>
          <t>Symbols follow Lee and Singh (2019), Chapter 2: x_bar, s2 (Eqs. 2.36-2.37), exponential alpha (2.21), gamma alpha, beta (2.25), gamma_12 and rho (2.56-2.59), u and x (2.62, 2.66).</t>
        </is>
      </c>
    </row>
    <row r="3">
      <c r="A3" t="inlineStr">
        <is>
          <t>Blue font = input you may change. Black font = formula. Hover over a bold header or label for a note on its formula.</t>
        </is>
      </c>
    </row>
    <row r="4">
      <c r="A4" t="inlineStr">
        <is>
          <t>Data: January precipitation x_i for 26 years (the first 8 values are the by-hand example) and 40 seasonal temperature pairs (x_1 station, x_2 model).</t>
        </is>
      </c>
    </row>
    <row r="5">
      <c r="A5" t="inlineStr">
        <is>
          <t>Exp_hand: the by-hand problem of the lecture: x_bar, s2, exponential alpha_hat and log-likelihood, gamma by moments, and four inverse-transform draws from a small linear congruential generator.</t>
        </is>
      </c>
    </row>
    <row r="6">
      <c r="A6" t="inlineStr">
        <is>
          <t>Fit_26yr: histogram (n_c, delta_x, n(i), p_hat(i), f_hat(i), F_hat(i)), plotting positions i/(n+1), exponential and gamma fits for all 26 years.</t>
        </is>
      </c>
    </row>
    <row r="7">
      <c r="A7" t="inlineStr">
        <is>
          <t>Bivariate: gamma_hat_12, rho_hat and the conditional normal of X_1 given X_2 = x_2.</t>
        </is>
      </c>
    </row>
    <row r="8">
      <c r="A8" t="inlineStr">
        <is>
          <t>The gamma maximum-likelihood shape has no closed form (Eq. 2.43). The sheet uses the Greenwood-Durand closed-form approximation; the notebook solves Eq. 2.43 exactly and the two agree to about 1 percent.</t>
        </is>
      </c>
    </row>
    <row r="9">
      <c r="A9" t="inlineStr">
        <is>
          <t>To use your own data, paste it into the blue cells of Data (the Fit_26yr ranges cover 26 values; adjust the ranges for a different length).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4" max="4"/>
    <col width="16" customWidth="1" min="5" max="5"/>
    <col width="16" customWidth="1" min="6" max="6"/>
  </cols>
  <sheetData>
    <row r="1">
      <c r="A1" s="2" t="inlineStr">
        <is>
          <t>year</t>
        </is>
      </c>
      <c r="B1" s="2" t="inlineStr">
        <is>
          <t>x_i [mm]</t>
        </is>
      </c>
      <c r="D1" s="2" t="inlineStr">
        <is>
          <t>season</t>
        </is>
      </c>
      <c r="E1" s="2" t="inlineStr">
        <is>
          <t>x_2 model T [degC]</t>
        </is>
      </c>
      <c r="F1" s="2" t="inlineStr">
        <is>
          <t>x_1 station T [degC]</t>
        </is>
      </c>
    </row>
    <row r="2">
      <c r="A2" s="3" t="n">
        <v>1991</v>
      </c>
      <c r="B2" s="3" t="n">
        <v>24</v>
      </c>
      <c r="D2" s="3" t="n">
        <v>1981</v>
      </c>
      <c r="E2" s="3" t="n">
        <v>26.68</v>
      </c>
      <c r="F2" s="3" t="n">
        <v>28.12</v>
      </c>
    </row>
    <row r="3">
      <c r="A3" s="3" t="n">
        <v>1992</v>
      </c>
      <c r="B3" s="3" t="n">
        <v>41</v>
      </c>
      <c r="D3" s="3" t="n">
        <v>1982</v>
      </c>
      <c r="E3" s="3" t="n">
        <v>27.76</v>
      </c>
      <c r="F3" s="3" t="n">
        <v>28.39</v>
      </c>
    </row>
    <row r="4">
      <c r="A4" s="3" t="n">
        <v>1993</v>
      </c>
      <c r="B4" s="3" t="n">
        <v>18</v>
      </c>
      <c r="D4" s="3" t="n">
        <v>1983</v>
      </c>
      <c r="E4" s="3" t="n">
        <v>27.47</v>
      </c>
      <c r="F4" s="3" t="n">
        <v>28.53</v>
      </c>
    </row>
    <row r="5">
      <c r="A5" s="3" t="n">
        <v>1994</v>
      </c>
      <c r="B5" s="3" t="n">
        <v>66</v>
      </c>
      <c r="D5" s="3" t="n">
        <v>1984</v>
      </c>
      <c r="E5" s="3" t="n">
        <v>27.16</v>
      </c>
      <c r="F5" s="3" t="n">
        <v>28.76</v>
      </c>
    </row>
    <row r="6">
      <c r="A6" s="3" t="n">
        <v>1995</v>
      </c>
      <c r="B6" s="3" t="n">
        <v>35</v>
      </c>
      <c r="D6" s="3" t="n">
        <v>1985</v>
      </c>
      <c r="E6" s="3" t="n">
        <v>27.25</v>
      </c>
      <c r="F6" s="3" t="n">
        <v>28.09</v>
      </c>
    </row>
    <row r="7">
      <c r="A7" s="3" t="n">
        <v>1996</v>
      </c>
      <c r="B7" s="3" t="n">
        <v>52</v>
      </c>
      <c r="D7" s="3" t="n">
        <v>1986</v>
      </c>
      <c r="E7" s="3" t="n">
        <v>27.27</v>
      </c>
      <c r="F7" s="3" t="n">
        <v>29.46</v>
      </c>
    </row>
    <row r="8">
      <c r="A8" s="3" t="n">
        <v>1997</v>
      </c>
      <c r="B8" s="3" t="n">
        <v>29</v>
      </c>
      <c r="D8" s="3" t="n">
        <v>1987</v>
      </c>
      <c r="E8" s="3" t="n">
        <v>28.34</v>
      </c>
      <c r="F8" s="3" t="n">
        <v>30.19</v>
      </c>
    </row>
    <row r="9">
      <c r="A9" s="3" t="n">
        <v>1998</v>
      </c>
      <c r="B9" s="3" t="n">
        <v>47</v>
      </c>
      <c r="D9" s="3" t="n">
        <v>1988</v>
      </c>
      <c r="E9" s="3" t="n">
        <v>25.93</v>
      </c>
      <c r="F9" s="3" t="n">
        <v>28.14</v>
      </c>
    </row>
    <row r="10">
      <c r="A10" s="3" t="n">
        <v>1999</v>
      </c>
      <c r="B10" s="3" t="n">
        <v>30.5</v>
      </c>
      <c r="D10" s="3" t="n">
        <v>1989</v>
      </c>
      <c r="E10" s="3" t="n">
        <v>26.57</v>
      </c>
      <c r="F10" s="3" t="n">
        <v>27.67</v>
      </c>
    </row>
    <row r="11">
      <c r="A11" s="3" t="n">
        <v>2000</v>
      </c>
      <c r="B11" s="3" t="n">
        <v>72.8</v>
      </c>
      <c r="D11" s="3" t="n">
        <v>1990</v>
      </c>
      <c r="E11" s="3" t="n">
        <v>25.81</v>
      </c>
      <c r="F11" s="3" t="n">
        <v>28.89</v>
      </c>
    </row>
    <row r="12">
      <c r="A12" s="3" t="n">
        <v>2001</v>
      </c>
      <c r="B12" s="3" t="n">
        <v>38</v>
      </c>
      <c r="D12" s="3" t="n">
        <v>1991</v>
      </c>
      <c r="E12" s="3" t="n">
        <v>26.91</v>
      </c>
      <c r="F12" s="3" t="n">
        <v>29.77</v>
      </c>
    </row>
    <row r="13">
      <c r="A13" s="3" t="n">
        <v>2002</v>
      </c>
      <c r="B13" s="3" t="n">
        <v>53.2</v>
      </c>
      <c r="D13" s="3" t="n">
        <v>1992</v>
      </c>
      <c r="E13" s="3" t="n">
        <v>26.94</v>
      </c>
      <c r="F13" s="3" t="n">
        <v>28.4</v>
      </c>
    </row>
    <row r="14">
      <c r="A14" s="3" t="n">
        <v>2003</v>
      </c>
      <c r="B14" s="3" t="n">
        <v>131.6</v>
      </c>
      <c r="D14" s="3" t="n">
        <v>1993</v>
      </c>
      <c r="E14" s="3" t="n">
        <v>26.66</v>
      </c>
      <c r="F14" s="3" t="n">
        <v>28.62</v>
      </c>
    </row>
    <row r="15">
      <c r="A15" s="3" t="n">
        <v>2004</v>
      </c>
      <c r="B15" s="3" t="n">
        <v>39.3</v>
      </c>
      <c r="D15" s="3" t="n">
        <v>1994</v>
      </c>
      <c r="E15" s="3" t="n">
        <v>27.25</v>
      </c>
      <c r="F15" s="3" t="n">
        <v>29.49</v>
      </c>
    </row>
    <row r="16">
      <c r="A16" s="3" t="n">
        <v>2005</v>
      </c>
      <c r="B16" s="3" t="n">
        <v>34.3</v>
      </c>
      <c r="D16" s="3" t="n">
        <v>1995</v>
      </c>
      <c r="E16" s="3" t="n">
        <v>26.66</v>
      </c>
      <c r="F16" s="3" t="n">
        <v>27.17</v>
      </c>
    </row>
    <row r="17">
      <c r="A17" s="3" t="n">
        <v>2006</v>
      </c>
      <c r="B17" s="3" t="n">
        <v>32</v>
      </c>
      <c r="D17" s="3" t="n">
        <v>1996</v>
      </c>
      <c r="E17" s="3" t="n">
        <v>27.29</v>
      </c>
      <c r="F17" s="3" t="n">
        <v>28.2</v>
      </c>
    </row>
    <row r="18">
      <c r="A18" s="3" t="n">
        <v>2007</v>
      </c>
      <c r="B18" s="3" t="n">
        <v>34.6</v>
      </c>
      <c r="D18" s="3" t="n">
        <v>1997</v>
      </c>
      <c r="E18" s="3" t="n">
        <v>27.36</v>
      </c>
      <c r="F18" s="3" t="n">
        <v>28.4</v>
      </c>
    </row>
    <row r="19">
      <c r="A19" s="3" t="n">
        <v>2008</v>
      </c>
      <c r="B19" s="3" t="n">
        <v>45.5</v>
      </c>
      <c r="D19" s="3" t="n">
        <v>1998</v>
      </c>
      <c r="E19" s="3" t="n">
        <v>29.02</v>
      </c>
      <c r="F19" s="3" t="n">
        <v>30.51</v>
      </c>
    </row>
    <row r="20">
      <c r="A20" s="3" t="n">
        <v>2009</v>
      </c>
      <c r="B20" s="3" t="n">
        <v>31.5</v>
      </c>
      <c r="D20" s="3" t="n">
        <v>1999</v>
      </c>
      <c r="E20" s="3" t="n">
        <v>26.11</v>
      </c>
      <c r="F20" s="3" t="n">
        <v>27.19</v>
      </c>
    </row>
    <row r="21">
      <c r="A21" s="3" t="n">
        <v>2010</v>
      </c>
      <c r="B21" s="3" t="n">
        <v>46.3</v>
      </c>
      <c r="D21" s="3" t="n">
        <v>2000</v>
      </c>
      <c r="E21" s="3" t="n">
        <v>27.03</v>
      </c>
      <c r="F21" s="3" t="n">
        <v>28.95</v>
      </c>
    </row>
    <row r="22">
      <c r="A22" s="3" t="n">
        <v>2011</v>
      </c>
      <c r="B22" s="3" t="n">
        <v>28.6</v>
      </c>
      <c r="D22" s="3" t="n">
        <v>2001</v>
      </c>
      <c r="E22" s="3" t="n">
        <v>28.68</v>
      </c>
      <c r="F22" s="3" t="n">
        <v>29.34</v>
      </c>
    </row>
    <row r="23">
      <c r="A23" s="3" t="n">
        <v>2012</v>
      </c>
      <c r="B23" s="3" t="n">
        <v>68.3</v>
      </c>
      <c r="D23" s="3" t="n">
        <v>2002</v>
      </c>
      <c r="E23" s="3" t="n">
        <v>26.23</v>
      </c>
      <c r="F23" s="3" t="n">
        <v>28.21</v>
      </c>
    </row>
    <row r="24">
      <c r="A24" s="3" t="n">
        <v>2013</v>
      </c>
      <c r="B24" s="3" t="n">
        <v>54.1</v>
      </c>
      <c r="D24" s="3" t="n">
        <v>2003</v>
      </c>
      <c r="E24" s="3" t="n">
        <v>29.53</v>
      </c>
      <c r="F24" s="3" t="n">
        <v>30.63</v>
      </c>
    </row>
    <row r="25">
      <c r="A25" s="3" t="n">
        <v>2014</v>
      </c>
      <c r="B25" s="3" t="n">
        <v>37.3</v>
      </c>
      <c r="D25" s="3" t="n">
        <v>2004</v>
      </c>
      <c r="E25" s="3" t="n">
        <v>27.67</v>
      </c>
      <c r="F25" s="3" t="n">
        <v>30.07</v>
      </c>
    </row>
    <row r="26">
      <c r="A26" s="3" t="n">
        <v>2015</v>
      </c>
      <c r="B26" s="3" t="n">
        <v>42.3</v>
      </c>
      <c r="D26" s="3" t="n">
        <v>2005</v>
      </c>
      <c r="E26" s="3" t="n">
        <v>28.36</v>
      </c>
      <c r="F26" s="3" t="n">
        <v>30.92</v>
      </c>
    </row>
    <row r="27">
      <c r="A27" s="3" t="n">
        <v>2016</v>
      </c>
      <c r="B27" s="3" t="n">
        <v>42.4</v>
      </c>
      <c r="D27" s="3" t="n">
        <v>2006</v>
      </c>
      <c r="E27" s="3" t="n">
        <v>28.49</v>
      </c>
      <c r="F27" s="3" t="n">
        <v>29.84</v>
      </c>
    </row>
    <row r="28">
      <c r="D28" s="3" t="n">
        <v>2007</v>
      </c>
      <c r="E28" s="3" t="n">
        <v>27.04</v>
      </c>
      <c r="F28" s="3" t="n">
        <v>28.71</v>
      </c>
    </row>
    <row r="29">
      <c r="D29" s="3" t="n">
        <v>2008</v>
      </c>
      <c r="E29" s="3" t="n">
        <v>27.78</v>
      </c>
      <c r="F29" s="3" t="n">
        <v>29.28</v>
      </c>
    </row>
    <row r="30">
      <c r="D30" s="3" t="n">
        <v>2009</v>
      </c>
      <c r="E30" s="3" t="n">
        <v>27.04</v>
      </c>
      <c r="F30" s="3" t="n">
        <v>28.21</v>
      </c>
    </row>
    <row r="31">
      <c r="D31" s="3" t="n">
        <v>2010</v>
      </c>
      <c r="E31" s="3" t="n">
        <v>27.6</v>
      </c>
      <c r="F31" s="3" t="n">
        <v>29.89</v>
      </c>
    </row>
    <row r="32">
      <c r="D32" s="3" t="n">
        <v>2011</v>
      </c>
      <c r="E32" s="3" t="n">
        <v>27.68</v>
      </c>
      <c r="F32" s="3" t="n">
        <v>30.54</v>
      </c>
    </row>
    <row r="33">
      <c r="D33" s="3" t="n">
        <v>2012</v>
      </c>
      <c r="E33" s="3" t="n">
        <v>26.96</v>
      </c>
      <c r="F33" s="3" t="n">
        <v>28.49</v>
      </c>
    </row>
    <row r="34">
      <c r="D34" s="3" t="n">
        <v>2013</v>
      </c>
      <c r="E34" s="3" t="n">
        <v>26.93</v>
      </c>
      <c r="F34" s="3" t="n">
        <v>28.19</v>
      </c>
    </row>
    <row r="35">
      <c r="D35" s="3" t="n">
        <v>2014</v>
      </c>
      <c r="E35" s="3" t="n">
        <v>27.57</v>
      </c>
      <c r="F35" s="3" t="n">
        <v>28.81</v>
      </c>
    </row>
    <row r="36">
      <c r="D36" s="3" t="n">
        <v>2015</v>
      </c>
      <c r="E36" s="3" t="n">
        <v>27.12</v>
      </c>
      <c r="F36" s="3" t="n">
        <v>26.69</v>
      </c>
    </row>
    <row r="37">
      <c r="D37" s="3" t="n">
        <v>2016</v>
      </c>
      <c r="E37" s="3" t="n">
        <v>28.09</v>
      </c>
      <c r="F37" s="3" t="n">
        <v>28.77</v>
      </c>
    </row>
    <row r="38">
      <c r="D38" s="3" t="n">
        <v>2017</v>
      </c>
      <c r="E38" s="3" t="n">
        <v>26.03</v>
      </c>
      <c r="F38" s="3" t="n">
        <v>27.43</v>
      </c>
    </row>
    <row r="39">
      <c r="D39" s="3" t="n">
        <v>2018</v>
      </c>
      <c r="E39" s="3" t="n">
        <v>28.64</v>
      </c>
      <c r="F39" s="3" t="n">
        <v>29.8</v>
      </c>
    </row>
    <row r="40">
      <c r="D40" s="3" t="n">
        <v>2019</v>
      </c>
      <c r="E40" s="3" t="n">
        <v>25.42</v>
      </c>
      <c r="F40" s="3" t="n">
        <v>28.14</v>
      </c>
    </row>
    <row r="41">
      <c r="D41" s="3" t="n">
        <v>2020</v>
      </c>
      <c r="E41" s="3" t="n">
        <v>27.54</v>
      </c>
      <c r="F41" s="3" t="n">
        <v>29.89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7" max="7"/>
    <col width="14" customWidth="1" min="8" max="8"/>
  </cols>
  <sheetData>
    <row r="1">
      <c r="A1" s="4" t="inlineStr">
        <is>
          <t>By-hand example: 8 January totals, exponential and gamma fit, inverse-transform draws</t>
        </is>
      </c>
    </row>
    <row r="3">
      <c r="A3" s="2" t="inlineStr">
        <is>
          <t>i</t>
        </is>
      </c>
      <c r="B3" s="2" t="inlineStr">
        <is>
          <t>x_i [mm]</t>
        </is>
      </c>
      <c r="C3" s="2" t="inlineStr">
        <is>
          <t>x_i - x_bar</t>
        </is>
      </c>
      <c r="D3" s="2" t="inlineStr">
        <is>
          <t>(x_i - x_bar)^2</t>
        </is>
      </c>
      <c r="G3" s="5" t="inlineStr">
        <is>
          <t>n</t>
        </is>
      </c>
      <c r="H3">
        <f>COUNT(B4:B11)</f>
        <v/>
      </c>
    </row>
    <row r="4">
      <c r="A4" s="3" t="n">
        <v>1</v>
      </c>
      <c r="B4">
        <f>Data!B2</f>
        <v/>
      </c>
      <c r="C4">
        <f>B4-$H$4</f>
        <v/>
      </c>
      <c r="D4">
        <f>C4^2</f>
        <v/>
      </c>
      <c r="G4" s="5" t="inlineStr">
        <is>
          <t>x_bar [mm]</t>
        </is>
      </c>
      <c r="H4">
        <f>SUM(B4:B11)/H3</f>
        <v/>
      </c>
    </row>
    <row r="5">
      <c r="A5" s="3" t="n">
        <v>2</v>
      </c>
      <c r="B5">
        <f>Data!B3</f>
        <v/>
      </c>
      <c r="C5">
        <f>B5-$H$4</f>
        <v/>
      </c>
      <c r="D5">
        <f>C5^2</f>
        <v/>
      </c>
      <c r="G5" s="5" t="inlineStr">
        <is>
          <t>s2 [mm^2]</t>
        </is>
      </c>
      <c r="H5">
        <f>SUM(D4:D11)/(H3-1)</f>
        <v/>
      </c>
    </row>
    <row r="6">
      <c r="A6" s="3" t="n">
        <v>3</v>
      </c>
      <c r="B6">
        <f>Data!B4</f>
        <v/>
      </c>
      <c r="C6">
        <f>B6-$H$4</f>
        <v/>
      </c>
      <c r="D6">
        <f>C6^2</f>
        <v/>
      </c>
      <c r="G6" s="5" t="inlineStr">
        <is>
          <t>alpha_hat (exponential)</t>
        </is>
      </c>
      <c r="H6">
        <f>H4</f>
        <v/>
      </c>
    </row>
    <row r="7">
      <c r="A7" s="3" t="n">
        <v>4</v>
      </c>
      <c r="B7">
        <f>Data!B5</f>
        <v/>
      </c>
      <c r="C7">
        <f>B7-$H$4</f>
        <v/>
      </c>
      <c r="D7">
        <f>C7^2</f>
        <v/>
      </c>
      <c r="G7" s="5" t="inlineStr">
        <is>
          <t>LL (exponential)</t>
        </is>
      </c>
      <c r="H7">
        <f>-H3*LN(H6)-SUM(B4:B11)/H6</f>
        <v/>
      </c>
    </row>
    <row r="8">
      <c r="A8" s="3" t="n">
        <v>5</v>
      </c>
      <c r="B8">
        <f>Data!B6</f>
        <v/>
      </c>
      <c r="C8">
        <f>B8-$H$4</f>
        <v/>
      </c>
      <c r="D8">
        <f>C8^2</f>
        <v/>
      </c>
      <c r="G8" s="5" t="inlineStr">
        <is>
          <t>beta_hat (gamma, MOM)</t>
        </is>
      </c>
      <c r="H8">
        <f>H5/H4</f>
        <v/>
      </c>
    </row>
    <row r="9">
      <c r="A9" s="3" t="n">
        <v>6</v>
      </c>
      <c r="B9">
        <f>Data!B7</f>
        <v/>
      </c>
      <c r="C9">
        <f>B9-$H$4</f>
        <v/>
      </c>
      <c r="D9">
        <f>C9^2</f>
        <v/>
      </c>
      <c r="G9" s="5" t="inlineStr">
        <is>
          <t>alpha_hat (gamma, MOM)</t>
        </is>
      </c>
      <c r="H9">
        <f>H4/H8</f>
        <v/>
      </c>
    </row>
    <row r="10">
      <c r="A10" s="3" t="n">
        <v>7</v>
      </c>
      <c r="B10">
        <f>Data!B8</f>
        <v/>
      </c>
      <c r="C10">
        <f>B10-$H$4</f>
        <v/>
      </c>
      <c r="D10">
        <f>C10^2</f>
        <v/>
      </c>
    </row>
    <row r="11">
      <c r="A11" s="3" t="n">
        <v>8</v>
      </c>
      <c r="B11">
        <f>Data!B9</f>
        <v/>
      </c>
      <c r="C11">
        <f>B11-$H$4</f>
        <v/>
      </c>
      <c r="D11">
        <f>C11^2</f>
        <v/>
      </c>
    </row>
    <row r="12">
      <c r="G12" s="5" t="inlineStr">
        <is>
          <t>Linear congruential generator, Eq. 2.60</t>
        </is>
      </c>
    </row>
    <row r="13">
      <c r="G13" s="5" t="inlineStr">
        <is>
          <t>a (increment)</t>
        </is>
      </c>
      <c r="H13" s="3" t="n">
        <v>3</v>
      </c>
    </row>
    <row r="14">
      <c r="G14" s="5" t="inlineStr">
        <is>
          <t>b (multiplier)</t>
        </is>
      </c>
      <c r="H14" s="3" t="n">
        <v>5</v>
      </c>
    </row>
    <row r="15">
      <c r="G15" s="5" t="inlineStr">
        <is>
          <t>M</t>
        </is>
      </c>
      <c r="H15" s="3" t="n">
        <v>16</v>
      </c>
    </row>
    <row r="16">
      <c r="G16" s="5" t="inlineStr">
        <is>
          <t>x_0 (seed)</t>
        </is>
      </c>
      <c r="H16" s="3" t="n">
        <v>7</v>
      </c>
    </row>
    <row r="18">
      <c r="A18" s="2" t="inlineStr">
        <is>
          <t>j</t>
        </is>
      </c>
      <c r="B18" s="2" t="inlineStr">
        <is>
          <t>x_j (integer)</t>
        </is>
      </c>
      <c r="C18" s="2" t="inlineStr">
        <is>
          <t>u_j</t>
        </is>
      </c>
      <c r="D18" s="2" t="inlineStr">
        <is>
          <t>x draw [mm]</t>
        </is>
      </c>
    </row>
    <row r="19">
      <c r="A19" s="3" t="n">
        <v>0</v>
      </c>
      <c r="B19">
        <f>H16</f>
        <v/>
      </c>
    </row>
    <row r="20">
      <c r="A20" s="3" t="n">
        <v>1</v>
      </c>
      <c r="B20">
        <f>MOD($H$13+$H$14*B19,$H$15)</f>
        <v/>
      </c>
      <c r="C20">
        <f>B20/$H$15</f>
        <v/>
      </c>
      <c r="D20">
        <f>-$H$6*LN(1-C20)</f>
        <v/>
      </c>
    </row>
    <row r="21">
      <c r="A21" s="3" t="n">
        <v>2</v>
      </c>
      <c r="B21">
        <f>MOD($H$13+$H$14*B20,$H$15)</f>
        <v/>
      </c>
      <c r="C21">
        <f>B21/$H$15</f>
        <v/>
      </c>
      <c r="D21">
        <f>-$H$6*LN(1-C21)</f>
        <v/>
      </c>
    </row>
    <row r="22">
      <c r="A22" s="3" t="n">
        <v>3</v>
      </c>
      <c r="B22">
        <f>MOD($H$13+$H$14*B21,$H$15)</f>
        <v/>
      </c>
      <c r="C22">
        <f>B22/$H$15</f>
        <v/>
      </c>
      <c r="D22">
        <f>-$H$6*LN(1-C22)</f>
        <v/>
      </c>
    </row>
    <row r="23">
      <c r="A23" s="3" t="n">
        <v>4</v>
      </c>
      <c r="B23">
        <f>MOD($H$13+$H$14*B22,$H$15)</f>
        <v/>
      </c>
      <c r="C23">
        <f>B23/$H$15</f>
        <v/>
      </c>
      <c r="D23">
        <f>-$H$6*LN(1-C23)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4" t="inlineStr">
        <is>
          <t>26 January totals: exponential and gamma fits, plotting positions and histogram</t>
        </is>
      </c>
    </row>
    <row r="3">
      <c r="A3" s="2" t="inlineStr">
        <is>
          <t>i</t>
        </is>
      </c>
      <c r="B3" s="2" t="inlineStr">
        <is>
          <t>x_(i) [mm]</t>
        </is>
      </c>
      <c r="C3" s="2" t="inlineStr">
        <is>
          <t>i/(n+1)</t>
        </is>
      </c>
      <c r="D3" s="2" t="inlineStr">
        <is>
          <t>F_E(x_(i))</t>
        </is>
      </c>
      <c r="E3" s="2" t="inlineStr">
        <is>
          <t>F_G(x_(i))</t>
        </is>
      </c>
      <c r="F3" s="2" t="inlineStr">
        <is>
          <t>ln x_i</t>
        </is>
      </c>
    </row>
    <row r="4">
      <c r="A4" s="3" t="n">
        <v>1</v>
      </c>
      <c r="B4">
        <f>SMALL(Data!$B$2:$B$27,A4)</f>
        <v/>
      </c>
      <c r="C4">
        <f>A4/($J$4+1)</f>
        <v/>
      </c>
      <c r="D4">
        <f>1-EXP(-B4/$J$7)</f>
        <v/>
      </c>
      <c r="E4">
        <f>GAMMA.DIST(B4,$J$13,$J$14,TRUE)</f>
        <v/>
      </c>
      <c r="F4">
        <f>LN(Data!B2)</f>
        <v/>
      </c>
      <c r="I4" s="5" t="inlineStr">
        <is>
          <t>n</t>
        </is>
      </c>
      <c r="J4">
        <f>COUNT(Data!$B$2:$B$27)</f>
        <v/>
      </c>
    </row>
    <row r="5">
      <c r="A5" s="3" t="n">
        <v>2</v>
      </c>
      <c r="B5">
        <f>SMALL(Data!$B$2:$B$27,A5)</f>
        <v/>
      </c>
      <c r="C5">
        <f>A5/($J$4+1)</f>
        <v/>
      </c>
      <c r="D5">
        <f>1-EXP(-B5/$J$7)</f>
        <v/>
      </c>
      <c r="E5">
        <f>GAMMA.DIST(B5,$J$13,$J$14,TRUE)</f>
        <v/>
      </c>
      <c r="F5">
        <f>LN(Data!B3)</f>
        <v/>
      </c>
      <c r="I5" s="5" t="inlineStr">
        <is>
          <t>x_bar [mm]</t>
        </is>
      </c>
      <c r="J5">
        <f>SUM(Data!$B$2:$B$27)/J4</f>
        <v/>
      </c>
    </row>
    <row r="6">
      <c r="A6" s="3" t="n">
        <v>3</v>
      </c>
      <c r="B6">
        <f>SMALL(Data!$B$2:$B$27,A6)</f>
        <v/>
      </c>
      <c r="C6">
        <f>A6/($J$4+1)</f>
        <v/>
      </c>
      <c r="D6">
        <f>1-EXP(-B6/$J$7)</f>
        <v/>
      </c>
      <c r="E6">
        <f>GAMMA.DIST(B6,$J$13,$J$14,TRUE)</f>
        <v/>
      </c>
      <c r="F6">
        <f>LN(Data!B4)</f>
        <v/>
      </c>
      <c r="I6" s="5" t="inlineStr">
        <is>
          <t>s2 [mm^2]</t>
        </is>
      </c>
      <c r="J6">
        <f>SUMPRODUCT((Data!$B$2:$B$27-J5)^2)/(J4-1)</f>
        <v/>
      </c>
    </row>
    <row r="7">
      <c r="A7" s="3" t="n">
        <v>4</v>
      </c>
      <c r="B7">
        <f>SMALL(Data!$B$2:$B$27,A7)</f>
        <v/>
      </c>
      <c r="C7">
        <f>A7/($J$4+1)</f>
        <v/>
      </c>
      <c r="D7">
        <f>1-EXP(-B7/$J$7)</f>
        <v/>
      </c>
      <c r="E7">
        <f>GAMMA.DIST(B7,$J$13,$J$14,TRUE)</f>
        <v/>
      </c>
      <c r="F7">
        <f>LN(Data!B5)</f>
        <v/>
      </c>
      <c r="I7" s="5" t="inlineStr">
        <is>
          <t>alpha_hat (exponential)</t>
        </is>
      </c>
      <c r="J7">
        <f>J5</f>
        <v/>
      </c>
    </row>
    <row r="8">
      <c r="A8" s="3" t="n">
        <v>5</v>
      </c>
      <c r="B8">
        <f>SMALL(Data!$B$2:$B$27,A8)</f>
        <v/>
      </c>
      <c r="C8">
        <f>A8/($J$4+1)</f>
        <v/>
      </c>
      <c r="D8">
        <f>1-EXP(-B8/$J$7)</f>
        <v/>
      </c>
      <c r="E8">
        <f>GAMMA.DIST(B8,$J$13,$J$14,TRUE)</f>
        <v/>
      </c>
      <c r="F8">
        <f>LN(Data!B6)</f>
        <v/>
      </c>
      <c r="I8" s="5" t="inlineStr">
        <is>
          <t>LL (exponential)</t>
        </is>
      </c>
      <c r="J8">
        <f>-J4*LN(J7)-SUM(Data!$B$2:$B$27)/J7</f>
        <v/>
      </c>
    </row>
    <row r="9">
      <c r="A9" s="3" t="n">
        <v>6</v>
      </c>
      <c r="B9">
        <f>SMALL(Data!$B$2:$B$27,A9)</f>
        <v/>
      </c>
      <c r="C9">
        <f>A9/($J$4+1)</f>
        <v/>
      </c>
      <c r="D9">
        <f>1-EXP(-B9/$J$7)</f>
        <v/>
      </c>
      <c r="E9">
        <f>GAMMA.DIST(B9,$J$13,$J$14,TRUE)</f>
        <v/>
      </c>
      <c r="F9">
        <f>LN(Data!B7)</f>
        <v/>
      </c>
      <c r="I9" s="5" t="inlineStr">
        <is>
          <t>beta_hat (gamma, MOM)</t>
        </is>
      </c>
      <c r="J9">
        <f>J6/J5</f>
        <v/>
      </c>
    </row>
    <row r="10">
      <c r="A10" s="3" t="n">
        <v>7</v>
      </c>
      <c r="B10">
        <f>SMALL(Data!$B$2:$B$27,A10)</f>
        <v/>
      </c>
      <c r="C10">
        <f>A10/($J$4+1)</f>
        <v/>
      </c>
      <c r="D10">
        <f>1-EXP(-B10/$J$7)</f>
        <v/>
      </c>
      <c r="E10">
        <f>GAMMA.DIST(B10,$J$13,$J$14,TRUE)</f>
        <v/>
      </c>
      <c r="F10">
        <f>LN(Data!B8)</f>
        <v/>
      </c>
      <c r="I10" s="5" t="inlineStr">
        <is>
          <t>alpha_hat (gamma, MOM)</t>
        </is>
      </c>
      <c r="J10">
        <f>J5/J9</f>
        <v/>
      </c>
    </row>
    <row r="11">
      <c r="A11" s="3" t="n">
        <v>8</v>
      </c>
      <c r="B11">
        <f>SMALL(Data!$B$2:$B$27,A11)</f>
        <v/>
      </c>
      <c r="C11">
        <f>A11/($J$4+1)</f>
        <v/>
      </c>
      <c r="D11">
        <f>1-EXP(-B11/$J$7)</f>
        <v/>
      </c>
      <c r="E11">
        <f>GAMMA.DIST(B11,$J$13,$J$14,TRUE)</f>
        <v/>
      </c>
      <c r="F11">
        <f>LN(Data!B9)</f>
        <v/>
      </c>
      <c r="I11" s="5" t="inlineStr">
        <is>
          <t>s = ln(x_bar) - mean(ln x_i)</t>
        </is>
      </c>
      <c r="J11">
        <f>LN(J5)-AVERAGE(F4:F29)</f>
        <v/>
      </c>
    </row>
    <row r="12">
      <c r="A12" s="3" t="n">
        <v>9</v>
      </c>
      <c r="B12">
        <f>SMALL(Data!$B$2:$B$27,A12)</f>
        <v/>
      </c>
      <c r="C12">
        <f>A12/($J$4+1)</f>
        <v/>
      </c>
      <c r="D12">
        <f>1-EXP(-B12/$J$7)</f>
        <v/>
      </c>
      <c r="E12">
        <f>GAMMA.DIST(B12,$J$13,$J$14,TRUE)</f>
        <v/>
      </c>
      <c r="F12">
        <f>LN(Data!B10)</f>
        <v/>
      </c>
    </row>
    <row r="13">
      <c r="A13" s="3" t="n">
        <v>10</v>
      </c>
      <c r="B13">
        <f>SMALL(Data!$B$2:$B$27,A13)</f>
        <v/>
      </c>
      <c r="C13">
        <f>A13/($J$4+1)</f>
        <v/>
      </c>
      <c r="D13">
        <f>1-EXP(-B13/$J$7)</f>
        <v/>
      </c>
      <c r="E13">
        <f>GAMMA.DIST(B13,$J$13,$J$14,TRUE)</f>
        <v/>
      </c>
      <c r="F13">
        <f>LN(Data!B11)</f>
        <v/>
      </c>
      <c r="I13" s="5" t="inlineStr">
        <is>
          <t>alpha_hat (gamma, MLE approx.)</t>
        </is>
      </c>
      <c r="J13">
        <f>(1+SQRT(1+4*J11/3))/(4*J11)</f>
        <v/>
      </c>
    </row>
    <row r="14">
      <c r="A14" s="3" t="n">
        <v>11</v>
      </c>
      <c r="B14">
        <f>SMALL(Data!$B$2:$B$27,A14)</f>
        <v/>
      </c>
      <c r="C14">
        <f>A14/($J$4+1)</f>
        <v/>
      </c>
      <c r="D14">
        <f>1-EXP(-B14/$J$7)</f>
        <v/>
      </c>
      <c r="E14">
        <f>GAMMA.DIST(B14,$J$13,$J$14,TRUE)</f>
        <v/>
      </c>
      <c r="F14">
        <f>LN(Data!B12)</f>
        <v/>
      </c>
      <c r="I14" s="5" t="inlineStr">
        <is>
          <t>beta_hat (gamma, MLE)</t>
        </is>
      </c>
      <c r="J14">
        <f>J5/J13</f>
        <v/>
      </c>
    </row>
    <row r="15">
      <c r="A15" s="3" t="n">
        <v>12</v>
      </c>
      <c r="B15">
        <f>SMALL(Data!$B$2:$B$27,A15)</f>
        <v/>
      </c>
      <c r="C15">
        <f>A15/($J$4+1)</f>
        <v/>
      </c>
      <c r="D15">
        <f>1-EXP(-B15/$J$7)</f>
        <v/>
      </c>
      <c r="E15">
        <f>GAMMA.DIST(B15,$J$13,$J$14,TRUE)</f>
        <v/>
      </c>
      <c r="F15">
        <f>LN(Data!B13)</f>
        <v/>
      </c>
      <c r="I15" s="5" t="inlineStr">
        <is>
          <t>LL (gamma, MLE approx.)</t>
        </is>
      </c>
      <c r="J15">
        <f>-J4*GAMMALN(J13)-J4*J13*LN(J14)+(J13-1)*SUM(F4:F29)-SUM(Data!$B$2:$B$27)/J14</f>
        <v/>
      </c>
    </row>
    <row r="16">
      <c r="A16" s="3" t="n">
        <v>13</v>
      </c>
      <c r="B16">
        <f>SMALL(Data!$B$2:$B$27,A16)</f>
        <v/>
      </c>
      <c r="C16">
        <f>A16/($J$4+1)</f>
        <v/>
      </c>
      <c r="D16">
        <f>1-EXP(-B16/$J$7)</f>
        <v/>
      </c>
      <c r="E16">
        <f>GAMMA.DIST(B16,$J$13,$J$14,TRUE)</f>
        <v/>
      </c>
      <c r="F16">
        <f>LN(Data!B14)</f>
        <v/>
      </c>
    </row>
    <row r="17">
      <c r="A17" s="3" t="n">
        <v>14</v>
      </c>
      <c r="B17">
        <f>SMALL(Data!$B$2:$B$27,A17)</f>
        <v/>
      </c>
      <c r="C17">
        <f>A17/($J$4+1)</f>
        <v/>
      </c>
      <c r="D17">
        <f>1-EXP(-B17/$J$7)</f>
        <v/>
      </c>
      <c r="E17">
        <f>GAMMA.DIST(B17,$J$13,$J$14,TRUE)</f>
        <v/>
      </c>
      <c r="F17">
        <f>LN(Data!B15)</f>
        <v/>
      </c>
    </row>
    <row r="18">
      <c r="A18" s="3" t="n">
        <v>15</v>
      </c>
      <c r="B18">
        <f>SMALL(Data!$B$2:$B$27,A18)</f>
        <v/>
      </c>
      <c r="C18">
        <f>A18/($J$4+1)</f>
        <v/>
      </c>
      <c r="D18">
        <f>1-EXP(-B18/$J$7)</f>
        <v/>
      </c>
      <c r="E18">
        <f>GAMMA.DIST(B18,$J$13,$J$14,TRUE)</f>
        <v/>
      </c>
      <c r="F18">
        <f>LN(Data!B16)</f>
        <v/>
      </c>
      <c r="I18" s="5" t="inlineStr">
        <is>
          <t>Histogram (Eqs. 2.44-2.48)</t>
        </is>
      </c>
    </row>
    <row r="19">
      <c r="A19" s="3" t="n">
        <v>16</v>
      </c>
      <c r="B19">
        <f>SMALL(Data!$B$2:$B$27,A19)</f>
        <v/>
      </c>
      <c r="C19">
        <f>A19/($J$4+1)</f>
        <v/>
      </c>
      <c r="D19">
        <f>1-EXP(-B19/$J$7)</f>
        <v/>
      </c>
      <c r="E19">
        <f>GAMMA.DIST(B19,$J$13,$J$14,TRUE)</f>
        <v/>
      </c>
      <c r="F19">
        <f>LN(Data!B17)</f>
        <v/>
      </c>
      <c r="I19" s="5" t="inlineStr">
        <is>
          <t>n_c = 1 + 3.3 log10 n</t>
        </is>
      </c>
      <c r="J19">
        <f>ROUND(1+3.3*LOG10(J4),0)</f>
        <v/>
      </c>
    </row>
    <row r="20">
      <c r="A20" s="3" t="n">
        <v>17</v>
      </c>
      <c r="B20">
        <f>SMALL(Data!$B$2:$B$27,A20)</f>
        <v/>
      </c>
      <c r="C20">
        <f>A20/($J$4+1)</f>
        <v/>
      </c>
      <c r="D20">
        <f>1-EXP(-B20/$J$7)</f>
        <v/>
      </c>
      <c r="E20">
        <f>GAMMA.DIST(B20,$J$13,$J$14,TRUE)</f>
        <v/>
      </c>
      <c r="F20">
        <f>LN(Data!B18)</f>
        <v/>
      </c>
      <c r="I20" s="5" t="inlineStr">
        <is>
          <t>x_Low [mm]</t>
        </is>
      </c>
      <c r="J20" s="3" t="n">
        <v>10</v>
      </c>
    </row>
    <row r="21">
      <c r="A21" s="3" t="n">
        <v>18</v>
      </c>
      <c r="B21">
        <f>SMALL(Data!$B$2:$B$27,A21)</f>
        <v/>
      </c>
      <c r="C21">
        <f>A21/($J$4+1)</f>
        <v/>
      </c>
      <c r="D21">
        <f>1-EXP(-B21/$J$7)</f>
        <v/>
      </c>
      <c r="E21">
        <f>GAMMA.DIST(B21,$J$13,$J$14,TRUE)</f>
        <v/>
      </c>
      <c r="F21">
        <f>LN(Data!B19)</f>
        <v/>
      </c>
      <c r="I21" s="5" t="inlineStr">
        <is>
          <t>x_Up [mm]</t>
        </is>
      </c>
      <c r="J21" s="3" t="n">
        <v>136</v>
      </c>
    </row>
    <row r="22">
      <c r="A22" s="3" t="n">
        <v>19</v>
      </c>
      <c r="B22">
        <f>SMALL(Data!$B$2:$B$27,A22)</f>
        <v/>
      </c>
      <c r="C22">
        <f>A22/($J$4+1)</f>
        <v/>
      </c>
      <c r="D22">
        <f>1-EXP(-B22/$J$7)</f>
        <v/>
      </c>
      <c r="E22">
        <f>GAMMA.DIST(B22,$J$13,$J$14,TRUE)</f>
        <v/>
      </c>
      <c r="F22">
        <f>LN(Data!B20)</f>
        <v/>
      </c>
      <c r="I22" s="5" t="inlineStr">
        <is>
          <t>delta_x [mm]</t>
        </is>
      </c>
      <c r="J22">
        <f>(J21-J20)/J19</f>
        <v/>
      </c>
    </row>
    <row r="23">
      <c r="A23" s="3" t="n">
        <v>20</v>
      </c>
      <c r="B23">
        <f>SMALL(Data!$B$2:$B$27,A23)</f>
        <v/>
      </c>
      <c r="C23">
        <f>A23/($J$4+1)</f>
        <v/>
      </c>
      <c r="D23">
        <f>1-EXP(-B23/$J$7)</f>
        <v/>
      </c>
      <c r="E23">
        <f>GAMMA.DIST(B23,$J$13,$J$14,TRUE)</f>
        <v/>
      </c>
      <c r="F23">
        <f>LN(Data!B21)</f>
        <v/>
      </c>
    </row>
    <row r="24">
      <c r="A24" s="3" t="n">
        <v>21</v>
      </c>
      <c r="B24">
        <f>SMALL(Data!$B$2:$B$27,A24)</f>
        <v/>
      </c>
      <c r="C24">
        <f>A24/($J$4+1)</f>
        <v/>
      </c>
      <c r="D24">
        <f>1-EXP(-B24/$J$7)</f>
        <v/>
      </c>
      <c r="E24">
        <f>GAMMA.DIST(B24,$J$13,$J$14,TRUE)</f>
        <v/>
      </c>
      <c r="F24">
        <f>LN(Data!B22)</f>
        <v/>
      </c>
      <c r="I24" s="2" t="inlineStr">
        <is>
          <t>bin lower edge</t>
        </is>
      </c>
      <c r="J24" s="2" t="inlineStr">
        <is>
          <t>bin upper edge</t>
        </is>
      </c>
      <c r="K24" s="2" t="inlineStr">
        <is>
          <t>n(i)</t>
        </is>
      </c>
      <c r="L24" s="2" t="inlineStr">
        <is>
          <t>p_hat(i)</t>
        </is>
      </c>
      <c r="M24" s="2" t="inlineStr">
        <is>
          <t>f_hat(i) [1/mm]</t>
        </is>
      </c>
      <c r="N24" s="2" t="inlineStr">
        <is>
          <t>F_hat(i)</t>
        </is>
      </c>
    </row>
    <row r="25">
      <c r="A25" s="3" t="n">
        <v>22</v>
      </c>
      <c r="B25">
        <f>SMALL(Data!$B$2:$B$27,A25)</f>
        <v/>
      </c>
      <c r="C25">
        <f>A25/($J$4+1)</f>
        <v/>
      </c>
      <c r="D25">
        <f>1-EXP(-B25/$J$7)</f>
        <v/>
      </c>
      <c r="E25">
        <f>GAMMA.DIST(B25,$J$13,$J$14,TRUE)</f>
        <v/>
      </c>
      <c r="F25">
        <f>LN(Data!B23)</f>
        <v/>
      </c>
      <c r="I25">
        <f>$J$20</f>
        <v/>
      </c>
      <c r="J25">
        <f>I25+$J$22</f>
        <v/>
      </c>
      <c r="K25">
        <f>COUNTIFS(Data!$B$2:$B$27,"&gt;="&amp;I25,Data!$B$2:$B$27,"&lt;"&amp;J25)</f>
        <v/>
      </c>
      <c r="L25">
        <f>K25/$J$4</f>
        <v/>
      </c>
      <c r="M25">
        <f>L25/$J$22</f>
        <v/>
      </c>
      <c r="N25">
        <f>L25</f>
        <v/>
      </c>
    </row>
    <row r="26">
      <c r="A26" s="3" t="n">
        <v>23</v>
      </c>
      <c r="B26">
        <f>SMALL(Data!$B$2:$B$27,A26)</f>
        <v/>
      </c>
      <c r="C26">
        <f>A26/($J$4+1)</f>
        <v/>
      </c>
      <c r="D26">
        <f>1-EXP(-B26/$J$7)</f>
        <v/>
      </c>
      <c r="E26">
        <f>GAMMA.DIST(B26,$J$13,$J$14,TRUE)</f>
        <v/>
      </c>
      <c r="F26">
        <f>LN(Data!B24)</f>
        <v/>
      </c>
      <c r="I26">
        <f>J25</f>
        <v/>
      </c>
      <c r="J26">
        <f>I26+$J$22</f>
        <v/>
      </c>
      <c r="K26">
        <f>COUNTIFS(Data!$B$2:$B$27,"&gt;="&amp;I26,Data!$B$2:$B$27,"&lt;"&amp;J26)</f>
        <v/>
      </c>
      <c r="L26">
        <f>K26/$J$4</f>
        <v/>
      </c>
      <c r="M26">
        <f>L26/$J$22</f>
        <v/>
      </c>
      <c r="N26">
        <f>N25+L26</f>
        <v/>
      </c>
    </row>
    <row r="27">
      <c r="A27" s="3" t="n">
        <v>24</v>
      </c>
      <c r="B27">
        <f>SMALL(Data!$B$2:$B$27,A27)</f>
        <v/>
      </c>
      <c r="C27">
        <f>A27/($J$4+1)</f>
        <v/>
      </c>
      <c r="D27">
        <f>1-EXP(-B27/$J$7)</f>
        <v/>
      </c>
      <c r="E27">
        <f>GAMMA.DIST(B27,$J$13,$J$14,TRUE)</f>
        <v/>
      </c>
      <c r="F27">
        <f>LN(Data!B25)</f>
        <v/>
      </c>
      <c r="I27">
        <f>J26</f>
        <v/>
      </c>
      <c r="J27">
        <f>I27+$J$22</f>
        <v/>
      </c>
      <c r="K27">
        <f>COUNTIFS(Data!$B$2:$B$27,"&gt;="&amp;I27,Data!$B$2:$B$27,"&lt;"&amp;J27)</f>
        <v/>
      </c>
      <c r="L27">
        <f>K27/$J$4</f>
        <v/>
      </c>
      <c r="M27">
        <f>L27/$J$22</f>
        <v/>
      </c>
      <c r="N27">
        <f>N26+L27</f>
        <v/>
      </c>
    </row>
    <row r="28">
      <c r="A28" s="3" t="n">
        <v>25</v>
      </c>
      <c r="B28">
        <f>SMALL(Data!$B$2:$B$27,A28)</f>
        <v/>
      </c>
      <c r="C28">
        <f>A28/($J$4+1)</f>
        <v/>
      </c>
      <c r="D28">
        <f>1-EXP(-B28/$J$7)</f>
        <v/>
      </c>
      <c r="E28">
        <f>GAMMA.DIST(B28,$J$13,$J$14,TRUE)</f>
        <v/>
      </c>
      <c r="F28">
        <f>LN(Data!B26)</f>
        <v/>
      </c>
      <c r="I28">
        <f>J27</f>
        <v/>
      </c>
      <c r="J28">
        <f>I28+$J$22</f>
        <v/>
      </c>
      <c r="K28">
        <f>COUNTIFS(Data!$B$2:$B$27,"&gt;="&amp;I28,Data!$B$2:$B$27,"&lt;"&amp;J28)</f>
        <v/>
      </c>
      <c r="L28">
        <f>K28/$J$4</f>
        <v/>
      </c>
      <c r="M28">
        <f>L28/$J$22</f>
        <v/>
      </c>
      <c r="N28">
        <f>N27+L28</f>
        <v/>
      </c>
    </row>
    <row r="29">
      <c r="A29" s="3" t="n">
        <v>26</v>
      </c>
      <c r="B29">
        <f>SMALL(Data!$B$2:$B$27,A29)</f>
        <v/>
      </c>
      <c r="C29">
        <f>A29/($J$4+1)</f>
        <v/>
      </c>
      <c r="D29">
        <f>1-EXP(-B29/$J$7)</f>
        <v/>
      </c>
      <c r="E29">
        <f>GAMMA.DIST(B29,$J$13,$J$14,TRUE)</f>
        <v/>
      </c>
      <c r="F29">
        <f>LN(Data!B27)</f>
        <v/>
      </c>
      <c r="I29">
        <f>J28</f>
        <v/>
      </c>
      <c r="J29">
        <f>I29+$J$22</f>
        <v/>
      </c>
      <c r="K29">
        <f>COUNTIFS(Data!$B$2:$B$27,"&gt;="&amp;I29,Data!$B$2:$B$27,"&lt;"&amp;J29)</f>
        <v/>
      </c>
      <c r="L29">
        <f>K29/$J$4</f>
        <v/>
      </c>
      <c r="M29">
        <f>L29/$J$22</f>
        <v/>
      </c>
      <c r="N29">
        <f>N28+L29</f>
        <v/>
      </c>
    </row>
    <row r="30">
      <c r="I30">
        <f>J29</f>
        <v/>
      </c>
      <c r="J30">
        <f>I30+$J$22</f>
        <v/>
      </c>
      <c r="K30">
        <f>COUNTIFS(Data!$B$2:$B$27,"&gt;="&amp;I30,Data!$B$2:$B$27,"&lt;"&amp;J30)</f>
        <v/>
      </c>
      <c r="L30">
        <f>K30/$J$4</f>
        <v/>
      </c>
      <c r="M30">
        <f>L30/$J$22</f>
        <v/>
      </c>
      <c r="N30">
        <f>N29+L30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4" customWidth="1" min="10" max="10"/>
    <col width="15" customWidth="1" min="11" max="11"/>
  </cols>
  <sheetData>
    <row r="1">
      <c r="A1" s="4" t="inlineStr">
        <is>
          <t>Bivariate normal: X_1 (station T) given X_2 (model T), Eqs. 2.55-2.59</t>
        </is>
      </c>
    </row>
    <row r="3">
      <c r="A3" s="2" t="inlineStr">
        <is>
          <t>i</t>
        </is>
      </c>
      <c r="B3" s="2" t="inlineStr">
        <is>
          <t>x_1,i</t>
        </is>
      </c>
      <c r="C3" s="2" t="inlineStr">
        <is>
          <t>x_2,i</t>
        </is>
      </c>
      <c r="D3" s="2" t="inlineStr">
        <is>
          <t>x_1,i - x_bar_1</t>
        </is>
      </c>
      <c r="E3" s="2" t="inlineStr">
        <is>
          <t>x_2,i - x_bar_2</t>
        </is>
      </c>
      <c r="F3" s="2" t="inlineStr">
        <is>
          <t>(x_1,i - x_bar_1)(x_2,i - x_bar_2)</t>
        </is>
      </c>
      <c r="G3" s="2" t="inlineStr">
        <is>
          <t>(x_1,i - x_bar_1)^2</t>
        </is>
      </c>
      <c r="H3" s="2" t="inlineStr">
        <is>
          <t>(x_2,i - x_bar_2)^2</t>
        </is>
      </c>
      <c r="J3" s="5" t="inlineStr">
        <is>
          <t>n</t>
        </is>
      </c>
      <c r="K3">
        <f>COUNT(B4:B43)</f>
        <v/>
      </c>
    </row>
    <row r="4">
      <c r="A4" s="3" t="n">
        <v>1</v>
      </c>
      <c r="B4">
        <f>Data!F2</f>
        <v/>
      </c>
      <c r="C4">
        <f>Data!E2</f>
        <v/>
      </c>
      <c r="D4">
        <f>B4-$K$4</f>
        <v/>
      </c>
      <c r="E4">
        <f>C4-$K$5</f>
        <v/>
      </c>
      <c r="F4">
        <f>D4*E4</f>
        <v/>
      </c>
      <c r="G4">
        <f>D4^2</f>
        <v/>
      </c>
      <c r="H4">
        <f>E4^2</f>
        <v/>
      </c>
      <c r="J4" s="5" t="inlineStr">
        <is>
          <t>x_bar_1 [degC]</t>
        </is>
      </c>
      <c r="K4">
        <f>SUM(B4:B43)/K3</f>
        <v/>
      </c>
    </row>
    <row r="5">
      <c r="A5" s="3" t="n">
        <v>2</v>
      </c>
      <c r="B5">
        <f>Data!F3</f>
        <v/>
      </c>
      <c r="C5">
        <f>Data!E3</f>
        <v/>
      </c>
      <c r="D5">
        <f>B5-$K$4</f>
        <v/>
      </c>
      <c r="E5">
        <f>C5-$K$5</f>
        <v/>
      </c>
      <c r="F5">
        <f>D5*E5</f>
        <v/>
      </c>
      <c r="G5">
        <f>D5^2</f>
        <v/>
      </c>
      <c r="H5">
        <f>E5^2</f>
        <v/>
      </c>
      <c r="J5" s="5" t="inlineStr">
        <is>
          <t>x_bar_2 [degC]</t>
        </is>
      </c>
      <c r="K5">
        <f>SUM(C4:C43)/K3</f>
        <v/>
      </c>
    </row>
    <row r="6">
      <c r="A6" s="3" t="n">
        <v>3</v>
      </c>
      <c r="B6">
        <f>Data!F4</f>
        <v/>
      </c>
      <c r="C6">
        <f>Data!E4</f>
        <v/>
      </c>
      <c r="D6">
        <f>B6-$K$4</f>
        <v/>
      </c>
      <c r="E6">
        <f>C6-$K$5</f>
        <v/>
      </c>
      <c r="F6">
        <f>D6*E6</f>
        <v/>
      </c>
      <c r="G6">
        <f>D6^2</f>
        <v/>
      </c>
      <c r="H6">
        <f>E6^2</f>
        <v/>
      </c>
      <c r="J6" s="5" t="inlineStr">
        <is>
          <t>s_1 [degC]</t>
        </is>
      </c>
      <c r="K6">
        <f>SQRT(SUM(G4:G43)/(K3-1))</f>
        <v/>
      </c>
    </row>
    <row r="7">
      <c r="A7" s="3" t="n">
        <v>4</v>
      </c>
      <c r="B7">
        <f>Data!F5</f>
        <v/>
      </c>
      <c r="C7">
        <f>Data!E5</f>
        <v/>
      </c>
      <c r="D7">
        <f>B7-$K$4</f>
        <v/>
      </c>
      <c r="E7">
        <f>C7-$K$5</f>
        <v/>
      </c>
      <c r="F7">
        <f>D7*E7</f>
        <v/>
      </c>
      <c r="G7">
        <f>D7^2</f>
        <v/>
      </c>
      <c r="H7">
        <f>E7^2</f>
        <v/>
      </c>
      <c r="J7" s="5" t="inlineStr">
        <is>
          <t>s_2 [degC]</t>
        </is>
      </c>
      <c r="K7">
        <f>SQRT(SUM(H4:H43)/(K3-1))</f>
        <v/>
      </c>
    </row>
    <row r="8">
      <c r="A8" s="3" t="n">
        <v>5</v>
      </c>
      <c r="B8">
        <f>Data!F6</f>
        <v/>
      </c>
      <c r="C8">
        <f>Data!E6</f>
        <v/>
      </c>
      <c r="D8">
        <f>B8-$K$4</f>
        <v/>
      </c>
      <c r="E8">
        <f>C8-$K$5</f>
        <v/>
      </c>
      <c r="F8">
        <f>D8*E8</f>
        <v/>
      </c>
      <c r="G8">
        <f>D8^2</f>
        <v/>
      </c>
      <c r="H8">
        <f>E8^2</f>
        <v/>
      </c>
      <c r="J8" s="5" t="inlineStr">
        <is>
          <t>gamma_hat_12 [degC^2]</t>
        </is>
      </c>
      <c r="K8">
        <f>SUM(F4:F43)/K3</f>
        <v/>
      </c>
    </row>
    <row r="9">
      <c r="A9" s="3" t="n">
        <v>6</v>
      </c>
      <c r="B9">
        <f>Data!F7</f>
        <v/>
      </c>
      <c r="C9">
        <f>Data!E7</f>
        <v/>
      </c>
      <c r="D9">
        <f>B9-$K$4</f>
        <v/>
      </c>
      <c r="E9">
        <f>C9-$K$5</f>
        <v/>
      </c>
      <c r="F9">
        <f>D9*E9</f>
        <v/>
      </c>
      <c r="G9">
        <f>D9^2</f>
        <v/>
      </c>
      <c r="H9">
        <f>E9^2</f>
        <v/>
      </c>
      <c r="J9" s="5" t="inlineStr">
        <is>
          <t>rho_hat_12</t>
        </is>
      </c>
      <c r="K9">
        <f>SUM(F4:F43)/SQRT(SUM(G4:G43)*SUM(H4:H43))</f>
        <v/>
      </c>
    </row>
    <row r="10">
      <c r="A10" s="3" t="n">
        <v>7</v>
      </c>
      <c r="B10">
        <f>Data!F8</f>
        <v/>
      </c>
      <c r="C10">
        <f>Data!E8</f>
        <v/>
      </c>
      <c r="D10">
        <f>B10-$K$4</f>
        <v/>
      </c>
      <c r="E10">
        <f>C10-$K$5</f>
        <v/>
      </c>
      <c r="F10">
        <f>D10*E10</f>
        <v/>
      </c>
      <c r="G10">
        <f>D10^2</f>
        <v/>
      </c>
      <c r="H10">
        <f>E10^2</f>
        <v/>
      </c>
      <c r="J10" s="5" t="inlineStr">
        <is>
          <t>x_2 (given) [degC]</t>
        </is>
      </c>
      <c r="K10" s="3" t="n">
        <v>28.5</v>
      </c>
    </row>
    <row r="11">
      <c r="A11" s="3" t="n">
        <v>8</v>
      </c>
      <c r="B11">
        <f>Data!F9</f>
        <v/>
      </c>
      <c r="C11">
        <f>Data!E9</f>
        <v/>
      </c>
      <c r="D11">
        <f>B11-$K$4</f>
        <v/>
      </c>
      <c r="E11">
        <f>C11-$K$5</f>
        <v/>
      </c>
      <c r="F11">
        <f>D11*E11</f>
        <v/>
      </c>
      <c r="G11">
        <f>D11^2</f>
        <v/>
      </c>
      <c r="H11">
        <f>E11^2</f>
        <v/>
      </c>
      <c r="J11" s="5" t="inlineStr">
        <is>
          <t>E[X_1|x_2] [degC]</t>
        </is>
      </c>
      <c r="K11">
        <f>K4+K9*(K6/K7)*(K10-K5)</f>
        <v/>
      </c>
    </row>
    <row r="12">
      <c r="A12" s="3" t="n">
        <v>9</v>
      </c>
      <c r="B12">
        <f>Data!F10</f>
        <v/>
      </c>
      <c r="C12">
        <f>Data!E10</f>
        <v/>
      </c>
      <c r="D12">
        <f>B12-$K$4</f>
        <v/>
      </c>
      <c r="E12">
        <f>C12-$K$5</f>
        <v/>
      </c>
      <c r="F12">
        <f>D12*E12</f>
        <v/>
      </c>
      <c r="G12">
        <f>D12^2</f>
        <v/>
      </c>
      <c r="H12">
        <f>E12^2</f>
        <v/>
      </c>
      <c r="J12" s="5" t="inlineStr">
        <is>
          <t>sd[X_1|x_2] [degC]</t>
        </is>
      </c>
      <c r="K12">
        <f>K6*SQRT(1-K9^2)</f>
        <v/>
      </c>
    </row>
    <row r="13">
      <c r="A13" s="3" t="n">
        <v>10</v>
      </c>
      <c r="B13">
        <f>Data!F11</f>
        <v/>
      </c>
      <c r="C13">
        <f>Data!E11</f>
        <v/>
      </c>
      <c r="D13">
        <f>B13-$K$4</f>
        <v/>
      </c>
      <c r="E13">
        <f>C13-$K$5</f>
        <v/>
      </c>
      <c r="F13">
        <f>D13*E13</f>
        <v/>
      </c>
      <c r="G13">
        <f>D13^2</f>
        <v/>
      </c>
      <c r="H13">
        <f>E13^2</f>
        <v/>
      </c>
      <c r="J13" s="5" t="inlineStr">
        <is>
          <t>slope check, SLOPE()</t>
        </is>
      </c>
      <c r="K13">
        <f>SLOPE(B4:B43,C4:C43)</f>
        <v/>
      </c>
    </row>
    <row r="14">
      <c r="A14" s="3" t="n">
        <v>11</v>
      </c>
      <c r="B14">
        <f>Data!F12</f>
        <v/>
      </c>
      <c r="C14">
        <f>Data!E12</f>
        <v/>
      </c>
      <c r="D14">
        <f>B14-$K$4</f>
        <v/>
      </c>
      <c r="E14">
        <f>C14-$K$5</f>
        <v/>
      </c>
      <c r="F14">
        <f>D14*E14</f>
        <v/>
      </c>
      <c r="G14">
        <f>D14^2</f>
        <v/>
      </c>
      <c r="H14">
        <f>E14^2</f>
        <v/>
      </c>
    </row>
    <row r="15">
      <c r="A15" s="3" t="n">
        <v>12</v>
      </c>
      <c r="B15">
        <f>Data!F13</f>
        <v/>
      </c>
      <c r="C15">
        <f>Data!E13</f>
        <v/>
      </c>
      <c r="D15">
        <f>B15-$K$4</f>
        <v/>
      </c>
      <c r="E15">
        <f>C15-$K$5</f>
        <v/>
      </c>
      <c r="F15">
        <f>D15*E15</f>
        <v/>
      </c>
      <c r="G15">
        <f>D15^2</f>
        <v/>
      </c>
      <c r="H15">
        <f>E15^2</f>
        <v/>
      </c>
    </row>
    <row r="16">
      <c r="A16" s="3" t="n">
        <v>13</v>
      </c>
      <c r="B16">
        <f>Data!F14</f>
        <v/>
      </c>
      <c r="C16">
        <f>Data!E14</f>
        <v/>
      </c>
      <c r="D16">
        <f>B16-$K$4</f>
        <v/>
      </c>
      <c r="E16">
        <f>C16-$K$5</f>
        <v/>
      </c>
      <c r="F16">
        <f>D16*E16</f>
        <v/>
      </c>
      <c r="G16">
        <f>D16^2</f>
        <v/>
      </c>
      <c r="H16">
        <f>E16^2</f>
        <v/>
      </c>
    </row>
    <row r="17">
      <c r="A17" s="3" t="n">
        <v>14</v>
      </c>
      <c r="B17">
        <f>Data!F15</f>
        <v/>
      </c>
      <c r="C17">
        <f>Data!E15</f>
        <v/>
      </c>
      <c r="D17">
        <f>B17-$K$4</f>
        <v/>
      </c>
      <c r="E17">
        <f>C17-$K$5</f>
        <v/>
      </c>
      <c r="F17">
        <f>D17*E17</f>
        <v/>
      </c>
      <c r="G17">
        <f>D17^2</f>
        <v/>
      </c>
      <c r="H17">
        <f>E17^2</f>
        <v/>
      </c>
    </row>
    <row r="18">
      <c r="A18" s="3" t="n">
        <v>15</v>
      </c>
      <c r="B18">
        <f>Data!F16</f>
        <v/>
      </c>
      <c r="C18">
        <f>Data!E16</f>
        <v/>
      </c>
      <c r="D18">
        <f>B18-$K$4</f>
        <v/>
      </c>
      <c r="E18">
        <f>C18-$K$5</f>
        <v/>
      </c>
      <c r="F18">
        <f>D18*E18</f>
        <v/>
      </c>
      <c r="G18">
        <f>D18^2</f>
        <v/>
      </c>
      <c r="H18">
        <f>E18^2</f>
        <v/>
      </c>
    </row>
    <row r="19">
      <c r="A19" s="3" t="n">
        <v>16</v>
      </c>
      <c r="B19">
        <f>Data!F17</f>
        <v/>
      </c>
      <c r="C19">
        <f>Data!E17</f>
        <v/>
      </c>
      <c r="D19">
        <f>B19-$K$4</f>
        <v/>
      </c>
      <c r="E19">
        <f>C19-$K$5</f>
        <v/>
      </c>
      <c r="F19">
        <f>D19*E19</f>
        <v/>
      </c>
      <c r="G19">
        <f>D19^2</f>
        <v/>
      </c>
      <c r="H19">
        <f>E19^2</f>
        <v/>
      </c>
    </row>
    <row r="20">
      <c r="A20" s="3" t="n">
        <v>17</v>
      </c>
      <c r="B20">
        <f>Data!F18</f>
        <v/>
      </c>
      <c r="C20">
        <f>Data!E18</f>
        <v/>
      </c>
      <c r="D20">
        <f>B20-$K$4</f>
        <v/>
      </c>
      <c r="E20">
        <f>C20-$K$5</f>
        <v/>
      </c>
      <c r="F20">
        <f>D20*E20</f>
        <v/>
      </c>
      <c r="G20">
        <f>D20^2</f>
        <v/>
      </c>
      <c r="H20">
        <f>E20^2</f>
        <v/>
      </c>
    </row>
    <row r="21">
      <c r="A21" s="3" t="n">
        <v>18</v>
      </c>
      <c r="B21">
        <f>Data!F19</f>
        <v/>
      </c>
      <c r="C21">
        <f>Data!E19</f>
        <v/>
      </c>
      <c r="D21">
        <f>B21-$K$4</f>
        <v/>
      </c>
      <c r="E21">
        <f>C21-$K$5</f>
        <v/>
      </c>
      <c r="F21">
        <f>D21*E21</f>
        <v/>
      </c>
      <c r="G21">
        <f>D21^2</f>
        <v/>
      </c>
      <c r="H21">
        <f>E21^2</f>
        <v/>
      </c>
    </row>
    <row r="22">
      <c r="A22" s="3" t="n">
        <v>19</v>
      </c>
      <c r="B22">
        <f>Data!F20</f>
        <v/>
      </c>
      <c r="C22">
        <f>Data!E20</f>
        <v/>
      </c>
      <c r="D22">
        <f>B22-$K$4</f>
        <v/>
      </c>
      <c r="E22">
        <f>C22-$K$5</f>
        <v/>
      </c>
      <c r="F22">
        <f>D22*E22</f>
        <v/>
      </c>
      <c r="G22">
        <f>D22^2</f>
        <v/>
      </c>
      <c r="H22">
        <f>E22^2</f>
        <v/>
      </c>
    </row>
    <row r="23">
      <c r="A23" s="3" t="n">
        <v>20</v>
      </c>
      <c r="B23">
        <f>Data!F21</f>
        <v/>
      </c>
      <c r="C23">
        <f>Data!E21</f>
        <v/>
      </c>
      <c r="D23">
        <f>B23-$K$4</f>
        <v/>
      </c>
      <c r="E23">
        <f>C23-$K$5</f>
        <v/>
      </c>
      <c r="F23">
        <f>D23*E23</f>
        <v/>
      </c>
      <c r="G23">
        <f>D23^2</f>
        <v/>
      </c>
      <c r="H23">
        <f>E23^2</f>
        <v/>
      </c>
    </row>
    <row r="24">
      <c r="A24" s="3" t="n">
        <v>21</v>
      </c>
      <c r="B24">
        <f>Data!F22</f>
        <v/>
      </c>
      <c r="C24">
        <f>Data!E22</f>
        <v/>
      </c>
      <c r="D24">
        <f>B24-$K$4</f>
        <v/>
      </c>
      <c r="E24">
        <f>C24-$K$5</f>
        <v/>
      </c>
      <c r="F24">
        <f>D24*E24</f>
        <v/>
      </c>
      <c r="G24">
        <f>D24^2</f>
        <v/>
      </c>
      <c r="H24">
        <f>E24^2</f>
        <v/>
      </c>
    </row>
    <row r="25">
      <c r="A25" s="3" t="n">
        <v>22</v>
      </c>
      <c r="B25">
        <f>Data!F23</f>
        <v/>
      </c>
      <c r="C25">
        <f>Data!E23</f>
        <v/>
      </c>
      <c r="D25">
        <f>B25-$K$4</f>
        <v/>
      </c>
      <c r="E25">
        <f>C25-$K$5</f>
        <v/>
      </c>
      <c r="F25">
        <f>D25*E25</f>
        <v/>
      </c>
      <c r="G25">
        <f>D25^2</f>
        <v/>
      </c>
      <c r="H25">
        <f>E25^2</f>
        <v/>
      </c>
    </row>
    <row r="26">
      <c r="A26" s="3" t="n">
        <v>23</v>
      </c>
      <c r="B26">
        <f>Data!F24</f>
        <v/>
      </c>
      <c r="C26">
        <f>Data!E24</f>
        <v/>
      </c>
      <c r="D26">
        <f>B26-$K$4</f>
        <v/>
      </c>
      <c r="E26">
        <f>C26-$K$5</f>
        <v/>
      </c>
      <c r="F26">
        <f>D26*E26</f>
        <v/>
      </c>
      <c r="G26">
        <f>D26^2</f>
        <v/>
      </c>
      <c r="H26">
        <f>E26^2</f>
        <v/>
      </c>
    </row>
    <row r="27">
      <c r="A27" s="3" t="n">
        <v>24</v>
      </c>
      <c r="B27">
        <f>Data!F25</f>
        <v/>
      </c>
      <c r="C27">
        <f>Data!E25</f>
        <v/>
      </c>
      <c r="D27">
        <f>B27-$K$4</f>
        <v/>
      </c>
      <c r="E27">
        <f>C27-$K$5</f>
        <v/>
      </c>
      <c r="F27">
        <f>D27*E27</f>
        <v/>
      </c>
      <c r="G27">
        <f>D27^2</f>
        <v/>
      </c>
      <c r="H27">
        <f>E27^2</f>
        <v/>
      </c>
    </row>
    <row r="28">
      <c r="A28" s="3" t="n">
        <v>25</v>
      </c>
      <c r="B28">
        <f>Data!F26</f>
        <v/>
      </c>
      <c r="C28">
        <f>Data!E26</f>
        <v/>
      </c>
      <c r="D28">
        <f>B28-$K$4</f>
        <v/>
      </c>
      <c r="E28">
        <f>C28-$K$5</f>
        <v/>
      </c>
      <c r="F28">
        <f>D28*E28</f>
        <v/>
      </c>
      <c r="G28">
        <f>D28^2</f>
        <v/>
      </c>
      <c r="H28">
        <f>E28^2</f>
        <v/>
      </c>
    </row>
    <row r="29">
      <c r="A29" s="3" t="n">
        <v>26</v>
      </c>
      <c r="B29">
        <f>Data!F27</f>
        <v/>
      </c>
      <c r="C29">
        <f>Data!E27</f>
        <v/>
      </c>
      <c r="D29">
        <f>B29-$K$4</f>
        <v/>
      </c>
      <c r="E29">
        <f>C29-$K$5</f>
        <v/>
      </c>
      <c r="F29">
        <f>D29*E29</f>
        <v/>
      </c>
      <c r="G29">
        <f>D29^2</f>
        <v/>
      </c>
      <c r="H29">
        <f>E29^2</f>
        <v/>
      </c>
    </row>
    <row r="30">
      <c r="A30" s="3" t="n">
        <v>27</v>
      </c>
      <c r="B30">
        <f>Data!F28</f>
        <v/>
      </c>
      <c r="C30">
        <f>Data!E28</f>
        <v/>
      </c>
      <c r="D30">
        <f>B30-$K$4</f>
        <v/>
      </c>
      <c r="E30">
        <f>C30-$K$5</f>
        <v/>
      </c>
      <c r="F30">
        <f>D30*E30</f>
        <v/>
      </c>
      <c r="G30">
        <f>D30^2</f>
        <v/>
      </c>
      <c r="H30">
        <f>E30^2</f>
        <v/>
      </c>
    </row>
    <row r="31">
      <c r="A31" s="3" t="n">
        <v>28</v>
      </c>
      <c r="B31">
        <f>Data!F29</f>
        <v/>
      </c>
      <c r="C31">
        <f>Data!E29</f>
        <v/>
      </c>
      <c r="D31">
        <f>B31-$K$4</f>
        <v/>
      </c>
      <c r="E31">
        <f>C31-$K$5</f>
        <v/>
      </c>
      <c r="F31">
        <f>D31*E31</f>
        <v/>
      </c>
      <c r="G31">
        <f>D31^2</f>
        <v/>
      </c>
      <c r="H31">
        <f>E31^2</f>
        <v/>
      </c>
    </row>
    <row r="32">
      <c r="A32" s="3" t="n">
        <v>29</v>
      </c>
      <c r="B32">
        <f>Data!F30</f>
        <v/>
      </c>
      <c r="C32">
        <f>Data!E30</f>
        <v/>
      </c>
      <c r="D32">
        <f>B32-$K$4</f>
        <v/>
      </c>
      <c r="E32">
        <f>C32-$K$5</f>
        <v/>
      </c>
      <c r="F32">
        <f>D32*E32</f>
        <v/>
      </c>
      <c r="G32">
        <f>D32^2</f>
        <v/>
      </c>
      <c r="H32">
        <f>E32^2</f>
        <v/>
      </c>
    </row>
    <row r="33">
      <c r="A33" s="3" t="n">
        <v>30</v>
      </c>
      <c r="B33">
        <f>Data!F31</f>
        <v/>
      </c>
      <c r="C33">
        <f>Data!E31</f>
        <v/>
      </c>
      <c r="D33">
        <f>B33-$K$4</f>
        <v/>
      </c>
      <c r="E33">
        <f>C33-$K$5</f>
        <v/>
      </c>
      <c r="F33">
        <f>D33*E33</f>
        <v/>
      </c>
      <c r="G33">
        <f>D33^2</f>
        <v/>
      </c>
      <c r="H33">
        <f>E33^2</f>
        <v/>
      </c>
    </row>
    <row r="34">
      <c r="A34" s="3" t="n">
        <v>31</v>
      </c>
      <c r="B34">
        <f>Data!F32</f>
        <v/>
      </c>
      <c r="C34">
        <f>Data!E32</f>
        <v/>
      </c>
      <c r="D34">
        <f>B34-$K$4</f>
        <v/>
      </c>
      <c r="E34">
        <f>C34-$K$5</f>
        <v/>
      </c>
      <c r="F34">
        <f>D34*E34</f>
        <v/>
      </c>
      <c r="G34">
        <f>D34^2</f>
        <v/>
      </c>
      <c r="H34">
        <f>E34^2</f>
        <v/>
      </c>
    </row>
    <row r="35">
      <c r="A35" s="3" t="n">
        <v>32</v>
      </c>
      <c r="B35">
        <f>Data!F33</f>
        <v/>
      </c>
      <c r="C35">
        <f>Data!E33</f>
        <v/>
      </c>
      <c r="D35">
        <f>B35-$K$4</f>
        <v/>
      </c>
      <c r="E35">
        <f>C35-$K$5</f>
        <v/>
      </c>
      <c r="F35">
        <f>D35*E35</f>
        <v/>
      </c>
      <c r="G35">
        <f>D35^2</f>
        <v/>
      </c>
      <c r="H35">
        <f>E35^2</f>
        <v/>
      </c>
    </row>
    <row r="36">
      <c r="A36" s="3" t="n">
        <v>33</v>
      </c>
      <c r="B36">
        <f>Data!F34</f>
        <v/>
      </c>
      <c r="C36">
        <f>Data!E34</f>
        <v/>
      </c>
      <c r="D36">
        <f>B36-$K$4</f>
        <v/>
      </c>
      <c r="E36">
        <f>C36-$K$5</f>
        <v/>
      </c>
      <c r="F36">
        <f>D36*E36</f>
        <v/>
      </c>
      <c r="G36">
        <f>D36^2</f>
        <v/>
      </c>
      <c r="H36">
        <f>E36^2</f>
        <v/>
      </c>
    </row>
    <row r="37">
      <c r="A37" s="3" t="n">
        <v>34</v>
      </c>
      <c r="B37">
        <f>Data!F35</f>
        <v/>
      </c>
      <c r="C37">
        <f>Data!E35</f>
        <v/>
      </c>
      <c r="D37">
        <f>B37-$K$4</f>
        <v/>
      </c>
      <c r="E37">
        <f>C37-$K$5</f>
        <v/>
      </c>
      <c r="F37">
        <f>D37*E37</f>
        <v/>
      </c>
      <c r="G37">
        <f>D37^2</f>
        <v/>
      </c>
      <c r="H37">
        <f>E37^2</f>
        <v/>
      </c>
    </row>
    <row r="38">
      <c r="A38" s="3" t="n">
        <v>35</v>
      </c>
      <c r="B38">
        <f>Data!F36</f>
        <v/>
      </c>
      <c r="C38">
        <f>Data!E36</f>
        <v/>
      </c>
      <c r="D38">
        <f>B38-$K$4</f>
        <v/>
      </c>
      <c r="E38">
        <f>C38-$K$5</f>
        <v/>
      </c>
      <c r="F38">
        <f>D38*E38</f>
        <v/>
      </c>
      <c r="G38">
        <f>D38^2</f>
        <v/>
      </c>
      <c r="H38">
        <f>E38^2</f>
        <v/>
      </c>
    </row>
    <row r="39">
      <c r="A39" s="3" t="n">
        <v>36</v>
      </c>
      <c r="B39">
        <f>Data!F37</f>
        <v/>
      </c>
      <c r="C39">
        <f>Data!E37</f>
        <v/>
      </c>
      <c r="D39">
        <f>B39-$K$4</f>
        <v/>
      </c>
      <c r="E39">
        <f>C39-$K$5</f>
        <v/>
      </c>
      <c r="F39">
        <f>D39*E39</f>
        <v/>
      </c>
      <c r="G39">
        <f>D39^2</f>
        <v/>
      </c>
      <c r="H39">
        <f>E39^2</f>
        <v/>
      </c>
    </row>
    <row r="40">
      <c r="A40" s="3" t="n">
        <v>37</v>
      </c>
      <c r="B40">
        <f>Data!F38</f>
        <v/>
      </c>
      <c r="C40">
        <f>Data!E38</f>
        <v/>
      </c>
      <c r="D40">
        <f>B40-$K$4</f>
        <v/>
      </c>
      <c r="E40">
        <f>C40-$K$5</f>
        <v/>
      </c>
      <c r="F40">
        <f>D40*E40</f>
        <v/>
      </c>
      <c r="G40">
        <f>D40^2</f>
        <v/>
      </c>
      <c r="H40">
        <f>E40^2</f>
        <v/>
      </c>
    </row>
    <row r="41">
      <c r="A41" s="3" t="n">
        <v>38</v>
      </c>
      <c r="B41">
        <f>Data!F39</f>
        <v/>
      </c>
      <c r="C41">
        <f>Data!E39</f>
        <v/>
      </c>
      <c r="D41">
        <f>B41-$K$4</f>
        <v/>
      </c>
      <c r="E41">
        <f>C41-$K$5</f>
        <v/>
      </c>
      <c r="F41">
        <f>D41*E41</f>
        <v/>
      </c>
      <c r="G41">
        <f>D41^2</f>
        <v/>
      </c>
      <c r="H41">
        <f>E41^2</f>
        <v/>
      </c>
    </row>
    <row r="42">
      <c r="A42" s="3" t="n">
        <v>39</v>
      </c>
      <c r="B42">
        <f>Data!F40</f>
        <v/>
      </c>
      <c r="C42">
        <f>Data!E40</f>
        <v/>
      </c>
      <c r="D42">
        <f>B42-$K$4</f>
        <v/>
      </c>
      <c r="E42">
        <f>C42-$K$5</f>
        <v/>
      </c>
      <c r="F42">
        <f>D42*E42</f>
        <v/>
      </c>
      <c r="G42">
        <f>D42^2</f>
        <v/>
      </c>
      <c r="H42">
        <f>E42^2</f>
        <v/>
      </c>
    </row>
    <row r="43">
      <c r="A43" s="3" t="n">
        <v>40</v>
      </c>
      <c r="B43">
        <f>Data!F41</f>
        <v/>
      </c>
      <c r="C43">
        <f>Data!E41</f>
        <v/>
      </c>
      <c r="D43">
        <f>B43-$K$4</f>
        <v/>
      </c>
      <c r="E43">
        <f>C43-$K$5</f>
        <v/>
      </c>
      <c r="F43">
        <f>D43*E43</f>
        <v/>
      </c>
      <c r="G43">
        <f>D43^2</f>
        <v/>
      </c>
      <c r="H43">
        <f>E43^2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2026-10-23T07:21:25Z</dcterms:created>
  <dcterms:modified xmlns:dcterms="http://purl.org/dc/terms/" xmlns:xsi="http://www.w3.org/2001/XMLSchema-instance" xsi:type="dcterms:W3CDTF">2026-10-23T07:21:25Z</dcterms:modified>
</cp:coreProperties>
</file>