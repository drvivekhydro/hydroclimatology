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ta" sheetId="2" state="visible" r:id="rId2"/>
    <sheet xmlns:r="http://schemas.openxmlformats.org/officeDocument/2006/relationships" name="Gamma_fit" sheetId="3" state="visible" r:id="rId3"/>
    <sheet xmlns:r="http://schemas.openxmlformats.org/officeDocument/2006/relationships" name="ECDF_GOF" sheetId="4" state="visible" r:id="rId4"/>
    <sheet xmlns:r="http://schemas.openxmlformats.org/officeDocument/2006/relationships" name="Bivariate" sheetId="5" state="visible" r:id="rId5"/>
    <sheet xmlns:r="http://schemas.openxmlformats.org/officeDocument/2006/relationships" name="InvTransform" sheetId="6" state="visible" r:id="rId6"/>
  </sheets>
  <definedNames/>
  <calcPr calcId="124519" fullCalcOnLoad="1"/>
</workbook>
</file>

<file path=xl/styles.xml><?xml version="1.0" encoding="utf-8"?>
<styleSheet xmlns="http://schemas.openxmlformats.org/spreadsheetml/2006/main">
  <numFmts count="4">
    <numFmt numFmtId="164" formatCode="0.0000"/>
    <numFmt numFmtId="165" formatCode="0.000"/>
    <numFmt numFmtId="166" formatCode="0.000000"/>
    <numFmt numFmtId="167" formatCode="0.0E+00"/>
  </numFmts>
  <fonts count="4">
    <font>
      <name val="Calibri"/>
      <family val="2"/>
      <color theme="1"/>
      <sz val="11"/>
      <scheme val="minor"/>
    </font>
    <font>
      <b val="1"/>
    </font>
    <font/>
    <font>
      <color rgb="000000FF"/>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top" wrapText="1"/>
    </xf>
    <xf numFmtId="0" fontId="3" fillId="0" borderId="0" pivotButton="0" quotePrefix="0" xfId="0"/>
    <xf numFmtId="2" fontId="3" fillId="0" borderId="0" pivotButton="0" quotePrefix="0" xfId="0"/>
    <xf numFmtId="164" fontId="3" fillId="0" borderId="0" pivotButton="0" quotePrefix="0" xfId="0"/>
    <xf numFmtId="0" fontId="1" fillId="0" borderId="0" pivotButton="0" quotePrefix="0" xfId="0"/>
    <xf numFmtId="2" fontId="0" fillId="0" borderId="0" pivotButton="0" quotePrefix="0" xfId="0"/>
    <xf numFmtId="164" fontId="0" fillId="0" borderId="0" pivotButton="0" quotePrefix="0" xfId="0"/>
    <xf numFmtId="1" fontId="0" fillId="0" borderId="0" pivotButton="0" quotePrefix="0" xfId="0"/>
    <xf numFmtId="165" fontId="0" fillId="0" borderId="0" pivotButton="0" quotePrefix="0" xfId="0"/>
    <xf numFmtId="166"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Profile log-likelihood of the gamma shape</a:t>
            </a:r>
          </a:p>
        </rich>
      </tx>
    </title>
    <plotArea>
      <scatterChart>
        <ser>
          <idx val="0"/>
          <order val="0"/>
          <tx>
            <v>LL(alpha)</v>
          </tx>
          <spPr>
            <a:ln xmlns:a="http://schemas.openxmlformats.org/drawingml/2006/main">
              <a:prstDash val="solid"/>
            </a:ln>
          </spPr>
          <marker>
            <symbol val="none"/>
            <spPr>
              <a:ln xmlns:a="http://schemas.openxmlformats.org/drawingml/2006/main">
                <a:prstDash val="solid"/>
              </a:ln>
            </spPr>
          </marker>
          <xVal>
            <numRef>
              <f>'Gamma_fit'!$N$2:$N$122</f>
            </numRef>
          </xVal>
          <yVal>
            <numRef>
              <f>'Gamma_fit'!$O$2:$O$122</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shape alpha</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log-likelihood</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Empirical vs fitted CDF (wet-day rain)</a:t>
            </a:r>
          </a:p>
        </rich>
      </tx>
    </title>
    <plotArea>
      <scatterChart>
        <ser>
          <idx val="0"/>
          <order val="0"/>
          <tx>
            <v>plotting position i/(n+1)</v>
          </tx>
          <spPr>
            <a:ln xmlns:a="http://schemas.openxmlformats.org/drawingml/2006/main">
              <a:noFill/>
              <a:prstDash val="solid"/>
            </a:ln>
          </spPr>
          <marker>
            <symbol val="circle"/>
            <size val="4"/>
            <spPr>
              <a:ln xmlns:a="http://schemas.openxmlformats.org/drawingml/2006/main">
                <a:prstDash val="solid"/>
              </a:ln>
            </spPr>
          </marker>
          <xVal>
            <numRef>
              <f>'ECDF_GOF'!$B$2:$B$69</f>
            </numRef>
          </xVal>
          <yVal>
            <numRef>
              <f>'ECDF_GOF'!$C$2:$C$69</f>
            </numRef>
          </yVal>
        </ser>
        <ser>
          <idx val="1"/>
          <order val="1"/>
          <tx>
            <v>gamma MoM</v>
          </tx>
          <spPr>
            <a:ln xmlns:a="http://schemas.openxmlformats.org/drawingml/2006/main">
              <a:prstDash val="solid"/>
            </a:ln>
          </spPr>
          <marker>
            <symbol val="none"/>
            <spPr>
              <a:ln xmlns:a="http://schemas.openxmlformats.org/drawingml/2006/main">
                <a:prstDash val="solid"/>
              </a:ln>
            </spPr>
          </marker>
          <xVal>
            <numRef>
              <f>'ECDF_GOF'!$B$2:$B$69</f>
            </numRef>
          </xVal>
          <yVal>
            <numRef>
              <f>'ECDF_GOF'!$E$2:$E$69</f>
            </numRef>
          </yVal>
        </ser>
        <ser>
          <idx val="2"/>
          <order val="2"/>
          <tx>
            <v>gamma MLE</v>
          </tx>
          <spPr>
            <a:ln xmlns:a="http://schemas.openxmlformats.org/drawingml/2006/main">
              <a:prstDash val="solid"/>
            </a:ln>
          </spPr>
          <marker>
            <symbol val="none"/>
            <spPr>
              <a:ln xmlns:a="http://schemas.openxmlformats.org/drawingml/2006/main">
                <a:prstDash val="solid"/>
              </a:ln>
            </spPr>
          </marker>
          <xVal>
            <numRef>
              <f>'ECDF_GOF'!$B$2:$B$69</f>
            </numRef>
          </xVal>
          <yVal>
            <numRef>
              <f>'ECDF_GOF'!$F$2:$F$69</f>
            </numRef>
          </yVal>
        </ser>
        <ser>
          <idx val="3"/>
          <order val="3"/>
          <tx>
            <v>exponential</v>
          </tx>
          <spPr>
            <a:ln xmlns:a="http://schemas.openxmlformats.org/drawingml/2006/main">
              <a:prstDash val="solid"/>
            </a:ln>
          </spPr>
          <marker>
            <symbol val="none"/>
            <spPr>
              <a:ln xmlns:a="http://schemas.openxmlformats.org/drawingml/2006/main">
                <a:prstDash val="solid"/>
              </a:ln>
            </spPr>
          </marker>
          <xVal>
            <numRef>
              <f>'ECDF_GOF'!$B$2:$B$69</f>
            </numRef>
          </xVal>
          <yVal>
            <numRef>
              <f>'ECDF_GOF'!$G$2:$G$69</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rain on a wet day (mm)</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cumulative probability</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QQ plot: data vs gamma MLE quantiles</a:t>
            </a:r>
          </a:p>
        </rich>
      </tx>
    </title>
    <plotArea>
      <scatterChart>
        <ser>
          <idx val="0"/>
          <order val="0"/>
          <tx>
            <v>data</v>
          </tx>
          <spPr>
            <a:ln xmlns:a="http://schemas.openxmlformats.org/drawingml/2006/main">
              <a:noFill/>
              <a:prstDash val="solid"/>
            </a:ln>
          </spPr>
          <marker>
            <symbol val="circle"/>
            <size val="4"/>
            <spPr>
              <a:ln xmlns:a="http://schemas.openxmlformats.org/drawingml/2006/main">
                <a:prstDash val="solid"/>
              </a:ln>
            </spPr>
          </marker>
          <xVal>
            <numRef>
              <f>'ECDF_GOF'!$K$2:$K$69</f>
            </numRef>
          </xVal>
          <yVal>
            <numRef>
              <f>'ECDF_GOF'!$B$2:$B$69</f>
            </numRef>
          </yVal>
        </ser>
        <ser>
          <idx val="1"/>
          <order val="1"/>
          <tx>
            <v>1:1 line</v>
          </tx>
          <spPr>
            <a:ln xmlns:a="http://schemas.openxmlformats.org/drawingml/2006/main">
              <a:prstDash val="solid"/>
            </a:ln>
          </spPr>
          <marker>
            <symbol val="none"/>
            <spPr>
              <a:ln xmlns:a="http://schemas.openxmlformats.org/drawingml/2006/main">
                <a:prstDash val="solid"/>
              </a:ln>
            </spPr>
          </marker>
          <xVal>
            <numRef>
              <f>'ECDF_GOF'!$N$11:$N$12</f>
            </numRef>
          </xVal>
          <yVal>
            <numRef>
              <f>'ECDF_GOF'!$O$11:$O$12</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gamma MLE quantile (mm)</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observed x_(i) (mm)</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Station vs model temperature</a:t>
            </a:r>
          </a:p>
        </rich>
      </tx>
    </title>
    <plotArea>
      <scatterChart>
        <ser>
          <idx val="0"/>
          <order val="0"/>
          <tx>
            <v>seasons</v>
          </tx>
          <spPr>
            <a:ln xmlns:a="http://schemas.openxmlformats.org/drawingml/2006/main">
              <a:noFill/>
              <a:prstDash val="solid"/>
            </a:ln>
          </spPr>
          <marker>
            <symbol val="circle"/>
            <size val="5"/>
            <spPr>
              <a:ln xmlns:a="http://schemas.openxmlformats.org/drawingml/2006/main">
                <a:prstDash val="solid"/>
              </a:ln>
            </spPr>
          </marker>
          <xVal>
            <numRef>
              <f>'Bivariate'!$B$2:$B$41</f>
            </numRef>
          </xVal>
          <yVal>
            <numRef>
              <f>'Bivariate'!$C$2:$C$41</f>
            </numRef>
          </yVal>
        </ser>
        <ser>
          <idx val="1"/>
          <order val="1"/>
          <tx>
            <v>E[Y|x]</v>
          </tx>
          <spPr>
            <a:ln xmlns:a="http://schemas.openxmlformats.org/drawingml/2006/main">
              <a:prstDash val="solid"/>
            </a:ln>
          </spPr>
          <marker>
            <symbol val="none"/>
            <spPr>
              <a:ln xmlns:a="http://schemas.openxmlformats.org/drawingml/2006/main">
                <a:prstDash val="solid"/>
              </a:ln>
            </spPr>
          </marker>
          <xVal>
            <numRef>
              <f>'Bivariate'!$B$2:$B$41</f>
            </numRef>
          </xVal>
          <yVal>
            <numRef>
              <f>'Bivariate'!$D$2:$D$41</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model T (degC)</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station T (degC)</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Inverse transform: u on the gamma CDF</a:t>
            </a:r>
          </a:p>
        </rich>
      </tx>
    </title>
    <plotArea>
      <scatterChart>
        <ser>
          <idx val="0"/>
          <order val="0"/>
          <tx>
            <v>fitted gamma CDF</v>
          </tx>
          <spPr>
            <a:ln xmlns:a="http://schemas.openxmlformats.org/drawingml/2006/main">
              <a:prstDash val="solid"/>
            </a:ln>
          </spPr>
          <marker>
            <symbol val="none"/>
            <spPr>
              <a:ln xmlns:a="http://schemas.openxmlformats.org/drawingml/2006/main">
                <a:prstDash val="solid"/>
              </a:ln>
            </spPr>
          </marker>
          <xVal>
            <numRef>
              <f>'ECDF_GOF'!$B$2:$B$69</f>
            </numRef>
          </xVal>
          <yVal>
            <numRef>
              <f>'ECDF_GOF'!$F$2:$F$69</f>
            </numRef>
          </yVal>
        </ser>
        <ser>
          <idx val="1"/>
          <order val="1"/>
          <tx>
            <v>draws (x, u)</v>
          </tx>
          <spPr>
            <a:ln xmlns:a="http://schemas.openxmlformats.org/drawingml/2006/main">
              <a:noFill/>
              <a:prstDash val="solid"/>
            </a:ln>
          </spPr>
          <marker>
            <symbol val="circle"/>
            <size val="7"/>
            <spPr>
              <a:ln xmlns:a="http://schemas.openxmlformats.org/drawingml/2006/main">
                <a:prstDash val="solid"/>
              </a:ln>
            </spPr>
          </marker>
          <xVal>
            <numRef>
              <f>'InvTransform'!$D$2:$D$21</f>
            </numRef>
          </xVal>
          <yVal>
            <numRef>
              <f>'InvTransform'!$B$2:$B$21</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gamma draw x (mm)</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uniform u</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CE524</author>
  </authors>
  <commentList>
    <comment ref="C1" authorId="0" shapeId="0">
      <text>
        <t>Running count of wet days (rain &gt; 0). Used to pull out the k-th wet-day amount below.</t>
      </text>
    </comment>
    <comment ref="F1" authorId="0" shapeId="0">
      <text>
        <t>INDEX/MATCH finds the day whose running wet count equals k, so the list contains only wet days.</t>
      </text>
    </comment>
    <comment ref="G1" authorId="0" shapeId="0">
      <text>
        <t>Natural log of each wet-day amount; its mean enters the gamma MLE.</t>
      </text>
    </comment>
    <comment ref="H1" authorId="0" shapeId="0">
      <text>
        <t>Direct log-density LN(GAMMA.DIST(x, alpha, beta, FALSE)) at the MLE parameters; the sum is the log-likelihood (check against the closed form).</t>
      </text>
    </comment>
    <comment ref="N1" authorId="0" shapeId="0">
      <text>
        <t>Trial shape values: start + (step number-1)*step size (blue inputs in Q2:Q3).</t>
      </text>
    </comment>
    <comment ref="O1" authorId="0" shapeId="0">
      <text>
        <t>-n*GAMMALN(a) - n*a*LN(xbar/a) + (a-1)*n*mean(ln x) - n*a. Its maximum is the MLE.</t>
      </text>
    </comment>
    <comment ref="J2" authorId="0" shapeId="0">
      <text>
        <t>Number of daily values.</t>
      </text>
    </comment>
    <comment ref="J3" authorId="0" shapeId="0">
      <text>
        <t>Counts wet days.</t>
      </text>
    </comment>
    <comment ref="J4" authorId="0" shapeId="0">
      <text>
        <t>Bernoulli parameter. Method of moments and MLE agree: p = (wet days)/(days).</t>
      </text>
    </comment>
    <comment ref="J5" authorId="0" shapeId="0">
      <text>
        <t>Sample mean of the wet-day amounts (text cells are ignored).</t>
      </text>
    </comment>
    <comment ref="J6" authorId="0" shapeId="0">
      <text>
        <t>Sample variance with divisor n-1.</t>
      </text>
    </comment>
    <comment ref="J7" authorId="0" shapeId="0">
      <text>
        <t>Mean of the log amounts.</t>
      </text>
    </comment>
    <comment ref="J8" authorId="0" shapeId="0">
      <text>
        <t>Sample size used in the fits.</t>
      </text>
    </comment>
    <comment ref="J10" authorId="0" shapeId="0">
      <text>
        <t>Moments and MLE coincide: derived in the notebook, Section 3.</t>
      </text>
    </comment>
    <comment ref="J13" authorId="0" shapeId="0">
      <text>
        <t>Shape from mean = alpha*beta and variance = alpha*beta^2.</t>
      </text>
    </comment>
    <comment ref="J14" authorId="0" shapeId="0">
      <text>
        <t>Scale.</t>
      </text>
    </comment>
    <comment ref="J17" authorId="0" shapeId="0">
      <text>
        <t>Positive by Jensen's inequality. The MLE shape solves ln(alpha) - digamma(alpha) = s.</t>
      </text>
    </comment>
    <comment ref="J18" authorId="0" shapeId="0">
      <text>
        <t>Standard closed-form approximation to the solution of ln(alpha) - digamma(alpha) = s; accurate to about 1 percent.</t>
      </text>
    </comment>
    <comment ref="J19" authorId="0" shapeId="0">
      <text>
        <t>From the beta equation dLL/dbeta = 0.</t>
      </text>
    </comment>
    <comment ref="J20" authorId="0" shapeId="0">
      <text>
        <t>The grid value of alpha with the largest profile log-likelihood.</t>
      </text>
    </comment>
    <comment ref="J21" authorId="0" shapeId="0">
      <text>
        <t>beta = xbar/alpha.</t>
      </text>
    </comment>
    <comment ref="J24" authorId="0" shapeId="0">
      <text>
        <t>LL(alpha) after putting beta = xbar/alpha; see notebook Section 3.</t>
      </text>
    </comment>
    <comment ref="J26" authorId="0" shapeId="0">
      <text>
        <t>Must equal the line above (check of the closed form).</t>
      </text>
    </comment>
    <comment ref="J27" authorId="0" shapeId="0">
      <text>
        <t>LL = -n ln(beta) - sum(x)/beta; with beta = xbar this is -n ln(xbar) - n.</t>
      </text>
    </comment>
    <comment ref="J29" authorId="0" shapeId="0">
      <text>
        <t>Equals xbar for the MoM fit by construction.</t>
      </text>
    </comment>
    <comment ref="J30" authorId="0" shapeId="0">
      <text>
        <t>Also equals xbar, because the MLE satisfies the beta equation.</t>
      </text>
    </comment>
  </commentList>
</comments>
</file>

<file path=xl/comments/comment2.xml><?xml version="1.0" encoding="utf-8"?>
<comments xmlns="http://schemas.openxmlformats.org/spreadsheetml/2006/main">
  <authors>
    <author>CE524</author>
  </authors>
  <commentList>
    <comment ref="B1" authorId="0" shapeId="0">
      <text>
        <t>SMALL(range, i) is the i-th smallest wet-day amount (the order statistic).</t>
      </text>
    </comment>
    <comment ref="C1" authorId="0" shapeId="0">
      <text>
        <t>Weibull plotting position: estimate of F at the i-th smallest value; never 0 or 1.</t>
      </text>
    </comment>
    <comment ref="D1" authorId="0" shapeId="0">
      <text>
        <t>Empirical CDF just AFTER the i-th jump.</t>
      </text>
    </comment>
    <comment ref="F1" authorId="0" shapeId="0">
      <text>
        <t>GAMMA.DIST(x, alpha, beta, TRUE) with the MLE parameters from Gamma_fit.</t>
      </text>
    </comment>
    <comment ref="I1" authorId="0" shapeId="0">
      <text>
        <t>max(i/n - F, F - (i-1)/n): largest vertical gap at the i-th jump. The KS distance is the maximum of this column.</t>
      </text>
    </comment>
    <comment ref="K1" authorId="0" shapeId="0">
      <text>
        <t>GAMMA.INV(i/(n+1), alpha, beta): the model quantile at the same probability as the data quantile. Plot x_(i) against it.</t>
      </text>
    </comment>
    <comment ref="M1" authorId="0" shapeId="0">
      <text>
        <t>Excel's own convention, (rank-1)/(n-1): runs from 0 to 1 exactly. Compare with i/(n+1) and i/n.</t>
      </text>
    </comment>
  </commentList>
</comments>
</file>

<file path=xl/comments/comment3.xml><?xml version="1.0" encoding="utf-8"?>
<comments xmlns="http://schemas.openxmlformats.org/spreadsheetml/2006/main">
  <authors>
    <author>CE524</author>
  </authors>
  <commentList>
    <comment ref="D1" authorId="0" shapeId="0">
      <text>
        <t>E[Y | X = x] = mu_y + rho*(sigma_y/sigma_x)*(x - mu_x), evaluated at each observed x.</t>
      </text>
    </comment>
    <comment ref="E1" authorId="0" shapeId="0">
      <text>
        <t>Observed minus conditional mean; its standard deviation estimates sigma_y*sqrt(1-rho^2).</t>
      </text>
    </comment>
    <comment ref="J3" authorId="0" shapeId="0">
      <text>
        <t>mu_x estimate.</t>
      </text>
    </comment>
    <comment ref="J4" authorId="0" shapeId="0">
      <text>
        <t>mu_y estimate.</t>
      </text>
    </comment>
    <comment ref="J7" authorId="0" shapeId="0">
      <text>
        <t>Pearson correlation.</t>
      </text>
    </comment>
    <comment ref="J8" authorId="0" shapeId="0">
      <text>
        <t>Cov(X,Y) = rho*sigma_x*sigma_y (sample version, divisor n-1).</t>
      </text>
    </comment>
    <comment ref="J9" authorId="0" shapeId="0">
      <text>
        <t>Regression slope from the conditional-mean formula.</t>
      </text>
    </comment>
    <comment ref="J11" authorId="0" shapeId="0">
      <text>
        <t>Must equal b: regression is the conditional mean of a bivariate normal.</t>
      </text>
    </comment>
    <comment ref="J14" authorId="0" shapeId="0">
      <text>
        <t>Equals rho^2: the fraction of the variance of y explained by x.</t>
      </text>
    </comment>
    <comment ref="J15" authorId="0" shapeId="0">
      <text>
        <t>Spread of y around the conditional mean.</t>
      </text>
    </comment>
    <comment ref="J16" authorId="0" shapeId="0">
      <text>
        <t>What regression software reports; slightly larger than the line above because of n-2.</t>
      </text>
    </comment>
    <comment ref="J17" authorId="0" shapeId="0">
      <text>
        <t>Equals rho^2.</t>
      </text>
    </comment>
    <comment ref="J20" authorId="0" shapeId="0">
      <text>
        <t>Blue inputs: try other values.</t>
      </text>
    </comment>
    <comment ref="K20" authorId="0" shapeId="0">
      <text>
        <t>mu_y + b*(x0 - mu_x)</t>
      </text>
    </comment>
    <comment ref="M20" authorId="0" shapeId="0">
      <text>
        <t>NORM.INV(0.05, mean, sd)</t>
      </text>
    </comment>
    <comment ref="N20" authorId="0" shapeId="0">
      <text>
        <t>NORM.INV(0.95, mean, sd)</t>
      </text>
    </comment>
  </commentList>
</comments>
</file>

<file path=xl/comments/comment4.xml><?xml version="1.0" encoding="utf-8"?>
<comments xmlns="http://schemas.openxmlformats.org/spreadsheetml/2006/main">
  <authors>
    <author>CE524</author>
  </authors>
  <commentList>
    <comment ref="B1" authorId="0" shapeId="0">
      <text>
        <t>Fixed numbers from Data!I (so the sheet gives the same result every time).</t>
      </text>
    </comment>
    <comment ref="C1" authorId="0" shapeId="0">
      <text>
        <t>Inverse CDF of the exponential: solve u = 1 - exp(-x/beta).</t>
      </text>
    </comment>
    <comment ref="D1" authorId="0" shapeId="0">
      <text>
        <t>GAMMA.INV(u, alpha, beta) with the MLE parameters: the numerical inverse of the gamma CDF.</t>
      </text>
    </comment>
    <comment ref="E1" authorId="0" shapeId="0">
      <text>
        <t>PERCENTILE.INC of the observed wet-day amounts at probability u: inverse of the EMPIRICAL CDF. This is the quantile-mapping step of Lecture 18.</t>
      </text>
    </comment>
    <comment ref="F1" authorId="0" shapeId="0">
      <text>
        <t>NORM.INV(u, mean_y, sd_y).</t>
      </text>
    </comment>
    <comment ref="G1" authorId="0" shapeId="0">
      <text>
        <t>1 if u &lt;= p (wet-day probability), else 0.</t>
      </text>
    </comment>
    <comment ref="H1" authorId="0" shapeId="0">
      <text>
        <t>Must be zero (round-trip).</t>
      </text>
    </comment>
    <comment ref="I1" authorId="0" shapeId="0">
      <text>
        <t>Must be zero (round-trip).</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18</col>
      <colOff>0</colOff>
      <row>1</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16</col>
      <colOff>0</colOff>
      <row>1</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21</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15</col>
      <colOff>0</colOff>
      <row>1</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13</col>
      <colOff>0</colOff>
      <row>1</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20" customWidth="1" min="1" max="1"/>
  </cols>
  <sheetData>
    <row r="1">
      <c r="A1" s="1" t="inlineStr">
        <is>
          <t>CE524 Applied Hydroclimatology, Lecture 17: Statistical background for downscaling. Companion worked examples.</t>
        </is>
      </c>
    </row>
    <row r="2">
      <c r="A2" s="2" t="inlineStr"/>
    </row>
    <row r="3">
      <c r="A3" s="2" t="inlineStr">
        <is>
          <t>Purpose: the same calculations as the notebook lecture-17-statistical-background-for-downscaling.ipynb, written as live Excel formulas so every step can be inspected.</t>
        </is>
      </c>
    </row>
    <row r="4">
      <c r="A4" s="2" t="inlineStr">
        <is>
          <t>ALL DATA ARE SYNTHETIC (made with a fixed random seed for teaching). They are not observations. To use real data, paste an IMD gridded or station rainfall series into Data!B2:B121 and a CMIP6 / NEX-GDDP-CMIP6 seasonal temperature and a station temperature into Data!E:F.</t>
        </is>
      </c>
    </row>
    <row r="5">
      <c r="A5" s="2" t="inlineStr"/>
    </row>
    <row r="6">
      <c r="A6" s="1" t="inlineStr">
        <is>
          <t>Colour code: BLUE font = input or data you may change. BLACK font = formula. Do not type over black cells.</t>
        </is>
      </c>
    </row>
    <row r="7">
      <c r="A7" s="2" t="inlineStr"/>
    </row>
    <row r="8">
      <c r="A8" s="1" t="inlineStr">
        <is>
          <t>Sheets</t>
        </is>
      </c>
    </row>
    <row r="9">
      <c r="A9" s="2" t="inlineStr">
        <is>
          <t>Data: the three synthetic input tables (daily rain for 120 monsoon days; 40 seasons of model and station temperature; 20 fixed uniform numbers).</t>
        </is>
      </c>
    </row>
    <row r="10">
      <c r="A10" s="2" t="inlineStr">
        <is>
          <t>Gamma_fit: wet-day probability, exponential fit, gamma by method of moments and by maximum likelihood (closed-form approximation plus a grid search of the profile log-likelihood).</t>
        </is>
      </c>
    </row>
    <row r="11">
      <c r="A11" s="2" t="inlineStr">
        <is>
          <t>ECDF_GOF: sorted sample, plotting positions i/(n+1), empirical versus fitted CDFs, Kolmogorov-Smirnov distance and the quantile-quantile (QQ) columns.</t>
        </is>
      </c>
    </row>
    <row r="12">
      <c r="A12" s="2" t="inlineStr">
        <is>
          <t>Bivariate: covariance, correlation, and the conditional normal distribution of the station temperature given the model temperature; checked against SLOPE, INTERCEPT, RSQ and LINEST.</t>
        </is>
      </c>
    </row>
    <row r="13">
      <c r="A13" s="2" t="inlineStr">
        <is>
          <t>InvTransform: inverse-transform sampling with FIXED uniform numbers (exponential, gamma, normal, Bernoulli, and the empirical inverse).</t>
        </is>
      </c>
    </row>
    <row r="14">
      <c r="A14" s="2" t="inlineStr"/>
    </row>
    <row r="15">
      <c r="A15" s="2" t="inlineStr">
        <is>
          <t>How to use: read each sheet left to right; hover over a header cell (red corner) for a note explaining its formula. Change the blue inputs and everything downstream recalculates.</t>
        </is>
      </c>
    </row>
    <row r="16">
      <c r="A16" s="2" t="inlineStr">
        <is>
          <t>The sample sizes are built into the row counts (68 wet days, 120 days, 40 seasons, 20 draws). If you paste data of another length, copy the formula rows down or delete the extra rows.</t>
        </is>
      </c>
    </row>
    <row r="17">
      <c r="A17" s="2" t="inlineStr">
        <is>
          <t>Only widely supported functions are used (no LET, LAMBDA or dynamic arrays). The 'random' numbers are fixed in the Data sheet so results do not change on recalculation.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2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4" max="4"/>
    <col width="14" customWidth="1" min="5" max="5"/>
    <col width="16" customWidth="1" min="6" max="6"/>
    <col width="8" customWidth="1" min="8" max="8"/>
    <col width="10" customWidth="1" min="9" max="9"/>
    <col width="40" customWidth="1" min="11" max="11"/>
  </cols>
  <sheetData>
    <row r="1">
      <c r="A1" s="3" t="inlineStr">
        <is>
          <t>day</t>
        </is>
      </c>
      <c r="B1" s="3" t="inlineStr">
        <is>
          <t>rain_mm</t>
        </is>
      </c>
      <c r="D1" s="3" t="inlineStr">
        <is>
          <t>year</t>
        </is>
      </c>
      <c r="E1" s="3" t="inlineStr">
        <is>
          <t>model_T_degC</t>
        </is>
      </c>
      <c r="F1" s="3" t="inlineStr">
        <is>
          <t>station_T_degC</t>
        </is>
      </c>
      <c r="H1" s="3" t="inlineStr">
        <is>
          <t>draw</t>
        </is>
      </c>
      <c r="I1" s="3" t="inlineStr">
        <is>
          <t>u</t>
        </is>
      </c>
      <c r="K1" t="inlineStr">
        <is>
          <t>Synthetic data, fixed seed. Blue = input.</t>
        </is>
      </c>
    </row>
    <row r="2">
      <c r="A2" s="4" t="n">
        <v>1</v>
      </c>
      <c r="B2" s="5" t="n">
        <v>6.86</v>
      </c>
      <c r="D2" s="4" t="n">
        <v>1981</v>
      </c>
      <c r="E2" s="5" t="n">
        <v>26.68</v>
      </c>
      <c r="F2" s="5" t="n">
        <v>28.12</v>
      </c>
      <c r="H2" s="4" t="n">
        <v>1</v>
      </c>
      <c r="I2" s="6" t="n">
        <v>0.5075</v>
      </c>
    </row>
    <row r="3">
      <c r="A3" s="4" t="n">
        <v>2</v>
      </c>
      <c r="B3" s="5" t="n">
        <v>4.26</v>
      </c>
      <c r="D3" s="4" t="n">
        <v>1982</v>
      </c>
      <c r="E3" s="5" t="n">
        <v>27.76</v>
      </c>
      <c r="F3" s="5" t="n">
        <v>28.39</v>
      </c>
      <c r="H3" s="4" t="n">
        <v>2</v>
      </c>
      <c r="I3" s="6" t="n">
        <v>0.9224</v>
      </c>
    </row>
    <row r="4">
      <c r="A4" s="4" t="n">
        <v>3</v>
      </c>
      <c r="B4" s="5" t="n">
        <v>6.03</v>
      </c>
      <c r="D4" s="4" t="n">
        <v>1983</v>
      </c>
      <c r="E4" s="5" t="n">
        <v>27.47</v>
      </c>
      <c r="F4" s="5" t="n">
        <v>28.53</v>
      </c>
      <c r="H4" s="4" t="n">
        <v>3</v>
      </c>
      <c r="I4" s="6" t="n">
        <v>0.4548</v>
      </c>
    </row>
    <row r="5">
      <c r="A5" s="4" t="n">
        <v>4</v>
      </c>
      <c r="B5" s="5" t="n">
        <v>0</v>
      </c>
      <c r="D5" s="4" t="n">
        <v>1984</v>
      </c>
      <c r="E5" s="5" t="n">
        <v>27.16</v>
      </c>
      <c r="F5" s="5" t="n">
        <v>28.76</v>
      </c>
      <c r="H5" s="4" t="n">
        <v>4</v>
      </c>
      <c r="I5" s="6" t="n">
        <v>0.4009</v>
      </c>
    </row>
    <row r="6">
      <c r="A6" s="4" t="n">
        <v>5</v>
      </c>
      <c r="B6" s="5" t="n">
        <v>21.4</v>
      </c>
      <c r="D6" s="4" t="n">
        <v>1985</v>
      </c>
      <c r="E6" s="5" t="n">
        <v>27.25</v>
      </c>
      <c r="F6" s="5" t="n">
        <v>28.09</v>
      </c>
      <c r="H6" s="4" t="n">
        <v>5</v>
      </c>
      <c r="I6" s="6" t="n">
        <v>0.9588</v>
      </c>
    </row>
    <row r="7">
      <c r="A7" s="4" t="n">
        <v>6</v>
      </c>
      <c r="B7" s="5" t="n">
        <v>0</v>
      </c>
      <c r="D7" s="4" t="n">
        <v>1986</v>
      </c>
      <c r="E7" s="5" t="n">
        <v>27.27</v>
      </c>
      <c r="F7" s="5" t="n">
        <v>29.46</v>
      </c>
      <c r="H7" s="4" t="n">
        <v>6</v>
      </c>
      <c r="I7" s="6" t="n">
        <v>0.3223</v>
      </c>
    </row>
    <row r="8">
      <c r="A8" s="4" t="n">
        <v>7</v>
      </c>
      <c r="B8" s="5" t="n">
        <v>18.96</v>
      </c>
      <c r="D8" s="4" t="n">
        <v>1987</v>
      </c>
      <c r="E8" s="5" t="n">
        <v>28.34</v>
      </c>
      <c r="F8" s="5" t="n">
        <v>30.19</v>
      </c>
      <c r="H8" s="4" t="n">
        <v>7</v>
      </c>
      <c r="I8" s="6" t="n">
        <v>0.3543</v>
      </c>
    </row>
    <row r="9">
      <c r="A9" s="4" t="n">
        <v>8</v>
      </c>
      <c r="B9" s="5" t="n">
        <v>8.51</v>
      </c>
      <c r="D9" s="4" t="n">
        <v>1988</v>
      </c>
      <c r="E9" s="5" t="n">
        <v>25.93</v>
      </c>
      <c r="F9" s="5" t="n">
        <v>28.14</v>
      </c>
      <c r="H9" s="4" t="n">
        <v>8</v>
      </c>
      <c r="I9" s="6" t="n">
        <v>0.1402</v>
      </c>
    </row>
    <row r="10">
      <c r="A10" s="4" t="n">
        <v>9</v>
      </c>
      <c r="B10" s="5" t="n">
        <v>0</v>
      </c>
      <c r="D10" s="4" t="n">
        <v>1989</v>
      </c>
      <c r="E10" s="5" t="n">
        <v>26.57</v>
      </c>
      <c r="F10" s="5" t="n">
        <v>27.67</v>
      </c>
      <c r="H10" s="4" t="n">
        <v>9</v>
      </c>
      <c r="I10" s="6" t="n">
        <v>0.7782</v>
      </c>
    </row>
    <row r="11">
      <c r="A11" s="4" t="n">
        <v>10</v>
      </c>
      <c r="B11" s="5" t="n">
        <v>0</v>
      </c>
      <c r="D11" s="4" t="n">
        <v>1990</v>
      </c>
      <c r="E11" s="5" t="n">
        <v>25.81</v>
      </c>
      <c r="F11" s="5" t="n">
        <v>28.89</v>
      </c>
      <c r="H11" s="4" t="n">
        <v>10</v>
      </c>
      <c r="I11" s="6" t="n">
        <v>0.3656</v>
      </c>
    </row>
    <row r="12">
      <c r="A12" s="4" t="n">
        <v>11</v>
      </c>
      <c r="B12" s="5" t="n">
        <v>4.04</v>
      </c>
      <c r="D12" s="4" t="n">
        <v>1991</v>
      </c>
      <c r="E12" s="5" t="n">
        <v>26.91</v>
      </c>
      <c r="F12" s="5" t="n">
        <v>29.77</v>
      </c>
      <c r="H12" s="4" t="n">
        <v>11</v>
      </c>
      <c r="I12" s="6" t="n">
        <v>0.2148</v>
      </c>
    </row>
    <row r="13">
      <c r="A13" s="4" t="n">
        <v>12</v>
      </c>
      <c r="B13" s="5" t="n">
        <v>0</v>
      </c>
      <c r="D13" s="4" t="n">
        <v>1992</v>
      </c>
      <c r="E13" s="5" t="n">
        <v>26.94</v>
      </c>
      <c r="F13" s="5" t="n">
        <v>28.4</v>
      </c>
      <c r="H13" s="4" t="n">
        <v>12</v>
      </c>
      <c r="I13" s="6" t="n">
        <v>0.0294</v>
      </c>
    </row>
    <row r="14">
      <c r="A14" s="4" t="n">
        <v>13</v>
      </c>
      <c r="B14" s="5" t="n">
        <v>0</v>
      </c>
      <c r="D14" s="4" t="n">
        <v>1993</v>
      </c>
      <c r="E14" s="5" t="n">
        <v>26.66</v>
      </c>
      <c r="F14" s="5" t="n">
        <v>28.62</v>
      </c>
      <c r="H14" s="4" t="n">
        <v>13</v>
      </c>
      <c r="I14" s="6" t="n">
        <v>0.7697000000000001</v>
      </c>
    </row>
    <row r="15">
      <c r="A15" s="4" t="n">
        <v>14</v>
      </c>
      <c r="B15" s="5" t="n">
        <v>0</v>
      </c>
      <c r="D15" s="4" t="n">
        <v>1994</v>
      </c>
      <c r="E15" s="5" t="n">
        <v>27.25</v>
      </c>
      <c r="F15" s="5" t="n">
        <v>29.49</v>
      </c>
      <c r="H15" s="4" t="n">
        <v>14</v>
      </c>
      <c r="I15" s="6" t="n">
        <v>0.9189000000000001</v>
      </c>
    </row>
    <row r="16">
      <c r="A16" s="4" t="n">
        <v>15</v>
      </c>
      <c r="B16" s="5" t="n">
        <v>0.63</v>
      </c>
      <c r="D16" s="4" t="n">
        <v>1995</v>
      </c>
      <c r="E16" s="5" t="n">
        <v>26.66</v>
      </c>
      <c r="F16" s="5" t="n">
        <v>27.17</v>
      </c>
      <c r="H16" s="4" t="n">
        <v>15</v>
      </c>
      <c r="I16" s="6" t="n">
        <v>0.122</v>
      </c>
    </row>
    <row r="17">
      <c r="A17" s="4" t="n">
        <v>16</v>
      </c>
      <c r="B17" s="5" t="n">
        <v>11.64</v>
      </c>
      <c r="D17" s="4" t="n">
        <v>1996</v>
      </c>
      <c r="E17" s="5" t="n">
        <v>27.29</v>
      </c>
      <c r="F17" s="5" t="n">
        <v>28.2</v>
      </c>
      <c r="H17" s="4" t="n">
        <v>16</v>
      </c>
      <c r="I17" s="6" t="n">
        <v>0.063</v>
      </c>
    </row>
    <row r="18">
      <c r="A18" s="4" t="n">
        <v>17</v>
      </c>
      <c r="B18" s="5" t="n">
        <v>0.23</v>
      </c>
      <c r="D18" s="4" t="n">
        <v>1997</v>
      </c>
      <c r="E18" s="5" t="n">
        <v>27.36</v>
      </c>
      <c r="F18" s="5" t="n">
        <v>28.4</v>
      </c>
      <c r="H18" s="4" t="n">
        <v>17</v>
      </c>
      <c r="I18" s="6" t="n">
        <v>0.6369</v>
      </c>
    </row>
    <row r="19">
      <c r="A19" s="4" t="n">
        <v>18</v>
      </c>
      <c r="B19" s="5" t="n">
        <v>0</v>
      </c>
      <c r="D19" s="4" t="n">
        <v>1998</v>
      </c>
      <c r="E19" s="5" t="n">
        <v>29.02</v>
      </c>
      <c r="F19" s="5" t="n">
        <v>30.51</v>
      </c>
      <c r="H19" s="4" t="n">
        <v>18</v>
      </c>
      <c r="I19" s="6" t="n">
        <v>0.7537</v>
      </c>
    </row>
    <row r="20">
      <c r="A20" s="4" t="n">
        <v>19</v>
      </c>
      <c r="B20" s="5" t="n">
        <v>0</v>
      </c>
      <c r="D20" s="4" t="n">
        <v>1999</v>
      </c>
      <c r="E20" s="5" t="n">
        <v>26.11</v>
      </c>
      <c r="F20" s="5" t="n">
        <v>27.19</v>
      </c>
      <c r="H20" s="4" t="n">
        <v>19</v>
      </c>
      <c r="I20" s="6" t="n">
        <v>0.5405</v>
      </c>
    </row>
    <row r="21">
      <c r="A21" s="4" t="n">
        <v>20</v>
      </c>
      <c r="B21" s="5" t="n">
        <v>0</v>
      </c>
      <c r="D21" s="4" t="n">
        <v>2000</v>
      </c>
      <c r="E21" s="5" t="n">
        <v>27.03</v>
      </c>
      <c r="F21" s="5" t="n">
        <v>28.95</v>
      </c>
      <c r="H21" s="4" t="n">
        <v>20</v>
      </c>
      <c r="I21" s="6" t="n">
        <v>0.304</v>
      </c>
    </row>
    <row r="22">
      <c r="A22" s="4" t="n">
        <v>21</v>
      </c>
      <c r="B22" s="5" t="n">
        <v>14.9</v>
      </c>
      <c r="D22" s="4" t="n">
        <v>2001</v>
      </c>
      <c r="E22" s="5" t="n">
        <v>28.68</v>
      </c>
      <c r="F22" s="5" t="n">
        <v>29.34</v>
      </c>
    </row>
    <row r="23">
      <c r="A23" s="4" t="n">
        <v>22</v>
      </c>
      <c r="B23" s="5" t="n">
        <v>25.82</v>
      </c>
      <c r="D23" s="4" t="n">
        <v>2002</v>
      </c>
      <c r="E23" s="5" t="n">
        <v>26.23</v>
      </c>
      <c r="F23" s="5" t="n">
        <v>28.21</v>
      </c>
    </row>
    <row r="24">
      <c r="A24" s="4" t="n">
        <v>23</v>
      </c>
      <c r="B24" s="5" t="n">
        <v>0</v>
      </c>
      <c r="D24" s="4" t="n">
        <v>2003</v>
      </c>
      <c r="E24" s="5" t="n">
        <v>29.53</v>
      </c>
      <c r="F24" s="5" t="n">
        <v>30.63</v>
      </c>
    </row>
    <row r="25">
      <c r="A25" s="4" t="n">
        <v>24</v>
      </c>
      <c r="B25" s="5" t="n">
        <v>6.63</v>
      </c>
      <c r="D25" s="4" t="n">
        <v>2004</v>
      </c>
      <c r="E25" s="5" t="n">
        <v>27.67</v>
      </c>
      <c r="F25" s="5" t="n">
        <v>30.07</v>
      </c>
    </row>
    <row r="26">
      <c r="A26" s="4" t="n">
        <v>25</v>
      </c>
      <c r="B26" s="5" t="n">
        <v>0.15</v>
      </c>
      <c r="D26" s="4" t="n">
        <v>2005</v>
      </c>
      <c r="E26" s="5" t="n">
        <v>28.36</v>
      </c>
      <c r="F26" s="5" t="n">
        <v>30.92</v>
      </c>
    </row>
    <row r="27">
      <c r="A27" s="4" t="n">
        <v>26</v>
      </c>
      <c r="B27" s="5" t="n">
        <v>1.86</v>
      </c>
      <c r="D27" s="4" t="n">
        <v>2006</v>
      </c>
      <c r="E27" s="5" t="n">
        <v>28.49</v>
      </c>
      <c r="F27" s="5" t="n">
        <v>29.84</v>
      </c>
    </row>
    <row r="28">
      <c r="A28" s="4" t="n">
        <v>27</v>
      </c>
      <c r="B28" s="5" t="n">
        <v>5.58</v>
      </c>
      <c r="D28" s="4" t="n">
        <v>2007</v>
      </c>
      <c r="E28" s="5" t="n">
        <v>27.04</v>
      </c>
      <c r="F28" s="5" t="n">
        <v>28.71</v>
      </c>
    </row>
    <row r="29">
      <c r="A29" s="4" t="n">
        <v>28</v>
      </c>
      <c r="B29" s="5" t="n">
        <v>0</v>
      </c>
      <c r="D29" s="4" t="n">
        <v>2008</v>
      </c>
      <c r="E29" s="5" t="n">
        <v>27.78</v>
      </c>
      <c r="F29" s="5" t="n">
        <v>29.28</v>
      </c>
    </row>
    <row r="30">
      <c r="A30" s="4" t="n">
        <v>29</v>
      </c>
      <c r="B30" s="5" t="n">
        <v>0</v>
      </c>
      <c r="D30" s="4" t="n">
        <v>2009</v>
      </c>
      <c r="E30" s="5" t="n">
        <v>27.04</v>
      </c>
      <c r="F30" s="5" t="n">
        <v>28.21</v>
      </c>
    </row>
    <row r="31">
      <c r="A31" s="4" t="n">
        <v>30</v>
      </c>
      <c r="B31" s="5" t="n">
        <v>46.05</v>
      </c>
      <c r="D31" s="4" t="n">
        <v>2010</v>
      </c>
      <c r="E31" s="5" t="n">
        <v>27.6</v>
      </c>
      <c r="F31" s="5" t="n">
        <v>29.89</v>
      </c>
    </row>
    <row r="32">
      <c r="A32" s="4" t="n">
        <v>31</v>
      </c>
      <c r="B32" s="5" t="n">
        <v>4.39</v>
      </c>
      <c r="D32" s="4" t="n">
        <v>2011</v>
      </c>
      <c r="E32" s="5" t="n">
        <v>27.68</v>
      </c>
      <c r="F32" s="5" t="n">
        <v>30.54</v>
      </c>
    </row>
    <row r="33">
      <c r="A33" s="4" t="n">
        <v>32</v>
      </c>
      <c r="B33" s="5" t="n">
        <v>0</v>
      </c>
      <c r="D33" s="4" t="n">
        <v>2012</v>
      </c>
      <c r="E33" s="5" t="n">
        <v>26.96</v>
      </c>
      <c r="F33" s="5" t="n">
        <v>28.49</v>
      </c>
    </row>
    <row r="34">
      <c r="A34" s="4" t="n">
        <v>33</v>
      </c>
      <c r="B34" s="5" t="n">
        <v>29.43</v>
      </c>
      <c r="D34" s="4" t="n">
        <v>2013</v>
      </c>
      <c r="E34" s="5" t="n">
        <v>26.93</v>
      </c>
      <c r="F34" s="5" t="n">
        <v>28.19</v>
      </c>
    </row>
    <row r="35">
      <c r="A35" s="4" t="n">
        <v>34</v>
      </c>
      <c r="B35" s="5" t="n">
        <v>0.5</v>
      </c>
      <c r="D35" s="4" t="n">
        <v>2014</v>
      </c>
      <c r="E35" s="5" t="n">
        <v>27.57</v>
      </c>
      <c r="F35" s="5" t="n">
        <v>28.81</v>
      </c>
    </row>
    <row r="36">
      <c r="A36" s="4" t="n">
        <v>35</v>
      </c>
      <c r="B36" s="5" t="n">
        <v>0</v>
      </c>
      <c r="D36" s="4" t="n">
        <v>2015</v>
      </c>
      <c r="E36" s="5" t="n">
        <v>27.12</v>
      </c>
      <c r="F36" s="5" t="n">
        <v>26.69</v>
      </c>
    </row>
    <row r="37">
      <c r="A37" s="4" t="n">
        <v>36</v>
      </c>
      <c r="B37" s="5" t="n">
        <v>4.44</v>
      </c>
      <c r="D37" s="4" t="n">
        <v>2016</v>
      </c>
      <c r="E37" s="5" t="n">
        <v>28.09</v>
      </c>
      <c r="F37" s="5" t="n">
        <v>28.77</v>
      </c>
    </row>
    <row r="38">
      <c r="A38" s="4" t="n">
        <v>37</v>
      </c>
      <c r="B38" s="5" t="n">
        <v>5.94</v>
      </c>
      <c r="D38" s="4" t="n">
        <v>2017</v>
      </c>
      <c r="E38" s="5" t="n">
        <v>26.03</v>
      </c>
      <c r="F38" s="5" t="n">
        <v>27.43</v>
      </c>
    </row>
    <row r="39">
      <c r="A39" s="4" t="n">
        <v>38</v>
      </c>
      <c r="B39" s="5" t="n">
        <v>2.37</v>
      </c>
      <c r="D39" s="4" t="n">
        <v>2018</v>
      </c>
      <c r="E39" s="5" t="n">
        <v>28.64</v>
      </c>
      <c r="F39" s="5" t="n">
        <v>29.8</v>
      </c>
    </row>
    <row r="40">
      <c r="A40" s="4" t="n">
        <v>39</v>
      </c>
      <c r="B40" s="5" t="n">
        <v>0</v>
      </c>
      <c r="D40" s="4" t="n">
        <v>2019</v>
      </c>
      <c r="E40" s="5" t="n">
        <v>25.42</v>
      </c>
      <c r="F40" s="5" t="n">
        <v>28.14</v>
      </c>
    </row>
    <row r="41">
      <c r="A41" s="4" t="n">
        <v>40</v>
      </c>
      <c r="B41" s="5" t="n">
        <v>0</v>
      </c>
      <c r="D41" s="4" t="n">
        <v>2020</v>
      </c>
      <c r="E41" s="5" t="n">
        <v>27.54</v>
      </c>
      <c r="F41" s="5" t="n">
        <v>29.89</v>
      </c>
    </row>
    <row r="42">
      <c r="A42" s="4" t="n">
        <v>41</v>
      </c>
      <c r="B42" s="5" t="n">
        <v>7.12</v>
      </c>
    </row>
    <row r="43">
      <c r="A43" s="4" t="n">
        <v>42</v>
      </c>
      <c r="B43" s="5" t="n">
        <v>0</v>
      </c>
    </row>
    <row r="44">
      <c r="A44" s="4" t="n">
        <v>43</v>
      </c>
      <c r="B44" s="5" t="n">
        <v>0.09</v>
      </c>
    </row>
    <row r="45">
      <c r="A45" s="4" t="n">
        <v>44</v>
      </c>
      <c r="B45" s="5" t="n">
        <v>0</v>
      </c>
    </row>
    <row r="46">
      <c r="A46" s="4" t="n">
        <v>45</v>
      </c>
      <c r="B46" s="5" t="n">
        <v>4.11</v>
      </c>
    </row>
    <row r="47">
      <c r="A47" s="4" t="n">
        <v>46</v>
      </c>
      <c r="B47" s="5" t="n">
        <v>0</v>
      </c>
    </row>
    <row r="48">
      <c r="A48" s="4" t="n">
        <v>47</v>
      </c>
      <c r="B48" s="5" t="n">
        <v>0</v>
      </c>
    </row>
    <row r="49">
      <c r="A49" s="4" t="n">
        <v>48</v>
      </c>
      <c r="B49" s="5" t="n">
        <v>0</v>
      </c>
    </row>
    <row r="50">
      <c r="A50" s="4" t="n">
        <v>49</v>
      </c>
      <c r="B50" s="5" t="n">
        <v>0</v>
      </c>
    </row>
    <row r="51">
      <c r="A51" s="4" t="n">
        <v>50</v>
      </c>
      <c r="B51" s="5" t="n">
        <v>5.82</v>
      </c>
    </row>
    <row r="52">
      <c r="A52" s="4" t="n">
        <v>51</v>
      </c>
      <c r="B52" s="5" t="n">
        <v>0</v>
      </c>
    </row>
    <row r="53">
      <c r="A53" s="4" t="n">
        <v>52</v>
      </c>
      <c r="B53" s="5" t="n">
        <v>0</v>
      </c>
    </row>
    <row r="54">
      <c r="A54" s="4" t="n">
        <v>53</v>
      </c>
      <c r="B54" s="5" t="n">
        <v>31.28</v>
      </c>
    </row>
    <row r="55">
      <c r="A55" s="4" t="n">
        <v>54</v>
      </c>
      <c r="B55" s="5" t="n">
        <v>2.65</v>
      </c>
    </row>
    <row r="56">
      <c r="A56" s="4" t="n">
        <v>55</v>
      </c>
      <c r="B56" s="5" t="n">
        <v>1.79</v>
      </c>
    </row>
    <row r="57">
      <c r="A57" s="4" t="n">
        <v>56</v>
      </c>
      <c r="B57" s="5" t="n">
        <v>0</v>
      </c>
    </row>
    <row r="58">
      <c r="A58" s="4" t="n">
        <v>57</v>
      </c>
      <c r="B58" s="5" t="n">
        <v>3.65</v>
      </c>
    </row>
    <row r="59">
      <c r="A59" s="4" t="n">
        <v>58</v>
      </c>
      <c r="B59" s="5" t="n">
        <v>6.33</v>
      </c>
    </row>
    <row r="60">
      <c r="A60" s="4" t="n">
        <v>59</v>
      </c>
      <c r="B60" s="5" t="n">
        <v>0</v>
      </c>
    </row>
    <row r="61">
      <c r="A61" s="4" t="n">
        <v>60</v>
      </c>
      <c r="B61" s="5" t="n">
        <v>0</v>
      </c>
    </row>
    <row r="62">
      <c r="A62" s="4" t="n">
        <v>61</v>
      </c>
      <c r="B62" s="5" t="n">
        <v>0</v>
      </c>
    </row>
    <row r="63">
      <c r="A63" s="4" t="n">
        <v>62</v>
      </c>
      <c r="B63" s="5" t="n">
        <v>5.62</v>
      </c>
    </row>
    <row r="64">
      <c r="A64" s="4" t="n">
        <v>63</v>
      </c>
      <c r="B64" s="5" t="n">
        <v>3.78</v>
      </c>
    </row>
    <row r="65">
      <c r="A65" s="4" t="n">
        <v>64</v>
      </c>
      <c r="B65" s="5" t="n">
        <v>0</v>
      </c>
    </row>
    <row r="66">
      <c r="A66" s="4" t="n">
        <v>65</v>
      </c>
      <c r="B66" s="5" t="n">
        <v>0</v>
      </c>
    </row>
    <row r="67">
      <c r="A67" s="4" t="n">
        <v>66</v>
      </c>
      <c r="B67" s="5" t="n">
        <v>17.87</v>
      </c>
    </row>
    <row r="68">
      <c r="A68" s="4" t="n">
        <v>67</v>
      </c>
      <c r="B68" s="5" t="n">
        <v>0</v>
      </c>
    </row>
    <row r="69">
      <c r="A69" s="4" t="n">
        <v>68</v>
      </c>
      <c r="B69" s="5" t="n">
        <v>18.18</v>
      </c>
    </row>
    <row r="70">
      <c r="A70" s="4" t="n">
        <v>69</v>
      </c>
      <c r="B70" s="5" t="n">
        <v>10.45</v>
      </c>
    </row>
    <row r="71">
      <c r="A71" s="4" t="n">
        <v>70</v>
      </c>
      <c r="B71" s="5" t="n">
        <v>5.47</v>
      </c>
    </row>
    <row r="72">
      <c r="A72" s="4" t="n">
        <v>71</v>
      </c>
      <c r="B72" s="5" t="n">
        <v>0</v>
      </c>
    </row>
    <row r="73">
      <c r="A73" s="4" t="n">
        <v>72</v>
      </c>
      <c r="B73" s="5" t="n">
        <v>0</v>
      </c>
    </row>
    <row r="74">
      <c r="A74" s="4" t="n">
        <v>73</v>
      </c>
      <c r="B74" s="5" t="n">
        <v>8.75</v>
      </c>
    </row>
    <row r="75">
      <c r="A75" s="4" t="n">
        <v>74</v>
      </c>
      <c r="B75" s="5" t="n">
        <v>0</v>
      </c>
    </row>
    <row r="76">
      <c r="A76" s="4" t="n">
        <v>75</v>
      </c>
      <c r="B76" s="5" t="n">
        <v>4.9</v>
      </c>
    </row>
    <row r="77">
      <c r="A77" s="4" t="n">
        <v>76</v>
      </c>
      <c r="B77" s="5" t="n">
        <v>0</v>
      </c>
    </row>
    <row r="78">
      <c r="A78" s="4" t="n">
        <v>77</v>
      </c>
      <c r="B78" s="5" t="n">
        <v>0</v>
      </c>
    </row>
    <row r="79">
      <c r="A79" s="4" t="n">
        <v>78</v>
      </c>
      <c r="B79" s="5" t="n">
        <v>8.49</v>
      </c>
    </row>
    <row r="80">
      <c r="A80" s="4" t="n">
        <v>79</v>
      </c>
      <c r="B80" s="5" t="n">
        <v>7.71</v>
      </c>
    </row>
    <row r="81">
      <c r="A81" s="4" t="n">
        <v>80</v>
      </c>
      <c r="B81" s="5" t="n">
        <v>0</v>
      </c>
    </row>
    <row r="82">
      <c r="A82" s="4" t="n">
        <v>81</v>
      </c>
      <c r="B82" s="5" t="n">
        <v>12.52</v>
      </c>
    </row>
    <row r="83">
      <c r="A83" s="4" t="n">
        <v>82</v>
      </c>
      <c r="B83" s="5" t="n">
        <v>1.99</v>
      </c>
    </row>
    <row r="84">
      <c r="A84" s="4" t="n">
        <v>83</v>
      </c>
      <c r="B84" s="5" t="n">
        <v>14.97</v>
      </c>
    </row>
    <row r="85">
      <c r="A85" s="4" t="n">
        <v>84</v>
      </c>
      <c r="B85" s="5" t="n">
        <v>6.11</v>
      </c>
    </row>
    <row r="86">
      <c r="A86" s="4" t="n">
        <v>85</v>
      </c>
      <c r="B86" s="5" t="n">
        <v>7.24</v>
      </c>
    </row>
    <row r="87">
      <c r="A87" s="4" t="n">
        <v>86</v>
      </c>
      <c r="B87" s="5" t="n">
        <v>0</v>
      </c>
    </row>
    <row r="88">
      <c r="A88" s="4" t="n">
        <v>87</v>
      </c>
      <c r="B88" s="5" t="n">
        <v>2.34</v>
      </c>
    </row>
    <row r="89">
      <c r="A89" s="4" t="n">
        <v>88</v>
      </c>
      <c r="B89" s="5" t="n">
        <v>5.19</v>
      </c>
    </row>
    <row r="90">
      <c r="A90" s="4" t="n">
        <v>89</v>
      </c>
      <c r="B90" s="5" t="n">
        <v>0.73</v>
      </c>
    </row>
    <row r="91">
      <c r="A91" s="4" t="n">
        <v>90</v>
      </c>
      <c r="B91" s="5" t="n">
        <v>2.61</v>
      </c>
    </row>
    <row r="92">
      <c r="A92" s="4" t="n">
        <v>91</v>
      </c>
      <c r="B92" s="5" t="n">
        <v>0</v>
      </c>
    </row>
    <row r="93">
      <c r="A93" s="4" t="n">
        <v>92</v>
      </c>
      <c r="B93" s="5" t="n">
        <v>4.69</v>
      </c>
    </row>
    <row r="94">
      <c r="A94" s="4" t="n">
        <v>93</v>
      </c>
      <c r="B94" s="5" t="n">
        <v>0</v>
      </c>
    </row>
    <row r="95">
      <c r="A95" s="4" t="n">
        <v>94</v>
      </c>
      <c r="B95" s="5" t="n">
        <v>0</v>
      </c>
    </row>
    <row r="96">
      <c r="A96" s="4" t="n">
        <v>95</v>
      </c>
      <c r="B96" s="5" t="n">
        <v>8.51</v>
      </c>
    </row>
    <row r="97">
      <c r="A97" s="4" t="n">
        <v>96</v>
      </c>
      <c r="B97" s="5" t="n">
        <v>0</v>
      </c>
    </row>
    <row r="98">
      <c r="A98" s="4" t="n">
        <v>97</v>
      </c>
      <c r="B98" s="5" t="n">
        <v>0</v>
      </c>
    </row>
    <row r="99">
      <c r="A99" s="4" t="n">
        <v>98</v>
      </c>
      <c r="B99" s="5" t="n">
        <v>15.12</v>
      </c>
    </row>
    <row r="100">
      <c r="A100" s="4" t="n">
        <v>99</v>
      </c>
      <c r="B100" s="5" t="n">
        <v>0.03</v>
      </c>
    </row>
    <row r="101">
      <c r="A101" s="4" t="n">
        <v>100</v>
      </c>
      <c r="B101" s="5" t="n">
        <v>23.73</v>
      </c>
    </row>
    <row r="102">
      <c r="A102" s="4" t="n">
        <v>101</v>
      </c>
      <c r="B102" s="5" t="n">
        <v>0</v>
      </c>
    </row>
    <row r="103">
      <c r="A103" s="4" t="n">
        <v>102</v>
      </c>
      <c r="B103" s="5" t="n">
        <v>20.85</v>
      </c>
    </row>
    <row r="104">
      <c r="A104" s="4" t="n">
        <v>103</v>
      </c>
      <c r="B104" s="5" t="n">
        <v>1.02</v>
      </c>
    </row>
    <row r="105">
      <c r="A105" s="4" t="n">
        <v>104</v>
      </c>
      <c r="B105" s="5" t="n">
        <v>0</v>
      </c>
    </row>
    <row r="106">
      <c r="A106" s="4" t="n">
        <v>105</v>
      </c>
      <c r="B106" s="5" t="n">
        <v>6.46</v>
      </c>
    </row>
    <row r="107">
      <c r="A107" s="4" t="n">
        <v>106</v>
      </c>
      <c r="B107" s="5" t="n">
        <v>17.96</v>
      </c>
    </row>
    <row r="108">
      <c r="A108" s="4" t="n">
        <v>107</v>
      </c>
      <c r="B108" s="5" t="n">
        <v>0</v>
      </c>
    </row>
    <row r="109">
      <c r="A109" s="4" t="n">
        <v>108</v>
      </c>
      <c r="B109" s="5" t="n">
        <v>0</v>
      </c>
    </row>
    <row r="110">
      <c r="A110" s="4" t="n">
        <v>109</v>
      </c>
      <c r="B110" s="5" t="n">
        <v>0</v>
      </c>
    </row>
    <row r="111">
      <c r="A111" s="4" t="n">
        <v>110</v>
      </c>
      <c r="B111" s="5" t="n">
        <v>4.6</v>
      </c>
    </row>
    <row r="112">
      <c r="A112" s="4" t="n">
        <v>111</v>
      </c>
      <c r="B112" s="5" t="n">
        <v>2.39</v>
      </c>
    </row>
    <row r="113">
      <c r="A113" s="4" t="n">
        <v>112</v>
      </c>
      <c r="B113" s="5" t="n">
        <v>0.97</v>
      </c>
    </row>
    <row r="114">
      <c r="A114" s="4" t="n">
        <v>113</v>
      </c>
      <c r="B114" s="5" t="n">
        <v>0</v>
      </c>
    </row>
    <row r="115">
      <c r="A115" s="4" t="n">
        <v>114</v>
      </c>
      <c r="B115" s="5" t="n">
        <v>15.91</v>
      </c>
    </row>
    <row r="116">
      <c r="A116" s="4" t="n">
        <v>115</v>
      </c>
      <c r="B116" s="5" t="n">
        <v>1.17</v>
      </c>
    </row>
    <row r="117">
      <c r="A117" s="4" t="n">
        <v>116</v>
      </c>
      <c r="B117" s="5" t="n">
        <v>0</v>
      </c>
    </row>
    <row r="118">
      <c r="A118" s="4" t="n">
        <v>117</v>
      </c>
      <c r="B118" s="5" t="n">
        <v>28.81</v>
      </c>
    </row>
    <row r="119">
      <c r="A119" s="4" t="n">
        <v>118</v>
      </c>
      <c r="B119" s="5" t="n">
        <v>38.53</v>
      </c>
    </row>
    <row r="120">
      <c r="A120" s="4" t="n">
        <v>119</v>
      </c>
      <c r="B120" s="5" t="n">
        <v>7.48</v>
      </c>
    </row>
    <row r="121">
      <c r="A121" s="4" t="n">
        <v>120</v>
      </c>
      <c r="B121" s="5"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22"/>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9" customWidth="1" min="3" max="3"/>
    <col width="3" customWidth="1" min="4" max="4"/>
    <col width="5" customWidth="1" min="5" max="5"/>
    <col width="14" customWidth="1" min="6" max="6"/>
    <col width="9" customWidth="1" min="7" max="7"/>
    <col width="12" customWidth="1" min="8" max="8"/>
    <col width="3" customWidth="1" min="9" max="9"/>
    <col width="40" customWidth="1" min="10" max="10"/>
    <col width="12" customWidth="1" min="11" max="11"/>
    <col width="3" customWidth="1" min="12" max="12"/>
    <col width="6" customWidth="1" min="13" max="13"/>
    <col width="10" customWidth="1" min="14" max="14"/>
    <col width="12" customWidth="1" min="15" max="15"/>
    <col width="10" customWidth="1" min="16" max="16"/>
    <col width="8" customWidth="1" min="17" max="17"/>
  </cols>
  <sheetData>
    <row r="1">
      <c r="A1" s="3" t="inlineStr">
        <is>
          <t>day</t>
        </is>
      </c>
      <c r="B1" s="3" t="inlineStr">
        <is>
          <t>rain_mm</t>
        </is>
      </c>
      <c r="C1" s="3" t="inlineStr">
        <is>
          <t>wet count</t>
        </is>
      </c>
      <c r="D1" s="3" t="inlineStr"/>
      <c r="E1" s="3" t="inlineStr">
        <is>
          <t>k</t>
        </is>
      </c>
      <c r="F1" s="3" t="inlineStr">
        <is>
          <t>wet-day amount x_k (mm)</t>
        </is>
      </c>
      <c r="G1" s="3" t="inlineStr">
        <is>
          <t>ln x_k</t>
        </is>
      </c>
      <c r="H1" s="3" t="inlineStr">
        <is>
          <t>ln f(x_k) at MLE</t>
        </is>
      </c>
      <c r="M1" s="3" t="inlineStr">
        <is>
          <t>step</t>
        </is>
      </c>
      <c r="N1" s="3" t="inlineStr">
        <is>
          <t>alpha grid</t>
        </is>
      </c>
      <c r="O1" s="3" t="inlineStr">
        <is>
          <t>LL(alpha)</t>
        </is>
      </c>
      <c r="P1" s="7" t="inlineStr">
        <is>
          <t>Grid inputs</t>
        </is>
      </c>
    </row>
    <row r="2">
      <c r="A2">
        <f>Data!A2</f>
        <v/>
      </c>
      <c r="B2" s="8">
        <f>Data!B2</f>
        <v/>
      </c>
      <c r="C2">
        <f>IF(B2&gt;0,COUNTIF($B$2:B2,"&gt;0"),"")</f>
        <v/>
      </c>
      <c r="E2">
        <f>ROW()-1</f>
        <v/>
      </c>
      <c r="F2" s="8">
        <f>IF(E2&lt;=$K$3,INDEX($B$2:$B$121,MATCH(E2,$C$2:$C$121,0)),"")</f>
        <v/>
      </c>
      <c r="G2" s="9">
        <f>IF(F2="","",LN(F2))</f>
        <v/>
      </c>
      <c r="H2" s="9">
        <f>IF(F2="","",LN(GAMMA.DIST(F2,$K$18,$K$19,FALSE)))</f>
        <v/>
      </c>
      <c r="J2" t="inlineStr">
        <is>
          <t>Days in record n_days</t>
        </is>
      </c>
      <c r="K2" s="10">
        <f>COUNT(Data!$B$2:$B$121)</f>
        <v/>
      </c>
      <c r="M2">
        <f>ROW()-1</f>
        <v/>
      </c>
      <c r="N2" s="8">
        <f>$Q$2+(M2-1)*$Q$3</f>
        <v/>
      </c>
      <c r="O2" s="11">
        <f>-$K$8*GAMMALN(N2)-$K$8*N2*LN($K$5/N2)+(N2-1)*$K$8*$K$7-$K$8*N2</f>
        <v/>
      </c>
      <c r="P2" t="inlineStr">
        <is>
          <t>start</t>
        </is>
      </c>
      <c r="Q2" s="4" t="n">
        <v>0.3</v>
      </c>
    </row>
    <row r="3">
      <c r="A3">
        <f>Data!A3</f>
        <v/>
      </c>
      <c r="B3" s="8">
        <f>Data!B3</f>
        <v/>
      </c>
      <c r="C3">
        <f>IF(B3&gt;0,COUNTIF($B$2:B3,"&gt;0"),"")</f>
        <v/>
      </c>
      <c r="E3">
        <f>ROW()-1</f>
        <v/>
      </c>
      <c r="F3" s="8">
        <f>IF(E3&lt;=$K$3,INDEX($B$2:$B$121,MATCH(E3,$C$2:$C$121,0)),"")</f>
        <v/>
      </c>
      <c r="G3" s="9">
        <f>IF(F3="","",LN(F3))</f>
        <v/>
      </c>
      <c r="H3" s="9">
        <f>IF(F3="","",LN(GAMMA.DIST(F3,$K$18,$K$19,FALSE)))</f>
        <v/>
      </c>
      <c r="J3" t="inlineStr">
        <is>
          <t>Wet days (rain &gt; 0)</t>
        </is>
      </c>
      <c r="K3" s="10">
        <f>COUNTIF(Data!$B$2:$B$121,"&gt;0")</f>
        <v/>
      </c>
      <c r="M3">
        <f>ROW()-1</f>
        <v/>
      </c>
      <c r="N3" s="8">
        <f>$Q$2+(M3-1)*$Q$3</f>
        <v/>
      </c>
      <c r="O3" s="11">
        <f>-$K$8*GAMMALN(N3)-$K$8*N3*LN($K$5/N3)+(N3-1)*$K$8*$K$7-$K$8*N3</f>
        <v/>
      </c>
      <c r="P3" t="inlineStr">
        <is>
          <t>step size</t>
        </is>
      </c>
      <c r="Q3" s="4" t="n">
        <v>0.01</v>
      </c>
    </row>
    <row r="4">
      <c r="A4">
        <f>Data!A4</f>
        <v/>
      </c>
      <c r="B4" s="8">
        <f>Data!B4</f>
        <v/>
      </c>
      <c r="C4">
        <f>IF(B4&gt;0,COUNTIF($B$2:B4,"&gt;0"),"")</f>
        <v/>
      </c>
      <c r="E4">
        <f>ROW()-1</f>
        <v/>
      </c>
      <c r="F4" s="8">
        <f>IF(E4&lt;=$K$3,INDEX($B$2:$B$121,MATCH(E4,$C$2:$C$121,0)),"")</f>
        <v/>
      </c>
      <c r="G4" s="9">
        <f>IF(F4="","",LN(F4))</f>
        <v/>
      </c>
      <c r="H4" s="9">
        <f>IF(F4="","",LN(GAMMA.DIST(F4,$K$18,$K$19,FALSE)))</f>
        <v/>
      </c>
      <c r="J4" t="inlineStr">
        <is>
          <t>Wet-day probability p</t>
        </is>
      </c>
      <c r="K4" s="11">
        <f>K3/K2</f>
        <v/>
      </c>
      <c r="M4">
        <f>ROW()-1</f>
        <v/>
      </c>
      <c r="N4" s="8">
        <f>$Q$2+(M4-1)*$Q$3</f>
        <v/>
      </c>
      <c r="O4" s="11">
        <f>-$K$8*GAMMALN(N4)-$K$8*N4*LN($K$5/N4)+(N4-1)*$K$8*$K$7-$K$8*N4</f>
        <v/>
      </c>
    </row>
    <row r="5">
      <c r="A5">
        <f>Data!A5</f>
        <v/>
      </c>
      <c r="B5" s="8">
        <f>Data!B5</f>
        <v/>
      </c>
      <c r="C5">
        <f>IF(B5&gt;0,COUNTIF($B$2:B5,"&gt;0"),"")</f>
        <v/>
      </c>
      <c r="E5">
        <f>ROW()-1</f>
        <v/>
      </c>
      <c r="F5" s="8">
        <f>IF(E5&lt;=$K$3,INDEX($B$2:$B$121,MATCH(E5,$C$2:$C$121,0)),"")</f>
        <v/>
      </c>
      <c r="G5" s="9">
        <f>IF(F5="","",LN(F5))</f>
        <v/>
      </c>
      <c r="H5" s="9">
        <f>IF(F5="","",LN(GAMMA.DIST(F5,$K$18,$K$19,FALSE)))</f>
        <v/>
      </c>
      <c r="J5" t="inlineStr">
        <is>
          <t>Mean wet-day rain xbar (mm)</t>
        </is>
      </c>
      <c r="K5" s="11">
        <f>AVERAGE($F$2:$F$121)</f>
        <v/>
      </c>
      <c r="M5">
        <f>ROW()-1</f>
        <v/>
      </c>
      <c r="N5" s="8">
        <f>$Q$2+(M5-1)*$Q$3</f>
        <v/>
      </c>
      <c r="O5" s="11">
        <f>-$K$8*GAMMALN(N5)-$K$8*N5*LN($K$5/N5)+(N5-1)*$K$8*$K$7-$K$8*N5</f>
        <v/>
      </c>
    </row>
    <row r="6">
      <c r="A6">
        <f>Data!A6</f>
        <v/>
      </c>
      <c r="B6" s="8">
        <f>Data!B6</f>
        <v/>
      </c>
      <c r="C6">
        <f>IF(B6&gt;0,COUNTIF($B$2:B6,"&gt;0"),"")</f>
        <v/>
      </c>
      <c r="E6">
        <f>ROW()-1</f>
        <v/>
      </c>
      <c r="F6" s="8">
        <f>IF(E6&lt;=$K$3,INDEX($B$2:$B$121,MATCH(E6,$C$2:$C$121,0)),"")</f>
        <v/>
      </c>
      <c r="G6" s="9">
        <f>IF(F6="","",LN(F6))</f>
        <v/>
      </c>
      <c r="H6" s="9">
        <f>IF(F6="","",LN(GAMMA.DIST(F6,$K$18,$K$19,FALSE)))</f>
        <v/>
      </c>
      <c r="J6" t="inlineStr">
        <is>
          <t>Sample variance s2 (mm2)</t>
        </is>
      </c>
      <c r="K6" s="11">
        <f>STDEV.S($F$2:$F$121)^2</f>
        <v/>
      </c>
      <c r="M6">
        <f>ROW()-1</f>
        <v/>
      </c>
      <c r="N6" s="8">
        <f>$Q$2+(M6-1)*$Q$3</f>
        <v/>
      </c>
      <c r="O6" s="11">
        <f>-$K$8*GAMMALN(N6)-$K$8*N6*LN($K$5/N6)+(N6-1)*$K$8*$K$7-$K$8*N6</f>
        <v/>
      </c>
    </row>
    <row r="7">
      <c r="A7">
        <f>Data!A7</f>
        <v/>
      </c>
      <c r="B7" s="8">
        <f>Data!B7</f>
        <v/>
      </c>
      <c r="C7">
        <f>IF(B7&gt;0,COUNTIF($B$2:B7,"&gt;0"),"")</f>
        <v/>
      </c>
      <c r="E7">
        <f>ROW()-1</f>
        <v/>
      </c>
      <c r="F7" s="8">
        <f>IF(E7&lt;=$K$3,INDEX($B$2:$B$121,MATCH(E7,$C$2:$C$121,0)),"")</f>
        <v/>
      </c>
      <c r="G7" s="9">
        <f>IF(F7="","",LN(F7))</f>
        <v/>
      </c>
      <c r="H7" s="9">
        <f>IF(F7="","",LN(GAMMA.DIST(F7,$K$18,$K$19,FALSE)))</f>
        <v/>
      </c>
      <c r="J7" t="inlineStr">
        <is>
          <t>Mean of ln x</t>
        </is>
      </c>
      <c r="K7" s="9">
        <f>AVERAGE($G$2:$G$121)</f>
        <v/>
      </c>
      <c r="M7">
        <f>ROW()-1</f>
        <v/>
      </c>
      <c r="N7" s="8">
        <f>$Q$2+(M7-1)*$Q$3</f>
        <v/>
      </c>
      <c r="O7" s="11">
        <f>-$K$8*GAMMALN(N7)-$K$8*N7*LN($K$5/N7)+(N7-1)*$K$8*$K$7-$K$8*N7</f>
        <v/>
      </c>
    </row>
    <row r="8">
      <c r="A8">
        <f>Data!A8</f>
        <v/>
      </c>
      <c r="B8" s="8">
        <f>Data!B8</f>
        <v/>
      </c>
      <c r="C8">
        <f>IF(B8&gt;0,COUNTIF($B$2:B8,"&gt;0"),"")</f>
        <v/>
      </c>
      <c r="E8">
        <f>ROW()-1</f>
        <v/>
      </c>
      <c r="F8" s="8">
        <f>IF(E8&lt;=$K$3,INDEX($B$2:$B$121,MATCH(E8,$C$2:$C$121,0)),"")</f>
        <v/>
      </c>
      <c r="G8" s="9">
        <f>IF(F8="","",LN(F8))</f>
        <v/>
      </c>
      <c r="H8" s="9">
        <f>IF(F8="","",LN(GAMMA.DIST(F8,$K$18,$K$19,FALSE)))</f>
        <v/>
      </c>
      <c r="J8" t="inlineStr">
        <is>
          <t>Number of wet-day amounts n</t>
        </is>
      </c>
      <c r="K8" s="10">
        <f>COUNT($F$2:$F$121)</f>
        <v/>
      </c>
      <c r="M8">
        <f>ROW()-1</f>
        <v/>
      </c>
      <c r="N8" s="8">
        <f>$Q$2+(M8-1)*$Q$3</f>
        <v/>
      </c>
      <c r="O8" s="11">
        <f>-$K$8*GAMMALN(N8)-$K$8*N8*LN($K$5/N8)+(N8-1)*$K$8*$K$7-$K$8*N8</f>
        <v/>
      </c>
    </row>
    <row r="9">
      <c r="A9">
        <f>Data!A9</f>
        <v/>
      </c>
      <c r="B9" s="8">
        <f>Data!B9</f>
        <v/>
      </c>
      <c r="C9">
        <f>IF(B9&gt;0,COUNTIF($B$2:B9,"&gt;0"),"")</f>
        <v/>
      </c>
      <c r="E9">
        <f>ROW()-1</f>
        <v/>
      </c>
      <c r="F9" s="8">
        <f>IF(E9&lt;=$K$3,INDEX($B$2:$B$121,MATCH(E9,$C$2:$C$121,0)),"")</f>
        <v/>
      </c>
      <c r="G9" s="9">
        <f>IF(F9="","",LN(F9))</f>
        <v/>
      </c>
      <c r="H9" s="9">
        <f>IF(F9="","",LN(GAMMA.DIST(F9,$K$18,$K$19,FALSE)))</f>
        <v/>
      </c>
      <c r="M9">
        <f>ROW()-1</f>
        <v/>
      </c>
      <c r="N9" s="8">
        <f>$Q$2+(M9-1)*$Q$3</f>
        <v/>
      </c>
      <c r="O9" s="11">
        <f>-$K$8*GAMMALN(N9)-$K$8*N9*LN($K$5/N9)+(N9-1)*$K$8*$K$7-$K$8*N9</f>
        <v/>
      </c>
    </row>
    <row r="10">
      <c r="A10">
        <f>Data!A10</f>
        <v/>
      </c>
      <c r="B10" s="8">
        <f>Data!B10</f>
        <v/>
      </c>
      <c r="C10">
        <f>IF(B10&gt;0,COUNTIF($B$2:B10,"&gt;0"),"")</f>
        <v/>
      </c>
      <c r="E10">
        <f>ROW()-1</f>
        <v/>
      </c>
      <c r="F10" s="8">
        <f>IF(E10&lt;=$K$3,INDEX($B$2:$B$121,MATCH(E10,$C$2:$C$121,0)),"")</f>
        <v/>
      </c>
      <c r="G10" s="9">
        <f>IF(F10="","",LN(F10))</f>
        <v/>
      </c>
      <c r="H10" s="9">
        <f>IF(F10="","",LN(GAMMA.DIST(F10,$K$18,$K$19,FALSE)))</f>
        <v/>
      </c>
      <c r="J10" t="inlineStr">
        <is>
          <t>EXPONENTIAL: beta = xbar (mm)</t>
        </is>
      </c>
      <c r="K10" s="11">
        <f>K5</f>
        <v/>
      </c>
      <c r="M10">
        <f>ROW()-1</f>
        <v/>
      </c>
      <c r="N10" s="8">
        <f>$Q$2+(M10-1)*$Q$3</f>
        <v/>
      </c>
      <c r="O10" s="11">
        <f>-$K$8*GAMMALN(N10)-$K$8*N10*LN($K$5/N10)+(N10-1)*$K$8*$K$7-$K$8*N10</f>
        <v/>
      </c>
    </row>
    <row r="11">
      <c r="A11">
        <f>Data!A11</f>
        <v/>
      </c>
      <c r="B11" s="8">
        <f>Data!B11</f>
        <v/>
      </c>
      <c r="C11">
        <f>IF(B11&gt;0,COUNTIF($B$2:B11,"&gt;0"),"")</f>
        <v/>
      </c>
      <c r="E11">
        <f>ROW()-1</f>
        <v/>
      </c>
      <c r="F11" s="8">
        <f>IF(E11&lt;=$K$3,INDEX($B$2:$B$121,MATCH(E11,$C$2:$C$121,0)),"")</f>
        <v/>
      </c>
      <c r="G11" s="9">
        <f>IF(F11="","",LN(F11))</f>
        <v/>
      </c>
      <c r="H11" s="9">
        <f>IF(F11="","",LN(GAMMA.DIST(F11,$K$18,$K$19,FALSE)))</f>
        <v/>
      </c>
      <c r="M11">
        <f>ROW()-1</f>
        <v/>
      </c>
      <c r="N11" s="8">
        <f>$Q$2+(M11-1)*$Q$3</f>
        <v/>
      </c>
      <c r="O11" s="11">
        <f>-$K$8*GAMMALN(N11)-$K$8*N11*LN($K$5/N11)+(N11-1)*$K$8*$K$7-$K$8*N11</f>
        <v/>
      </c>
    </row>
    <row r="12">
      <c r="A12">
        <f>Data!A12</f>
        <v/>
      </c>
      <c r="B12" s="8">
        <f>Data!B12</f>
        <v/>
      </c>
      <c r="C12">
        <f>IF(B12&gt;0,COUNTIF($B$2:B12,"&gt;0"),"")</f>
        <v/>
      </c>
      <c r="E12">
        <f>ROW()-1</f>
        <v/>
      </c>
      <c r="F12" s="8">
        <f>IF(E12&lt;=$K$3,INDEX($B$2:$B$121,MATCH(E12,$C$2:$C$121,0)),"")</f>
        <v/>
      </c>
      <c r="G12" s="9">
        <f>IF(F12="","",LN(F12))</f>
        <v/>
      </c>
      <c r="H12" s="9">
        <f>IF(F12="","",LN(GAMMA.DIST(F12,$K$18,$K$19,FALSE)))</f>
        <v/>
      </c>
      <c r="J12" s="7" t="inlineStr">
        <is>
          <t>GAMMA, method of moments</t>
        </is>
      </c>
      <c r="M12">
        <f>ROW()-1</f>
        <v/>
      </c>
      <c r="N12" s="8">
        <f>$Q$2+(M12-1)*$Q$3</f>
        <v/>
      </c>
      <c r="O12" s="11">
        <f>-$K$8*GAMMALN(N12)-$K$8*N12*LN($K$5/N12)+(N12-1)*$K$8*$K$7-$K$8*N12</f>
        <v/>
      </c>
    </row>
    <row r="13">
      <c r="A13">
        <f>Data!A13</f>
        <v/>
      </c>
      <c r="B13" s="8">
        <f>Data!B13</f>
        <v/>
      </c>
      <c r="C13">
        <f>IF(B13&gt;0,COUNTIF($B$2:B13,"&gt;0"),"")</f>
        <v/>
      </c>
      <c r="E13">
        <f>ROW()-1</f>
        <v/>
      </c>
      <c r="F13" s="8">
        <f>IF(E13&lt;=$K$3,INDEX($B$2:$B$121,MATCH(E13,$C$2:$C$121,0)),"")</f>
        <v/>
      </c>
      <c r="G13" s="9">
        <f>IF(F13="","",LN(F13))</f>
        <v/>
      </c>
      <c r="H13" s="9">
        <f>IF(F13="","",LN(GAMMA.DIST(F13,$K$18,$K$19,FALSE)))</f>
        <v/>
      </c>
      <c r="J13" t="inlineStr">
        <is>
          <t>alpha_MoM = xbar^2 / s2</t>
        </is>
      </c>
      <c r="K13" s="9">
        <f>K5^2/K6</f>
        <v/>
      </c>
      <c r="M13">
        <f>ROW()-1</f>
        <v/>
      </c>
      <c r="N13" s="8">
        <f>$Q$2+(M13-1)*$Q$3</f>
        <v/>
      </c>
      <c r="O13" s="11">
        <f>-$K$8*GAMMALN(N13)-$K$8*N13*LN($K$5/N13)+(N13-1)*$K$8*$K$7-$K$8*N13</f>
        <v/>
      </c>
    </row>
    <row r="14">
      <c r="A14">
        <f>Data!A14</f>
        <v/>
      </c>
      <c r="B14" s="8">
        <f>Data!B14</f>
        <v/>
      </c>
      <c r="C14">
        <f>IF(B14&gt;0,COUNTIF($B$2:B14,"&gt;0"),"")</f>
        <v/>
      </c>
      <c r="E14">
        <f>ROW()-1</f>
        <v/>
      </c>
      <c r="F14" s="8">
        <f>IF(E14&lt;=$K$3,INDEX($B$2:$B$121,MATCH(E14,$C$2:$C$121,0)),"")</f>
        <v/>
      </c>
      <c r="G14" s="9">
        <f>IF(F14="","",LN(F14))</f>
        <v/>
      </c>
      <c r="H14" s="9">
        <f>IF(F14="","",LN(GAMMA.DIST(F14,$K$18,$K$19,FALSE)))</f>
        <v/>
      </c>
      <c r="J14" t="inlineStr">
        <is>
          <t>beta_MoM = s2 / xbar (mm)</t>
        </is>
      </c>
      <c r="K14" s="9">
        <f>K6/K5</f>
        <v/>
      </c>
      <c r="M14">
        <f>ROW()-1</f>
        <v/>
      </c>
      <c r="N14" s="8">
        <f>$Q$2+(M14-1)*$Q$3</f>
        <v/>
      </c>
      <c r="O14" s="11">
        <f>-$K$8*GAMMALN(N14)-$K$8*N14*LN($K$5/N14)+(N14-1)*$K$8*$K$7-$K$8*N14</f>
        <v/>
      </c>
    </row>
    <row r="15">
      <c r="A15">
        <f>Data!A15</f>
        <v/>
      </c>
      <c r="B15" s="8">
        <f>Data!B15</f>
        <v/>
      </c>
      <c r="C15">
        <f>IF(B15&gt;0,COUNTIF($B$2:B15,"&gt;0"),"")</f>
        <v/>
      </c>
      <c r="E15">
        <f>ROW()-1</f>
        <v/>
      </c>
      <c r="F15" s="8">
        <f>IF(E15&lt;=$K$3,INDEX($B$2:$B$121,MATCH(E15,$C$2:$C$121,0)),"")</f>
        <v/>
      </c>
      <c r="G15" s="9">
        <f>IF(F15="","",LN(F15))</f>
        <v/>
      </c>
      <c r="H15" s="9">
        <f>IF(F15="","",LN(GAMMA.DIST(F15,$K$18,$K$19,FALSE)))</f>
        <v/>
      </c>
      <c r="M15">
        <f>ROW()-1</f>
        <v/>
      </c>
      <c r="N15" s="8">
        <f>$Q$2+(M15-1)*$Q$3</f>
        <v/>
      </c>
      <c r="O15" s="11">
        <f>-$K$8*GAMMALN(N15)-$K$8*N15*LN($K$5/N15)+(N15-1)*$K$8*$K$7-$K$8*N15</f>
        <v/>
      </c>
    </row>
    <row r="16">
      <c r="A16">
        <f>Data!A16</f>
        <v/>
      </c>
      <c r="B16" s="8">
        <f>Data!B16</f>
        <v/>
      </c>
      <c r="C16">
        <f>IF(B16&gt;0,COUNTIF($B$2:B16,"&gt;0"),"")</f>
        <v/>
      </c>
      <c r="E16">
        <f>ROW()-1</f>
        <v/>
      </c>
      <c r="F16" s="8">
        <f>IF(E16&lt;=$K$3,INDEX($B$2:$B$121,MATCH(E16,$C$2:$C$121,0)),"")</f>
        <v/>
      </c>
      <c r="G16" s="9">
        <f>IF(F16="","",LN(F16))</f>
        <v/>
      </c>
      <c r="H16" s="9">
        <f>IF(F16="","",LN(GAMMA.DIST(F16,$K$18,$K$19,FALSE)))</f>
        <v/>
      </c>
      <c r="J16" s="7" t="inlineStr">
        <is>
          <t>GAMMA, maximum likelihood</t>
        </is>
      </c>
      <c r="M16">
        <f>ROW()-1</f>
        <v/>
      </c>
      <c r="N16" s="8">
        <f>$Q$2+(M16-1)*$Q$3</f>
        <v/>
      </c>
      <c r="O16" s="11">
        <f>-$K$8*GAMMALN(N16)-$K$8*N16*LN($K$5/N16)+(N16-1)*$K$8*$K$7-$K$8*N16</f>
        <v/>
      </c>
    </row>
    <row r="17">
      <c r="A17">
        <f>Data!A17</f>
        <v/>
      </c>
      <c r="B17" s="8">
        <f>Data!B17</f>
        <v/>
      </c>
      <c r="C17">
        <f>IF(B17&gt;0,COUNTIF($B$2:B17,"&gt;0"),"")</f>
        <v/>
      </c>
      <c r="E17">
        <f>ROW()-1</f>
        <v/>
      </c>
      <c r="F17" s="8">
        <f>IF(E17&lt;=$K$3,INDEX($B$2:$B$121,MATCH(E17,$C$2:$C$121,0)),"")</f>
        <v/>
      </c>
      <c r="G17" s="9">
        <f>IF(F17="","",LN(F17))</f>
        <v/>
      </c>
      <c r="H17" s="9">
        <f>IF(F17="","",LN(GAMMA.DIST(F17,$K$18,$K$19,FALSE)))</f>
        <v/>
      </c>
      <c r="J17" t="inlineStr">
        <is>
          <t>s = ln(xbar) - mean(ln x)</t>
        </is>
      </c>
      <c r="K17" s="12">
        <f>LN(K5)-K7</f>
        <v/>
      </c>
      <c r="M17">
        <f>ROW()-1</f>
        <v/>
      </c>
      <c r="N17" s="8">
        <f>$Q$2+(M17-1)*$Q$3</f>
        <v/>
      </c>
      <c r="O17" s="11">
        <f>-$K$8*GAMMALN(N17)-$K$8*N17*LN($K$5/N17)+(N17-1)*$K$8*$K$7-$K$8*N17</f>
        <v/>
      </c>
    </row>
    <row r="18">
      <c r="A18">
        <f>Data!A18</f>
        <v/>
      </c>
      <c r="B18" s="8">
        <f>Data!B18</f>
        <v/>
      </c>
      <c r="C18">
        <f>IF(B18&gt;0,COUNTIF($B$2:B18,"&gt;0"),"")</f>
        <v/>
      </c>
      <c r="E18">
        <f>ROW()-1</f>
        <v/>
      </c>
      <c r="F18" s="8">
        <f>IF(E18&lt;=$K$3,INDEX($B$2:$B$121,MATCH(E18,$C$2:$C$121,0)),"")</f>
        <v/>
      </c>
      <c r="G18" s="9">
        <f>IF(F18="","",LN(F18))</f>
        <v/>
      </c>
      <c r="H18" s="9">
        <f>IF(F18="","",LN(GAMMA.DIST(F18,$K$18,$K$19,FALSE)))</f>
        <v/>
      </c>
      <c r="J18" t="inlineStr">
        <is>
          <t>alpha_MLE (closed-form approximation)</t>
        </is>
      </c>
      <c r="K18" s="9">
        <f>(1+SQRT(1+4*K17/3))/(4*K17)</f>
        <v/>
      </c>
      <c r="M18">
        <f>ROW()-1</f>
        <v/>
      </c>
      <c r="N18" s="8">
        <f>$Q$2+(M18-1)*$Q$3</f>
        <v/>
      </c>
      <c r="O18" s="11">
        <f>-$K$8*GAMMALN(N18)-$K$8*N18*LN($K$5/N18)+(N18-1)*$K$8*$K$7-$K$8*N18</f>
        <v/>
      </c>
    </row>
    <row r="19">
      <c r="A19">
        <f>Data!A19</f>
        <v/>
      </c>
      <c r="B19" s="8">
        <f>Data!B19</f>
        <v/>
      </c>
      <c r="C19">
        <f>IF(B19&gt;0,COUNTIF($B$2:B19,"&gt;0"),"")</f>
        <v/>
      </c>
      <c r="E19">
        <f>ROW()-1</f>
        <v/>
      </c>
      <c r="F19" s="8">
        <f>IF(E19&lt;=$K$3,INDEX($B$2:$B$121,MATCH(E19,$C$2:$C$121,0)),"")</f>
        <v/>
      </c>
      <c r="G19" s="9">
        <f>IF(F19="","",LN(F19))</f>
        <v/>
      </c>
      <c r="H19" s="9">
        <f>IF(F19="","",LN(GAMMA.DIST(F19,$K$18,$K$19,FALSE)))</f>
        <v/>
      </c>
      <c r="J19" t="inlineStr">
        <is>
          <t>beta_MLE = xbar / alpha_MLE (mm)</t>
        </is>
      </c>
      <c r="K19" s="9">
        <f>K5/K18</f>
        <v/>
      </c>
      <c r="M19">
        <f>ROW()-1</f>
        <v/>
      </c>
      <c r="N19" s="8">
        <f>$Q$2+(M19-1)*$Q$3</f>
        <v/>
      </c>
      <c r="O19" s="11">
        <f>-$K$8*GAMMALN(N19)-$K$8*N19*LN($K$5/N19)+(N19-1)*$K$8*$K$7-$K$8*N19</f>
        <v/>
      </c>
    </row>
    <row r="20">
      <c r="A20">
        <f>Data!A20</f>
        <v/>
      </c>
      <c r="B20" s="8">
        <f>Data!B20</f>
        <v/>
      </c>
      <c r="C20">
        <f>IF(B20&gt;0,COUNTIF($B$2:B20,"&gt;0"),"")</f>
        <v/>
      </c>
      <c r="E20">
        <f>ROW()-1</f>
        <v/>
      </c>
      <c r="F20" s="8">
        <f>IF(E20&lt;=$K$3,INDEX($B$2:$B$121,MATCH(E20,$C$2:$C$121,0)),"")</f>
        <v/>
      </c>
      <c r="G20" s="9">
        <f>IF(F20="","",LN(F20))</f>
        <v/>
      </c>
      <c r="H20" s="9">
        <f>IF(F20="","",LN(GAMMA.DIST(F20,$K$18,$K$19,FALSE)))</f>
        <v/>
      </c>
      <c r="J20" t="inlineStr">
        <is>
          <t>alpha_MLE from grid search</t>
        </is>
      </c>
      <c r="K20" s="11">
        <f>INDEX(N2:N122,MATCH(MAX(O2:O122),O2:O122,0))</f>
        <v/>
      </c>
      <c r="M20">
        <f>ROW()-1</f>
        <v/>
      </c>
      <c r="N20" s="8">
        <f>$Q$2+(M20-1)*$Q$3</f>
        <v/>
      </c>
      <c r="O20" s="11">
        <f>-$K$8*GAMMALN(N20)-$K$8*N20*LN($K$5/N20)+(N20-1)*$K$8*$K$7-$K$8*N20</f>
        <v/>
      </c>
    </row>
    <row r="21">
      <c r="A21">
        <f>Data!A21</f>
        <v/>
      </c>
      <c r="B21" s="8">
        <f>Data!B21</f>
        <v/>
      </c>
      <c r="C21">
        <f>IF(B21&gt;0,COUNTIF($B$2:B21,"&gt;0"),"")</f>
        <v/>
      </c>
      <c r="E21">
        <f>ROW()-1</f>
        <v/>
      </c>
      <c r="F21" s="8">
        <f>IF(E21&lt;=$K$3,INDEX($B$2:$B$121,MATCH(E21,$C$2:$C$121,0)),"")</f>
        <v/>
      </c>
      <c r="G21" s="9">
        <f>IF(F21="","",LN(F21))</f>
        <v/>
      </c>
      <c r="H21" s="9">
        <f>IF(F21="","",LN(GAMMA.DIST(F21,$K$18,$K$19,FALSE)))</f>
        <v/>
      </c>
      <c r="J21" t="inlineStr">
        <is>
          <t>beta at grid alpha (mm)</t>
        </is>
      </c>
      <c r="K21" s="9">
        <f>K5/K20</f>
        <v/>
      </c>
      <c r="M21">
        <f>ROW()-1</f>
        <v/>
      </c>
      <c r="N21" s="8">
        <f>$Q$2+(M21-1)*$Q$3</f>
        <v/>
      </c>
      <c r="O21" s="11">
        <f>-$K$8*GAMMALN(N21)-$K$8*N21*LN($K$5/N21)+(N21-1)*$K$8*$K$7-$K$8*N21</f>
        <v/>
      </c>
    </row>
    <row r="22">
      <c r="A22">
        <f>Data!A22</f>
        <v/>
      </c>
      <c r="B22" s="8">
        <f>Data!B22</f>
        <v/>
      </c>
      <c r="C22">
        <f>IF(B22&gt;0,COUNTIF($B$2:B22,"&gt;0"),"")</f>
        <v/>
      </c>
      <c r="E22">
        <f>ROW()-1</f>
        <v/>
      </c>
      <c r="F22" s="8">
        <f>IF(E22&lt;=$K$3,INDEX($B$2:$B$121,MATCH(E22,$C$2:$C$121,0)),"")</f>
        <v/>
      </c>
      <c r="G22" s="9">
        <f>IF(F22="","",LN(F22))</f>
        <v/>
      </c>
      <c r="H22" s="9">
        <f>IF(F22="","",LN(GAMMA.DIST(F22,$K$18,$K$19,FALSE)))</f>
        <v/>
      </c>
      <c r="M22">
        <f>ROW()-1</f>
        <v/>
      </c>
      <c r="N22" s="8">
        <f>$Q$2+(M22-1)*$Q$3</f>
        <v/>
      </c>
      <c r="O22" s="11">
        <f>-$K$8*GAMMALN(N22)-$K$8*N22*LN($K$5/N22)+(N22-1)*$K$8*$K$7-$K$8*N22</f>
        <v/>
      </c>
    </row>
    <row r="23">
      <c r="A23">
        <f>Data!A23</f>
        <v/>
      </c>
      <c r="B23" s="8">
        <f>Data!B23</f>
        <v/>
      </c>
      <c r="C23">
        <f>IF(B23&gt;0,COUNTIF($B$2:B23,"&gt;0"),"")</f>
        <v/>
      </c>
      <c r="E23">
        <f>ROW()-1</f>
        <v/>
      </c>
      <c r="F23" s="8">
        <f>IF(E23&lt;=$K$3,INDEX($B$2:$B$121,MATCH(E23,$C$2:$C$121,0)),"")</f>
        <v/>
      </c>
      <c r="G23" s="9">
        <f>IF(F23="","",LN(F23))</f>
        <v/>
      </c>
      <c r="H23" s="9">
        <f>IF(F23="","",LN(GAMMA.DIST(F23,$K$18,$K$19,FALSE)))</f>
        <v/>
      </c>
      <c r="J23" s="7" t="inlineStr">
        <is>
          <t>LOG-LIKELIHOOD at the gamma fits and the exponential</t>
        </is>
      </c>
      <c r="M23">
        <f>ROW()-1</f>
        <v/>
      </c>
      <c r="N23" s="8">
        <f>$Q$2+(M23-1)*$Q$3</f>
        <v/>
      </c>
      <c r="O23" s="11">
        <f>-$K$8*GAMMALN(N23)-$K$8*N23*LN($K$5/N23)+(N23-1)*$K$8*$K$7-$K$8*N23</f>
        <v/>
      </c>
    </row>
    <row r="24">
      <c r="A24">
        <f>Data!A24</f>
        <v/>
      </c>
      <c r="B24" s="8">
        <f>Data!B24</f>
        <v/>
      </c>
      <c r="C24">
        <f>IF(B24&gt;0,COUNTIF($B$2:B24,"&gt;0"),"")</f>
        <v/>
      </c>
      <c r="E24">
        <f>ROW()-1</f>
        <v/>
      </c>
      <c r="F24" s="8">
        <f>IF(E24&lt;=$K$3,INDEX($B$2:$B$121,MATCH(E24,$C$2:$C$121,0)),"")</f>
        <v/>
      </c>
      <c r="G24" s="9">
        <f>IF(F24="","",LN(F24))</f>
        <v/>
      </c>
      <c r="H24" s="9">
        <f>IF(F24="","",LN(GAMMA.DIST(F24,$K$18,$K$19,FALSE)))</f>
        <v/>
      </c>
      <c r="J24" t="inlineStr">
        <is>
          <t>LL, closed form at alpha_MoM</t>
        </is>
      </c>
      <c r="K24" s="11">
        <f>-K8*GAMMALN(K13)-K8*K13*LN(K5/K13)+(K13-1)*K8*K7-K8*K13</f>
        <v/>
      </c>
      <c r="M24">
        <f>ROW()-1</f>
        <v/>
      </c>
      <c r="N24" s="8">
        <f>$Q$2+(M24-1)*$Q$3</f>
        <v/>
      </c>
      <c r="O24" s="11">
        <f>-$K$8*GAMMALN(N24)-$K$8*N24*LN($K$5/N24)+(N24-1)*$K$8*$K$7-$K$8*N24</f>
        <v/>
      </c>
    </row>
    <row r="25">
      <c r="A25">
        <f>Data!A25</f>
        <v/>
      </c>
      <c r="B25" s="8">
        <f>Data!B25</f>
        <v/>
      </c>
      <c r="C25">
        <f>IF(B25&gt;0,COUNTIF($B$2:B25,"&gt;0"),"")</f>
        <v/>
      </c>
      <c r="E25">
        <f>ROW()-1</f>
        <v/>
      </c>
      <c r="F25" s="8">
        <f>IF(E25&lt;=$K$3,INDEX($B$2:$B$121,MATCH(E25,$C$2:$C$121,0)),"")</f>
        <v/>
      </c>
      <c r="G25" s="9">
        <f>IF(F25="","",LN(F25))</f>
        <v/>
      </c>
      <c r="H25" s="9">
        <f>IF(F25="","",LN(GAMMA.DIST(F25,$K$18,$K$19,FALSE)))</f>
        <v/>
      </c>
      <c r="J25" t="inlineStr">
        <is>
          <t>LL, closed form at alpha_MLE</t>
        </is>
      </c>
      <c r="K25" s="11">
        <f>-K8*GAMMALN(K18)-K8*K18*LN(K5/K18)+(K18-1)*K8*K7-K8*K18</f>
        <v/>
      </c>
      <c r="M25">
        <f>ROW()-1</f>
        <v/>
      </c>
      <c r="N25" s="8">
        <f>$Q$2+(M25-1)*$Q$3</f>
        <v/>
      </c>
      <c r="O25" s="11">
        <f>-$K$8*GAMMALN(N25)-$K$8*N25*LN($K$5/N25)+(N25-1)*$K$8*$K$7-$K$8*N25</f>
        <v/>
      </c>
    </row>
    <row r="26">
      <c r="A26">
        <f>Data!A26</f>
        <v/>
      </c>
      <c r="B26" s="8">
        <f>Data!B26</f>
        <v/>
      </c>
      <c r="C26">
        <f>IF(B26&gt;0,COUNTIF($B$2:B26,"&gt;0"),"")</f>
        <v/>
      </c>
      <c r="E26">
        <f>ROW()-1</f>
        <v/>
      </c>
      <c r="F26" s="8">
        <f>IF(E26&lt;=$K$3,INDEX($B$2:$B$121,MATCH(E26,$C$2:$C$121,0)),"")</f>
        <v/>
      </c>
      <c r="G26" s="9">
        <f>IF(F26="","",LN(F26))</f>
        <v/>
      </c>
      <c r="H26" s="9">
        <f>IF(F26="","",LN(GAMMA.DIST(F26,$K$18,$K$19,FALSE)))</f>
        <v/>
      </c>
      <c r="J26" t="inlineStr">
        <is>
          <t>LL, direct sum of ln f (column H)</t>
        </is>
      </c>
      <c r="K26" s="11">
        <f>SUM(H2:H121)</f>
        <v/>
      </c>
      <c r="M26">
        <f>ROW()-1</f>
        <v/>
      </c>
      <c r="N26" s="8">
        <f>$Q$2+(M26-1)*$Q$3</f>
        <v/>
      </c>
      <c r="O26" s="11">
        <f>-$K$8*GAMMALN(N26)-$K$8*N26*LN($K$5/N26)+(N26-1)*$K$8*$K$7-$K$8*N26</f>
        <v/>
      </c>
    </row>
    <row r="27">
      <c r="A27">
        <f>Data!A27</f>
        <v/>
      </c>
      <c r="B27" s="8">
        <f>Data!B27</f>
        <v/>
      </c>
      <c r="C27">
        <f>IF(B27&gt;0,COUNTIF($B$2:B27,"&gt;0"),"")</f>
        <v/>
      </c>
      <c r="E27">
        <f>ROW()-1</f>
        <v/>
      </c>
      <c r="F27" s="8">
        <f>IF(E27&lt;=$K$3,INDEX($B$2:$B$121,MATCH(E27,$C$2:$C$121,0)),"")</f>
        <v/>
      </c>
      <c r="G27" s="9">
        <f>IF(F27="","",LN(F27))</f>
        <v/>
      </c>
      <c r="H27" s="9">
        <f>IF(F27="","",LN(GAMMA.DIST(F27,$K$18,$K$19,FALSE)))</f>
        <v/>
      </c>
      <c r="J27" t="inlineStr">
        <is>
          <t>LL, exponential fit</t>
        </is>
      </c>
      <c r="K27" s="11">
        <f>-K8*LN(K10)-K8*K5/K10</f>
        <v/>
      </c>
      <c r="M27">
        <f>ROW()-1</f>
        <v/>
      </c>
      <c r="N27" s="8">
        <f>$Q$2+(M27-1)*$Q$3</f>
        <v/>
      </c>
      <c r="O27" s="11">
        <f>-$K$8*GAMMALN(N27)-$K$8*N27*LN($K$5/N27)+(N27-1)*$K$8*$K$7-$K$8*N27</f>
        <v/>
      </c>
    </row>
    <row r="28">
      <c r="A28">
        <f>Data!A28</f>
        <v/>
      </c>
      <c r="B28" s="8">
        <f>Data!B28</f>
        <v/>
      </c>
      <c r="C28">
        <f>IF(B28&gt;0,COUNTIF($B$2:B28,"&gt;0"),"")</f>
        <v/>
      </c>
      <c r="E28">
        <f>ROW()-1</f>
        <v/>
      </c>
      <c r="F28" s="8">
        <f>IF(E28&lt;=$K$3,INDEX($B$2:$B$121,MATCH(E28,$C$2:$C$121,0)),"")</f>
        <v/>
      </c>
      <c r="G28" s="9">
        <f>IF(F28="","",LN(F28))</f>
        <v/>
      </c>
      <c r="H28" s="9">
        <f>IF(F28="","",LN(GAMMA.DIST(F28,$K$18,$K$19,FALSE)))</f>
        <v/>
      </c>
      <c r="M28">
        <f>ROW()-1</f>
        <v/>
      </c>
      <c r="N28" s="8">
        <f>$Q$2+(M28-1)*$Q$3</f>
        <v/>
      </c>
      <c r="O28" s="11">
        <f>-$K$8*GAMMALN(N28)-$K$8*N28*LN($K$5/N28)+(N28-1)*$K$8*$K$7-$K$8*N28</f>
        <v/>
      </c>
    </row>
    <row r="29">
      <c r="A29">
        <f>Data!A29</f>
        <v/>
      </c>
      <c r="B29" s="8">
        <f>Data!B29</f>
        <v/>
      </c>
      <c r="C29">
        <f>IF(B29&gt;0,COUNTIF($B$2:B29,"&gt;0"),"")</f>
        <v/>
      </c>
      <c r="E29">
        <f>ROW()-1</f>
        <v/>
      </c>
      <c r="F29" s="8">
        <f>IF(E29&lt;=$K$3,INDEX($B$2:$B$121,MATCH(E29,$C$2:$C$121,0)),"")</f>
        <v/>
      </c>
      <c r="G29" s="9">
        <f>IF(F29="","",LN(F29))</f>
        <v/>
      </c>
      <c r="H29" s="9">
        <f>IF(F29="","",LN(GAMMA.DIST(F29,$K$18,$K$19,FALSE)))</f>
        <v/>
      </c>
      <c r="J29" t="inlineStr">
        <is>
          <t>Check: alpha*beta, MoM fit</t>
        </is>
      </c>
      <c r="K29" s="11">
        <f>K13*K14</f>
        <v/>
      </c>
      <c r="M29">
        <f>ROW()-1</f>
        <v/>
      </c>
      <c r="N29" s="8">
        <f>$Q$2+(M29-1)*$Q$3</f>
        <v/>
      </c>
      <c r="O29" s="11">
        <f>-$K$8*GAMMALN(N29)-$K$8*N29*LN($K$5/N29)+(N29-1)*$K$8*$K$7-$K$8*N29</f>
        <v/>
      </c>
    </row>
    <row r="30">
      <c r="A30">
        <f>Data!A30</f>
        <v/>
      </c>
      <c r="B30" s="8">
        <f>Data!B30</f>
        <v/>
      </c>
      <c r="C30">
        <f>IF(B30&gt;0,COUNTIF($B$2:B30,"&gt;0"),"")</f>
        <v/>
      </c>
      <c r="E30">
        <f>ROW()-1</f>
        <v/>
      </c>
      <c r="F30" s="8">
        <f>IF(E30&lt;=$K$3,INDEX($B$2:$B$121,MATCH(E30,$C$2:$C$121,0)),"")</f>
        <v/>
      </c>
      <c r="G30" s="9">
        <f>IF(F30="","",LN(F30))</f>
        <v/>
      </c>
      <c r="H30" s="9">
        <f>IF(F30="","",LN(GAMMA.DIST(F30,$K$18,$K$19,FALSE)))</f>
        <v/>
      </c>
      <c r="J30" t="inlineStr">
        <is>
          <t>Check: alpha*beta, MLE fit</t>
        </is>
      </c>
      <c r="K30" s="11">
        <f>K18*K19</f>
        <v/>
      </c>
      <c r="M30">
        <f>ROW()-1</f>
        <v/>
      </c>
      <c r="N30" s="8">
        <f>$Q$2+(M30-1)*$Q$3</f>
        <v/>
      </c>
      <c r="O30" s="11">
        <f>-$K$8*GAMMALN(N30)-$K$8*N30*LN($K$5/N30)+(N30-1)*$K$8*$K$7-$K$8*N30</f>
        <v/>
      </c>
    </row>
    <row r="31">
      <c r="A31">
        <f>Data!A31</f>
        <v/>
      </c>
      <c r="B31" s="8">
        <f>Data!B31</f>
        <v/>
      </c>
      <c r="C31">
        <f>IF(B31&gt;0,COUNTIF($B$2:B31,"&gt;0"),"")</f>
        <v/>
      </c>
      <c r="E31">
        <f>ROW()-1</f>
        <v/>
      </c>
      <c r="F31" s="8">
        <f>IF(E31&lt;=$K$3,INDEX($B$2:$B$121,MATCH(E31,$C$2:$C$121,0)),"")</f>
        <v/>
      </c>
      <c r="G31" s="9">
        <f>IF(F31="","",LN(F31))</f>
        <v/>
      </c>
      <c r="H31" s="9">
        <f>IF(F31="","",LN(GAMMA.DIST(F31,$K$18,$K$19,FALSE)))</f>
        <v/>
      </c>
      <c r="M31">
        <f>ROW()-1</f>
        <v/>
      </c>
      <c r="N31" s="8">
        <f>$Q$2+(M31-1)*$Q$3</f>
        <v/>
      </c>
      <c r="O31" s="11">
        <f>-$K$8*GAMMALN(N31)-$K$8*N31*LN($K$5/N31)+(N31-1)*$K$8*$K$7-$K$8*N31</f>
        <v/>
      </c>
    </row>
    <row r="32">
      <c r="A32">
        <f>Data!A32</f>
        <v/>
      </c>
      <c r="B32" s="8">
        <f>Data!B32</f>
        <v/>
      </c>
      <c r="C32">
        <f>IF(B32&gt;0,COUNTIF($B$2:B32,"&gt;0"),"")</f>
        <v/>
      </c>
      <c r="E32">
        <f>ROW()-1</f>
        <v/>
      </c>
      <c r="F32" s="8">
        <f>IF(E32&lt;=$K$3,INDEX($B$2:$B$121,MATCH(E32,$C$2:$C$121,0)),"")</f>
        <v/>
      </c>
      <c r="G32" s="9">
        <f>IF(F32="","",LN(F32))</f>
        <v/>
      </c>
      <c r="H32" s="9">
        <f>IF(F32="","",LN(GAMMA.DIST(F32,$K$18,$K$19,FALSE)))</f>
        <v/>
      </c>
      <c r="M32">
        <f>ROW()-1</f>
        <v/>
      </c>
      <c r="N32" s="8">
        <f>$Q$2+(M32-1)*$Q$3</f>
        <v/>
      </c>
      <c r="O32" s="11">
        <f>-$K$8*GAMMALN(N32)-$K$8*N32*LN($K$5/N32)+(N32-1)*$K$8*$K$7-$K$8*N32</f>
        <v/>
      </c>
    </row>
    <row r="33">
      <c r="A33">
        <f>Data!A33</f>
        <v/>
      </c>
      <c r="B33" s="8">
        <f>Data!B33</f>
        <v/>
      </c>
      <c r="C33">
        <f>IF(B33&gt;0,COUNTIF($B$2:B33,"&gt;0"),"")</f>
        <v/>
      </c>
      <c r="E33">
        <f>ROW()-1</f>
        <v/>
      </c>
      <c r="F33" s="8">
        <f>IF(E33&lt;=$K$3,INDEX($B$2:$B$121,MATCH(E33,$C$2:$C$121,0)),"")</f>
        <v/>
      </c>
      <c r="G33" s="9">
        <f>IF(F33="","",LN(F33))</f>
        <v/>
      </c>
      <c r="H33" s="9">
        <f>IF(F33="","",LN(GAMMA.DIST(F33,$K$18,$K$19,FALSE)))</f>
        <v/>
      </c>
      <c r="M33">
        <f>ROW()-1</f>
        <v/>
      </c>
      <c r="N33" s="8">
        <f>$Q$2+(M33-1)*$Q$3</f>
        <v/>
      </c>
      <c r="O33" s="11">
        <f>-$K$8*GAMMALN(N33)-$K$8*N33*LN($K$5/N33)+(N33-1)*$K$8*$K$7-$K$8*N33</f>
        <v/>
      </c>
    </row>
    <row r="34">
      <c r="A34">
        <f>Data!A34</f>
        <v/>
      </c>
      <c r="B34" s="8">
        <f>Data!B34</f>
        <v/>
      </c>
      <c r="C34">
        <f>IF(B34&gt;0,COUNTIF($B$2:B34,"&gt;0"),"")</f>
        <v/>
      </c>
      <c r="E34">
        <f>ROW()-1</f>
        <v/>
      </c>
      <c r="F34" s="8">
        <f>IF(E34&lt;=$K$3,INDEX($B$2:$B$121,MATCH(E34,$C$2:$C$121,0)),"")</f>
        <v/>
      </c>
      <c r="G34" s="9">
        <f>IF(F34="","",LN(F34))</f>
        <v/>
      </c>
      <c r="H34" s="9">
        <f>IF(F34="","",LN(GAMMA.DIST(F34,$K$18,$K$19,FALSE)))</f>
        <v/>
      </c>
      <c r="M34">
        <f>ROW()-1</f>
        <v/>
      </c>
      <c r="N34" s="8">
        <f>$Q$2+(M34-1)*$Q$3</f>
        <v/>
      </c>
      <c r="O34" s="11">
        <f>-$K$8*GAMMALN(N34)-$K$8*N34*LN($K$5/N34)+(N34-1)*$K$8*$K$7-$K$8*N34</f>
        <v/>
      </c>
    </row>
    <row r="35">
      <c r="A35">
        <f>Data!A35</f>
        <v/>
      </c>
      <c r="B35" s="8">
        <f>Data!B35</f>
        <v/>
      </c>
      <c r="C35">
        <f>IF(B35&gt;0,COUNTIF($B$2:B35,"&gt;0"),"")</f>
        <v/>
      </c>
      <c r="E35">
        <f>ROW()-1</f>
        <v/>
      </c>
      <c r="F35" s="8">
        <f>IF(E35&lt;=$K$3,INDEX($B$2:$B$121,MATCH(E35,$C$2:$C$121,0)),"")</f>
        <v/>
      </c>
      <c r="G35" s="9">
        <f>IF(F35="","",LN(F35))</f>
        <v/>
      </c>
      <c r="H35" s="9">
        <f>IF(F35="","",LN(GAMMA.DIST(F35,$K$18,$K$19,FALSE)))</f>
        <v/>
      </c>
      <c r="M35">
        <f>ROW()-1</f>
        <v/>
      </c>
      <c r="N35" s="8">
        <f>$Q$2+(M35-1)*$Q$3</f>
        <v/>
      </c>
      <c r="O35" s="11">
        <f>-$K$8*GAMMALN(N35)-$K$8*N35*LN($K$5/N35)+(N35-1)*$K$8*$K$7-$K$8*N35</f>
        <v/>
      </c>
    </row>
    <row r="36">
      <c r="A36">
        <f>Data!A36</f>
        <v/>
      </c>
      <c r="B36" s="8">
        <f>Data!B36</f>
        <v/>
      </c>
      <c r="C36">
        <f>IF(B36&gt;0,COUNTIF($B$2:B36,"&gt;0"),"")</f>
        <v/>
      </c>
      <c r="E36">
        <f>ROW()-1</f>
        <v/>
      </c>
      <c r="F36" s="8">
        <f>IF(E36&lt;=$K$3,INDEX($B$2:$B$121,MATCH(E36,$C$2:$C$121,0)),"")</f>
        <v/>
      </c>
      <c r="G36" s="9">
        <f>IF(F36="","",LN(F36))</f>
        <v/>
      </c>
      <c r="H36" s="9">
        <f>IF(F36="","",LN(GAMMA.DIST(F36,$K$18,$K$19,FALSE)))</f>
        <v/>
      </c>
      <c r="M36">
        <f>ROW()-1</f>
        <v/>
      </c>
      <c r="N36" s="8">
        <f>$Q$2+(M36-1)*$Q$3</f>
        <v/>
      </c>
      <c r="O36" s="11">
        <f>-$K$8*GAMMALN(N36)-$K$8*N36*LN($K$5/N36)+(N36-1)*$K$8*$K$7-$K$8*N36</f>
        <v/>
      </c>
    </row>
    <row r="37">
      <c r="A37">
        <f>Data!A37</f>
        <v/>
      </c>
      <c r="B37" s="8">
        <f>Data!B37</f>
        <v/>
      </c>
      <c r="C37">
        <f>IF(B37&gt;0,COUNTIF($B$2:B37,"&gt;0"),"")</f>
        <v/>
      </c>
      <c r="E37">
        <f>ROW()-1</f>
        <v/>
      </c>
      <c r="F37" s="8">
        <f>IF(E37&lt;=$K$3,INDEX($B$2:$B$121,MATCH(E37,$C$2:$C$121,0)),"")</f>
        <v/>
      </c>
      <c r="G37" s="9">
        <f>IF(F37="","",LN(F37))</f>
        <v/>
      </c>
      <c r="H37" s="9">
        <f>IF(F37="","",LN(GAMMA.DIST(F37,$K$18,$K$19,FALSE)))</f>
        <v/>
      </c>
      <c r="M37">
        <f>ROW()-1</f>
        <v/>
      </c>
      <c r="N37" s="8">
        <f>$Q$2+(M37-1)*$Q$3</f>
        <v/>
      </c>
      <c r="O37" s="11">
        <f>-$K$8*GAMMALN(N37)-$K$8*N37*LN($K$5/N37)+(N37-1)*$K$8*$K$7-$K$8*N37</f>
        <v/>
      </c>
    </row>
    <row r="38">
      <c r="A38">
        <f>Data!A38</f>
        <v/>
      </c>
      <c r="B38" s="8">
        <f>Data!B38</f>
        <v/>
      </c>
      <c r="C38">
        <f>IF(B38&gt;0,COUNTIF($B$2:B38,"&gt;0"),"")</f>
        <v/>
      </c>
      <c r="E38">
        <f>ROW()-1</f>
        <v/>
      </c>
      <c r="F38" s="8">
        <f>IF(E38&lt;=$K$3,INDEX($B$2:$B$121,MATCH(E38,$C$2:$C$121,0)),"")</f>
        <v/>
      </c>
      <c r="G38" s="9">
        <f>IF(F38="","",LN(F38))</f>
        <v/>
      </c>
      <c r="H38" s="9">
        <f>IF(F38="","",LN(GAMMA.DIST(F38,$K$18,$K$19,FALSE)))</f>
        <v/>
      </c>
      <c r="M38">
        <f>ROW()-1</f>
        <v/>
      </c>
      <c r="N38" s="8">
        <f>$Q$2+(M38-1)*$Q$3</f>
        <v/>
      </c>
      <c r="O38" s="11">
        <f>-$K$8*GAMMALN(N38)-$K$8*N38*LN($K$5/N38)+(N38-1)*$K$8*$K$7-$K$8*N38</f>
        <v/>
      </c>
    </row>
    <row r="39">
      <c r="A39">
        <f>Data!A39</f>
        <v/>
      </c>
      <c r="B39" s="8">
        <f>Data!B39</f>
        <v/>
      </c>
      <c r="C39">
        <f>IF(B39&gt;0,COUNTIF($B$2:B39,"&gt;0"),"")</f>
        <v/>
      </c>
      <c r="E39">
        <f>ROW()-1</f>
        <v/>
      </c>
      <c r="F39" s="8">
        <f>IF(E39&lt;=$K$3,INDEX($B$2:$B$121,MATCH(E39,$C$2:$C$121,0)),"")</f>
        <v/>
      </c>
      <c r="G39" s="9">
        <f>IF(F39="","",LN(F39))</f>
        <v/>
      </c>
      <c r="H39" s="9">
        <f>IF(F39="","",LN(GAMMA.DIST(F39,$K$18,$K$19,FALSE)))</f>
        <v/>
      </c>
      <c r="M39">
        <f>ROW()-1</f>
        <v/>
      </c>
      <c r="N39" s="8">
        <f>$Q$2+(M39-1)*$Q$3</f>
        <v/>
      </c>
      <c r="O39" s="11">
        <f>-$K$8*GAMMALN(N39)-$K$8*N39*LN($K$5/N39)+(N39-1)*$K$8*$K$7-$K$8*N39</f>
        <v/>
      </c>
    </row>
    <row r="40">
      <c r="A40">
        <f>Data!A40</f>
        <v/>
      </c>
      <c r="B40" s="8">
        <f>Data!B40</f>
        <v/>
      </c>
      <c r="C40">
        <f>IF(B40&gt;0,COUNTIF($B$2:B40,"&gt;0"),"")</f>
        <v/>
      </c>
      <c r="E40">
        <f>ROW()-1</f>
        <v/>
      </c>
      <c r="F40" s="8">
        <f>IF(E40&lt;=$K$3,INDEX($B$2:$B$121,MATCH(E40,$C$2:$C$121,0)),"")</f>
        <v/>
      </c>
      <c r="G40" s="9">
        <f>IF(F40="","",LN(F40))</f>
        <v/>
      </c>
      <c r="H40" s="9">
        <f>IF(F40="","",LN(GAMMA.DIST(F40,$K$18,$K$19,FALSE)))</f>
        <v/>
      </c>
      <c r="M40">
        <f>ROW()-1</f>
        <v/>
      </c>
      <c r="N40" s="8">
        <f>$Q$2+(M40-1)*$Q$3</f>
        <v/>
      </c>
      <c r="O40" s="11">
        <f>-$K$8*GAMMALN(N40)-$K$8*N40*LN($K$5/N40)+(N40-1)*$K$8*$K$7-$K$8*N40</f>
        <v/>
      </c>
    </row>
    <row r="41">
      <c r="A41">
        <f>Data!A41</f>
        <v/>
      </c>
      <c r="B41" s="8">
        <f>Data!B41</f>
        <v/>
      </c>
      <c r="C41">
        <f>IF(B41&gt;0,COUNTIF($B$2:B41,"&gt;0"),"")</f>
        <v/>
      </c>
      <c r="E41">
        <f>ROW()-1</f>
        <v/>
      </c>
      <c r="F41" s="8">
        <f>IF(E41&lt;=$K$3,INDEX($B$2:$B$121,MATCH(E41,$C$2:$C$121,0)),"")</f>
        <v/>
      </c>
      <c r="G41" s="9">
        <f>IF(F41="","",LN(F41))</f>
        <v/>
      </c>
      <c r="H41" s="9">
        <f>IF(F41="","",LN(GAMMA.DIST(F41,$K$18,$K$19,FALSE)))</f>
        <v/>
      </c>
      <c r="M41">
        <f>ROW()-1</f>
        <v/>
      </c>
      <c r="N41" s="8">
        <f>$Q$2+(M41-1)*$Q$3</f>
        <v/>
      </c>
      <c r="O41" s="11">
        <f>-$K$8*GAMMALN(N41)-$K$8*N41*LN($K$5/N41)+(N41-1)*$K$8*$K$7-$K$8*N41</f>
        <v/>
      </c>
    </row>
    <row r="42">
      <c r="A42">
        <f>Data!A42</f>
        <v/>
      </c>
      <c r="B42" s="8">
        <f>Data!B42</f>
        <v/>
      </c>
      <c r="C42">
        <f>IF(B42&gt;0,COUNTIF($B$2:B42,"&gt;0"),"")</f>
        <v/>
      </c>
      <c r="E42">
        <f>ROW()-1</f>
        <v/>
      </c>
      <c r="F42" s="8">
        <f>IF(E42&lt;=$K$3,INDEX($B$2:$B$121,MATCH(E42,$C$2:$C$121,0)),"")</f>
        <v/>
      </c>
      <c r="G42" s="9">
        <f>IF(F42="","",LN(F42))</f>
        <v/>
      </c>
      <c r="H42" s="9">
        <f>IF(F42="","",LN(GAMMA.DIST(F42,$K$18,$K$19,FALSE)))</f>
        <v/>
      </c>
      <c r="M42">
        <f>ROW()-1</f>
        <v/>
      </c>
      <c r="N42" s="8">
        <f>$Q$2+(M42-1)*$Q$3</f>
        <v/>
      </c>
      <c r="O42" s="11">
        <f>-$K$8*GAMMALN(N42)-$K$8*N42*LN($K$5/N42)+(N42-1)*$K$8*$K$7-$K$8*N42</f>
        <v/>
      </c>
    </row>
    <row r="43">
      <c r="A43">
        <f>Data!A43</f>
        <v/>
      </c>
      <c r="B43" s="8">
        <f>Data!B43</f>
        <v/>
      </c>
      <c r="C43">
        <f>IF(B43&gt;0,COUNTIF($B$2:B43,"&gt;0"),"")</f>
        <v/>
      </c>
      <c r="E43">
        <f>ROW()-1</f>
        <v/>
      </c>
      <c r="F43" s="8">
        <f>IF(E43&lt;=$K$3,INDEX($B$2:$B$121,MATCH(E43,$C$2:$C$121,0)),"")</f>
        <v/>
      </c>
      <c r="G43" s="9">
        <f>IF(F43="","",LN(F43))</f>
        <v/>
      </c>
      <c r="H43" s="9">
        <f>IF(F43="","",LN(GAMMA.DIST(F43,$K$18,$K$19,FALSE)))</f>
        <v/>
      </c>
      <c r="M43">
        <f>ROW()-1</f>
        <v/>
      </c>
      <c r="N43" s="8">
        <f>$Q$2+(M43-1)*$Q$3</f>
        <v/>
      </c>
      <c r="O43" s="11">
        <f>-$K$8*GAMMALN(N43)-$K$8*N43*LN($K$5/N43)+(N43-1)*$K$8*$K$7-$K$8*N43</f>
        <v/>
      </c>
    </row>
    <row r="44">
      <c r="A44">
        <f>Data!A44</f>
        <v/>
      </c>
      <c r="B44" s="8">
        <f>Data!B44</f>
        <v/>
      </c>
      <c r="C44">
        <f>IF(B44&gt;0,COUNTIF($B$2:B44,"&gt;0"),"")</f>
        <v/>
      </c>
      <c r="E44">
        <f>ROW()-1</f>
        <v/>
      </c>
      <c r="F44" s="8">
        <f>IF(E44&lt;=$K$3,INDEX($B$2:$B$121,MATCH(E44,$C$2:$C$121,0)),"")</f>
        <v/>
      </c>
      <c r="G44" s="9">
        <f>IF(F44="","",LN(F44))</f>
        <v/>
      </c>
      <c r="H44" s="9">
        <f>IF(F44="","",LN(GAMMA.DIST(F44,$K$18,$K$19,FALSE)))</f>
        <v/>
      </c>
      <c r="M44">
        <f>ROW()-1</f>
        <v/>
      </c>
      <c r="N44" s="8">
        <f>$Q$2+(M44-1)*$Q$3</f>
        <v/>
      </c>
      <c r="O44" s="11">
        <f>-$K$8*GAMMALN(N44)-$K$8*N44*LN($K$5/N44)+(N44-1)*$K$8*$K$7-$K$8*N44</f>
        <v/>
      </c>
    </row>
    <row r="45">
      <c r="A45">
        <f>Data!A45</f>
        <v/>
      </c>
      <c r="B45" s="8">
        <f>Data!B45</f>
        <v/>
      </c>
      <c r="C45">
        <f>IF(B45&gt;0,COUNTIF($B$2:B45,"&gt;0"),"")</f>
        <v/>
      </c>
      <c r="E45">
        <f>ROW()-1</f>
        <v/>
      </c>
      <c r="F45" s="8">
        <f>IF(E45&lt;=$K$3,INDEX($B$2:$B$121,MATCH(E45,$C$2:$C$121,0)),"")</f>
        <v/>
      </c>
      <c r="G45" s="9">
        <f>IF(F45="","",LN(F45))</f>
        <v/>
      </c>
      <c r="H45" s="9">
        <f>IF(F45="","",LN(GAMMA.DIST(F45,$K$18,$K$19,FALSE)))</f>
        <v/>
      </c>
      <c r="M45">
        <f>ROW()-1</f>
        <v/>
      </c>
      <c r="N45" s="8">
        <f>$Q$2+(M45-1)*$Q$3</f>
        <v/>
      </c>
      <c r="O45" s="11">
        <f>-$K$8*GAMMALN(N45)-$K$8*N45*LN($K$5/N45)+(N45-1)*$K$8*$K$7-$K$8*N45</f>
        <v/>
      </c>
    </row>
    <row r="46">
      <c r="A46">
        <f>Data!A46</f>
        <v/>
      </c>
      <c r="B46" s="8">
        <f>Data!B46</f>
        <v/>
      </c>
      <c r="C46">
        <f>IF(B46&gt;0,COUNTIF($B$2:B46,"&gt;0"),"")</f>
        <v/>
      </c>
      <c r="E46">
        <f>ROW()-1</f>
        <v/>
      </c>
      <c r="F46" s="8">
        <f>IF(E46&lt;=$K$3,INDEX($B$2:$B$121,MATCH(E46,$C$2:$C$121,0)),"")</f>
        <v/>
      </c>
      <c r="G46" s="9">
        <f>IF(F46="","",LN(F46))</f>
        <v/>
      </c>
      <c r="H46" s="9">
        <f>IF(F46="","",LN(GAMMA.DIST(F46,$K$18,$K$19,FALSE)))</f>
        <v/>
      </c>
      <c r="M46">
        <f>ROW()-1</f>
        <v/>
      </c>
      <c r="N46" s="8">
        <f>$Q$2+(M46-1)*$Q$3</f>
        <v/>
      </c>
      <c r="O46" s="11">
        <f>-$K$8*GAMMALN(N46)-$K$8*N46*LN($K$5/N46)+(N46-1)*$K$8*$K$7-$K$8*N46</f>
        <v/>
      </c>
    </row>
    <row r="47">
      <c r="A47">
        <f>Data!A47</f>
        <v/>
      </c>
      <c r="B47" s="8">
        <f>Data!B47</f>
        <v/>
      </c>
      <c r="C47">
        <f>IF(B47&gt;0,COUNTIF($B$2:B47,"&gt;0"),"")</f>
        <v/>
      </c>
      <c r="E47">
        <f>ROW()-1</f>
        <v/>
      </c>
      <c r="F47" s="8">
        <f>IF(E47&lt;=$K$3,INDEX($B$2:$B$121,MATCH(E47,$C$2:$C$121,0)),"")</f>
        <v/>
      </c>
      <c r="G47" s="9">
        <f>IF(F47="","",LN(F47))</f>
        <v/>
      </c>
      <c r="H47" s="9">
        <f>IF(F47="","",LN(GAMMA.DIST(F47,$K$18,$K$19,FALSE)))</f>
        <v/>
      </c>
      <c r="M47">
        <f>ROW()-1</f>
        <v/>
      </c>
      <c r="N47" s="8">
        <f>$Q$2+(M47-1)*$Q$3</f>
        <v/>
      </c>
      <c r="O47" s="11">
        <f>-$K$8*GAMMALN(N47)-$K$8*N47*LN($K$5/N47)+(N47-1)*$K$8*$K$7-$K$8*N47</f>
        <v/>
      </c>
    </row>
    <row r="48">
      <c r="A48">
        <f>Data!A48</f>
        <v/>
      </c>
      <c r="B48" s="8">
        <f>Data!B48</f>
        <v/>
      </c>
      <c r="C48">
        <f>IF(B48&gt;0,COUNTIF($B$2:B48,"&gt;0"),"")</f>
        <v/>
      </c>
      <c r="E48">
        <f>ROW()-1</f>
        <v/>
      </c>
      <c r="F48" s="8">
        <f>IF(E48&lt;=$K$3,INDEX($B$2:$B$121,MATCH(E48,$C$2:$C$121,0)),"")</f>
        <v/>
      </c>
      <c r="G48" s="9">
        <f>IF(F48="","",LN(F48))</f>
        <v/>
      </c>
      <c r="H48" s="9">
        <f>IF(F48="","",LN(GAMMA.DIST(F48,$K$18,$K$19,FALSE)))</f>
        <v/>
      </c>
      <c r="M48">
        <f>ROW()-1</f>
        <v/>
      </c>
      <c r="N48" s="8">
        <f>$Q$2+(M48-1)*$Q$3</f>
        <v/>
      </c>
      <c r="O48" s="11">
        <f>-$K$8*GAMMALN(N48)-$K$8*N48*LN($K$5/N48)+(N48-1)*$K$8*$K$7-$K$8*N48</f>
        <v/>
      </c>
    </row>
    <row r="49">
      <c r="A49">
        <f>Data!A49</f>
        <v/>
      </c>
      <c r="B49" s="8">
        <f>Data!B49</f>
        <v/>
      </c>
      <c r="C49">
        <f>IF(B49&gt;0,COUNTIF($B$2:B49,"&gt;0"),"")</f>
        <v/>
      </c>
      <c r="E49">
        <f>ROW()-1</f>
        <v/>
      </c>
      <c r="F49" s="8">
        <f>IF(E49&lt;=$K$3,INDEX($B$2:$B$121,MATCH(E49,$C$2:$C$121,0)),"")</f>
        <v/>
      </c>
      <c r="G49" s="9">
        <f>IF(F49="","",LN(F49))</f>
        <v/>
      </c>
      <c r="H49" s="9">
        <f>IF(F49="","",LN(GAMMA.DIST(F49,$K$18,$K$19,FALSE)))</f>
        <v/>
      </c>
      <c r="M49">
        <f>ROW()-1</f>
        <v/>
      </c>
      <c r="N49" s="8">
        <f>$Q$2+(M49-1)*$Q$3</f>
        <v/>
      </c>
      <c r="O49" s="11">
        <f>-$K$8*GAMMALN(N49)-$K$8*N49*LN($K$5/N49)+(N49-1)*$K$8*$K$7-$K$8*N49</f>
        <v/>
      </c>
    </row>
    <row r="50">
      <c r="A50">
        <f>Data!A50</f>
        <v/>
      </c>
      <c r="B50" s="8">
        <f>Data!B50</f>
        <v/>
      </c>
      <c r="C50">
        <f>IF(B50&gt;0,COUNTIF($B$2:B50,"&gt;0"),"")</f>
        <v/>
      </c>
      <c r="E50">
        <f>ROW()-1</f>
        <v/>
      </c>
      <c r="F50" s="8">
        <f>IF(E50&lt;=$K$3,INDEX($B$2:$B$121,MATCH(E50,$C$2:$C$121,0)),"")</f>
        <v/>
      </c>
      <c r="G50" s="9">
        <f>IF(F50="","",LN(F50))</f>
        <v/>
      </c>
      <c r="H50" s="9">
        <f>IF(F50="","",LN(GAMMA.DIST(F50,$K$18,$K$19,FALSE)))</f>
        <v/>
      </c>
      <c r="M50">
        <f>ROW()-1</f>
        <v/>
      </c>
      <c r="N50" s="8">
        <f>$Q$2+(M50-1)*$Q$3</f>
        <v/>
      </c>
      <c r="O50" s="11">
        <f>-$K$8*GAMMALN(N50)-$K$8*N50*LN($K$5/N50)+(N50-1)*$K$8*$K$7-$K$8*N50</f>
        <v/>
      </c>
    </row>
    <row r="51">
      <c r="A51">
        <f>Data!A51</f>
        <v/>
      </c>
      <c r="B51" s="8">
        <f>Data!B51</f>
        <v/>
      </c>
      <c r="C51">
        <f>IF(B51&gt;0,COUNTIF($B$2:B51,"&gt;0"),"")</f>
        <v/>
      </c>
      <c r="E51">
        <f>ROW()-1</f>
        <v/>
      </c>
      <c r="F51" s="8">
        <f>IF(E51&lt;=$K$3,INDEX($B$2:$B$121,MATCH(E51,$C$2:$C$121,0)),"")</f>
        <v/>
      </c>
      <c r="G51" s="9">
        <f>IF(F51="","",LN(F51))</f>
        <v/>
      </c>
      <c r="H51" s="9">
        <f>IF(F51="","",LN(GAMMA.DIST(F51,$K$18,$K$19,FALSE)))</f>
        <v/>
      </c>
      <c r="M51">
        <f>ROW()-1</f>
        <v/>
      </c>
      <c r="N51" s="8">
        <f>$Q$2+(M51-1)*$Q$3</f>
        <v/>
      </c>
      <c r="O51" s="11">
        <f>-$K$8*GAMMALN(N51)-$K$8*N51*LN($K$5/N51)+(N51-1)*$K$8*$K$7-$K$8*N51</f>
        <v/>
      </c>
    </row>
    <row r="52">
      <c r="A52">
        <f>Data!A52</f>
        <v/>
      </c>
      <c r="B52" s="8">
        <f>Data!B52</f>
        <v/>
      </c>
      <c r="C52">
        <f>IF(B52&gt;0,COUNTIF($B$2:B52,"&gt;0"),"")</f>
        <v/>
      </c>
      <c r="E52">
        <f>ROW()-1</f>
        <v/>
      </c>
      <c r="F52" s="8">
        <f>IF(E52&lt;=$K$3,INDEX($B$2:$B$121,MATCH(E52,$C$2:$C$121,0)),"")</f>
        <v/>
      </c>
      <c r="G52" s="9">
        <f>IF(F52="","",LN(F52))</f>
        <v/>
      </c>
      <c r="H52" s="9">
        <f>IF(F52="","",LN(GAMMA.DIST(F52,$K$18,$K$19,FALSE)))</f>
        <v/>
      </c>
      <c r="M52">
        <f>ROW()-1</f>
        <v/>
      </c>
      <c r="N52" s="8">
        <f>$Q$2+(M52-1)*$Q$3</f>
        <v/>
      </c>
      <c r="O52" s="11">
        <f>-$K$8*GAMMALN(N52)-$K$8*N52*LN($K$5/N52)+(N52-1)*$K$8*$K$7-$K$8*N52</f>
        <v/>
      </c>
    </row>
    <row r="53">
      <c r="A53">
        <f>Data!A53</f>
        <v/>
      </c>
      <c r="B53" s="8">
        <f>Data!B53</f>
        <v/>
      </c>
      <c r="C53">
        <f>IF(B53&gt;0,COUNTIF($B$2:B53,"&gt;0"),"")</f>
        <v/>
      </c>
      <c r="E53">
        <f>ROW()-1</f>
        <v/>
      </c>
      <c r="F53" s="8">
        <f>IF(E53&lt;=$K$3,INDEX($B$2:$B$121,MATCH(E53,$C$2:$C$121,0)),"")</f>
        <v/>
      </c>
      <c r="G53" s="9">
        <f>IF(F53="","",LN(F53))</f>
        <v/>
      </c>
      <c r="H53" s="9">
        <f>IF(F53="","",LN(GAMMA.DIST(F53,$K$18,$K$19,FALSE)))</f>
        <v/>
      </c>
      <c r="M53">
        <f>ROW()-1</f>
        <v/>
      </c>
      <c r="N53" s="8">
        <f>$Q$2+(M53-1)*$Q$3</f>
        <v/>
      </c>
      <c r="O53" s="11">
        <f>-$K$8*GAMMALN(N53)-$K$8*N53*LN($K$5/N53)+(N53-1)*$K$8*$K$7-$K$8*N53</f>
        <v/>
      </c>
    </row>
    <row r="54">
      <c r="A54">
        <f>Data!A54</f>
        <v/>
      </c>
      <c r="B54" s="8">
        <f>Data!B54</f>
        <v/>
      </c>
      <c r="C54">
        <f>IF(B54&gt;0,COUNTIF($B$2:B54,"&gt;0"),"")</f>
        <v/>
      </c>
      <c r="E54">
        <f>ROW()-1</f>
        <v/>
      </c>
      <c r="F54" s="8">
        <f>IF(E54&lt;=$K$3,INDEX($B$2:$B$121,MATCH(E54,$C$2:$C$121,0)),"")</f>
        <v/>
      </c>
      <c r="G54" s="9">
        <f>IF(F54="","",LN(F54))</f>
        <v/>
      </c>
      <c r="H54" s="9">
        <f>IF(F54="","",LN(GAMMA.DIST(F54,$K$18,$K$19,FALSE)))</f>
        <v/>
      </c>
      <c r="M54">
        <f>ROW()-1</f>
        <v/>
      </c>
      <c r="N54" s="8">
        <f>$Q$2+(M54-1)*$Q$3</f>
        <v/>
      </c>
      <c r="O54" s="11">
        <f>-$K$8*GAMMALN(N54)-$K$8*N54*LN($K$5/N54)+(N54-1)*$K$8*$K$7-$K$8*N54</f>
        <v/>
      </c>
    </row>
    <row r="55">
      <c r="A55">
        <f>Data!A55</f>
        <v/>
      </c>
      <c r="B55" s="8">
        <f>Data!B55</f>
        <v/>
      </c>
      <c r="C55">
        <f>IF(B55&gt;0,COUNTIF($B$2:B55,"&gt;0"),"")</f>
        <v/>
      </c>
      <c r="E55">
        <f>ROW()-1</f>
        <v/>
      </c>
      <c r="F55" s="8">
        <f>IF(E55&lt;=$K$3,INDEX($B$2:$B$121,MATCH(E55,$C$2:$C$121,0)),"")</f>
        <v/>
      </c>
      <c r="G55" s="9">
        <f>IF(F55="","",LN(F55))</f>
        <v/>
      </c>
      <c r="H55" s="9">
        <f>IF(F55="","",LN(GAMMA.DIST(F55,$K$18,$K$19,FALSE)))</f>
        <v/>
      </c>
      <c r="M55">
        <f>ROW()-1</f>
        <v/>
      </c>
      <c r="N55" s="8">
        <f>$Q$2+(M55-1)*$Q$3</f>
        <v/>
      </c>
      <c r="O55" s="11">
        <f>-$K$8*GAMMALN(N55)-$K$8*N55*LN($K$5/N55)+(N55-1)*$K$8*$K$7-$K$8*N55</f>
        <v/>
      </c>
    </row>
    <row r="56">
      <c r="A56">
        <f>Data!A56</f>
        <v/>
      </c>
      <c r="B56" s="8">
        <f>Data!B56</f>
        <v/>
      </c>
      <c r="C56">
        <f>IF(B56&gt;0,COUNTIF($B$2:B56,"&gt;0"),"")</f>
        <v/>
      </c>
      <c r="E56">
        <f>ROW()-1</f>
        <v/>
      </c>
      <c r="F56" s="8">
        <f>IF(E56&lt;=$K$3,INDEX($B$2:$B$121,MATCH(E56,$C$2:$C$121,0)),"")</f>
        <v/>
      </c>
      <c r="G56" s="9">
        <f>IF(F56="","",LN(F56))</f>
        <v/>
      </c>
      <c r="H56" s="9">
        <f>IF(F56="","",LN(GAMMA.DIST(F56,$K$18,$K$19,FALSE)))</f>
        <v/>
      </c>
      <c r="M56">
        <f>ROW()-1</f>
        <v/>
      </c>
      <c r="N56" s="8">
        <f>$Q$2+(M56-1)*$Q$3</f>
        <v/>
      </c>
      <c r="O56" s="11">
        <f>-$K$8*GAMMALN(N56)-$K$8*N56*LN($K$5/N56)+(N56-1)*$K$8*$K$7-$K$8*N56</f>
        <v/>
      </c>
    </row>
    <row r="57">
      <c r="A57">
        <f>Data!A57</f>
        <v/>
      </c>
      <c r="B57" s="8">
        <f>Data!B57</f>
        <v/>
      </c>
      <c r="C57">
        <f>IF(B57&gt;0,COUNTIF($B$2:B57,"&gt;0"),"")</f>
        <v/>
      </c>
      <c r="E57">
        <f>ROW()-1</f>
        <v/>
      </c>
      <c r="F57" s="8">
        <f>IF(E57&lt;=$K$3,INDEX($B$2:$B$121,MATCH(E57,$C$2:$C$121,0)),"")</f>
        <v/>
      </c>
      <c r="G57" s="9">
        <f>IF(F57="","",LN(F57))</f>
        <v/>
      </c>
      <c r="H57" s="9">
        <f>IF(F57="","",LN(GAMMA.DIST(F57,$K$18,$K$19,FALSE)))</f>
        <v/>
      </c>
      <c r="M57">
        <f>ROW()-1</f>
        <v/>
      </c>
      <c r="N57" s="8">
        <f>$Q$2+(M57-1)*$Q$3</f>
        <v/>
      </c>
      <c r="O57" s="11">
        <f>-$K$8*GAMMALN(N57)-$K$8*N57*LN($K$5/N57)+(N57-1)*$K$8*$K$7-$K$8*N57</f>
        <v/>
      </c>
    </row>
    <row r="58">
      <c r="A58">
        <f>Data!A58</f>
        <v/>
      </c>
      <c r="B58" s="8">
        <f>Data!B58</f>
        <v/>
      </c>
      <c r="C58">
        <f>IF(B58&gt;0,COUNTIF($B$2:B58,"&gt;0"),"")</f>
        <v/>
      </c>
      <c r="E58">
        <f>ROW()-1</f>
        <v/>
      </c>
      <c r="F58" s="8">
        <f>IF(E58&lt;=$K$3,INDEX($B$2:$B$121,MATCH(E58,$C$2:$C$121,0)),"")</f>
        <v/>
      </c>
      <c r="G58" s="9">
        <f>IF(F58="","",LN(F58))</f>
        <v/>
      </c>
      <c r="H58" s="9">
        <f>IF(F58="","",LN(GAMMA.DIST(F58,$K$18,$K$19,FALSE)))</f>
        <v/>
      </c>
      <c r="M58">
        <f>ROW()-1</f>
        <v/>
      </c>
      <c r="N58" s="8">
        <f>$Q$2+(M58-1)*$Q$3</f>
        <v/>
      </c>
      <c r="O58" s="11">
        <f>-$K$8*GAMMALN(N58)-$K$8*N58*LN($K$5/N58)+(N58-1)*$K$8*$K$7-$K$8*N58</f>
        <v/>
      </c>
    </row>
    <row r="59">
      <c r="A59">
        <f>Data!A59</f>
        <v/>
      </c>
      <c r="B59" s="8">
        <f>Data!B59</f>
        <v/>
      </c>
      <c r="C59">
        <f>IF(B59&gt;0,COUNTIF($B$2:B59,"&gt;0"),"")</f>
        <v/>
      </c>
      <c r="E59">
        <f>ROW()-1</f>
        <v/>
      </c>
      <c r="F59" s="8">
        <f>IF(E59&lt;=$K$3,INDEX($B$2:$B$121,MATCH(E59,$C$2:$C$121,0)),"")</f>
        <v/>
      </c>
      <c r="G59" s="9">
        <f>IF(F59="","",LN(F59))</f>
        <v/>
      </c>
      <c r="H59" s="9">
        <f>IF(F59="","",LN(GAMMA.DIST(F59,$K$18,$K$19,FALSE)))</f>
        <v/>
      </c>
      <c r="M59">
        <f>ROW()-1</f>
        <v/>
      </c>
      <c r="N59" s="8">
        <f>$Q$2+(M59-1)*$Q$3</f>
        <v/>
      </c>
      <c r="O59" s="11">
        <f>-$K$8*GAMMALN(N59)-$K$8*N59*LN($K$5/N59)+(N59-1)*$K$8*$K$7-$K$8*N59</f>
        <v/>
      </c>
    </row>
    <row r="60">
      <c r="A60">
        <f>Data!A60</f>
        <v/>
      </c>
      <c r="B60" s="8">
        <f>Data!B60</f>
        <v/>
      </c>
      <c r="C60">
        <f>IF(B60&gt;0,COUNTIF($B$2:B60,"&gt;0"),"")</f>
        <v/>
      </c>
      <c r="E60">
        <f>ROW()-1</f>
        <v/>
      </c>
      <c r="F60" s="8">
        <f>IF(E60&lt;=$K$3,INDEX($B$2:$B$121,MATCH(E60,$C$2:$C$121,0)),"")</f>
        <v/>
      </c>
      <c r="G60" s="9">
        <f>IF(F60="","",LN(F60))</f>
        <v/>
      </c>
      <c r="H60" s="9">
        <f>IF(F60="","",LN(GAMMA.DIST(F60,$K$18,$K$19,FALSE)))</f>
        <v/>
      </c>
      <c r="M60">
        <f>ROW()-1</f>
        <v/>
      </c>
      <c r="N60" s="8">
        <f>$Q$2+(M60-1)*$Q$3</f>
        <v/>
      </c>
      <c r="O60" s="11">
        <f>-$K$8*GAMMALN(N60)-$K$8*N60*LN($K$5/N60)+(N60-1)*$K$8*$K$7-$K$8*N60</f>
        <v/>
      </c>
    </row>
    <row r="61">
      <c r="A61">
        <f>Data!A61</f>
        <v/>
      </c>
      <c r="B61" s="8">
        <f>Data!B61</f>
        <v/>
      </c>
      <c r="C61">
        <f>IF(B61&gt;0,COUNTIF($B$2:B61,"&gt;0"),"")</f>
        <v/>
      </c>
      <c r="E61">
        <f>ROW()-1</f>
        <v/>
      </c>
      <c r="F61" s="8">
        <f>IF(E61&lt;=$K$3,INDEX($B$2:$B$121,MATCH(E61,$C$2:$C$121,0)),"")</f>
        <v/>
      </c>
      <c r="G61" s="9">
        <f>IF(F61="","",LN(F61))</f>
        <v/>
      </c>
      <c r="H61" s="9">
        <f>IF(F61="","",LN(GAMMA.DIST(F61,$K$18,$K$19,FALSE)))</f>
        <v/>
      </c>
      <c r="M61">
        <f>ROW()-1</f>
        <v/>
      </c>
      <c r="N61" s="8">
        <f>$Q$2+(M61-1)*$Q$3</f>
        <v/>
      </c>
      <c r="O61" s="11">
        <f>-$K$8*GAMMALN(N61)-$K$8*N61*LN($K$5/N61)+(N61-1)*$K$8*$K$7-$K$8*N61</f>
        <v/>
      </c>
    </row>
    <row r="62">
      <c r="A62">
        <f>Data!A62</f>
        <v/>
      </c>
      <c r="B62" s="8">
        <f>Data!B62</f>
        <v/>
      </c>
      <c r="C62">
        <f>IF(B62&gt;0,COUNTIF($B$2:B62,"&gt;0"),"")</f>
        <v/>
      </c>
      <c r="E62">
        <f>ROW()-1</f>
        <v/>
      </c>
      <c r="F62" s="8">
        <f>IF(E62&lt;=$K$3,INDEX($B$2:$B$121,MATCH(E62,$C$2:$C$121,0)),"")</f>
        <v/>
      </c>
      <c r="G62" s="9">
        <f>IF(F62="","",LN(F62))</f>
        <v/>
      </c>
      <c r="H62" s="9">
        <f>IF(F62="","",LN(GAMMA.DIST(F62,$K$18,$K$19,FALSE)))</f>
        <v/>
      </c>
      <c r="M62">
        <f>ROW()-1</f>
        <v/>
      </c>
      <c r="N62" s="8">
        <f>$Q$2+(M62-1)*$Q$3</f>
        <v/>
      </c>
      <c r="O62" s="11">
        <f>-$K$8*GAMMALN(N62)-$K$8*N62*LN($K$5/N62)+(N62-1)*$K$8*$K$7-$K$8*N62</f>
        <v/>
      </c>
    </row>
    <row r="63">
      <c r="A63">
        <f>Data!A63</f>
        <v/>
      </c>
      <c r="B63" s="8">
        <f>Data!B63</f>
        <v/>
      </c>
      <c r="C63">
        <f>IF(B63&gt;0,COUNTIF($B$2:B63,"&gt;0"),"")</f>
        <v/>
      </c>
      <c r="E63">
        <f>ROW()-1</f>
        <v/>
      </c>
      <c r="F63" s="8">
        <f>IF(E63&lt;=$K$3,INDEX($B$2:$B$121,MATCH(E63,$C$2:$C$121,0)),"")</f>
        <v/>
      </c>
      <c r="G63" s="9">
        <f>IF(F63="","",LN(F63))</f>
        <v/>
      </c>
      <c r="H63" s="9">
        <f>IF(F63="","",LN(GAMMA.DIST(F63,$K$18,$K$19,FALSE)))</f>
        <v/>
      </c>
      <c r="M63">
        <f>ROW()-1</f>
        <v/>
      </c>
      <c r="N63" s="8">
        <f>$Q$2+(M63-1)*$Q$3</f>
        <v/>
      </c>
      <c r="O63" s="11">
        <f>-$K$8*GAMMALN(N63)-$K$8*N63*LN($K$5/N63)+(N63-1)*$K$8*$K$7-$K$8*N63</f>
        <v/>
      </c>
    </row>
    <row r="64">
      <c r="A64">
        <f>Data!A64</f>
        <v/>
      </c>
      <c r="B64" s="8">
        <f>Data!B64</f>
        <v/>
      </c>
      <c r="C64">
        <f>IF(B64&gt;0,COUNTIF($B$2:B64,"&gt;0"),"")</f>
        <v/>
      </c>
      <c r="E64">
        <f>ROW()-1</f>
        <v/>
      </c>
      <c r="F64" s="8">
        <f>IF(E64&lt;=$K$3,INDEX($B$2:$B$121,MATCH(E64,$C$2:$C$121,0)),"")</f>
        <v/>
      </c>
      <c r="G64" s="9">
        <f>IF(F64="","",LN(F64))</f>
        <v/>
      </c>
      <c r="H64" s="9">
        <f>IF(F64="","",LN(GAMMA.DIST(F64,$K$18,$K$19,FALSE)))</f>
        <v/>
      </c>
      <c r="M64">
        <f>ROW()-1</f>
        <v/>
      </c>
      <c r="N64" s="8">
        <f>$Q$2+(M64-1)*$Q$3</f>
        <v/>
      </c>
      <c r="O64" s="11">
        <f>-$K$8*GAMMALN(N64)-$K$8*N64*LN($K$5/N64)+(N64-1)*$K$8*$K$7-$K$8*N64</f>
        <v/>
      </c>
    </row>
    <row r="65">
      <c r="A65">
        <f>Data!A65</f>
        <v/>
      </c>
      <c r="B65" s="8">
        <f>Data!B65</f>
        <v/>
      </c>
      <c r="C65">
        <f>IF(B65&gt;0,COUNTIF($B$2:B65,"&gt;0"),"")</f>
        <v/>
      </c>
      <c r="E65">
        <f>ROW()-1</f>
        <v/>
      </c>
      <c r="F65" s="8">
        <f>IF(E65&lt;=$K$3,INDEX($B$2:$B$121,MATCH(E65,$C$2:$C$121,0)),"")</f>
        <v/>
      </c>
      <c r="G65" s="9">
        <f>IF(F65="","",LN(F65))</f>
        <v/>
      </c>
      <c r="H65" s="9">
        <f>IF(F65="","",LN(GAMMA.DIST(F65,$K$18,$K$19,FALSE)))</f>
        <v/>
      </c>
      <c r="M65">
        <f>ROW()-1</f>
        <v/>
      </c>
      <c r="N65" s="8">
        <f>$Q$2+(M65-1)*$Q$3</f>
        <v/>
      </c>
      <c r="O65" s="11">
        <f>-$K$8*GAMMALN(N65)-$K$8*N65*LN($K$5/N65)+(N65-1)*$K$8*$K$7-$K$8*N65</f>
        <v/>
      </c>
    </row>
    <row r="66">
      <c r="A66">
        <f>Data!A66</f>
        <v/>
      </c>
      <c r="B66" s="8">
        <f>Data!B66</f>
        <v/>
      </c>
      <c r="C66">
        <f>IF(B66&gt;0,COUNTIF($B$2:B66,"&gt;0"),"")</f>
        <v/>
      </c>
      <c r="E66">
        <f>ROW()-1</f>
        <v/>
      </c>
      <c r="F66" s="8">
        <f>IF(E66&lt;=$K$3,INDEX($B$2:$B$121,MATCH(E66,$C$2:$C$121,0)),"")</f>
        <v/>
      </c>
      <c r="G66" s="9">
        <f>IF(F66="","",LN(F66))</f>
        <v/>
      </c>
      <c r="H66" s="9">
        <f>IF(F66="","",LN(GAMMA.DIST(F66,$K$18,$K$19,FALSE)))</f>
        <v/>
      </c>
      <c r="M66">
        <f>ROW()-1</f>
        <v/>
      </c>
      <c r="N66" s="8">
        <f>$Q$2+(M66-1)*$Q$3</f>
        <v/>
      </c>
      <c r="O66" s="11">
        <f>-$K$8*GAMMALN(N66)-$K$8*N66*LN($K$5/N66)+(N66-1)*$K$8*$K$7-$K$8*N66</f>
        <v/>
      </c>
    </row>
    <row r="67">
      <c r="A67">
        <f>Data!A67</f>
        <v/>
      </c>
      <c r="B67" s="8">
        <f>Data!B67</f>
        <v/>
      </c>
      <c r="C67">
        <f>IF(B67&gt;0,COUNTIF($B$2:B67,"&gt;0"),"")</f>
        <v/>
      </c>
      <c r="E67">
        <f>ROW()-1</f>
        <v/>
      </c>
      <c r="F67" s="8">
        <f>IF(E67&lt;=$K$3,INDEX($B$2:$B$121,MATCH(E67,$C$2:$C$121,0)),"")</f>
        <v/>
      </c>
      <c r="G67" s="9">
        <f>IF(F67="","",LN(F67))</f>
        <v/>
      </c>
      <c r="H67" s="9">
        <f>IF(F67="","",LN(GAMMA.DIST(F67,$K$18,$K$19,FALSE)))</f>
        <v/>
      </c>
      <c r="M67">
        <f>ROW()-1</f>
        <v/>
      </c>
      <c r="N67" s="8">
        <f>$Q$2+(M67-1)*$Q$3</f>
        <v/>
      </c>
      <c r="O67" s="11">
        <f>-$K$8*GAMMALN(N67)-$K$8*N67*LN($K$5/N67)+(N67-1)*$K$8*$K$7-$K$8*N67</f>
        <v/>
      </c>
    </row>
    <row r="68">
      <c r="A68">
        <f>Data!A68</f>
        <v/>
      </c>
      <c r="B68" s="8">
        <f>Data!B68</f>
        <v/>
      </c>
      <c r="C68">
        <f>IF(B68&gt;0,COUNTIF($B$2:B68,"&gt;0"),"")</f>
        <v/>
      </c>
      <c r="E68">
        <f>ROW()-1</f>
        <v/>
      </c>
      <c r="F68" s="8">
        <f>IF(E68&lt;=$K$3,INDEX($B$2:$B$121,MATCH(E68,$C$2:$C$121,0)),"")</f>
        <v/>
      </c>
      <c r="G68" s="9">
        <f>IF(F68="","",LN(F68))</f>
        <v/>
      </c>
      <c r="H68" s="9">
        <f>IF(F68="","",LN(GAMMA.DIST(F68,$K$18,$K$19,FALSE)))</f>
        <v/>
      </c>
      <c r="M68">
        <f>ROW()-1</f>
        <v/>
      </c>
      <c r="N68" s="8">
        <f>$Q$2+(M68-1)*$Q$3</f>
        <v/>
      </c>
      <c r="O68" s="11">
        <f>-$K$8*GAMMALN(N68)-$K$8*N68*LN($K$5/N68)+(N68-1)*$K$8*$K$7-$K$8*N68</f>
        <v/>
      </c>
    </row>
    <row r="69">
      <c r="A69">
        <f>Data!A69</f>
        <v/>
      </c>
      <c r="B69" s="8">
        <f>Data!B69</f>
        <v/>
      </c>
      <c r="C69">
        <f>IF(B69&gt;0,COUNTIF($B$2:B69,"&gt;0"),"")</f>
        <v/>
      </c>
      <c r="E69">
        <f>ROW()-1</f>
        <v/>
      </c>
      <c r="F69" s="8">
        <f>IF(E69&lt;=$K$3,INDEX($B$2:$B$121,MATCH(E69,$C$2:$C$121,0)),"")</f>
        <v/>
      </c>
      <c r="G69" s="9">
        <f>IF(F69="","",LN(F69))</f>
        <v/>
      </c>
      <c r="H69" s="9">
        <f>IF(F69="","",LN(GAMMA.DIST(F69,$K$18,$K$19,FALSE)))</f>
        <v/>
      </c>
      <c r="M69">
        <f>ROW()-1</f>
        <v/>
      </c>
      <c r="N69" s="8">
        <f>$Q$2+(M69-1)*$Q$3</f>
        <v/>
      </c>
      <c r="O69" s="11">
        <f>-$K$8*GAMMALN(N69)-$K$8*N69*LN($K$5/N69)+(N69-1)*$K$8*$K$7-$K$8*N69</f>
        <v/>
      </c>
    </row>
    <row r="70">
      <c r="A70">
        <f>Data!A70</f>
        <v/>
      </c>
      <c r="B70" s="8">
        <f>Data!B70</f>
        <v/>
      </c>
      <c r="C70">
        <f>IF(B70&gt;0,COUNTIF($B$2:B70,"&gt;0"),"")</f>
        <v/>
      </c>
      <c r="E70">
        <f>ROW()-1</f>
        <v/>
      </c>
      <c r="F70" s="8">
        <f>IF(E70&lt;=$K$3,INDEX($B$2:$B$121,MATCH(E70,$C$2:$C$121,0)),"")</f>
        <v/>
      </c>
      <c r="G70" s="9">
        <f>IF(F70="","",LN(F70))</f>
        <v/>
      </c>
      <c r="H70" s="9">
        <f>IF(F70="","",LN(GAMMA.DIST(F70,$K$18,$K$19,FALSE)))</f>
        <v/>
      </c>
      <c r="M70">
        <f>ROW()-1</f>
        <v/>
      </c>
      <c r="N70" s="8">
        <f>$Q$2+(M70-1)*$Q$3</f>
        <v/>
      </c>
      <c r="O70" s="11">
        <f>-$K$8*GAMMALN(N70)-$K$8*N70*LN($K$5/N70)+(N70-1)*$K$8*$K$7-$K$8*N70</f>
        <v/>
      </c>
    </row>
    <row r="71">
      <c r="A71">
        <f>Data!A71</f>
        <v/>
      </c>
      <c r="B71" s="8">
        <f>Data!B71</f>
        <v/>
      </c>
      <c r="C71">
        <f>IF(B71&gt;0,COUNTIF($B$2:B71,"&gt;0"),"")</f>
        <v/>
      </c>
      <c r="E71">
        <f>ROW()-1</f>
        <v/>
      </c>
      <c r="F71" s="8">
        <f>IF(E71&lt;=$K$3,INDEX($B$2:$B$121,MATCH(E71,$C$2:$C$121,0)),"")</f>
        <v/>
      </c>
      <c r="G71" s="9">
        <f>IF(F71="","",LN(F71))</f>
        <v/>
      </c>
      <c r="H71" s="9">
        <f>IF(F71="","",LN(GAMMA.DIST(F71,$K$18,$K$19,FALSE)))</f>
        <v/>
      </c>
      <c r="M71">
        <f>ROW()-1</f>
        <v/>
      </c>
      <c r="N71" s="8">
        <f>$Q$2+(M71-1)*$Q$3</f>
        <v/>
      </c>
      <c r="O71" s="11">
        <f>-$K$8*GAMMALN(N71)-$K$8*N71*LN($K$5/N71)+(N71-1)*$K$8*$K$7-$K$8*N71</f>
        <v/>
      </c>
    </row>
    <row r="72">
      <c r="A72">
        <f>Data!A72</f>
        <v/>
      </c>
      <c r="B72" s="8">
        <f>Data!B72</f>
        <v/>
      </c>
      <c r="C72">
        <f>IF(B72&gt;0,COUNTIF($B$2:B72,"&gt;0"),"")</f>
        <v/>
      </c>
      <c r="E72">
        <f>ROW()-1</f>
        <v/>
      </c>
      <c r="F72" s="8">
        <f>IF(E72&lt;=$K$3,INDEX($B$2:$B$121,MATCH(E72,$C$2:$C$121,0)),"")</f>
        <v/>
      </c>
      <c r="G72" s="9">
        <f>IF(F72="","",LN(F72))</f>
        <v/>
      </c>
      <c r="H72" s="9">
        <f>IF(F72="","",LN(GAMMA.DIST(F72,$K$18,$K$19,FALSE)))</f>
        <v/>
      </c>
      <c r="M72">
        <f>ROW()-1</f>
        <v/>
      </c>
      <c r="N72" s="8">
        <f>$Q$2+(M72-1)*$Q$3</f>
        <v/>
      </c>
      <c r="O72" s="11">
        <f>-$K$8*GAMMALN(N72)-$K$8*N72*LN($K$5/N72)+(N72-1)*$K$8*$K$7-$K$8*N72</f>
        <v/>
      </c>
    </row>
    <row r="73">
      <c r="A73">
        <f>Data!A73</f>
        <v/>
      </c>
      <c r="B73" s="8">
        <f>Data!B73</f>
        <v/>
      </c>
      <c r="C73">
        <f>IF(B73&gt;0,COUNTIF($B$2:B73,"&gt;0"),"")</f>
        <v/>
      </c>
      <c r="E73">
        <f>ROW()-1</f>
        <v/>
      </c>
      <c r="F73" s="8">
        <f>IF(E73&lt;=$K$3,INDEX($B$2:$B$121,MATCH(E73,$C$2:$C$121,0)),"")</f>
        <v/>
      </c>
      <c r="G73" s="9">
        <f>IF(F73="","",LN(F73))</f>
        <v/>
      </c>
      <c r="H73" s="9">
        <f>IF(F73="","",LN(GAMMA.DIST(F73,$K$18,$K$19,FALSE)))</f>
        <v/>
      </c>
      <c r="M73">
        <f>ROW()-1</f>
        <v/>
      </c>
      <c r="N73" s="8">
        <f>$Q$2+(M73-1)*$Q$3</f>
        <v/>
      </c>
      <c r="O73" s="11">
        <f>-$K$8*GAMMALN(N73)-$K$8*N73*LN($K$5/N73)+(N73-1)*$K$8*$K$7-$K$8*N73</f>
        <v/>
      </c>
    </row>
    <row r="74">
      <c r="A74">
        <f>Data!A74</f>
        <v/>
      </c>
      <c r="B74" s="8">
        <f>Data!B74</f>
        <v/>
      </c>
      <c r="C74">
        <f>IF(B74&gt;0,COUNTIF($B$2:B74,"&gt;0"),"")</f>
        <v/>
      </c>
      <c r="E74">
        <f>ROW()-1</f>
        <v/>
      </c>
      <c r="F74" s="8">
        <f>IF(E74&lt;=$K$3,INDEX($B$2:$B$121,MATCH(E74,$C$2:$C$121,0)),"")</f>
        <v/>
      </c>
      <c r="G74" s="9">
        <f>IF(F74="","",LN(F74))</f>
        <v/>
      </c>
      <c r="H74" s="9">
        <f>IF(F74="","",LN(GAMMA.DIST(F74,$K$18,$K$19,FALSE)))</f>
        <v/>
      </c>
      <c r="M74">
        <f>ROW()-1</f>
        <v/>
      </c>
      <c r="N74" s="8">
        <f>$Q$2+(M74-1)*$Q$3</f>
        <v/>
      </c>
      <c r="O74" s="11">
        <f>-$K$8*GAMMALN(N74)-$K$8*N74*LN($K$5/N74)+(N74-1)*$K$8*$K$7-$K$8*N74</f>
        <v/>
      </c>
    </row>
    <row r="75">
      <c r="A75">
        <f>Data!A75</f>
        <v/>
      </c>
      <c r="B75" s="8">
        <f>Data!B75</f>
        <v/>
      </c>
      <c r="C75">
        <f>IF(B75&gt;0,COUNTIF($B$2:B75,"&gt;0"),"")</f>
        <v/>
      </c>
      <c r="E75">
        <f>ROW()-1</f>
        <v/>
      </c>
      <c r="F75" s="8">
        <f>IF(E75&lt;=$K$3,INDEX($B$2:$B$121,MATCH(E75,$C$2:$C$121,0)),"")</f>
        <v/>
      </c>
      <c r="G75" s="9">
        <f>IF(F75="","",LN(F75))</f>
        <v/>
      </c>
      <c r="H75" s="9">
        <f>IF(F75="","",LN(GAMMA.DIST(F75,$K$18,$K$19,FALSE)))</f>
        <v/>
      </c>
      <c r="M75">
        <f>ROW()-1</f>
        <v/>
      </c>
      <c r="N75" s="8">
        <f>$Q$2+(M75-1)*$Q$3</f>
        <v/>
      </c>
      <c r="O75" s="11">
        <f>-$K$8*GAMMALN(N75)-$K$8*N75*LN($K$5/N75)+(N75-1)*$K$8*$K$7-$K$8*N75</f>
        <v/>
      </c>
    </row>
    <row r="76">
      <c r="A76">
        <f>Data!A76</f>
        <v/>
      </c>
      <c r="B76" s="8">
        <f>Data!B76</f>
        <v/>
      </c>
      <c r="C76">
        <f>IF(B76&gt;0,COUNTIF($B$2:B76,"&gt;0"),"")</f>
        <v/>
      </c>
      <c r="E76">
        <f>ROW()-1</f>
        <v/>
      </c>
      <c r="F76" s="8">
        <f>IF(E76&lt;=$K$3,INDEX($B$2:$B$121,MATCH(E76,$C$2:$C$121,0)),"")</f>
        <v/>
      </c>
      <c r="G76" s="9">
        <f>IF(F76="","",LN(F76))</f>
        <v/>
      </c>
      <c r="H76" s="9">
        <f>IF(F76="","",LN(GAMMA.DIST(F76,$K$18,$K$19,FALSE)))</f>
        <v/>
      </c>
      <c r="M76">
        <f>ROW()-1</f>
        <v/>
      </c>
      <c r="N76" s="8">
        <f>$Q$2+(M76-1)*$Q$3</f>
        <v/>
      </c>
      <c r="O76" s="11">
        <f>-$K$8*GAMMALN(N76)-$K$8*N76*LN($K$5/N76)+(N76-1)*$K$8*$K$7-$K$8*N76</f>
        <v/>
      </c>
    </row>
    <row r="77">
      <c r="A77">
        <f>Data!A77</f>
        <v/>
      </c>
      <c r="B77" s="8">
        <f>Data!B77</f>
        <v/>
      </c>
      <c r="C77">
        <f>IF(B77&gt;0,COUNTIF($B$2:B77,"&gt;0"),"")</f>
        <v/>
      </c>
      <c r="E77">
        <f>ROW()-1</f>
        <v/>
      </c>
      <c r="F77" s="8">
        <f>IF(E77&lt;=$K$3,INDEX($B$2:$B$121,MATCH(E77,$C$2:$C$121,0)),"")</f>
        <v/>
      </c>
      <c r="G77" s="9">
        <f>IF(F77="","",LN(F77))</f>
        <v/>
      </c>
      <c r="H77" s="9">
        <f>IF(F77="","",LN(GAMMA.DIST(F77,$K$18,$K$19,FALSE)))</f>
        <v/>
      </c>
      <c r="M77">
        <f>ROW()-1</f>
        <v/>
      </c>
      <c r="N77" s="8">
        <f>$Q$2+(M77-1)*$Q$3</f>
        <v/>
      </c>
      <c r="O77" s="11">
        <f>-$K$8*GAMMALN(N77)-$K$8*N77*LN($K$5/N77)+(N77-1)*$K$8*$K$7-$K$8*N77</f>
        <v/>
      </c>
    </row>
    <row r="78">
      <c r="A78">
        <f>Data!A78</f>
        <v/>
      </c>
      <c r="B78" s="8">
        <f>Data!B78</f>
        <v/>
      </c>
      <c r="C78">
        <f>IF(B78&gt;0,COUNTIF($B$2:B78,"&gt;0"),"")</f>
        <v/>
      </c>
      <c r="E78">
        <f>ROW()-1</f>
        <v/>
      </c>
      <c r="F78" s="8">
        <f>IF(E78&lt;=$K$3,INDEX($B$2:$B$121,MATCH(E78,$C$2:$C$121,0)),"")</f>
        <v/>
      </c>
      <c r="G78" s="9">
        <f>IF(F78="","",LN(F78))</f>
        <v/>
      </c>
      <c r="H78" s="9">
        <f>IF(F78="","",LN(GAMMA.DIST(F78,$K$18,$K$19,FALSE)))</f>
        <v/>
      </c>
      <c r="M78">
        <f>ROW()-1</f>
        <v/>
      </c>
      <c r="N78" s="8">
        <f>$Q$2+(M78-1)*$Q$3</f>
        <v/>
      </c>
      <c r="O78" s="11">
        <f>-$K$8*GAMMALN(N78)-$K$8*N78*LN($K$5/N78)+(N78-1)*$K$8*$K$7-$K$8*N78</f>
        <v/>
      </c>
    </row>
    <row r="79">
      <c r="A79">
        <f>Data!A79</f>
        <v/>
      </c>
      <c r="B79" s="8">
        <f>Data!B79</f>
        <v/>
      </c>
      <c r="C79">
        <f>IF(B79&gt;0,COUNTIF($B$2:B79,"&gt;0"),"")</f>
        <v/>
      </c>
      <c r="E79">
        <f>ROW()-1</f>
        <v/>
      </c>
      <c r="F79" s="8">
        <f>IF(E79&lt;=$K$3,INDEX($B$2:$B$121,MATCH(E79,$C$2:$C$121,0)),"")</f>
        <v/>
      </c>
      <c r="G79" s="9">
        <f>IF(F79="","",LN(F79))</f>
        <v/>
      </c>
      <c r="H79" s="9">
        <f>IF(F79="","",LN(GAMMA.DIST(F79,$K$18,$K$19,FALSE)))</f>
        <v/>
      </c>
      <c r="M79">
        <f>ROW()-1</f>
        <v/>
      </c>
      <c r="N79" s="8">
        <f>$Q$2+(M79-1)*$Q$3</f>
        <v/>
      </c>
      <c r="O79" s="11">
        <f>-$K$8*GAMMALN(N79)-$K$8*N79*LN($K$5/N79)+(N79-1)*$K$8*$K$7-$K$8*N79</f>
        <v/>
      </c>
    </row>
    <row r="80">
      <c r="A80">
        <f>Data!A80</f>
        <v/>
      </c>
      <c r="B80" s="8">
        <f>Data!B80</f>
        <v/>
      </c>
      <c r="C80">
        <f>IF(B80&gt;0,COUNTIF($B$2:B80,"&gt;0"),"")</f>
        <v/>
      </c>
      <c r="E80">
        <f>ROW()-1</f>
        <v/>
      </c>
      <c r="F80" s="8">
        <f>IF(E80&lt;=$K$3,INDEX($B$2:$B$121,MATCH(E80,$C$2:$C$121,0)),"")</f>
        <v/>
      </c>
      <c r="G80" s="9">
        <f>IF(F80="","",LN(F80))</f>
        <v/>
      </c>
      <c r="H80" s="9">
        <f>IF(F80="","",LN(GAMMA.DIST(F80,$K$18,$K$19,FALSE)))</f>
        <v/>
      </c>
      <c r="M80">
        <f>ROW()-1</f>
        <v/>
      </c>
      <c r="N80" s="8">
        <f>$Q$2+(M80-1)*$Q$3</f>
        <v/>
      </c>
      <c r="O80" s="11">
        <f>-$K$8*GAMMALN(N80)-$K$8*N80*LN($K$5/N80)+(N80-1)*$K$8*$K$7-$K$8*N80</f>
        <v/>
      </c>
    </row>
    <row r="81">
      <c r="A81">
        <f>Data!A81</f>
        <v/>
      </c>
      <c r="B81" s="8">
        <f>Data!B81</f>
        <v/>
      </c>
      <c r="C81">
        <f>IF(B81&gt;0,COUNTIF($B$2:B81,"&gt;0"),"")</f>
        <v/>
      </c>
      <c r="E81">
        <f>ROW()-1</f>
        <v/>
      </c>
      <c r="F81" s="8">
        <f>IF(E81&lt;=$K$3,INDEX($B$2:$B$121,MATCH(E81,$C$2:$C$121,0)),"")</f>
        <v/>
      </c>
      <c r="G81" s="9">
        <f>IF(F81="","",LN(F81))</f>
        <v/>
      </c>
      <c r="H81" s="9">
        <f>IF(F81="","",LN(GAMMA.DIST(F81,$K$18,$K$19,FALSE)))</f>
        <v/>
      </c>
      <c r="M81">
        <f>ROW()-1</f>
        <v/>
      </c>
      <c r="N81" s="8">
        <f>$Q$2+(M81-1)*$Q$3</f>
        <v/>
      </c>
      <c r="O81" s="11">
        <f>-$K$8*GAMMALN(N81)-$K$8*N81*LN($K$5/N81)+(N81-1)*$K$8*$K$7-$K$8*N81</f>
        <v/>
      </c>
    </row>
    <row r="82">
      <c r="A82">
        <f>Data!A82</f>
        <v/>
      </c>
      <c r="B82" s="8">
        <f>Data!B82</f>
        <v/>
      </c>
      <c r="C82">
        <f>IF(B82&gt;0,COUNTIF($B$2:B82,"&gt;0"),"")</f>
        <v/>
      </c>
      <c r="E82">
        <f>ROW()-1</f>
        <v/>
      </c>
      <c r="F82" s="8">
        <f>IF(E82&lt;=$K$3,INDEX($B$2:$B$121,MATCH(E82,$C$2:$C$121,0)),"")</f>
        <v/>
      </c>
      <c r="G82" s="9">
        <f>IF(F82="","",LN(F82))</f>
        <v/>
      </c>
      <c r="H82" s="9">
        <f>IF(F82="","",LN(GAMMA.DIST(F82,$K$18,$K$19,FALSE)))</f>
        <v/>
      </c>
      <c r="M82">
        <f>ROW()-1</f>
        <v/>
      </c>
      <c r="N82" s="8">
        <f>$Q$2+(M82-1)*$Q$3</f>
        <v/>
      </c>
      <c r="O82" s="11">
        <f>-$K$8*GAMMALN(N82)-$K$8*N82*LN($K$5/N82)+(N82-1)*$K$8*$K$7-$K$8*N82</f>
        <v/>
      </c>
    </row>
    <row r="83">
      <c r="A83">
        <f>Data!A83</f>
        <v/>
      </c>
      <c r="B83" s="8">
        <f>Data!B83</f>
        <v/>
      </c>
      <c r="C83">
        <f>IF(B83&gt;0,COUNTIF($B$2:B83,"&gt;0"),"")</f>
        <v/>
      </c>
      <c r="E83">
        <f>ROW()-1</f>
        <v/>
      </c>
      <c r="F83" s="8">
        <f>IF(E83&lt;=$K$3,INDEX($B$2:$B$121,MATCH(E83,$C$2:$C$121,0)),"")</f>
        <v/>
      </c>
      <c r="G83" s="9">
        <f>IF(F83="","",LN(F83))</f>
        <v/>
      </c>
      <c r="H83" s="9">
        <f>IF(F83="","",LN(GAMMA.DIST(F83,$K$18,$K$19,FALSE)))</f>
        <v/>
      </c>
      <c r="M83">
        <f>ROW()-1</f>
        <v/>
      </c>
      <c r="N83" s="8">
        <f>$Q$2+(M83-1)*$Q$3</f>
        <v/>
      </c>
      <c r="O83" s="11">
        <f>-$K$8*GAMMALN(N83)-$K$8*N83*LN($K$5/N83)+(N83-1)*$K$8*$K$7-$K$8*N83</f>
        <v/>
      </c>
    </row>
    <row r="84">
      <c r="A84">
        <f>Data!A84</f>
        <v/>
      </c>
      <c r="B84" s="8">
        <f>Data!B84</f>
        <v/>
      </c>
      <c r="C84">
        <f>IF(B84&gt;0,COUNTIF($B$2:B84,"&gt;0"),"")</f>
        <v/>
      </c>
      <c r="E84">
        <f>ROW()-1</f>
        <v/>
      </c>
      <c r="F84" s="8">
        <f>IF(E84&lt;=$K$3,INDEX($B$2:$B$121,MATCH(E84,$C$2:$C$121,0)),"")</f>
        <v/>
      </c>
      <c r="G84" s="9">
        <f>IF(F84="","",LN(F84))</f>
        <v/>
      </c>
      <c r="H84" s="9">
        <f>IF(F84="","",LN(GAMMA.DIST(F84,$K$18,$K$19,FALSE)))</f>
        <v/>
      </c>
      <c r="M84">
        <f>ROW()-1</f>
        <v/>
      </c>
      <c r="N84" s="8">
        <f>$Q$2+(M84-1)*$Q$3</f>
        <v/>
      </c>
      <c r="O84" s="11">
        <f>-$K$8*GAMMALN(N84)-$K$8*N84*LN($K$5/N84)+(N84-1)*$K$8*$K$7-$K$8*N84</f>
        <v/>
      </c>
    </row>
    <row r="85">
      <c r="A85">
        <f>Data!A85</f>
        <v/>
      </c>
      <c r="B85" s="8">
        <f>Data!B85</f>
        <v/>
      </c>
      <c r="C85">
        <f>IF(B85&gt;0,COUNTIF($B$2:B85,"&gt;0"),"")</f>
        <v/>
      </c>
      <c r="E85">
        <f>ROW()-1</f>
        <v/>
      </c>
      <c r="F85" s="8">
        <f>IF(E85&lt;=$K$3,INDEX($B$2:$B$121,MATCH(E85,$C$2:$C$121,0)),"")</f>
        <v/>
      </c>
      <c r="G85" s="9">
        <f>IF(F85="","",LN(F85))</f>
        <v/>
      </c>
      <c r="H85" s="9">
        <f>IF(F85="","",LN(GAMMA.DIST(F85,$K$18,$K$19,FALSE)))</f>
        <v/>
      </c>
      <c r="M85">
        <f>ROW()-1</f>
        <v/>
      </c>
      <c r="N85" s="8">
        <f>$Q$2+(M85-1)*$Q$3</f>
        <v/>
      </c>
      <c r="O85" s="11">
        <f>-$K$8*GAMMALN(N85)-$K$8*N85*LN($K$5/N85)+(N85-1)*$K$8*$K$7-$K$8*N85</f>
        <v/>
      </c>
    </row>
    <row r="86">
      <c r="A86">
        <f>Data!A86</f>
        <v/>
      </c>
      <c r="B86" s="8">
        <f>Data!B86</f>
        <v/>
      </c>
      <c r="C86">
        <f>IF(B86&gt;0,COUNTIF($B$2:B86,"&gt;0"),"")</f>
        <v/>
      </c>
      <c r="E86">
        <f>ROW()-1</f>
        <v/>
      </c>
      <c r="F86" s="8">
        <f>IF(E86&lt;=$K$3,INDEX($B$2:$B$121,MATCH(E86,$C$2:$C$121,0)),"")</f>
        <v/>
      </c>
      <c r="G86" s="9">
        <f>IF(F86="","",LN(F86))</f>
        <v/>
      </c>
      <c r="H86" s="9">
        <f>IF(F86="","",LN(GAMMA.DIST(F86,$K$18,$K$19,FALSE)))</f>
        <v/>
      </c>
      <c r="M86">
        <f>ROW()-1</f>
        <v/>
      </c>
      <c r="N86" s="8">
        <f>$Q$2+(M86-1)*$Q$3</f>
        <v/>
      </c>
      <c r="O86" s="11">
        <f>-$K$8*GAMMALN(N86)-$K$8*N86*LN($K$5/N86)+(N86-1)*$K$8*$K$7-$K$8*N86</f>
        <v/>
      </c>
    </row>
    <row r="87">
      <c r="A87">
        <f>Data!A87</f>
        <v/>
      </c>
      <c r="B87" s="8">
        <f>Data!B87</f>
        <v/>
      </c>
      <c r="C87">
        <f>IF(B87&gt;0,COUNTIF($B$2:B87,"&gt;0"),"")</f>
        <v/>
      </c>
      <c r="E87">
        <f>ROW()-1</f>
        <v/>
      </c>
      <c r="F87" s="8">
        <f>IF(E87&lt;=$K$3,INDEX($B$2:$B$121,MATCH(E87,$C$2:$C$121,0)),"")</f>
        <v/>
      </c>
      <c r="G87" s="9">
        <f>IF(F87="","",LN(F87))</f>
        <v/>
      </c>
      <c r="H87" s="9">
        <f>IF(F87="","",LN(GAMMA.DIST(F87,$K$18,$K$19,FALSE)))</f>
        <v/>
      </c>
      <c r="M87">
        <f>ROW()-1</f>
        <v/>
      </c>
      <c r="N87" s="8">
        <f>$Q$2+(M87-1)*$Q$3</f>
        <v/>
      </c>
      <c r="O87" s="11">
        <f>-$K$8*GAMMALN(N87)-$K$8*N87*LN($K$5/N87)+(N87-1)*$K$8*$K$7-$K$8*N87</f>
        <v/>
      </c>
    </row>
    <row r="88">
      <c r="A88">
        <f>Data!A88</f>
        <v/>
      </c>
      <c r="B88" s="8">
        <f>Data!B88</f>
        <v/>
      </c>
      <c r="C88">
        <f>IF(B88&gt;0,COUNTIF($B$2:B88,"&gt;0"),"")</f>
        <v/>
      </c>
      <c r="E88">
        <f>ROW()-1</f>
        <v/>
      </c>
      <c r="F88" s="8">
        <f>IF(E88&lt;=$K$3,INDEX($B$2:$B$121,MATCH(E88,$C$2:$C$121,0)),"")</f>
        <v/>
      </c>
      <c r="G88" s="9">
        <f>IF(F88="","",LN(F88))</f>
        <v/>
      </c>
      <c r="H88" s="9">
        <f>IF(F88="","",LN(GAMMA.DIST(F88,$K$18,$K$19,FALSE)))</f>
        <v/>
      </c>
      <c r="M88">
        <f>ROW()-1</f>
        <v/>
      </c>
      <c r="N88" s="8">
        <f>$Q$2+(M88-1)*$Q$3</f>
        <v/>
      </c>
      <c r="O88" s="11">
        <f>-$K$8*GAMMALN(N88)-$K$8*N88*LN($K$5/N88)+(N88-1)*$K$8*$K$7-$K$8*N88</f>
        <v/>
      </c>
    </row>
    <row r="89">
      <c r="A89">
        <f>Data!A89</f>
        <v/>
      </c>
      <c r="B89" s="8">
        <f>Data!B89</f>
        <v/>
      </c>
      <c r="C89">
        <f>IF(B89&gt;0,COUNTIF($B$2:B89,"&gt;0"),"")</f>
        <v/>
      </c>
      <c r="E89">
        <f>ROW()-1</f>
        <v/>
      </c>
      <c r="F89" s="8">
        <f>IF(E89&lt;=$K$3,INDEX($B$2:$B$121,MATCH(E89,$C$2:$C$121,0)),"")</f>
        <v/>
      </c>
      <c r="G89" s="9">
        <f>IF(F89="","",LN(F89))</f>
        <v/>
      </c>
      <c r="H89" s="9">
        <f>IF(F89="","",LN(GAMMA.DIST(F89,$K$18,$K$19,FALSE)))</f>
        <v/>
      </c>
      <c r="M89">
        <f>ROW()-1</f>
        <v/>
      </c>
      <c r="N89" s="8">
        <f>$Q$2+(M89-1)*$Q$3</f>
        <v/>
      </c>
      <c r="O89" s="11">
        <f>-$K$8*GAMMALN(N89)-$K$8*N89*LN($K$5/N89)+(N89-1)*$K$8*$K$7-$K$8*N89</f>
        <v/>
      </c>
    </row>
    <row r="90">
      <c r="A90">
        <f>Data!A90</f>
        <v/>
      </c>
      <c r="B90" s="8">
        <f>Data!B90</f>
        <v/>
      </c>
      <c r="C90">
        <f>IF(B90&gt;0,COUNTIF($B$2:B90,"&gt;0"),"")</f>
        <v/>
      </c>
      <c r="E90">
        <f>ROW()-1</f>
        <v/>
      </c>
      <c r="F90" s="8">
        <f>IF(E90&lt;=$K$3,INDEX($B$2:$B$121,MATCH(E90,$C$2:$C$121,0)),"")</f>
        <v/>
      </c>
      <c r="G90" s="9">
        <f>IF(F90="","",LN(F90))</f>
        <v/>
      </c>
      <c r="H90" s="9">
        <f>IF(F90="","",LN(GAMMA.DIST(F90,$K$18,$K$19,FALSE)))</f>
        <v/>
      </c>
      <c r="M90">
        <f>ROW()-1</f>
        <v/>
      </c>
      <c r="N90" s="8">
        <f>$Q$2+(M90-1)*$Q$3</f>
        <v/>
      </c>
      <c r="O90" s="11">
        <f>-$K$8*GAMMALN(N90)-$K$8*N90*LN($K$5/N90)+(N90-1)*$K$8*$K$7-$K$8*N90</f>
        <v/>
      </c>
    </row>
    <row r="91">
      <c r="A91">
        <f>Data!A91</f>
        <v/>
      </c>
      <c r="B91" s="8">
        <f>Data!B91</f>
        <v/>
      </c>
      <c r="C91">
        <f>IF(B91&gt;0,COUNTIF($B$2:B91,"&gt;0"),"")</f>
        <v/>
      </c>
      <c r="E91">
        <f>ROW()-1</f>
        <v/>
      </c>
      <c r="F91" s="8">
        <f>IF(E91&lt;=$K$3,INDEX($B$2:$B$121,MATCH(E91,$C$2:$C$121,0)),"")</f>
        <v/>
      </c>
      <c r="G91" s="9">
        <f>IF(F91="","",LN(F91))</f>
        <v/>
      </c>
      <c r="H91" s="9">
        <f>IF(F91="","",LN(GAMMA.DIST(F91,$K$18,$K$19,FALSE)))</f>
        <v/>
      </c>
      <c r="M91">
        <f>ROW()-1</f>
        <v/>
      </c>
      <c r="N91" s="8">
        <f>$Q$2+(M91-1)*$Q$3</f>
        <v/>
      </c>
      <c r="O91" s="11">
        <f>-$K$8*GAMMALN(N91)-$K$8*N91*LN($K$5/N91)+(N91-1)*$K$8*$K$7-$K$8*N91</f>
        <v/>
      </c>
    </row>
    <row r="92">
      <c r="A92">
        <f>Data!A92</f>
        <v/>
      </c>
      <c r="B92" s="8">
        <f>Data!B92</f>
        <v/>
      </c>
      <c r="C92">
        <f>IF(B92&gt;0,COUNTIF($B$2:B92,"&gt;0"),"")</f>
        <v/>
      </c>
      <c r="E92">
        <f>ROW()-1</f>
        <v/>
      </c>
      <c r="F92" s="8">
        <f>IF(E92&lt;=$K$3,INDEX($B$2:$B$121,MATCH(E92,$C$2:$C$121,0)),"")</f>
        <v/>
      </c>
      <c r="G92" s="9">
        <f>IF(F92="","",LN(F92))</f>
        <v/>
      </c>
      <c r="H92" s="9">
        <f>IF(F92="","",LN(GAMMA.DIST(F92,$K$18,$K$19,FALSE)))</f>
        <v/>
      </c>
      <c r="M92">
        <f>ROW()-1</f>
        <v/>
      </c>
      <c r="N92" s="8">
        <f>$Q$2+(M92-1)*$Q$3</f>
        <v/>
      </c>
      <c r="O92" s="11">
        <f>-$K$8*GAMMALN(N92)-$K$8*N92*LN($K$5/N92)+(N92-1)*$K$8*$K$7-$K$8*N92</f>
        <v/>
      </c>
    </row>
    <row r="93">
      <c r="A93">
        <f>Data!A93</f>
        <v/>
      </c>
      <c r="B93" s="8">
        <f>Data!B93</f>
        <v/>
      </c>
      <c r="C93">
        <f>IF(B93&gt;0,COUNTIF($B$2:B93,"&gt;0"),"")</f>
        <v/>
      </c>
      <c r="E93">
        <f>ROW()-1</f>
        <v/>
      </c>
      <c r="F93" s="8">
        <f>IF(E93&lt;=$K$3,INDEX($B$2:$B$121,MATCH(E93,$C$2:$C$121,0)),"")</f>
        <v/>
      </c>
      <c r="G93" s="9">
        <f>IF(F93="","",LN(F93))</f>
        <v/>
      </c>
      <c r="H93" s="9">
        <f>IF(F93="","",LN(GAMMA.DIST(F93,$K$18,$K$19,FALSE)))</f>
        <v/>
      </c>
      <c r="M93">
        <f>ROW()-1</f>
        <v/>
      </c>
      <c r="N93" s="8">
        <f>$Q$2+(M93-1)*$Q$3</f>
        <v/>
      </c>
      <c r="O93" s="11">
        <f>-$K$8*GAMMALN(N93)-$K$8*N93*LN($K$5/N93)+(N93-1)*$K$8*$K$7-$K$8*N93</f>
        <v/>
      </c>
    </row>
    <row r="94">
      <c r="A94">
        <f>Data!A94</f>
        <v/>
      </c>
      <c r="B94" s="8">
        <f>Data!B94</f>
        <v/>
      </c>
      <c r="C94">
        <f>IF(B94&gt;0,COUNTIF($B$2:B94,"&gt;0"),"")</f>
        <v/>
      </c>
      <c r="E94">
        <f>ROW()-1</f>
        <v/>
      </c>
      <c r="F94" s="8">
        <f>IF(E94&lt;=$K$3,INDEX($B$2:$B$121,MATCH(E94,$C$2:$C$121,0)),"")</f>
        <v/>
      </c>
      <c r="G94" s="9">
        <f>IF(F94="","",LN(F94))</f>
        <v/>
      </c>
      <c r="H94" s="9">
        <f>IF(F94="","",LN(GAMMA.DIST(F94,$K$18,$K$19,FALSE)))</f>
        <v/>
      </c>
      <c r="M94">
        <f>ROW()-1</f>
        <v/>
      </c>
      <c r="N94" s="8">
        <f>$Q$2+(M94-1)*$Q$3</f>
        <v/>
      </c>
      <c r="O94" s="11">
        <f>-$K$8*GAMMALN(N94)-$K$8*N94*LN($K$5/N94)+(N94-1)*$K$8*$K$7-$K$8*N94</f>
        <v/>
      </c>
    </row>
    <row r="95">
      <c r="A95">
        <f>Data!A95</f>
        <v/>
      </c>
      <c r="B95" s="8">
        <f>Data!B95</f>
        <v/>
      </c>
      <c r="C95">
        <f>IF(B95&gt;0,COUNTIF($B$2:B95,"&gt;0"),"")</f>
        <v/>
      </c>
      <c r="E95">
        <f>ROW()-1</f>
        <v/>
      </c>
      <c r="F95" s="8">
        <f>IF(E95&lt;=$K$3,INDEX($B$2:$B$121,MATCH(E95,$C$2:$C$121,0)),"")</f>
        <v/>
      </c>
      <c r="G95" s="9">
        <f>IF(F95="","",LN(F95))</f>
        <v/>
      </c>
      <c r="H95" s="9">
        <f>IF(F95="","",LN(GAMMA.DIST(F95,$K$18,$K$19,FALSE)))</f>
        <v/>
      </c>
      <c r="M95">
        <f>ROW()-1</f>
        <v/>
      </c>
      <c r="N95" s="8">
        <f>$Q$2+(M95-1)*$Q$3</f>
        <v/>
      </c>
      <c r="O95" s="11">
        <f>-$K$8*GAMMALN(N95)-$K$8*N95*LN($K$5/N95)+(N95-1)*$K$8*$K$7-$K$8*N95</f>
        <v/>
      </c>
    </row>
    <row r="96">
      <c r="A96">
        <f>Data!A96</f>
        <v/>
      </c>
      <c r="B96" s="8">
        <f>Data!B96</f>
        <v/>
      </c>
      <c r="C96">
        <f>IF(B96&gt;0,COUNTIF($B$2:B96,"&gt;0"),"")</f>
        <v/>
      </c>
      <c r="E96">
        <f>ROW()-1</f>
        <v/>
      </c>
      <c r="F96" s="8">
        <f>IF(E96&lt;=$K$3,INDEX($B$2:$B$121,MATCH(E96,$C$2:$C$121,0)),"")</f>
        <v/>
      </c>
      <c r="G96" s="9">
        <f>IF(F96="","",LN(F96))</f>
        <v/>
      </c>
      <c r="H96" s="9">
        <f>IF(F96="","",LN(GAMMA.DIST(F96,$K$18,$K$19,FALSE)))</f>
        <v/>
      </c>
      <c r="M96">
        <f>ROW()-1</f>
        <v/>
      </c>
      <c r="N96" s="8">
        <f>$Q$2+(M96-1)*$Q$3</f>
        <v/>
      </c>
      <c r="O96" s="11">
        <f>-$K$8*GAMMALN(N96)-$K$8*N96*LN($K$5/N96)+(N96-1)*$K$8*$K$7-$K$8*N96</f>
        <v/>
      </c>
    </row>
    <row r="97">
      <c r="A97">
        <f>Data!A97</f>
        <v/>
      </c>
      <c r="B97" s="8">
        <f>Data!B97</f>
        <v/>
      </c>
      <c r="C97">
        <f>IF(B97&gt;0,COUNTIF($B$2:B97,"&gt;0"),"")</f>
        <v/>
      </c>
      <c r="E97">
        <f>ROW()-1</f>
        <v/>
      </c>
      <c r="F97" s="8">
        <f>IF(E97&lt;=$K$3,INDEX($B$2:$B$121,MATCH(E97,$C$2:$C$121,0)),"")</f>
        <v/>
      </c>
      <c r="G97" s="9">
        <f>IF(F97="","",LN(F97))</f>
        <v/>
      </c>
      <c r="H97" s="9">
        <f>IF(F97="","",LN(GAMMA.DIST(F97,$K$18,$K$19,FALSE)))</f>
        <v/>
      </c>
      <c r="M97">
        <f>ROW()-1</f>
        <v/>
      </c>
      <c r="N97" s="8">
        <f>$Q$2+(M97-1)*$Q$3</f>
        <v/>
      </c>
      <c r="O97" s="11">
        <f>-$K$8*GAMMALN(N97)-$K$8*N97*LN($K$5/N97)+(N97-1)*$K$8*$K$7-$K$8*N97</f>
        <v/>
      </c>
    </row>
    <row r="98">
      <c r="A98">
        <f>Data!A98</f>
        <v/>
      </c>
      <c r="B98" s="8">
        <f>Data!B98</f>
        <v/>
      </c>
      <c r="C98">
        <f>IF(B98&gt;0,COUNTIF($B$2:B98,"&gt;0"),"")</f>
        <v/>
      </c>
      <c r="E98">
        <f>ROW()-1</f>
        <v/>
      </c>
      <c r="F98" s="8">
        <f>IF(E98&lt;=$K$3,INDEX($B$2:$B$121,MATCH(E98,$C$2:$C$121,0)),"")</f>
        <v/>
      </c>
      <c r="G98" s="9">
        <f>IF(F98="","",LN(F98))</f>
        <v/>
      </c>
      <c r="H98" s="9">
        <f>IF(F98="","",LN(GAMMA.DIST(F98,$K$18,$K$19,FALSE)))</f>
        <v/>
      </c>
      <c r="M98">
        <f>ROW()-1</f>
        <v/>
      </c>
      <c r="N98" s="8">
        <f>$Q$2+(M98-1)*$Q$3</f>
        <v/>
      </c>
      <c r="O98" s="11">
        <f>-$K$8*GAMMALN(N98)-$K$8*N98*LN($K$5/N98)+(N98-1)*$K$8*$K$7-$K$8*N98</f>
        <v/>
      </c>
    </row>
    <row r="99">
      <c r="A99">
        <f>Data!A99</f>
        <v/>
      </c>
      <c r="B99" s="8">
        <f>Data!B99</f>
        <v/>
      </c>
      <c r="C99">
        <f>IF(B99&gt;0,COUNTIF($B$2:B99,"&gt;0"),"")</f>
        <v/>
      </c>
      <c r="E99">
        <f>ROW()-1</f>
        <v/>
      </c>
      <c r="F99" s="8">
        <f>IF(E99&lt;=$K$3,INDEX($B$2:$B$121,MATCH(E99,$C$2:$C$121,0)),"")</f>
        <v/>
      </c>
      <c r="G99" s="9">
        <f>IF(F99="","",LN(F99))</f>
        <v/>
      </c>
      <c r="H99" s="9">
        <f>IF(F99="","",LN(GAMMA.DIST(F99,$K$18,$K$19,FALSE)))</f>
        <v/>
      </c>
      <c r="M99">
        <f>ROW()-1</f>
        <v/>
      </c>
      <c r="N99" s="8">
        <f>$Q$2+(M99-1)*$Q$3</f>
        <v/>
      </c>
      <c r="O99" s="11">
        <f>-$K$8*GAMMALN(N99)-$K$8*N99*LN($K$5/N99)+(N99-1)*$K$8*$K$7-$K$8*N99</f>
        <v/>
      </c>
    </row>
    <row r="100">
      <c r="A100">
        <f>Data!A100</f>
        <v/>
      </c>
      <c r="B100" s="8">
        <f>Data!B100</f>
        <v/>
      </c>
      <c r="C100">
        <f>IF(B100&gt;0,COUNTIF($B$2:B100,"&gt;0"),"")</f>
        <v/>
      </c>
      <c r="E100">
        <f>ROW()-1</f>
        <v/>
      </c>
      <c r="F100" s="8">
        <f>IF(E100&lt;=$K$3,INDEX($B$2:$B$121,MATCH(E100,$C$2:$C$121,0)),"")</f>
        <v/>
      </c>
      <c r="G100" s="9">
        <f>IF(F100="","",LN(F100))</f>
        <v/>
      </c>
      <c r="H100" s="9">
        <f>IF(F100="","",LN(GAMMA.DIST(F100,$K$18,$K$19,FALSE)))</f>
        <v/>
      </c>
      <c r="M100">
        <f>ROW()-1</f>
        <v/>
      </c>
      <c r="N100" s="8">
        <f>$Q$2+(M100-1)*$Q$3</f>
        <v/>
      </c>
      <c r="O100" s="11">
        <f>-$K$8*GAMMALN(N100)-$K$8*N100*LN($K$5/N100)+(N100-1)*$K$8*$K$7-$K$8*N100</f>
        <v/>
      </c>
    </row>
    <row r="101">
      <c r="A101">
        <f>Data!A101</f>
        <v/>
      </c>
      <c r="B101" s="8">
        <f>Data!B101</f>
        <v/>
      </c>
      <c r="C101">
        <f>IF(B101&gt;0,COUNTIF($B$2:B101,"&gt;0"),"")</f>
        <v/>
      </c>
      <c r="E101">
        <f>ROW()-1</f>
        <v/>
      </c>
      <c r="F101" s="8">
        <f>IF(E101&lt;=$K$3,INDEX($B$2:$B$121,MATCH(E101,$C$2:$C$121,0)),"")</f>
        <v/>
      </c>
      <c r="G101" s="9">
        <f>IF(F101="","",LN(F101))</f>
        <v/>
      </c>
      <c r="H101" s="9">
        <f>IF(F101="","",LN(GAMMA.DIST(F101,$K$18,$K$19,FALSE)))</f>
        <v/>
      </c>
      <c r="M101">
        <f>ROW()-1</f>
        <v/>
      </c>
      <c r="N101" s="8">
        <f>$Q$2+(M101-1)*$Q$3</f>
        <v/>
      </c>
      <c r="O101" s="11">
        <f>-$K$8*GAMMALN(N101)-$K$8*N101*LN($K$5/N101)+(N101-1)*$K$8*$K$7-$K$8*N101</f>
        <v/>
      </c>
    </row>
    <row r="102">
      <c r="A102">
        <f>Data!A102</f>
        <v/>
      </c>
      <c r="B102" s="8">
        <f>Data!B102</f>
        <v/>
      </c>
      <c r="C102">
        <f>IF(B102&gt;0,COUNTIF($B$2:B102,"&gt;0"),"")</f>
        <v/>
      </c>
      <c r="E102">
        <f>ROW()-1</f>
        <v/>
      </c>
      <c r="F102" s="8">
        <f>IF(E102&lt;=$K$3,INDEX($B$2:$B$121,MATCH(E102,$C$2:$C$121,0)),"")</f>
        <v/>
      </c>
      <c r="G102" s="9">
        <f>IF(F102="","",LN(F102))</f>
        <v/>
      </c>
      <c r="H102" s="9">
        <f>IF(F102="","",LN(GAMMA.DIST(F102,$K$18,$K$19,FALSE)))</f>
        <v/>
      </c>
      <c r="M102">
        <f>ROW()-1</f>
        <v/>
      </c>
      <c r="N102" s="8">
        <f>$Q$2+(M102-1)*$Q$3</f>
        <v/>
      </c>
      <c r="O102" s="11">
        <f>-$K$8*GAMMALN(N102)-$K$8*N102*LN($K$5/N102)+(N102-1)*$K$8*$K$7-$K$8*N102</f>
        <v/>
      </c>
    </row>
    <row r="103">
      <c r="A103">
        <f>Data!A103</f>
        <v/>
      </c>
      <c r="B103" s="8">
        <f>Data!B103</f>
        <v/>
      </c>
      <c r="C103">
        <f>IF(B103&gt;0,COUNTIF($B$2:B103,"&gt;0"),"")</f>
        <v/>
      </c>
      <c r="E103">
        <f>ROW()-1</f>
        <v/>
      </c>
      <c r="F103" s="8">
        <f>IF(E103&lt;=$K$3,INDEX($B$2:$B$121,MATCH(E103,$C$2:$C$121,0)),"")</f>
        <v/>
      </c>
      <c r="G103" s="9">
        <f>IF(F103="","",LN(F103))</f>
        <v/>
      </c>
      <c r="H103" s="9">
        <f>IF(F103="","",LN(GAMMA.DIST(F103,$K$18,$K$19,FALSE)))</f>
        <v/>
      </c>
      <c r="M103">
        <f>ROW()-1</f>
        <v/>
      </c>
      <c r="N103" s="8">
        <f>$Q$2+(M103-1)*$Q$3</f>
        <v/>
      </c>
      <c r="O103" s="11">
        <f>-$K$8*GAMMALN(N103)-$K$8*N103*LN($K$5/N103)+(N103-1)*$K$8*$K$7-$K$8*N103</f>
        <v/>
      </c>
    </row>
    <row r="104">
      <c r="A104">
        <f>Data!A104</f>
        <v/>
      </c>
      <c r="B104" s="8">
        <f>Data!B104</f>
        <v/>
      </c>
      <c r="C104">
        <f>IF(B104&gt;0,COUNTIF($B$2:B104,"&gt;0"),"")</f>
        <v/>
      </c>
      <c r="E104">
        <f>ROW()-1</f>
        <v/>
      </c>
      <c r="F104" s="8">
        <f>IF(E104&lt;=$K$3,INDEX($B$2:$B$121,MATCH(E104,$C$2:$C$121,0)),"")</f>
        <v/>
      </c>
      <c r="G104" s="9">
        <f>IF(F104="","",LN(F104))</f>
        <v/>
      </c>
      <c r="H104" s="9">
        <f>IF(F104="","",LN(GAMMA.DIST(F104,$K$18,$K$19,FALSE)))</f>
        <v/>
      </c>
      <c r="M104">
        <f>ROW()-1</f>
        <v/>
      </c>
      <c r="N104" s="8">
        <f>$Q$2+(M104-1)*$Q$3</f>
        <v/>
      </c>
      <c r="O104" s="11">
        <f>-$K$8*GAMMALN(N104)-$K$8*N104*LN($K$5/N104)+(N104-1)*$K$8*$K$7-$K$8*N104</f>
        <v/>
      </c>
    </row>
    <row r="105">
      <c r="A105">
        <f>Data!A105</f>
        <v/>
      </c>
      <c r="B105" s="8">
        <f>Data!B105</f>
        <v/>
      </c>
      <c r="C105">
        <f>IF(B105&gt;0,COUNTIF($B$2:B105,"&gt;0"),"")</f>
        <v/>
      </c>
      <c r="E105">
        <f>ROW()-1</f>
        <v/>
      </c>
      <c r="F105" s="8">
        <f>IF(E105&lt;=$K$3,INDEX($B$2:$B$121,MATCH(E105,$C$2:$C$121,0)),"")</f>
        <v/>
      </c>
      <c r="G105" s="9">
        <f>IF(F105="","",LN(F105))</f>
        <v/>
      </c>
      <c r="H105" s="9">
        <f>IF(F105="","",LN(GAMMA.DIST(F105,$K$18,$K$19,FALSE)))</f>
        <v/>
      </c>
      <c r="M105">
        <f>ROW()-1</f>
        <v/>
      </c>
      <c r="N105" s="8">
        <f>$Q$2+(M105-1)*$Q$3</f>
        <v/>
      </c>
      <c r="O105" s="11">
        <f>-$K$8*GAMMALN(N105)-$K$8*N105*LN($K$5/N105)+(N105-1)*$K$8*$K$7-$K$8*N105</f>
        <v/>
      </c>
    </row>
    <row r="106">
      <c r="A106">
        <f>Data!A106</f>
        <v/>
      </c>
      <c r="B106" s="8">
        <f>Data!B106</f>
        <v/>
      </c>
      <c r="C106">
        <f>IF(B106&gt;0,COUNTIF($B$2:B106,"&gt;0"),"")</f>
        <v/>
      </c>
      <c r="E106">
        <f>ROW()-1</f>
        <v/>
      </c>
      <c r="F106" s="8">
        <f>IF(E106&lt;=$K$3,INDEX($B$2:$B$121,MATCH(E106,$C$2:$C$121,0)),"")</f>
        <v/>
      </c>
      <c r="G106" s="9">
        <f>IF(F106="","",LN(F106))</f>
        <v/>
      </c>
      <c r="H106" s="9">
        <f>IF(F106="","",LN(GAMMA.DIST(F106,$K$18,$K$19,FALSE)))</f>
        <v/>
      </c>
      <c r="M106">
        <f>ROW()-1</f>
        <v/>
      </c>
      <c r="N106" s="8">
        <f>$Q$2+(M106-1)*$Q$3</f>
        <v/>
      </c>
      <c r="O106" s="11">
        <f>-$K$8*GAMMALN(N106)-$K$8*N106*LN($K$5/N106)+(N106-1)*$K$8*$K$7-$K$8*N106</f>
        <v/>
      </c>
    </row>
    <row r="107">
      <c r="A107">
        <f>Data!A107</f>
        <v/>
      </c>
      <c r="B107" s="8">
        <f>Data!B107</f>
        <v/>
      </c>
      <c r="C107">
        <f>IF(B107&gt;0,COUNTIF($B$2:B107,"&gt;0"),"")</f>
        <v/>
      </c>
      <c r="E107">
        <f>ROW()-1</f>
        <v/>
      </c>
      <c r="F107" s="8">
        <f>IF(E107&lt;=$K$3,INDEX($B$2:$B$121,MATCH(E107,$C$2:$C$121,0)),"")</f>
        <v/>
      </c>
      <c r="G107" s="9">
        <f>IF(F107="","",LN(F107))</f>
        <v/>
      </c>
      <c r="H107" s="9">
        <f>IF(F107="","",LN(GAMMA.DIST(F107,$K$18,$K$19,FALSE)))</f>
        <v/>
      </c>
      <c r="M107">
        <f>ROW()-1</f>
        <v/>
      </c>
      <c r="N107" s="8">
        <f>$Q$2+(M107-1)*$Q$3</f>
        <v/>
      </c>
      <c r="O107" s="11">
        <f>-$K$8*GAMMALN(N107)-$K$8*N107*LN($K$5/N107)+(N107-1)*$K$8*$K$7-$K$8*N107</f>
        <v/>
      </c>
    </row>
    <row r="108">
      <c r="A108">
        <f>Data!A108</f>
        <v/>
      </c>
      <c r="B108" s="8">
        <f>Data!B108</f>
        <v/>
      </c>
      <c r="C108">
        <f>IF(B108&gt;0,COUNTIF($B$2:B108,"&gt;0"),"")</f>
        <v/>
      </c>
      <c r="E108">
        <f>ROW()-1</f>
        <v/>
      </c>
      <c r="F108" s="8">
        <f>IF(E108&lt;=$K$3,INDEX($B$2:$B$121,MATCH(E108,$C$2:$C$121,0)),"")</f>
        <v/>
      </c>
      <c r="G108" s="9">
        <f>IF(F108="","",LN(F108))</f>
        <v/>
      </c>
      <c r="H108" s="9">
        <f>IF(F108="","",LN(GAMMA.DIST(F108,$K$18,$K$19,FALSE)))</f>
        <v/>
      </c>
      <c r="M108">
        <f>ROW()-1</f>
        <v/>
      </c>
      <c r="N108" s="8">
        <f>$Q$2+(M108-1)*$Q$3</f>
        <v/>
      </c>
      <c r="O108" s="11">
        <f>-$K$8*GAMMALN(N108)-$K$8*N108*LN($K$5/N108)+(N108-1)*$K$8*$K$7-$K$8*N108</f>
        <v/>
      </c>
    </row>
    <row r="109">
      <c r="A109">
        <f>Data!A109</f>
        <v/>
      </c>
      <c r="B109" s="8">
        <f>Data!B109</f>
        <v/>
      </c>
      <c r="C109">
        <f>IF(B109&gt;0,COUNTIF($B$2:B109,"&gt;0"),"")</f>
        <v/>
      </c>
      <c r="E109">
        <f>ROW()-1</f>
        <v/>
      </c>
      <c r="F109" s="8">
        <f>IF(E109&lt;=$K$3,INDEX($B$2:$B$121,MATCH(E109,$C$2:$C$121,0)),"")</f>
        <v/>
      </c>
      <c r="G109" s="9">
        <f>IF(F109="","",LN(F109))</f>
        <v/>
      </c>
      <c r="H109" s="9">
        <f>IF(F109="","",LN(GAMMA.DIST(F109,$K$18,$K$19,FALSE)))</f>
        <v/>
      </c>
      <c r="M109">
        <f>ROW()-1</f>
        <v/>
      </c>
      <c r="N109" s="8">
        <f>$Q$2+(M109-1)*$Q$3</f>
        <v/>
      </c>
      <c r="O109" s="11">
        <f>-$K$8*GAMMALN(N109)-$K$8*N109*LN($K$5/N109)+(N109-1)*$K$8*$K$7-$K$8*N109</f>
        <v/>
      </c>
    </row>
    <row r="110">
      <c r="A110">
        <f>Data!A110</f>
        <v/>
      </c>
      <c r="B110" s="8">
        <f>Data!B110</f>
        <v/>
      </c>
      <c r="C110">
        <f>IF(B110&gt;0,COUNTIF($B$2:B110,"&gt;0"),"")</f>
        <v/>
      </c>
      <c r="E110">
        <f>ROW()-1</f>
        <v/>
      </c>
      <c r="F110" s="8">
        <f>IF(E110&lt;=$K$3,INDEX($B$2:$B$121,MATCH(E110,$C$2:$C$121,0)),"")</f>
        <v/>
      </c>
      <c r="G110" s="9">
        <f>IF(F110="","",LN(F110))</f>
        <v/>
      </c>
      <c r="H110" s="9">
        <f>IF(F110="","",LN(GAMMA.DIST(F110,$K$18,$K$19,FALSE)))</f>
        <v/>
      </c>
      <c r="M110">
        <f>ROW()-1</f>
        <v/>
      </c>
      <c r="N110" s="8">
        <f>$Q$2+(M110-1)*$Q$3</f>
        <v/>
      </c>
      <c r="O110" s="11">
        <f>-$K$8*GAMMALN(N110)-$K$8*N110*LN($K$5/N110)+(N110-1)*$K$8*$K$7-$K$8*N110</f>
        <v/>
      </c>
    </row>
    <row r="111">
      <c r="A111">
        <f>Data!A111</f>
        <v/>
      </c>
      <c r="B111" s="8">
        <f>Data!B111</f>
        <v/>
      </c>
      <c r="C111">
        <f>IF(B111&gt;0,COUNTIF($B$2:B111,"&gt;0"),"")</f>
        <v/>
      </c>
      <c r="E111">
        <f>ROW()-1</f>
        <v/>
      </c>
      <c r="F111" s="8">
        <f>IF(E111&lt;=$K$3,INDEX($B$2:$B$121,MATCH(E111,$C$2:$C$121,0)),"")</f>
        <v/>
      </c>
      <c r="G111" s="9">
        <f>IF(F111="","",LN(F111))</f>
        <v/>
      </c>
      <c r="H111" s="9">
        <f>IF(F111="","",LN(GAMMA.DIST(F111,$K$18,$K$19,FALSE)))</f>
        <v/>
      </c>
      <c r="M111">
        <f>ROW()-1</f>
        <v/>
      </c>
      <c r="N111" s="8">
        <f>$Q$2+(M111-1)*$Q$3</f>
        <v/>
      </c>
      <c r="O111" s="11">
        <f>-$K$8*GAMMALN(N111)-$K$8*N111*LN($K$5/N111)+(N111-1)*$K$8*$K$7-$K$8*N111</f>
        <v/>
      </c>
    </row>
    <row r="112">
      <c r="A112">
        <f>Data!A112</f>
        <v/>
      </c>
      <c r="B112" s="8">
        <f>Data!B112</f>
        <v/>
      </c>
      <c r="C112">
        <f>IF(B112&gt;0,COUNTIF($B$2:B112,"&gt;0"),"")</f>
        <v/>
      </c>
      <c r="E112">
        <f>ROW()-1</f>
        <v/>
      </c>
      <c r="F112" s="8">
        <f>IF(E112&lt;=$K$3,INDEX($B$2:$B$121,MATCH(E112,$C$2:$C$121,0)),"")</f>
        <v/>
      </c>
      <c r="G112" s="9">
        <f>IF(F112="","",LN(F112))</f>
        <v/>
      </c>
      <c r="H112" s="9">
        <f>IF(F112="","",LN(GAMMA.DIST(F112,$K$18,$K$19,FALSE)))</f>
        <v/>
      </c>
      <c r="M112">
        <f>ROW()-1</f>
        <v/>
      </c>
      <c r="N112" s="8">
        <f>$Q$2+(M112-1)*$Q$3</f>
        <v/>
      </c>
      <c r="O112" s="11">
        <f>-$K$8*GAMMALN(N112)-$K$8*N112*LN($K$5/N112)+(N112-1)*$K$8*$K$7-$K$8*N112</f>
        <v/>
      </c>
    </row>
    <row r="113">
      <c r="A113">
        <f>Data!A113</f>
        <v/>
      </c>
      <c r="B113" s="8">
        <f>Data!B113</f>
        <v/>
      </c>
      <c r="C113">
        <f>IF(B113&gt;0,COUNTIF($B$2:B113,"&gt;0"),"")</f>
        <v/>
      </c>
      <c r="E113">
        <f>ROW()-1</f>
        <v/>
      </c>
      <c r="F113" s="8">
        <f>IF(E113&lt;=$K$3,INDEX($B$2:$B$121,MATCH(E113,$C$2:$C$121,0)),"")</f>
        <v/>
      </c>
      <c r="G113" s="9">
        <f>IF(F113="","",LN(F113))</f>
        <v/>
      </c>
      <c r="H113" s="9">
        <f>IF(F113="","",LN(GAMMA.DIST(F113,$K$18,$K$19,FALSE)))</f>
        <v/>
      </c>
      <c r="M113">
        <f>ROW()-1</f>
        <v/>
      </c>
      <c r="N113" s="8">
        <f>$Q$2+(M113-1)*$Q$3</f>
        <v/>
      </c>
      <c r="O113" s="11">
        <f>-$K$8*GAMMALN(N113)-$K$8*N113*LN($K$5/N113)+(N113-1)*$K$8*$K$7-$K$8*N113</f>
        <v/>
      </c>
    </row>
    <row r="114">
      <c r="A114">
        <f>Data!A114</f>
        <v/>
      </c>
      <c r="B114" s="8">
        <f>Data!B114</f>
        <v/>
      </c>
      <c r="C114">
        <f>IF(B114&gt;0,COUNTIF($B$2:B114,"&gt;0"),"")</f>
        <v/>
      </c>
      <c r="E114">
        <f>ROW()-1</f>
        <v/>
      </c>
      <c r="F114" s="8">
        <f>IF(E114&lt;=$K$3,INDEX($B$2:$B$121,MATCH(E114,$C$2:$C$121,0)),"")</f>
        <v/>
      </c>
      <c r="G114" s="9">
        <f>IF(F114="","",LN(F114))</f>
        <v/>
      </c>
      <c r="H114" s="9">
        <f>IF(F114="","",LN(GAMMA.DIST(F114,$K$18,$K$19,FALSE)))</f>
        <v/>
      </c>
      <c r="M114">
        <f>ROW()-1</f>
        <v/>
      </c>
      <c r="N114" s="8">
        <f>$Q$2+(M114-1)*$Q$3</f>
        <v/>
      </c>
      <c r="O114" s="11">
        <f>-$K$8*GAMMALN(N114)-$K$8*N114*LN($K$5/N114)+(N114-1)*$K$8*$K$7-$K$8*N114</f>
        <v/>
      </c>
    </row>
    <row r="115">
      <c r="A115">
        <f>Data!A115</f>
        <v/>
      </c>
      <c r="B115" s="8">
        <f>Data!B115</f>
        <v/>
      </c>
      <c r="C115">
        <f>IF(B115&gt;0,COUNTIF($B$2:B115,"&gt;0"),"")</f>
        <v/>
      </c>
      <c r="E115">
        <f>ROW()-1</f>
        <v/>
      </c>
      <c r="F115" s="8">
        <f>IF(E115&lt;=$K$3,INDEX($B$2:$B$121,MATCH(E115,$C$2:$C$121,0)),"")</f>
        <v/>
      </c>
      <c r="G115" s="9">
        <f>IF(F115="","",LN(F115))</f>
        <v/>
      </c>
      <c r="H115" s="9">
        <f>IF(F115="","",LN(GAMMA.DIST(F115,$K$18,$K$19,FALSE)))</f>
        <v/>
      </c>
      <c r="M115">
        <f>ROW()-1</f>
        <v/>
      </c>
      <c r="N115" s="8">
        <f>$Q$2+(M115-1)*$Q$3</f>
        <v/>
      </c>
      <c r="O115" s="11">
        <f>-$K$8*GAMMALN(N115)-$K$8*N115*LN($K$5/N115)+(N115-1)*$K$8*$K$7-$K$8*N115</f>
        <v/>
      </c>
    </row>
    <row r="116">
      <c r="A116">
        <f>Data!A116</f>
        <v/>
      </c>
      <c r="B116" s="8">
        <f>Data!B116</f>
        <v/>
      </c>
      <c r="C116">
        <f>IF(B116&gt;0,COUNTIF($B$2:B116,"&gt;0"),"")</f>
        <v/>
      </c>
      <c r="E116">
        <f>ROW()-1</f>
        <v/>
      </c>
      <c r="F116" s="8">
        <f>IF(E116&lt;=$K$3,INDEX($B$2:$B$121,MATCH(E116,$C$2:$C$121,0)),"")</f>
        <v/>
      </c>
      <c r="G116" s="9">
        <f>IF(F116="","",LN(F116))</f>
        <v/>
      </c>
      <c r="H116" s="9">
        <f>IF(F116="","",LN(GAMMA.DIST(F116,$K$18,$K$19,FALSE)))</f>
        <v/>
      </c>
      <c r="M116">
        <f>ROW()-1</f>
        <v/>
      </c>
      <c r="N116" s="8">
        <f>$Q$2+(M116-1)*$Q$3</f>
        <v/>
      </c>
      <c r="O116" s="11">
        <f>-$K$8*GAMMALN(N116)-$K$8*N116*LN($K$5/N116)+(N116-1)*$K$8*$K$7-$K$8*N116</f>
        <v/>
      </c>
    </row>
    <row r="117">
      <c r="A117">
        <f>Data!A117</f>
        <v/>
      </c>
      <c r="B117" s="8">
        <f>Data!B117</f>
        <v/>
      </c>
      <c r="C117">
        <f>IF(B117&gt;0,COUNTIF($B$2:B117,"&gt;0"),"")</f>
        <v/>
      </c>
      <c r="E117">
        <f>ROW()-1</f>
        <v/>
      </c>
      <c r="F117" s="8">
        <f>IF(E117&lt;=$K$3,INDEX($B$2:$B$121,MATCH(E117,$C$2:$C$121,0)),"")</f>
        <v/>
      </c>
      <c r="G117" s="9">
        <f>IF(F117="","",LN(F117))</f>
        <v/>
      </c>
      <c r="H117" s="9">
        <f>IF(F117="","",LN(GAMMA.DIST(F117,$K$18,$K$19,FALSE)))</f>
        <v/>
      </c>
      <c r="M117">
        <f>ROW()-1</f>
        <v/>
      </c>
      <c r="N117" s="8">
        <f>$Q$2+(M117-1)*$Q$3</f>
        <v/>
      </c>
      <c r="O117" s="11">
        <f>-$K$8*GAMMALN(N117)-$K$8*N117*LN($K$5/N117)+(N117-1)*$K$8*$K$7-$K$8*N117</f>
        <v/>
      </c>
    </row>
    <row r="118">
      <c r="A118">
        <f>Data!A118</f>
        <v/>
      </c>
      <c r="B118" s="8">
        <f>Data!B118</f>
        <v/>
      </c>
      <c r="C118">
        <f>IF(B118&gt;0,COUNTIF($B$2:B118,"&gt;0"),"")</f>
        <v/>
      </c>
      <c r="E118">
        <f>ROW()-1</f>
        <v/>
      </c>
      <c r="F118" s="8">
        <f>IF(E118&lt;=$K$3,INDEX($B$2:$B$121,MATCH(E118,$C$2:$C$121,0)),"")</f>
        <v/>
      </c>
      <c r="G118" s="9">
        <f>IF(F118="","",LN(F118))</f>
        <v/>
      </c>
      <c r="H118" s="9">
        <f>IF(F118="","",LN(GAMMA.DIST(F118,$K$18,$K$19,FALSE)))</f>
        <v/>
      </c>
      <c r="M118">
        <f>ROW()-1</f>
        <v/>
      </c>
      <c r="N118" s="8">
        <f>$Q$2+(M118-1)*$Q$3</f>
        <v/>
      </c>
      <c r="O118" s="11">
        <f>-$K$8*GAMMALN(N118)-$K$8*N118*LN($K$5/N118)+(N118-1)*$K$8*$K$7-$K$8*N118</f>
        <v/>
      </c>
    </row>
    <row r="119">
      <c r="A119">
        <f>Data!A119</f>
        <v/>
      </c>
      <c r="B119" s="8">
        <f>Data!B119</f>
        <v/>
      </c>
      <c r="C119">
        <f>IF(B119&gt;0,COUNTIF($B$2:B119,"&gt;0"),"")</f>
        <v/>
      </c>
      <c r="E119">
        <f>ROW()-1</f>
        <v/>
      </c>
      <c r="F119" s="8">
        <f>IF(E119&lt;=$K$3,INDEX($B$2:$B$121,MATCH(E119,$C$2:$C$121,0)),"")</f>
        <v/>
      </c>
      <c r="G119" s="9">
        <f>IF(F119="","",LN(F119))</f>
        <v/>
      </c>
      <c r="H119" s="9">
        <f>IF(F119="","",LN(GAMMA.DIST(F119,$K$18,$K$19,FALSE)))</f>
        <v/>
      </c>
      <c r="M119">
        <f>ROW()-1</f>
        <v/>
      </c>
      <c r="N119" s="8">
        <f>$Q$2+(M119-1)*$Q$3</f>
        <v/>
      </c>
      <c r="O119" s="11">
        <f>-$K$8*GAMMALN(N119)-$K$8*N119*LN($K$5/N119)+(N119-1)*$K$8*$K$7-$K$8*N119</f>
        <v/>
      </c>
    </row>
    <row r="120">
      <c r="A120">
        <f>Data!A120</f>
        <v/>
      </c>
      <c r="B120" s="8">
        <f>Data!B120</f>
        <v/>
      </c>
      <c r="C120">
        <f>IF(B120&gt;0,COUNTIF($B$2:B120,"&gt;0"),"")</f>
        <v/>
      </c>
      <c r="E120">
        <f>ROW()-1</f>
        <v/>
      </c>
      <c r="F120" s="8">
        <f>IF(E120&lt;=$K$3,INDEX($B$2:$B$121,MATCH(E120,$C$2:$C$121,0)),"")</f>
        <v/>
      </c>
      <c r="G120" s="9">
        <f>IF(F120="","",LN(F120))</f>
        <v/>
      </c>
      <c r="H120" s="9">
        <f>IF(F120="","",LN(GAMMA.DIST(F120,$K$18,$K$19,FALSE)))</f>
        <v/>
      </c>
      <c r="M120">
        <f>ROW()-1</f>
        <v/>
      </c>
      <c r="N120" s="8">
        <f>$Q$2+(M120-1)*$Q$3</f>
        <v/>
      </c>
      <c r="O120" s="11">
        <f>-$K$8*GAMMALN(N120)-$K$8*N120*LN($K$5/N120)+(N120-1)*$K$8*$K$7-$K$8*N120</f>
        <v/>
      </c>
    </row>
    <row r="121">
      <c r="A121">
        <f>Data!A121</f>
        <v/>
      </c>
      <c r="B121" s="8">
        <f>Data!B121</f>
        <v/>
      </c>
      <c r="C121">
        <f>IF(B121&gt;0,COUNTIF($B$2:B121,"&gt;0"),"")</f>
        <v/>
      </c>
      <c r="E121">
        <f>ROW()-1</f>
        <v/>
      </c>
      <c r="F121" s="8">
        <f>IF(E121&lt;=$K$3,INDEX($B$2:$B$121,MATCH(E121,$C$2:$C$121,0)),"")</f>
        <v/>
      </c>
      <c r="G121" s="9">
        <f>IF(F121="","",LN(F121))</f>
        <v/>
      </c>
      <c r="H121" s="9">
        <f>IF(F121="","",LN(GAMMA.DIST(F121,$K$18,$K$19,FALSE)))</f>
        <v/>
      </c>
      <c r="M121">
        <f>ROW()-1</f>
        <v/>
      </c>
      <c r="N121" s="8">
        <f>$Q$2+(M121-1)*$Q$3</f>
        <v/>
      </c>
      <c r="O121" s="11">
        <f>-$K$8*GAMMALN(N121)-$K$8*N121*LN($K$5/N121)+(N121-1)*$K$8*$K$7-$K$8*N121</f>
        <v/>
      </c>
    </row>
    <row r="122">
      <c r="M122">
        <f>ROW()-1</f>
        <v/>
      </c>
      <c r="N122" s="8">
        <f>$Q$2+(M122-1)*$Q$3</f>
        <v/>
      </c>
      <c r="O122" s="11">
        <f>-$K$8*GAMMALN(N122)-$K$8*N122*LN($K$5/N122)+(N122-1)*$K$8*$K$7-$K$8*N122</f>
        <v/>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O69"/>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2" customWidth="1" min="3" max="3"/>
    <col width="9" customWidth="1" min="4" max="4"/>
    <col width="11" customWidth="1" min="5" max="5"/>
    <col width="11" customWidth="1" min="6" max="6"/>
    <col width="12" customWidth="1" min="7" max="7"/>
    <col width="9" customWidth="1" min="8" max="8"/>
    <col width="9" customWidth="1" min="9" max="9"/>
    <col width="9" customWidth="1" min="10" max="10"/>
    <col width="13" customWidth="1" min="11" max="11"/>
    <col width="13" customWidth="1" min="12" max="12"/>
    <col width="12" customWidth="1" min="13" max="13"/>
    <col width="44" customWidth="1" min="14" max="14"/>
    <col width="10" customWidth="1" min="15" max="15"/>
  </cols>
  <sheetData>
    <row r="1">
      <c r="A1" s="3" t="inlineStr">
        <is>
          <t>i</t>
        </is>
      </c>
      <c r="B1" s="3" t="inlineStr">
        <is>
          <t>sorted x_(i) (mm)</t>
        </is>
      </c>
      <c r="C1" s="3" t="inlineStr">
        <is>
          <t>plotting position i/(n+1)</t>
        </is>
      </c>
      <c r="D1" s="3" t="inlineStr">
        <is>
          <t>ECDF i/n</t>
        </is>
      </c>
      <c r="E1" s="3" t="inlineStr">
        <is>
          <t>F gamma MoM</t>
        </is>
      </c>
      <c r="F1" s="3" t="inlineStr">
        <is>
          <t>F gamma MLE</t>
        </is>
      </c>
      <c r="G1" s="3" t="inlineStr">
        <is>
          <t>F exponential</t>
        </is>
      </c>
      <c r="H1" s="3" t="inlineStr">
        <is>
          <t>KS term MoM</t>
        </is>
      </c>
      <c r="I1" s="3" t="inlineStr">
        <is>
          <t>KS term MLE</t>
        </is>
      </c>
      <c r="J1" s="3" t="inlineStr">
        <is>
          <t>KS term exp</t>
        </is>
      </c>
      <c r="K1" s="3" t="inlineStr">
        <is>
          <t>QQ gamma MLE quantile</t>
        </is>
      </c>
      <c r="L1" s="3" t="inlineStr">
        <is>
          <t>QQ exponential quantile</t>
        </is>
      </c>
      <c r="M1" s="3" t="inlineStr">
        <is>
          <t>PERCENTRANK.INC</t>
        </is>
      </c>
      <c r="N1" s="7" t="inlineStr">
        <is>
          <t>Summary</t>
        </is>
      </c>
    </row>
    <row r="2">
      <c r="A2">
        <f>ROW()-1</f>
        <v/>
      </c>
      <c r="B2" s="8">
        <f>SMALL(Gamma_fit!$F$2:$F$121,A2)</f>
        <v/>
      </c>
      <c r="C2" s="9">
        <f>A2/($O$2+1)</f>
        <v/>
      </c>
      <c r="D2" s="9">
        <f>A2/$O$2</f>
        <v/>
      </c>
      <c r="E2" s="9">
        <f>GAMMA.DIST(B2,Gamma_fit!$K$13,Gamma_fit!$K$14,TRUE)</f>
        <v/>
      </c>
      <c r="F2" s="9">
        <f>GAMMA.DIST(B2,Gamma_fit!$K$18,Gamma_fit!$K$19,TRUE)</f>
        <v/>
      </c>
      <c r="G2" s="9">
        <f>1-EXP(-B2/Gamma_fit!$K$10)</f>
        <v/>
      </c>
      <c r="H2" s="9">
        <f>MAX(A2/$O$2-E2,E2-(A2-1)/$O$2)</f>
        <v/>
      </c>
      <c r="I2" s="9">
        <f>MAX(A2/$O$2-F2,F2-(A2-1)/$O$2)</f>
        <v/>
      </c>
      <c r="J2" s="9">
        <f>MAX(A2/$O$2-G2,G2-(A2-1)/$O$2)</f>
        <v/>
      </c>
      <c r="K2" s="8">
        <f>GAMMA.INV(C2,Gamma_fit!$K$18,Gamma_fit!$K$19)</f>
        <v/>
      </c>
      <c r="L2" s="8">
        <f>-Gamma_fit!$K$10*LN(1-C2)</f>
        <v/>
      </c>
      <c r="M2" s="9">
        <f>PERCENTRANK.INC($B$2:$B$69,B2,6)</f>
        <v/>
      </c>
      <c r="N2" t="inlineStr">
        <is>
          <t>n wet days</t>
        </is>
      </c>
      <c r="O2" s="10">
        <f>Gamma_fit!K8</f>
        <v/>
      </c>
    </row>
    <row r="3">
      <c r="A3">
        <f>ROW()-1</f>
        <v/>
      </c>
      <c r="B3" s="8">
        <f>SMALL(Gamma_fit!$F$2:$F$121,A3)</f>
        <v/>
      </c>
      <c r="C3" s="9">
        <f>A3/($O$2+1)</f>
        <v/>
      </c>
      <c r="D3" s="9">
        <f>A3/$O$2</f>
        <v/>
      </c>
      <c r="E3" s="9">
        <f>GAMMA.DIST(B3,Gamma_fit!$K$13,Gamma_fit!$K$14,TRUE)</f>
        <v/>
      </c>
      <c r="F3" s="9">
        <f>GAMMA.DIST(B3,Gamma_fit!$K$18,Gamma_fit!$K$19,TRUE)</f>
        <v/>
      </c>
      <c r="G3" s="9">
        <f>1-EXP(-B3/Gamma_fit!$K$10)</f>
        <v/>
      </c>
      <c r="H3" s="9">
        <f>MAX(A3/$O$2-E3,E3-(A3-1)/$O$2)</f>
        <v/>
      </c>
      <c r="I3" s="9">
        <f>MAX(A3/$O$2-F3,F3-(A3-1)/$O$2)</f>
        <v/>
      </c>
      <c r="J3" s="9">
        <f>MAX(A3/$O$2-G3,G3-(A3-1)/$O$2)</f>
        <v/>
      </c>
      <c r="K3" s="8">
        <f>GAMMA.INV(C3,Gamma_fit!$K$18,Gamma_fit!$K$19)</f>
        <v/>
      </c>
      <c r="L3" s="8">
        <f>-Gamma_fit!$K$10*LN(1-C3)</f>
        <v/>
      </c>
      <c r="M3" s="9">
        <f>PERCENTRANK.INC($B$2:$B$69,B3,6)</f>
        <v/>
      </c>
      <c r="N3" t="inlineStr">
        <is>
          <t>KS distance D, gamma MoM</t>
        </is>
      </c>
      <c r="O3" s="9">
        <f>MAX(H2:H69)</f>
        <v/>
      </c>
    </row>
    <row r="4">
      <c r="A4">
        <f>ROW()-1</f>
        <v/>
      </c>
      <c r="B4" s="8">
        <f>SMALL(Gamma_fit!$F$2:$F$121,A4)</f>
        <v/>
      </c>
      <c r="C4" s="9">
        <f>A4/($O$2+1)</f>
        <v/>
      </c>
      <c r="D4" s="9">
        <f>A4/$O$2</f>
        <v/>
      </c>
      <c r="E4" s="9">
        <f>GAMMA.DIST(B4,Gamma_fit!$K$13,Gamma_fit!$K$14,TRUE)</f>
        <v/>
      </c>
      <c r="F4" s="9">
        <f>GAMMA.DIST(B4,Gamma_fit!$K$18,Gamma_fit!$K$19,TRUE)</f>
        <v/>
      </c>
      <c r="G4" s="9">
        <f>1-EXP(-B4/Gamma_fit!$K$10)</f>
        <v/>
      </c>
      <c r="H4" s="9">
        <f>MAX(A4/$O$2-E4,E4-(A4-1)/$O$2)</f>
        <v/>
      </c>
      <c r="I4" s="9">
        <f>MAX(A4/$O$2-F4,F4-(A4-1)/$O$2)</f>
        <v/>
      </c>
      <c r="J4" s="9">
        <f>MAX(A4/$O$2-G4,G4-(A4-1)/$O$2)</f>
        <v/>
      </c>
      <c r="K4" s="8">
        <f>GAMMA.INV(C4,Gamma_fit!$K$18,Gamma_fit!$K$19)</f>
        <v/>
      </c>
      <c r="L4" s="8">
        <f>-Gamma_fit!$K$10*LN(1-C4)</f>
        <v/>
      </c>
      <c r="M4" s="9">
        <f>PERCENTRANK.INC($B$2:$B$69,B4,6)</f>
        <v/>
      </c>
      <c r="N4" t="inlineStr">
        <is>
          <t>KS distance D, gamma MLE</t>
        </is>
      </c>
      <c r="O4" s="9">
        <f>MAX(I2:I69)</f>
        <v/>
      </c>
    </row>
    <row r="5">
      <c r="A5">
        <f>ROW()-1</f>
        <v/>
      </c>
      <c r="B5" s="8">
        <f>SMALL(Gamma_fit!$F$2:$F$121,A5)</f>
        <v/>
      </c>
      <c r="C5" s="9">
        <f>A5/($O$2+1)</f>
        <v/>
      </c>
      <c r="D5" s="9">
        <f>A5/$O$2</f>
        <v/>
      </c>
      <c r="E5" s="9">
        <f>GAMMA.DIST(B5,Gamma_fit!$K$13,Gamma_fit!$K$14,TRUE)</f>
        <v/>
      </c>
      <c r="F5" s="9">
        <f>GAMMA.DIST(B5,Gamma_fit!$K$18,Gamma_fit!$K$19,TRUE)</f>
        <v/>
      </c>
      <c r="G5" s="9">
        <f>1-EXP(-B5/Gamma_fit!$K$10)</f>
        <v/>
      </c>
      <c r="H5" s="9">
        <f>MAX(A5/$O$2-E5,E5-(A5-1)/$O$2)</f>
        <v/>
      </c>
      <c r="I5" s="9">
        <f>MAX(A5/$O$2-F5,F5-(A5-1)/$O$2)</f>
        <v/>
      </c>
      <c r="J5" s="9">
        <f>MAX(A5/$O$2-G5,G5-(A5-1)/$O$2)</f>
        <v/>
      </c>
      <c r="K5" s="8">
        <f>GAMMA.INV(C5,Gamma_fit!$K$18,Gamma_fit!$K$19)</f>
        <v/>
      </c>
      <c r="L5" s="8">
        <f>-Gamma_fit!$K$10*LN(1-C5)</f>
        <v/>
      </c>
      <c r="M5" s="9">
        <f>PERCENTRANK.INC($B$2:$B$69,B5,6)</f>
        <v/>
      </c>
      <c r="N5" t="inlineStr">
        <is>
          <t>KS distance D, exponential</t>
        </is>
      </c>
      <c r="O5" s="9">
        <f>MAX(J2:J69)</f>
        <v/>
      </c>
    </row>
    <row r="6">
      <c r="A6">
        <f>ROW()-1</f>
        <v/>
      </c>
      <c r="B6" s="8">
        <f>SMALL(Gamma_fit!$F$2:$F$121,A6)</f>
        <v/>
      </c>
      <c r="C6" s="9">
        <f>A6/($O$2+1)</f>
        <v/>
      </c>
      <c r="D6" s="9">
        <f>A6/$O$2</f>
        <v/>
      </c>
      <c r="E6" s="9">
        <f>GAMMA.DIST(B6,Gamma_fit!$K$13,Gamma_fit!$K$14,TRUE)</f>
        <v/>
      </c>
      <c r="F6" s="9">
        <f>GAMMA.DIST(B6,Gamma_fit!$K$18,Gamma_fit!$K$19,TRUE)</f>
        <v/>
      </c>
      <c r="G6" s="9">
        <f>1-EXP(-B6/Gamma_fit!$K$10)</f>
        <v/>
      </c>
      <c r="H6" s="9">
        <f>MAX(A6/$O$2-E6,E6-(A6-1)/$O$2)</f>
        <v/>
      </c>
      <c r="I6" s="9">
        <f>MAX(A6/$O$2-F6,F6-(A6-1)/$O$2)</f>
        <v/>
      </c>
      <c r="J6" s="9">
        <f>MAX(A6/$O$2-G6,G6-(A6-1)/$O$2)</f>
        <v/>
      </c>
      <c r="K6" s="8">
        <f>GAMMA.INV(C6,Gamma_fit!$K$18,Gamma_fit!$K$19)</f>
        <v/>
      </c>
      <c r="L6" s="8">
        <f>-Gamma_fit!$K$10*LN(1-C6)</f>
        <v/>
      </c>
      <c r="M6" s="9">
        <f>PERCENTRANK.INC($B$2:$B$69,B6,6)</f>
        <v/>
      </c>
      <c r="N6" t="inlineStr">
        <is>
          <t>Large-sample 5% critical value 1.36/sqrt(n)</t>
        </is>
      </c>
      <c r="O6" s="9">
        <f>1.36/SQRT(O2)</f>
        <v/>
      </c>
    </row>
    <row r="7">
      <c r="A7">
        <f>ROW()-1</f>
        <v/>
      </c>
      <c r="B7" s="8">
        <f>SMALL(Gamma_fit!$F$2:$F$121,A7)</f>
        <v/>
      </c>
      <c r="C7" s="9">
        <f>A7/($O$2+1)</f>
        <v/>
      </c>
      <c r="D7" s="9">
        <f>A7/$O$2</f>
        <v/>
      </c>
      <c r="E7" s="9">
        <f>GAMMA.DIST(B7,Gamma_fit!$K$13,Gamma_fit!$K$14,TRUE)</f>
        <v/>
      </c>
      <c r="F7" s="9">
        <f>GAMMA.DIST(B7,Gamma_fit!$K$18,Gamma_fit!$K$19,TRUE)</f>
        <v/>
      </c>
      <c r="G7" s="9">
        <f>1-EXP(-B7/Gamma_fit!$K$10)</f>
        <v/>
      </c>
      <c r="H7" s="9">
        <f>MAX(A7/$O$2-E7,E7-(A7-1)/$O$2)</f>
        <v/>
      </c>
      <c r="I7" s="9">
        <f>MAX(A7/$O$2-F7,F7-(A7-1)/$O$2)</f>
        <v/>
      </c>
      <c r="J7" s="9">
        <f>MAX(A7/$O$2-G7,G7-(A7-1)/$O$2)</f>
        <v/>
      </c>
      <c r="K7" s="8">
        <f>GAMMA.INV(C7,Gamma_fit!$K$18,Gamma_fit!$K$19)</f>
        <v/>
      </c>
      <c r="L7" s="8">
        <f>-Gamma_fit!$K$10*LN(1-C7)</f>
        <v/>
      </c>
      <c r="M7" s="9">
        <f>PERCENTRANK.INC($B$2:$B$69,B7,6)</f>
        <v/>
      </c>
    </row>
    <row r="8">
      <c r="A8">
        <f>ROW()-1</f>
        <v/>
      </c>
      <c r="B8" s="8">
        <f>SMALL(Gamma_fit!$F$2:$F$121,A8)</f>
        <v/>
      </c>
      <c r="C8" s="9">
        <f>A8/($O$2+1)</f>
        <v/>
      </c>
      <c r="D8" s="9">
        <f>A8/$O$2</f>
        <v/>
      </c>
      <c r="E8" s="9">
        <f>GAMMA.DIST(B8,Gamma_fit!$K$13,Gamma_fit!$K$14,TRUE)</f>
        <v/>
      </c>
      <c r="F8" s="9">
        <f>GAMMA.DIST(B8,Gamma_fit!$K$18,Gamma_fit!$K$19,TRUE)</f>
        <v/>
      </c>
      <c r="G8" s="9">
        <f>1-EXP(-B8/Gamma_fit!$K$10)</f>
        <v/>
      </c>
      <c r="H8" s="9">
        <f>MAX(A8/$O$2-E8,E8-(A8-1)/$O$2)</f>
        <v/>
      </c>
      <c r="I8" s="9">
        <f>MAX(A8/$O$2-F8,F8-(A8-1)/$O$2)</f>
        <v/>
      </c>
      <c r="J8" s="9">
        <f>MAX(A8/$O$2-G8,G8-(A8-1)/$O$2)</f>
        <v/>
      </c>
      <c r="K8" s="8">
        <f>GAMMA.INV(C8,Gamma_fit!$K$18,Gamma_fit!$K$19)</f>
        <v/>
      </c>
      <c r="L8" s="8">
        <f>-Gamma_fit!$K$10*LN(1-C8)</f>
        <v/>
      </c>
      <c r="M8" s="9">
        <f>PERCENTRANK.INC($B$2:$B$69,B8,6)</f>
        <v/>
      </c>
      <c r="N8" t="inlineStr">
        <is>
          <t>The critical value assumes parameters known in advance; with parameters fitted to the same data the test is too lenient (see notebook, Section 5).</t>
        </is>
      </c>
    </row>
    <row r="9">
      <c r="A9">
        <f>ROW()-1</f>
        <v/>
      </c>
      <c r="B9" s="8">
        <f>SMALL(Gamma_fit!$F$2:$F$121,A9)</f>
        <v/>
      </c>
      <c r="C9" s="9">
        <f>A9/($O$2+1)</f>
        <v/>
      </c>
      <c r="D9" s="9">
        <f>A9/$O$2</f>
        <v/>
      </c>
      <c r="E9" s="9">
        <f>GAMMA.DIST(B9,Gamma_fit!$K$13,Gamma_fit!$K$14,TRUE)</f>
        <v/>
      </c>
      <c r="F9" s="9">
        <f>GAMMA.DIST(B9,Gamma_fit!$K$18,Gamma_fit!$K$19,TRUE)</f>
        <v/>
      </c>
      <c r="G9" s="9">
        <f>1-EXP(-B9/Gamma_fit!$K$10)</f>
        <v/>
      </c>
      <c r="H9" s="9">
        <f>MAX(A9/$O$2-E9,E9-(A9-1)/$O$2)</f>
        <v/>
      </c>
      <c r="I9" s="9">
        <f>MAX(A9/$O$2-F9,F9-(A9-1)/$O$2)</f>
        <v/>
      </c>
      <c r="J9" s="9">
        <f>MAX(A9/$O$2-G9,G9-(A9-1)/$O$2)</f>
        <v/>
      </c>
      <c r="K9" s="8">
        <f>GAMMA.INV(C9,Gamma_fit!$K$18,Gamma_fit!$K$19)</f>
        <v/>
      </c>
      <c r="L9" s="8">
        <f>-Gamma_fit!$K$10*LN(1-C9)</f>
        <v/>
      </c>
      <c r="M9" s="9">
        <f>PERCENTRANK.INC($B$2:$B$69,B9,6)</f>
        <v/>
      </c>
    </row>
    <row r="10">
      <c r="A10">
        <f>ROW()-1</f>
        <v/>
      </c>
      <c r="B10" s="8">
        <f>SMALL(Gamma_fit!$F$2:$F$121,A10)</f>
        <v/>
      </c>
      <c r="C10" s="9">
        <f>A10/($O$2+1)</f>
        <v/>
      </c>
      <c r="D10" s="9">
        <f>A10/$O$2</f>
        <v/>
      </c>
      <c r="E10" s="9">
        <f>GAMMA.DIST(B10,Gamma_fit!$K$13,Gamma_fit!$K$14,TRUE)</f>
        <v/>
      </c>
      <c r="F10" s="9">
        <f>GAMMA.DIST(B10,Gamma_fit!$K$18,Gamma_fit!$K$19,TRUE)</f>
        <v/>
      </c>
      <c r="G10" s="9">
        <f>1-EXP(-B10/Gamma_fit!$K$10)</f>
        <v/>
      </c>
      <c r="H10" s="9">
        <f>MAX(A10/$O$2-E10,E10-(A10-1)/$O$2)</f>
        <v/>
      </c>
      <c r="I10" s="9">
        <f>MAX(A10/$O$2-F10,F10-(A10-1)/$O$2)</f>
        <v/>
      </c>
      <c r="J10" s="9">
        <f>MAX(A10/$O$2-G10,G10-(A10-1)/$O$2)</f>
        <v/>
      </c>
      <c r="K10" s="8">
        <f>GAMMA.INV(C10,Gamma_fit!$K$18,Gamma_fit!$K$19)</f>
        <v/>
      </c>
      <c r="L10" s="8">
        <f>-Gamma_fit!$K$10*LN(1-C10)</f>
        <v/>
      </c>
      <c r="M10" s="9">
        <f>PERCENTRANK.INC($B$2:$B$69,B10,6)</f>
        <v/>
      </c>
      <c r="N10" s="7" t="inlineStr">
        <is>
          <t>1:1 line for the QQ chart</t>
        </is>
      </c>
    </row>
    <row r="11">
      <c r="A11">
        <f>ROW()-1</f>
        <v/>
      </c>
      <c r="B11" s="8">
        <f>SMALL(Gamma_fit!$F$2:$F$121,A11)</f>
        <v/>
      </c>
      <c r="C11" s="9">
        <f>A11/($O$2+1)</f>
        <v/>
      </c>
      <c r="D11" s="9">
        <f>A11/$O$2</f>
        <v/>
      </c>
      <c r="E11" s="9">
        <f>GAMMA.DIST(B11,Gamma_fit!$K$13,Gamma_fit!$K$14,TRUE)</f>
        <v/>
      </c>
      <c r="F11" s="9">
        <f>GAMMA.DIST(B11,Gamma_fit!$K$18,Gamma_fit!$K$19,TRUE)</f>
        <v/>
      </c>
      <c r="G11" s="9">
        <f>1-EXP(-B11/Gamma_fit!$K$10)</f>
        <v/>
      </c>
      <c r="H11" s="9">
        <f>MAX(A11/$O$2-E11,E11-(A11-1)/$O$2)</f>
        <v/>
      </c>
      <c r="I11" s="9">
        <f>MAX(A11/$O$2-F11,F11-(A11-1)/$O$2)</f>
        <v/>
      </c>
      <c r="J11" s="9">
        <f>MAX(A11/$O$2-G11,G11-(A11-1)/$O$2)</f>
        <v/>
      </c>
      <c r="K11" s="8">
        <f>GAMMA.INV(C11,Gamma_fit!$K$18,Gamma_fit!$K$19)</f>
        <v/>
      </c>
      <c r="L11" s="8">
        <f>-Gamma_fit!$K$10*LN(1-C11)</f>
        <v/>
      </c>
      <c r="M11" s="9">
        <f>PERCENTRANK.INC($B$2:$B$69,B11,6)</f>
        <v/>
      </c>
      <c r="N11" t="n">
        <v>0</v>
      </c>
      <c r="O11" t="n">
        <v>0</v>
      </c>
    </row>
    <row r="12">
      <c r="A12">
        <f>ROW()-1</f>
        <v/>
      </c>
      <c r="B12" s="8">
        <f>SMALL(Gamma_fit!$F$2:$F$121,A12)</f>
        <v/>
      </c>
      <c r="C12" s="9">
        <f>A12/($O$2+1)</f>
        <v/>
      </c>
      <c r="D12" s="9">
        <f>A12/$O$2</f>
        <v/>
      </c>
      <c r="E12" s="9">
        <f>GAMMA.DIST(B12,Gamma_fit!$K$13,Gamma_fit!$K$14,TRUE)</f>
        <v/>
      </c>
      <c r="F12" s="9">
        <f>GAMMA.DIST(B12,Gamma_fit!$K$18,Gamma_fit!$K$19,TRUE)</f>
        <v/>
      </c>
      <c r="G12" s="9">
        <f>1-EXP(-B12/Gamma_fit!$K$10)</f>
        <v/>
      </c>
      <c r="H12" s="9">
        <f>MAX(A12/$O$2-E12,E12-(A12-1)/$O$2)</f>
        <v/>
      </c>
      <c r="I12" s="9">
        <f>MAX(A12/$O$2-F12,F12-(A12-1)/$O$2)</f>
        <v/>
      </c>
      <c r="J12" s="9">
        <f>MAX(A12/$O$2-G12,G12-(A12-1)/$O$2)</f>
        <v/>
      </c>
      <c r="K12" s="8">
        <f>GAMMA.INV(C12,Gamma_fit!$K$18,Gamma_fit!$K$19)</f>
        <v/>
      </c>
      <c r="L12" s="8">
        <f>-Gamma_fit!$K$10*LN(1-C12)</f>
        <v/>
      </c>
      <c r="M12" s="9">
        <f>PERCENTRANK.INC($B$2:$B$69,B12,6)</f>
        <v/>
      </c>
      <c r="N12">
        <f>MAX(B2:B69)</f>
        <v/>
      </c>
      <c r="O12">
        <f>N12</f>
        <v/>
      </c>
    </row>
    <row r="13">
      <c r="A13">
        <f>ROW()-1</f>
        <v/>
      </c>
      <c r="B13" s="8">
        <f>SMALL(Gamma_fit!$F$2:$F$121,A13)</f>
        <v/>
      </c>
      <c r="C13" s="9">
        <f>A13/($O$2+1)</f>
        <v/>
      </c>
      <c r="D13" s="9">
        <f>A13/$O$2</f>
        <v/>
      </c>
      <c r="E13" s="9">
        <f>GAMMA.DIST(B13,Gamma_fit!$K$13,Gamma_fit!$K$14,TRUE)</f>
        <v/>
      </c>
      <c r="F13" s="9">
        <f>GAMMA.DIST(B13,Gamma_fit!$K$18,Gamma_fit!$K$19,TRUE)</f>
        <v/>
      </c>
      <c r="G13" s="9">
        <f>1-EXP(-B13/Gamma_fit!$K$10)</f>
        <v/>
      </c>
      <c r="H13" s="9">
        <f>MAX(A13/$O$2-E13,E13-(A13-1)/$O$2)</f>
        <v/>
      </c>
      <c r="I13" s="9">
        <f>MAX(A13/$O$2-F13,F13-(A13-1)/$O$2)</f>
        <v/>
      </c>
      <c r="J13" s="9">
        <f>MAX(A13/$O$2-G13,G13-(A13-1)/$O$2)</f>
        <v/>
      </c>
      <c r="K13" s="8">
        <f>GAMMA.INV(C13,Gamma_fit!$K$18,Gamma_fit!$K$19)</f>
        <v/>
      </c>
      <c r="L13" s="8">
        <f>-Gamma_fit!$K$10*LN(1-C13)</f>
        <v/>
      </c>
      <c r="M13" s="9">
        <f>PERCENTRANK.INC($B$2:$B$69,B13,6)</f>
        <v/>
      </c>
    </row>
    <row r="14">
      <c r="A14">
        <f>ROW()-1</f>
        <v/>
      </c>
      <c r="B14" s="8">
        <f>SMALL(Gamma_fit!$F$2:$F$121,A14)</f>
        <v/>
      </c>
      <c r="C14" s="9">
        <f>A14/($O$2+1)</f>
        <v/>
      </c>
      <c r="D14" s="9">
        <f>A14/$O$2</f>
        <v/>
      </c>
      <c r="E14" s="9">
        <f>GAMMA.DIST(B14,Gamma_fit!$K$13,Gamma_fit!$K$14,TRUE)</f>
        <v/>
      </c>
      <c r="F14" s="9">
        <f>GAMMA.DIST(B14,Gamma_fit!$K$18,Gamma_fit!$K$19,TRUE)</f>
        <v/>
      </c>
      <c r="G14" s="9">
        <f>1-EXP(-B14/Gamma_fit!$K$10)</f>
        <v/>
      </c>
      <c r="H14" s="9">
        <f>MAX(A14/$O$2-E14,E14-(A14-1)/$O$2)</f>
        <v/>
      </c>
      <c r="I14" s="9">
        <f>MAX(A14/$O$2-F14,F14-(A14-1)/$O$2)</f>
        <v/>
      </c>
      <c r="J14" s="9">
        <f>MAX(A14/$O$2-G14,G14-(A14-1)/$O$2)</f>
        <v/>
      </c>
      <c r="K14" s="8">
        <f>GAMMA.INV(C14,Gamma_fit!$K$18,Gamma_fit!$K$19)</f>
        <v/>
      </c>
      <c r="L14" s="8">
        <f>-Gamma_fit!$K$10*LN(1-C14)</f>
        <v/>
      </c>
      <c r="M14" s="9">
        <f>PERCENTRANK.INC($B$2:$B$69,B14,6)</f>
        <v/>
      </c>
    </row>
    <row r="15">
      <c r="A15">
        <f>ROW()-1</f>
        <v/>
      </c>
      <c r="B15" s="8">
        <f>SMALL(Gamma_fit!$F$2:$F$121,A15)</f>
        <v/>
      </c>
      <c r="C15" s="9">
        <f>A15/($O$2+1)</f>
        <v/>
      </c>
      <c r="D15" s="9">
        <f>A15/$O$2</f>
        <v/>
      </c>
      <c r="E15" s="9">
        <f>GAMMA.DIST(B15,Gamma_fit!$K$13,Gamma_fit!$K$14,TRUE)</f>
        <v/>
      </c>
      <c r="F15" s="9">
        <f>GAMMA.DIST(B15,Gamma_fit!$K$18,Gamma_fit!$K$19,TRUE)</f>
        <v/>
      </c>
      <c r="G15" s="9">
        <f>1-EXP(-B15/Gamma_fit!$K$10)</f>
        <v/>
      </c>
      <c r="H15" s="9">
        <f>MAX(A15/$O$2-E15,E15-(A15-1)/$O$2)</f>
        <v/>
      </c>
      <c r="I15" s="9">
        <f>MAX(A15/$O$2-F15,F15-(A15-1)/$O$2)</f>
        <v/>
      </c>
      <c r="J15" s="9">
        <f>MAX(A15/$O$2-G15,G15-(A15-1)/$O$2)</f>
        <v/>
      </c>
      <c r="K15" s="8">
        <f>GAMMA.INV(C15,Gamma_fit!$K$18,Gamma_fit!$K$19)</f>
        <v/>
      </c>
      <c r="L15" s="8">
        <f>-Gamma_fit!$K$10*LN(1-C15)</f>
        <v/>
      </c>
      <c r="M15" s="9">
        <f>PERCENTRANK.INC($B$2:$B$69,B15,6)</f>
        <v/>
      </c>
    </row>
    <row r="16">
      <c r="A16">
        <f>ROW()-1</f>
        <v/>
      </c>
      <c r="B16" s="8">
        <f>SMALL(Gamma_fit!$F$2:$F$121,A16)</f>
        <v/>
      </c>
      <c r="C16" s="9">
        <f>A16/($O$2+1)</f>
        <v/>
      </c>
      <c r="D16" s="9">
        <f>A16/$O$2</f>
        <v/>
      </c>
      <c r="E16" s="9">
        <f>GAMMA.DIST(B16,Gamma_fit!$K$13,Gamma_fit!$K$14,TRUE)</f>
        <v/>
      </c>
      <c r="F16" s="9">
        <f>GAMMA.DIST(B16,Gamma_fit!$K$18,Gamma_fit!$K$19,TRUE)</f>
        <v/>
      </c>
      <c r="G16" s="9">
        <f>1-EXP(-B16/Gamma_fit!$K$10)</f>
        <v/>
      </c>
      <c r="H16" s="9">
        <f>MAX(A16/$O$2-E16,E16-(A16-1)/$O$2)</f>
        <v/>
      </c>
      <c r="I16" s="9">
        <f>MAX(A16/$O$2-F16,F16-(A16-1)/$O$2)</f>
        <v/>
      </c>
      <c r="J16" s="9">
        <f>MAX(A16/$O$2-G16,G16-(A16-1)/$O$2)</f>
        <v/>
      </c>
      <c r="K16" s="8">
        <f>GAMMA.INV(C16,Gamma_fit!$K$18,Gamma_fit!$K$19)</f>
        <v/>
      </c>
      <c r="L16" s="8">
        <f>-Gamma_fit!$K$10*LN(1-C16)</f>
        <v/>
      </c>
      <c r="M16" s="9">
        <f>PERCENTRANK.INC($B$2:$B$69,B16,6)</f>
        <v/>
      </c>
    </row>
    <row r="17">
      <c r="A17">
        <f>ROW()-1</f>
        <v/>
      </c>
      <c r="B17" s="8">
        <f>SMALL(Gamma_fit!$F$2:$F$121,A17)</f>
        <v/>
      </c>
      <c r="C17" s="9">
        <f>A17/($O$2+1)</f>
        <v/>
      </c>
      <c r="D17" s="9">
        <f>A17/$O$2</f>
        <v/>
      </c>
      <c r="E17" s="9">
        <f>GAMMA.DIST(B17,Gamma_fit!$K$13,Gamma_fit!$K$14,TRUE)</f>
        <v/>
      </c>
      <c r="F17" s="9">
        <f>GAMMA.DIST(B17,Gamma_fit!$K$18,Gamma_fit!$K$19,TRUE)</f>
        <v/>
      </c>
      <c r="G17" s="9">
        <f>1-EXP(-B17/Gamma_fit!$K$10)</f>
        <v/>
      </c>
      <c r="H17" s="9">
        <f>MAX(A17/$O$2-E17,E17-(A17-1)/$O$2)</f>
        <v/>
      </c>
      <c r="I17" s="9">
        <f>MAX(A17/$O$2-F17,F17-(A17-1)/$O$2)</f>
        <v/>
      </c>
      <c r="J17" s="9">
        <f>MAX(A17/$O$2-G17,G17-(A17-1)/$O$2)</f>
        <v/>
      </c>
      <c r="K17" s="8">
        <f>GAMMA.INV(C17,Gamma_fit!$K$18,Gamma_fit!$K$19)</f>
        <v/>
      </c>
      <c r="L17" s="8">
        <f>-Gamma_fit!$K$10*LN(1-C17)</f>
        <v/>
      </c>
      <c r="M17" s="9">
        <f>PERCENTRANK.INC($B$2:$B$69,B17,6)</f>
        <v/>
      </c>
    </row>
    <row r="18">
      <c r="A18">
        <f>ROW()-1</f>
        <v/>
      </c>
      <c r="B18" s="8">
        <f>SMALL(Gamma_fit!$F$2:$F$121,A18)</f>
        <v/>
      </c>
      <c r="C18" s="9">
        <f>A18/($O$2+1)</f>
        <v/>
      </c>
      <c r="D18" s="9">
        <f>A18/$O$2</f>
        <v/>
      </c>
      <c r="E18" s="9">
        <f>GAMMA.DIST(B18,Gamma_fit!$K$13,Gamma_fit!$K$14,TRUE)</f>
        <v/>
      </c>
      <c r="F18" s="9">
        <f>GAMMA.DIST(B18,Gamma_fit!$K$18,Gamma_fit!$K$19,TRUE)</f>
        <v/>
      </c>
      <c r="G18" s="9">
        <f>1-EXP(-B18/Gamma_fit!$K$10)</f>
        <v/>
      </c>
      <c r="H18" s="9">
        <f>MAX(A18/$O$2-E18,E18-(A18-1)/$O$2)</f>
        <v/>
      </c>
      <c r="I18" s="9">
        <f>MAX(A18/$O$2-F18,F18-(A18-1)/$O$2)</f>
        <v/>
      </c>
      <c r="J18" s="9">
        <f>MAX(A18/$O$2-G18,G18-(A18-1)/$O$2)</f>
        <v/>
      </c>
      <c r="K18" s="8">
        <f>GAMMA.INV(C18,Gamma_fit!$K$18,Gamma_fit!$K$19)</f>
        <v/>
      </c>
      <c r="L18" s="8">
        <f>-Gamma_fit!$K$10*LN(1-C18)</f>
        <v/>
      </c>
      <c r="M18" s="9">
        <f>PERCENTRANK.INC($B$2:$B$69,B18,6)</f>
        <v/>
      </c>
    </row>
    <row r="19">
      <c r="A19">
        <f>ROW()-1</f>
        <v/>
      </c>
      <c r="B19" s="8">
        <f>SMALL(Gamma_fit!$F$2:$F$121,A19)</f>
        <v/>
      </c>
      <c r="C19" s="9">
        <f>A19/($O$2+1)</f>
        <v/>
      </c>
      <c r="D19" s="9">
        <f>A19/$O$2</f>
        <v/>
      </c>
      <c r="E19" s="9">
        <f>GAMMA.DIST(B19,Gamma_fit!$K$13,Gamma_fit!$K$14,TRUE)</f>
        <v/>
      </c>
      <c r="F19" s="9">
        <f>GAMMA.DIST(B19,Gamma_fit!$K$18,Gamma_fit!$K$19,TRUE)</f>
        <v/>
      </c>
      <c r="G19" s="9">
        <f>1-EXP(-B19/Gamma_fit!$K$10)</f>
        <v/>
      </c>
      <c r="H19" s="9">
        <f>MAX(A19/$O$2-E19,E19-(A19-1)/$O$2)</f>
        <v/>
      </c>
      <c r="I19" s="9">
        <f>MAX(A19/$O$2-F19,F19-(A19-1)/$O$2)</f>
        <v/>
      </c>
      <c r="J19" s="9">
        <f>MAX(A19/$O$2-G19,G19-(A19-1)/$O$2)</f>
        <v/>
      </c>
      <c r="K19" s="8">
        <f>GAMMA.INV(C19,Gamma_fit!$K$18,Gamma_fit!$K$19)</f>
        <v/>
      </c>
      <c r="L19" s="8">
        <f>-Gamma_fit!$K$10*LN(1-C19)</f>
        <v/>
      </c>
      <c r="M19" s="9">
        <f>PERCENTRANK.INC($B$2:$B$69,B19,6)</f>
        <v/>
      </c>
    </row>
    <row r="20">
      <c r="A20">
        <f>ROW()-1</f>
        <v/>
      </c>
      <c r="B20" s="8">
        <f>SMALL(Gamma_fit!$F$2:$F$121,A20)</f>
        <v/>
      </c>
      <c r="C20" s="9">
        <f>A20/($O$2+1)</f>
        <v/>
      </c>
      <c r="D20" s="9">
        <f>A20/$O$2</f>
        <v/>
      </c>
      <c r="E20" s="9">
        <f>GAMMA.DIST(B20,Gamma_fit!$K$13,Gamma_fit!$K$14,TRUE)</f>
        <v/>
      </c>
      <c r="F20" s="9">
        <f>GAMMA.DIST(B20,Gamma_fit!$K$18,Gamma_fit!$K$19,TRUE)</f>
        <v/>
      </c>
      <c r="G20" s="9">
        <f>1-EXP(-B20/Gamma_fit!$K$10)</f>
        <v/>
      </c>
      <c r="H20" s="9">
        <f>MAX(A20/$O$2-E20,E20-(A20-1)/$O$2)</f>
        <v/>
      </c>
      <c r="I20" s="9">
        <f>MAX(A20/$O$2-F20,F20-(A20-1)/$O$2)</f>
        <v/>
      </c>
      <c r="J20" s="9">
        <f>MAX(A20/$O$2-G20,G20-(A20-1)/$O$2)</f>
        <v/>
      </c>
      <c r="K20" s="8">
        <f>GAMMA.INV(C20,Gamma_fit!$K$18,Gamma_fit!$K$19)</f>
        <v/>
      </c>
      <c r="L20" s="8">
        <f>-Gamma_fit!$K$10*LN(1-C20)</f>
        <v/>
      </c>
      <c r="M20" s="9">
        <f>PERCENTRANK.INC($B$2:$B$69,B20,6)</f>
        <v/>
      </c>
    </row>
    <row r="21">
      <c r="A21">
        <f>ROW()-1</f>
        <v/>
      </c>
      <c r="B21" s="8">
        <f>SMALL(Gamma_fit!$F$2:$F$121,A21)</f>
        <v/>
      </c>
      <c r="C21" s="9">
        <f>A21/($O$2+1)</f>
        <v/>
      </c>
      <c r="D21" s="9">
        <f>A21/$O$2</f>
        <v/>
      </c>
      <c r="E21" s="9">
        <f>GAMMA.DIST(B21,Gamma_fit!$K$13,Gamma_fit!$K$14,TRUE)</f>
        <v/>
      </c>
      <c r="F21" s="9">
        <f>GAMMA.DIST(B21,Gamma_fit!$K$18,Gamma_fit!$K$19,TRUE)</f>
        <v/>
      </c>
      <c r="G21" s="9">
        <f>1-EXP(-B21/Gamma_fit!$K$10)</f>
        <v/>
      </c>
      <c r="H21" s="9">
        <f>MAX(A21/$O$2-E21,E21-(A21-1)/$O$2)</f>
        <v/>
      </c>
      <c r="I21" s="9">
        <f>MAX(A21/$O$2-F21,F21-(A21-1)/$O$2)</f>
        <v/>
      </c>
      <c r="J21" s="9">
        <f>MAX(A21/$O$2-G21,G21-(A21-1)/$O$2)</f>
        <v/>
      </c>
      <c r="K21" s="8">
        <f>GAMMA.INV(C21,Gamma_fit!$K$18,Gamma_fit!$K$19)</f>
        <v/>
      </c>
      <c r="L21" s="8">
        <f>-Gamma_fit!$K$10*LN(1-C21)</f>
        <v/>
      </c>
      <c r="M21" s="9">
        <f>PERCENTRANK.INC($B$2:$B$69,B21,6)</f>
        <v/>
      </c>
    </row>
    <row r="22">
      <c r="A22">
        <f>ROW()-1</f>
        <v/>
      </c>
      <c r="B22" s="8">
        <f>SMALL(Gamma_fit!$F$2:$F$121,A22)</f>
        <v/>
      </c>
      <c r="C22" s="9">
        <f>A22/($O$2+1)</f>
        <v/>
      </c>
      <c r="D22" s="9">
        <f>A22/$O$2</f>
        <v/>
      </c>
      <c r="E22" s="9">
        <f>GAMMA.DIST(B22,Gamma_fit!$K$13,Gamma_fit!$K$14,TRUE)</f>
        <v/>
      </c>
      <c r="F22" s="9">
        <f>GAMMA.DIST(B22,Gamma_fit!$K$18,Gamma_fit!$K$19,TRUE)</f>
        <v/>
      </c>
      <c r="G22" s="9">
        <f>1-EXP(-B22/Gamma_fit!$K$10)</f>
        <v/>
      </c>
      <c r="H22" s="9">
        <f>MAX(A22/$O$2-E22,E22-(A22-1)/$O$2)</f>
        <v/>
      </c>
      <c r="I22" s="9">
        <f>MAX(A22/$O$2-F22,F22-(A22-1)/$O$2)</f>
        <v/>
      </c>
      <c r="J22" s="9">
        <f>MAX(A22/$O$2-G22,G22-(A22-1)/$O$2)</f>
        <v/>
      </c>
      <c r="K22" s="8">
        <f>GAMMA.INV(C22,Gamma_fit!$K$18,Gamma_fit!$K$19)</f>
        <v/>
      </c>
      <c r="L22" s="8">
        <f>-Gamma_fit!$K$10*LN(1-C22)</f>
        <v/>
      </c>
      <c r="M22" s="9">
        <f>PERCENTRANK.INC($B$2:$B$69,B22,6)</f>
        <v/>
      </c>
    </row>
    <row r="23">
      <c r="A23">
        <f>ROW()-1</f>
        <v/>
      </c>
      <c r="B23" s="8">
        <f>SMALL(Gamma_fit!$F$2:$F$121,A23)</f>
        <v/>
      </c>
      <c r="C23" s="9">
        <f>A23/($O$2+1)</f>
        <v/>
      </c>
      <c r="D23" s="9">
        <f>A23/$O$2</f>
        <v/>
      </c>
      <c r="E23" s="9">
        <f>GAMMA.DIST(B23,Gamma_fit!$K$13,Gamma_fit!$K$14,TRUE)</f>
        <v/>
      </c>
      <c r="F23" s="9">
        <f>GAMMA.DIST(B23,Gamma_fit!$K$18,Gamma_fit!$K$19,TRUE)</f>
        <v/>
      </c>
      <c r="G23" s="9">
        <f>1-EXP(-B23/Gamma_fit!$K$10)</f>
        <v/>
      </c>
      <c r="H23" s="9">
        <f>MAX(A23/$O$2-E23,E23-(A23-1)/$O$2)</f>
        <v/>
      </c>
      <c r="I23" s="9">
        <f>MAX(A23/$O$2-F23,F23-(A23-1)/$O$2)</f>
        <v/>
      </c>
      <c r="J23" s="9">
        <f>MAX(A23/$O$2-G23,G23-(A23-1)/$O$2)</f>
        <v/>
      </c>
      <c r="K23" s="8">
        <f>GAMMA.INV(C23,Gamma_fit!$K$18,Gamma_fit!$K$19)</f>
        <v/>
      </c>
      <c r="L23" s="8">
        <f>-Gamma_fit!$K$10*LN(1-C23)</f>
        <v/>
      </c>
      <c r="M23" s="9">
        <f>PERCENTRANK.INC($B$2:$B$69,B23,6)</f>
        <v/>
      </c>
    </row>
    <row r="24">
      <c r="A24">
        <f>ROW()-1</f>
        <v/>
      </c>
      <c r="B24" s="8">
        <f>SMALL(Gamma_fit!$F$2:$F$121,A24)</f>
        <v/>
      </c>
      <c r="C24" s="9">
        <f>A24/($O$2+1)</f>
        <v/>
      </c>
      <c r="D24" s="9">
        <f>A24/$O$2</f>
        <v/>
      </c>
      <c r="E24" s="9">
        <f>GAMMA.DIST(B24,Gamma_fit!$K$13,Gamma_fit!$K$14,TRUE)</f>
        <v/>
      </c>
      <c r="F24" s="9">
        <f>GAMMA.DIST(B24,Gamma_fit!$K$18,Gamma_fit!$K$19,TRUE)</f>
        <v/>
      </c>
      <c r="G24" s="9">
        <f>1-EXP(-B24/Gamma_fit!$K$10)</f>
        <v/>
      </c>
      <c r="H24" s="9">
        <f>MAX(A24/$O$2-E24,E24-(A24-1)/$O$2)</f>
        <v/>
      </c>
      <c r="I24" s="9">
        <f>MAX(A24/$O$2-F24,F24-(A24-1)/$O$2)</f>
        <v/>
      </c>
      <c r="J24" s="9">
        <f>MAX(A24/$O$2-G24,G24-(A24-1)/$O$2)</f>
        <v/>
      </c>
      <c r="K24" s="8">
        <f>GAMMA.INV(C24,Gamma_fit!$K$18,Gamma_fit!$K$19)</f>
        <v/>
      </c>
      <c r="L24" s="8">
        <f>-Gamma_fit!$K$10*LN(1-C24)</f>
        <v/>
      </c>
      <c r="M24" s="9">
        <f>PERCENTRANK.INC($B$2:$B$69,B24,6)</f>
        <v/>
      </c>
    </row>
    <row r="25">
      <c r="A25">
        <f>ROW()-1</f>
        <v/>
      </c>
      <c r="B25" s="8">
        <f>SMALL(Gamma_fit!$F$2:$F$121,A25)</f>
        <v/>
      </c>
      <c r="C25" s="9">
        <f>A25/($O$2+1)</f>
        <v/>
      </c>
      <c r="D25" s="9">
        <f>A25/$O$2</f>
        <v/>
      </c>
      <c r="E25" s="9">
        <f>GAMMA.DIST(B25,Gamma_fit!$K$13,Gamma_fit!$K$14,TRUE)</f>
        <v/>
      </c>
      <c r="F25" s="9">
        <f>GAMMA.DIST(B25,Gamma_fit!$K$18,Gamma_fit!$K$19,TRUE)</f>
        <v/>
      </c>
      <c r="G25" s="9">
        <f>1-EXP(-B25/Gamma_fit!$K$10)</f>
        <v/>
      </c>
      <c r="H25" s="9">
        <f>MAX(A25/$O$2-E25,E25-(A25-1)/$O$2)</f>
        <v/>
      </c>
      <c r="I25" s="9">
        <f>MAX(A25/$O$2-F25,F25-(A25-1)/$O$2)</f>
        <v/>
      </c>
      <c r="J25" s="9">
        <f>MAX(A25/$O$2-G25,G25-(A25-1)/$O$2)</f>
        <v/>
      </c>
      <c r="K25" s="8">
        <f>GAMMA.INV(C25,Gamma_fit!$K$18,Gamma_fit!$K$19)</f>
        <v/>
      </c>
      <c r="L25" s="8">
        <f>-Gamma_fit!$K$10*LN(1-C25)</f>
        <v/>
      </c>
      <c r="M25" s="9">
        <f>PERCENTRANK.INC($B$2:$B$69,B25,6)</f>
        <v/>
      </c>
    </row>
    <row r="26">
      <c r="A26">
        <f>ROW()-1</f>
        <v/>
      </c>
      <c r="B26" s="8">
        <f>SMALL(Gamma_fit!$F$2:$F$121,A26)</f>
        <v/>
      </c>
      <c r="C26" s="9">
        <f>A26/($O$2+1)</f>
        <v/>
      </c>
      <c r="D26" s="9">
        <f>A26/$O$2</f>
        <v/>
      </c>
      <c r="E26" s="9">
        <f>GAMMA.DIST(B26,Gamma_fit!$K$13,Gamma_fit!$K$14,TRUE)</f>
        <v/>
      </c>
      <c r="F26" s="9">
        <f>GAMMA.DIST(B26,Gamma_fit!$K$18,Gamma_fit!$K$19,TRUE)</f>
        <v/>
      </c>
      <c r="G26" s="9">
        <f>1-EXP(-B26/Gamma_fit!$K$10)</f>
        <v/>
      </c>
      <c r="H26" s="9">
        <f>MAX(A26/$O$2-E26,E26-(A26-1)/$O$2)</f>
        <v/>
      </c>
      <c r="I26" s="9">
        <f>MAX(A26/$O$2-F26,F26-(A26-1)/$O$2)</f>
        <v/>
      </c>
      <c r="J26" s="9">
        <f>MAX(A26/$O$2-G26,G26-(A26-1)/$O$2)</f>
        <v/>
      </c>
      <c r="K26" s="8">
        <f>GAMMA.INV(C26,Gamma_fit!$K$18,Gamma_fit!$K$19)</f>
        <v/>
      </c>
      <c r="L26" s="8">
        <f>-Gamma_fit!$K$10*LN(1-C26)</f>
        <v/>
      </c>
      <c r="M26" s="9">
        <f>PERCENTRANK.INC($B$2:$B$69,B26,6)</f>
        <v/>
      </c>
    </row>
    <row r="27">
      <c r="A27">
        <f>ROW()-1</f>
        <v/>
      </c>
      <c r="B27" s="8">
        <f>SMALL(Gamma_fit!$F$2:$F$121,A27)</f>
        <v/>
      </c>
      <c r="C27" s="9">
        <f>A27/($O$2+1)</f>
        <v/>
      </c>
      <c r="D27" s="9">
        <f>A27/$O$2</f>
        <v/>
      </c>
      <c r="E27" s="9">
        <f>GAMMA.DIST(B27,Gamma_fit!$K$13,Gamma_fit!$K$14,TRUE)</f>
        <v/>
      </c>
      <c r="F27" s="9">
        <f>GAMMA.DIST(B27,Gamma_fit!$K$18,Gamma_fit!$K$19,TRUE)</f>
        <v/>
      </c>
      <c r="G27" s="9">
        <f>1-EXP(-B27/Gamma_fit!$K$10)</f>
        <v/>
      </c>
      <c r="H27" s="9">
        <f>MAX(A27/$O$2-E27,E27-(A27-1)/$O$2)</f>
        <v/>
      </c>
      <c r="I27" s="9">
        <f>MAX(A27/$O$2-F27,F27-(A27-1)/$O$2)</f>
        <v/>
      </c>
      <c r="J27" s="9">
        <f>MAX(A27/$O$2-G27,G27-(A27-1)/$O$2)</f>
        <v/>
      </c>
      <c r="K27" s="8">
        <f>GAMMA.INV(C27,Gamma_fit!$K$18,Gamma_fit!$K$19)</f>
        <v/>
      </c>
      <c r="L27" s="8">
        <f>-Gamma_fit!$K$10*LN(1-C27)</f>
        <v/>
      </c>
      <c r="M27" s="9">
        <f>PERCENTRANK.INC($B$2:$B$69,B27,6)</f>
        <v/>
      </c>
    </row>
    <row r="28">
      <c r="A28">
        <f>ROW()-1</f>
        <v/>
      </c>
      <c r="B28" s="8">
        <f>SMALL(Gamma_fit!$F$2:$F$121,A28)</f>
        <v/>
      </c>
      <c r="C28" s="9">
        <f>A28/($O$2+1)</f>
        <v/>
      </c>
      <c r="D28" s="9">
        <f>A28/$O$2</f>
        <v/>
      </c>
      <c r="E28" s="9">
        <f>GAMMA.DIST(B28,Gamma_fit!$K$13,Gamma_fit!$K$14,TRUE)</f>
        <v/>
      </c>
      <c r="F28" s="9">
        <f>GAMMA.DIST(B28,Gamma_fit!$K$18,Gamma_fit!$K$19,TRUE)</f>
        <v/>
      </c>
      <c r="G28" s="9">
        <f>1-EXP(-B28/Gamma_fit!$K$10)</f>
        <v/>
      </c>
      <c r="H28" s="9">
        <f>MAX(A28/$O$2-E28,E28-(A28-1)/$O$2)</f>
        <v/>
      </c>
      <c r="I28" s="9">
        <f>MAX(A28/$O$2-F28,F28-(A28-1)/$O$2)</f>
        <v/>
      </c>
      <c r="J28" s="9">
        <f>MAX(A28/$O$2-G28,G28-(A28-1)/$O$2)</f>
        <v/>
      </c>
      <c r="K28" s="8">
        <f>GAMMA.INV(C28,Gamma_fit!$K$18,Gamma_fit!$K$19)</f>
        <v/>
      </c>
      <c r="L28" s="8">
        <f>-Gamma_fit!$K$10*LN(1-C28)</f>
        <v/>
      </c>
      <c r="M28" s="9">
        <f>PERCENTRANK.INC($B$2:$B$69,B28,6)</f>
        <v/>
      </c>
    </row>
    <row r="29">
      <c r="A29">
        <f>ROW()-1</f>
        <v/>
      </c>
      <c r="B29" s="8">
        <f>SMALL(Gamma_fit!$F$2:$F$121,A29)</f>
        <v/>
      </c>
      <c r="C29" s="9">
        <f>A29/($O$2+1)</f>
        <v/>
      </c>
      <c r="D29" s="9">
        <f>A29/$O$2</f>
        <v/>
      </c>
      <c r="E29" s="9">
        <f>GAMMA.DIST(B29,Gamma_fit!$K$13,Gamma_fit!$K$14,TRUE)</f>
        <v/>
      </c>
      <c r="F29" s="9">
        <f>GAMMA.DIST(B29,Gamma_fit!$K$18,Gamma_fit!$K$19,TRUE)</f>
        <v/>
      </c>
      <c r="G29" s="9">
        <f>1-EXP(-B29/Gamma_fit!$K$10)</f>
        <v/>
      </c>
      <c r="H29" s="9">
        <f>MAX(A29/$O$2-E29,E29-(A29-1)/$O$2)</f>
        <v/>
      </c>
      <c r="I29" s="9">
        <f>MAX(A29/$O$2-F29,F29-(A29-1)/$O$2)</f>
        <v/>
      </c>
      <c r="J29" s="9">
        <f>MAX(A29/$O$2-G29,G29-(A29-1)/$O$2)</f>
        <v/>
      </c>
      <c r="K29" s="8">
        <f>GAMMA.INV(C29,Gamma_fit!$K$18,Gamma_fit!$K$19)</f>
        <v/>
      </c>
      <c r="L29" s="8">
        <f>-Gamma_fit!$K$10*LN(1-C29)</f>
        <v/>
      </c>
      <c r="M29" s="9">
        <f>PERCENTRANK.INC($B$2:$B$69,B29,6)</f>
        <v/>
      </c>
    </row>
    <row r="30">
      <c r="A30">
        <f>ROW()-1</f>
        <v/>
      </c>
      <c r="B30" s="8">
        <f>SMALL(Gamma_fit!$F$2:$F$121,A30)</f>
        <v/>
      </c>
      <c r="C30" s="9">
        <f>A30/($O$2+1)</f>
        <v/>
      </c>
      <c r="D30" s="9">
        <f>A30/$O$2</f>
        <v/>
      </c>
      <c r="E30" s="9">
        <f>GAMMA.DIST(B30,Gamma_fit!$K$13,Gamma_fit!$K$14,TRUE)</f>
        <v/>
      </c>
      <c r="F30" s="9">
        <f>GAMMA.DIST(B30,Gamma_fit!$K$18,Gamma_fit!$K$19,TRUE)</f>
        <v/>
      </c>
      <c r="G30" s="9">
        <f>1-EXP(-B30/Gamma_fit!$K$10)</f>
        <v/>
      </c>
      <c r="H30" s="9">
        <f>MAX(A30/$O$2-E30,E30-(A30-1)/$O$2)</f>
        <v/>
      </c>
      <c r="I30" s="9">
        <f>MAX(A30/$O$2-F30,F30-(A30-1)/$O$2)</f>
        <v/>
      </c>
      <c r="J30" s="9">
        <f>MAX(A30/$O$2-G30,G30-(A30-1)/$O$2)</f>
        <v/>
      </c>
      <c r="K30" s="8">
        <f>GAMMA.INV(C30,Gamma_fit!$K$18,Gamma_fit!$K$19)</f>
        <v/>
      </c>
      <c r="L30" s="8">
        <f>-Gamma_fit!$K$10*LN(1-C30)</f>
        <v/>
      </c>
      <c r="M30" s="9">
        <f>PERCENTRANK.INC($B$2:$B$69,B30,6)</f>
        <v/>
      </c>
    </row>
    <row r="31">
      <c r="A31">
        <f>ROW()-1</f>
        <v/>
      </c>
      <c r="B31" s="8">
        <f>SMALL(Gamma_fit!$F$2:$F$121,A31)</f>
        <v/>
      </c>
      <c r="C31" s="9">
        <f>A31/($O$2+1)</f>
        <v/>
      </c>
      <c r="D31" s="9">
        <f>A31/$O$2</f>
        <v/>
      </c>
      <c r="E31" s="9">
        <f>GAMMA.DIST(B31,Gamma_fit!$K$13,Gamma_fit!$K$14,TRUE)</f>
        <v/>
      </c>
      <c r="F31" s="9">
        <f>GAMMA.DIST(B31,Gamma_fit!$K$18,Gamma_fit!$K$19,TRUE)</f>
        <v/>
      </c>
      <c r="G31" s="9">
        <f>1-EXP(-B31/Gamma_fit!$K$10)</f>
        <v/>
      </c>
      <c r="H31" s="9">
        <f>MAX(A31/$O$2-E31,E31-(A31-1)/$O$2)</f>
        <v/>
      </c>
      <c r="I31" s="9">
        <f>MAX(A31/$O$2-F31,F31-(A31-1)/$O$2)</f>
        <v/>
      </c>
      <c r="J31" s="9">
        <f>MAX(A31/$O$2-G31,G31-(A31-1)/$O$2)</f>
        <v/>
      </c>
      <c r="K31" s="8">
        <f>GAMMA.INV(C31,Gamma_fit!$K$18,Gamma_fit!$K$19)</f>
        <v/>
      </c>
      <c r="L31" s="8">
        <f>-Gamma_fit!$K$10*LN(1-C31)</f>
        <v/>
      </c>
      <c r="M31" s="9">
        <f>PERCENTRANK.INC($B$2:$B$69,B31,6)</f>
        <v/>
      </c>
    </row>
    <row r="32">
      <c r="A32">
        <f>ROW()-1</f>
        <v/>
      </c>
      <c r="B32" s="8">
        <f>SMALL(Gamma_fit!$F$2:$F$121,A32)</f>
        <v/>
      </c>
      <c r="C32" s="9">
        <f>A32/($O$2+1)</f>
        <v/>
      </c>
      <c r="D32" s="9">
        <f>A32/$O$2</f>
        <v/>
      </c>
      <c r="E32" s="9">
        <f>GAMMA.DIST(B32,Gamma_fit!$K$13,Gamma_fit!$K$14,TRUE)</f>
        <v/>
      </c>
      <c r="F32" s="9">
        <f>GAMMA.DIST(B32,Gamma_fit!$K$18,Gamma_fit!$K$19,TRUE)</f>
        <v/>
      </c>
      <c r="G32" s="9">
        <f>1-EXP(-B32/Gamma_fit!$K$10)</f>
        <v/>
      </c>
      <c r="H32" s="9">
        <f>MAX(A32/$O$2-E32,E32-(A32-1)/$O$2)</f>
        <v/>
      </c>
      <c r="I32" s="9">
        <f>MAX(A32/$O$2-F32,F32-(A32-1)/$O$2)</f>
        <v/>
      </c>
      <c r="J32" s="9">
        <f>MAX(A32/$O$2-G32,G32-(A32-1)/$O$2)</f>
        <v/>
      </c>
      <c r="K32" s="8">
        <f>GAMMA.INV(C32,Gamma_fit!$K$18,Gamma_fit!$K$19)</f>
        <v/>
      </c>
      <c r="L32" s="8">
        <f>-Gamma_fit!$K$10*LN(1-C32)</f>
        <v/>
      </c>
      <c r="M32" s="9">
        <f>PERCENTRANK.INC($B$2:$B$69,B32,6)</f>
        <v/>
      </c>
    </row>
    <row r="33">
      <c r="A33">
        <f>ROW()-1</f>
        <v/>
      </c>
      <c r="B33" s="8">
        <f>SMALL(Gamma_fit!$F$2:$F$121,A33)</f>
        <v/>
      </c>
      <c r="C33" s="9">
        <f>A33/($O$2+1)</f>
        <v/>
      </c>
      <c r="D33" s="9">
        <f>A33/$O$2</f>
        <v/>
      </c>
      <c r="E33" s="9">
        <f>GAMMA.DIST(B33,Gamma_fit!$K$13,Gamma_fit!$K$14,TRUE)</f>
        <v/>
      </c>
      <c r="F33" s="9">
        <f>GAMMA.DIST(B33,Gamma_fit!$K$18,Gamma_fit!$K$19,TRUE)</f>
        <v/>
      </c>
      <c r="G33" s="9">
        <f>1-EXP(-B33/Gamma_fit!$K$10)</f>
        <v/>
      </c>
      <c r="H33" s="9">
        <f>MAX(A33/$O$2-E33,E33-(A33-1)/$O$2)</f>
        <v/>
      </c>
      <c r="I33" s="9">
        <f>MAX(A33/$O$2-F33,F33-(A33-1)/$O$2)</f>
        <v/>
      </c>
      <c r="J33" s="9">
        <f>MAX(A33/$O$2-G33,G33-(A33-1)/$O$2)</f>
        <v/>
      </c>
      <c r="K33" s="8">
        <f>GAMMA.INV(C33,Gamma_fit!$K$18,Gamma_fit!$K$19)</f>
        <v/>
      </c>
      <c r="L33" s="8">
        <f>-Gamma_fit!$K$10*LN(1-C33)</f>
        <v/>
      </c>
      <c r="M33" s="9">
        <f>PERCENTRANK.INC($B$2:$B$69,B33,6)</f>
        <v/>
      </c>
    </row>
    <row r="34">
      <c r="A34">
        <f>ROW()-1</f>
        <v/>
      </c>
      <c r="B34" s="8">
        <f>SMALL(Gamma_fit!$F$2:$F$121,A34)</f>
        <v/>
      </c>
      <c r="C34" s="9">
        <f>A34/($O$2+1)</f>
        <v/>
      </c>
      <c r="D34" s="9">
        <f>A34/$O$2</f>
        <v/>
      </c>
      <c r="E34" s="9">
        <f>GAMMA.DIST(B34,Gamma_fit!$K$13,Gamma_fit!$K$14,TRUE)</f>
        <v/>
      </c>
      <c r="F34" s="9">
        <f>GAMMA.DIST(B34,Gamma_fit!$K$18,Gamma_fit!$K$19,TRUE)</f>
        <v/>
      </c>
      <c r="G34" s="9">
        <f>1-EXP(-B34/Gamma_fit!$K$10)</f>
        <v/>
      </c>
      <c r="H34" s="9">
        <f>MAX(A34/$O$2-E34,E34-(A34-1)/$O$2)</f>
        <v/>
      </c>
      <c r="I34" s="9">
        <f>MAX(A34/$O$2-F34,F34-(A34-1)/$O$2)</f>
        <v/>
      </c>
      <c r="J34" s="9">
        <f>MAX(A34/$O$2-G34,G34-(A34-1)/$O$2)</f>
        <v/>
      </c>
      <c r="K34" s="8">
        <f>GAMMA.INV(C34,Gamma_fit!$K$18,Gamma_fit!$K$19)</f>
        <v/>
      </c>
      <c r="L34" s="8">
        <f>-Gamma_fit!$K$10*LN(1-C34)</f>
        <v/>
      </c>
      <c r="M34" s="9">
        <f>PERCENTRANK.INC($B$2:$B$69,B34,6)</f>
        <v/>
      </c>
    </row>
    <row r="35">
      <c r="A35">
        <f>ROW()-1</f>
        <v/>
      </c>
      <c r="B35" s="8">
        <f>SMALL(Gamma_fit!$F$2:$F$121,A35)</f>
        <v/>
      </c>
      <c r="C35" s="9">
        <f>A35/($O$2+1)</f>
        <v/>
      </c>
      <c r="D35" s="9">
        <f>A35/$O$2</f>
        <v/>
      </c>
      <c r="E35" s="9">
        <f>GAMMA.DIST(B35,Gamma_fit!$K$13,Gamma_fit!$K$14,TRUE)</f>
        <v/>
      </c>
      <c r="F35" s="9">
        <f>GAMMA.DIST(B35,Gamma_fit!$K$18,Gamma_fit!$K$19,TRUE)</f>
        <v/>
      </c>
      <c r="G35" s="9">
        <f>1-EXP(-B35/Gamma_fit!$K$10)</f>
        <v/>
      </c>
      <c r="H35" s="9">
        <f>MAX(A35/$O$2-E35,E35-(A35-1)/$O$2)</f>
        <v/>
      </c>
      <c r="I35" s="9">
        <f>MAX(A35/$O$2-F35,F35-(A35-1)/$O$2)</f>
        <v/>
      </c>
      <c r="J35" s="9">
        <f>MAX(A35/$O$2-G35,G35-(A35-1)/$O$2)</f>
        <v/>
      </c>
      <c r="K35" s="8">
        <f>GAMMA.INV(C35,Gamma_fit!$K$18,Gamma_fit!$K$19)</f>
        <v/>
      </c>
      <c r="L35" s="8">
        <f>-Gamma_fit!$K$10*LN(1-C35)</f>
        <v/>
      </c>
      <c r="M35" s="9">
        <f>PERCENTRANK.INC($B$2:$B$69,B35,6)</f>
        <v/>
      </c>
    </row>
    <row r="36">
      <c r="A36">
        <f>ROW()-1</f>
        <v/>
      </c>
      <c r="B36" s="8">
        <f>SMALL(Gamma_fit!$F$2:$F$121,A36)</f>
        <v/>
      </c>
      <c r="C36" s="9">
        <f>A36/($O$2+1)</f>
        <v/>
      </c>
      <c r="D36" s="9">
        <f>A36/$O$2</f>
        <v/>
      </c>
      <c r="E36" s="9">
        <f>GAMMA.DIST(B36,Gamma_fit!$K$13,Gamma_fit!$K$14,TRUE)</f>
        <v/>
      </c>
      <c r="F36" s="9">
        <f>GAMMA.DIST(B36,Gamma_fit!$K$18,Gamma_fit!$K$19,TRUE)</f>
        <v/>
      </c>
      <c r="G36" s="9">
        <f>1-EXP(-B36/Gamma_fit!$K$10)</f>
        <v/>
      </c>
      <c r="H36" s="9">
        <f>MAX(A36/$O$2-E36,E36-(A36-1)/$O$2)</f>
        <v/>
      </c>
      <c r="I36" s="9">
        <f>MAX(A36/$O$2-F36,F36-(A36-1)/$O$2)</f>
        <v/>
      </c>
      <c r="J36" s="9">
        <f>MAX(A36/$O$2-G36,G36-(A36-1)/$O$2)</f>
        <v/>
      </c>
      <c r="K36" s="8">
        <f>GAMMA.INV(C36,Gamma_fit!$K$18,Gamma_fit!$K$19)</f>
        <v/>
      </c>
      <c r="L36" s="8">
        <f>-Gamma_fit!$K$10*LN(1-C36)</f>
        <v/>
      </c>
      <c r="M36" s="9">
        <f>PERCENTRANK.INC($B$2:$B$69,B36,6)</f>
        <v/>
      </c>
    </row>
    <row r="37">
      <c r="A37">
        <f>ROW()-1</f>
        <v/>
      </c>
      <c r="B37" s="8">
        <f>SMALL(Gamma_fit!$F$2:$F$121,A37)</f>
        <v/>
      </c>
      <c r="C37" s="9">
        <f>A37/($O$2+1)</f>
        <v/>
      </c>
      <c r="D37" s="9">
        <f>A37/$O$2</f>
        <v/>
      </c>
      <c r="E37" s="9">
        <f>GAMMA.DIST(B37,Gamma_fit!$K$13,Gamma_fit!$K$14,TRUE)</f>
        <v/>
      </c>
      <c r="F37" s="9">
        <f>GAMMA.DIST(B37,Gamma_fit!$K$18,Gamma_fit!$K$19,TRUE)</f>
        <v/>
      </c>
      <c r="G37" s="9">
        <f>1-EXP(-B37/Gamma_fit!$K$10)</f>
        <v/>
      </c>
      <c r="H37" s="9">
        <f>MAX(A37/$O$2-E37,E37-(A37-1)/$O$2)</f>
        <v/>
      </c>
      <c r="I37" s="9">
        <f>MAX(A37/$O$2-F37,F37-(A37-1)/$O$2)</f>
        <v/>
      </c>
      <c r="J37" s="9">
        <f>MAX(A37/$O$2-G37,G37-(A37-1)/$O$2)</f>
        <v/>
      </c>
      <c r="K37" s="8">
        <f>GAMMA.INV(C37,Gamma_fit!$K$18,Gamma_fit!$K$19)</f>
        <v/>
      </c>
      <c r="L37" s="8">
        <f>-Gamma_fit!$K$10*LN(1-C37)</f>
        <v/>
      </c>
      <c r="M37" s="9">
        <f>PERCENTRANK.INC($B$2:$B$69,B37,6)</f>
        <v/>
      </c>
    </row>
    <row r="38">
      <c r="A38">
        <f>ROW()-1</f>
        <v/>
      </c>
      <c r="B38" s="8">
        <f>SMALL(Gamma_fit!$F$2:$F$121,A38)</f>
        <v/>
      </c>
      <c r="C38" s="9">
        <f>A38/($O$2+1)</f>
        <v/>
      </c>
      <c r="D38" s="9">
        <f>A38/$O$2</f>
        <v/>
      </c>
      <c r="E38" s="9">
        <f>GAMMA.DIST(B38,Gamma_fit!$K$13,Gamma_fit!$K$14,TRUE)</f>
        <v/>
      </c>
      <c r="F38" s="9">
        <f>GAMMA.DIST(B38,Gamma_fit!$K$18,Gamma_fit!$K$19,TRUE)</f>
        <v/>
      </c>
      <c r="G38" s="9">
        <f>1-EXP(-B38/Gamma_fit!$K$10)</f>
        <v/>
      </c>
      <c r="H38" s="9">
        <f>MAX(A38/$O$2-E38,E38-(A38-1)/$O$2)</f>
        <v/>
      </c>
      <c r="I38" s="9">
        <f>MAX(A38/$O$2-F38,F38-(A38-1)/$O$2)</f>
        <v/>
      </c>
      <c r="J38" s="9">
        <f>MAX(A38/$O$2-G38,G38-(A38-1)/$O$2)</f>
        <v/>
      </c>
      <c r="K38" s="8">
        <f>GAMMA.INV(C38,Gamma_fit!$K$18,Gamma_fit!$K$19)</f>
        <v/>
      </c>
      <c r="L38" s="8">
        <f>-Gamma_fit!$K$10*LN(1-C38)</f>
        <v/>
      </c>
      <c r="M38" s="9">
        <f>PERCENTRANK.INC($B$2:$B$69,B38,6)</f>
        <v/>
      </c>
    </row>
    <row r="39">
      <c r="A39">
        <f>ROW()-1</f>
        <v/>
      </c>
      <c r="B39" s="8">
        <f>SMALL(Gamma_fit!$F$2:$F$121,A39)</f>
        <v/>
      </c>
      <c r="C39" s="9">
        <f>A39/($O$2+1)</f>
        <v/>
      </c>
      <c r="D39" s="9">
        <f>A39/$O$2</f>
        <v/>
      </c>
      <c r="E39" s="9">
        <f>GAMMA.DIST(B39,Gamma_fit!$K$13,Gamma_fit!$K$14,TRUE)</f>
        <v/>
      </c>
      <c r="F39" s="9">
        <f>GAMMA.DIST(B39,Gamma_fit!$K$18,Gamma_fit!$K$19,TRUE)</f>
        <v/>
      </c>
      <c r="G39" s="9">
        <f>1-EXP(-B39/Gamma_fit!$K$10)</f>
        <v/>
      </c>
      <c r="H39" s="9">
        <f>MAX(A39/$O$2-E39,E39-(A39-1)/$O$2)</f>
        <v/>
      </c>
      <c r="I39" s="9">
        <f>MAX(A39/$O$2-F39,F39-(A39-1)/$O$2)</f>
        <v/>
      </c>
      <c r="J39" s="9">
        <f>MAX(A39/$O$2-G39,G39-(A39-1)/$O$2)</f>
        <v/>
      </c>
      <c r="K39" s="8">
        <f>GAMMA.INV(C39,Gamma_fit!$K$18,Gamma_fit!$K$19)</f>
        <v/>
      </c>
      <c r="L39" s="8">
        <f>-Gamma_fit!$K$10*LN(1-C39)</f>
        <v/>
      </c>
      <c r="M39" s="9">
        <f>PERCENTRANK.INC($B$2:$B$69,B39,6)</f>
        <v/>
      </c>
    </row>
    <row r="40">
      <c r="A40">
        <f>ROW()-1</f>
        <v/>
      </c>
      <c r="B40" s="8">
        <f>SMALL(Gamma_fit!$F$2:$F$121,A40)</f>
        <v/>
      </c>
      <c r="C40" s="9">
        <f>A40/($O$2+1)</f>
        <v/>
      </c>
      <c r="D40" s="9">
        <f>A40/$O$2</f>
        <v/>
      </c>
      <c r="E40" s="9">
        <f>GAMMA.DIST(B40,Gamma_fit!$K$13,Gamma_fit!$K$14,TRUE)</f>
        <v/>
      </c>
      <c r="F40" s="9">
        <f>GAMMA.DIST(B40,Gamma_fit!$K$18,Gamma_fit!$K$19,TRUE)</f>
        <v/>
      </c>
      <c r="G40" s="9">
        <f>1-EXP(-B40/Gamma_fit!$K$10)</f>
        <v/>
      </c>
      <c r="H40" s="9">
        <f>MAX(A40/$O$2-E40,E40-(A40-1)/$O$2)</f>
        <v/>
      </c>
      <c r="I40" s="9">
        <f>MAX(A40/$O$2-F40,F40-(A40-1)/$O$2)</f>
        <v/>
      </c>
      <c r="J40" s="9">
        <f>MAX(A40/$O$2-G40,G40-(A40-1)/$O$2)</f>
        <v/>
      </c>
      <c r="K40" s="8">
        <f>GAMMA.INV(C40,Gamma_fit!$K$18,Gamma_fit!$K$19)</f>
        <v/>
      </c>
      <c r="L40" s="8">
        <f>-Gamma_fit!$K$10*LN(1-C40)</f>
        <v/>
      </c>
      <c r="M40" s="9">
        <f>PERCENTRANK.INC($B$2:$B$69,B40,6)</f>
        <v/>
      </c>
    </row>
    <row r="41">
      <c r="A41">
        <f>ROW()-1</f>
        <v/>
      </c>
      <c r="B41" s="8">
        <f>SMALL(Gamma_fit!$F$2:$F$121,A41)</f>
        <v/>
      </c>
      <c r="C41" s="9">
        <f>A41/($O$2+1)</f>
        <v/>
      </c>
      <c r="D41" s="9">
        <f>A41/$O$2</f>
        <v/>
      </c>
      <c r="E41" s="9">
        <f>GAMMA.DIST(B41,Gamma_fit!$K$13,Gamma_fit!$K$14,TRUE)</f>
        <v/>
      </c>
      <c r="F41" s="9">
        <f>GAMMA.DIST(B41,Gamma_fit!$K$18,Gamma_fit!$K$19,TRUE)</f>
        <v/>
      </c>
      <c r="G41" s="9">
        <f>1-EXP(-B41/Gamma_fit!$K$10)</f>
        <v/>
      </c>
      <c r="H41" s="9">
        <f>MAX(A41/$O$2-E41,E41-(A41-1)/$O$2)</f>
        <v/>
      </c>
      <c r="I41" s="9">
        <f>MAX(A41/$O$2-F41,F41-(A41-1)/$O$2)</f>
        <v/>
      </c>
      <c r="J41" s="9">
        <f>MAX(A41/$O$2-G41,G41-(A41-1)/$O$2)</f>
        <v/>
      </c>
      <c r="K41" s="8">
        <f>GAMMA.INV(C41,Gamma_fit!$K$18,Gamma_fit!$K$19)</f>
        <v/>
      </c>
      <c r="L41" s="8">
        <f>-Gamma_fit!$K$10*LN(1-C41)</f>
        <v/>
      </c>
      <c r="M41" s="9">
        <f>PERCENTRANK.INC($B$2:$B$69,B41,6)</f>
        <v/>
      </c>
    </row>
    <row r="42">
      <c r="A42">
        <f>ROW()-1</f>
        <v/>
      </c>
      <c r="B42" s="8">
        <f>SMALL(Gamma_fit!$F$2:$F$121,A42)</f>
        <v/>
      </c>
      <c r="C42" s="9">
        <f>A42/($O$2+1)</f>
        <v/>
      </c>
      <c r="D42" s="9">
        <f>A42/$O$2</f>
        <v/>
      </c>
      <c r="E42" s="9">
        <f>GAMMA.DIST(B42,Gamma_fit!$K$13,Gamma_fit!$K$14,TRUE)</f>
        <v/>
      </c>
      <c r="F42" s="9">
        <f>GAMMA.DIST(B42,Gamma_fit!$K$18,Gamma_fit!$K$19,TRUE)</f>
        <v/>
      </c>
      <c r="G42" s="9">
        <f>1-EXP(-B42/Gamma_fit!$K$10)</f>
        <v/>
      </c>
      <c r="H42" s="9">
        <f>MAX(A42/$O$2-E42,E42-(A42-1)/$O$2)</f>
        <v/>
      </c>
      <c r="I42" s="9">
        <f>MAX(A42/$O$2-F42,F42-(A42-1)/$O$2)</f>
        <v/>
      </c>
      <c r="J42" s="9">
        <f>MAX(A42/$O$2-G42,G42-(A42-1)/$O$2)</f>
        <v/>
      </c>
      <c r="K42" s="8">
        <f>GAMMA.INV(C42,Gamma_fit!$K$18,Gamma_fit!$K$19)</f>
        <v/>
      </c>
      <c r="L42" s="8">
        <f>-Gamma_fit!$K$10*LN(1-C42)</f>
        <v/>
      </c>
      <c r="M42" s="9">
        <f>PERCENTRANK.INC($B$2:$B$69,B42,6)</f>
        <v/>
      </c>
    </row>
    <row r="43">
      <c r="A43">
        <f>ROW()-1</f>
        <v/>
      </c>
      <c r="B43" s="8">
        <f>SMALL(Gamma_fit!$F$2:$F$121,A43)</f>
        <v/>
      </c>
      <c r="C43" s="9">
        <f>A43/($O$2+1)</f>
        <v/>
      </c>
      <c r="D43" s="9">
        <f>A43/$O$2</f>
        <v/>
      </c>
      <c r="E43" s="9">
        <f>GAMMA.DIST(B43,Gamma_fit!$K$13,Gamma_fit!$K$14,TRUE)</f>
        <v/>
      </c>
      <c r="F43" s="9">
        <f>GAMMA.DIST(B43,Gamma_fit!$K$18,Gamma_fit!$K$19,TRUE)</f>
        <v/>
      </c>
      <c r="G43" s="9">
        <f>1-EXP(-B43/Gamma_fit!$K$10)</f>
        <v/>
      </c>
      <c r="H43" s="9">
        <f>MAX(A43/$O$2-E43,E43-(A43-1)/$O$2)</f>
        <v/>
      </c>
      <c r="I43" s="9">
        <f>MAX(A43/$O$2-F43,F43-(A43-1)/$O$2)</f>
        <v/>
      </c>
      <c r="J43" s="9">
        <f>MAX(A43/$O$2-G43,G43-(A43-1)/$O$2)</f>
        <v/>
      </c>
      <c r="K43" s="8">
        <f>GAMMA.INV(C43,Gamma_fit!$K$18,Gamma_fit!$K$19)</f>
        <v/>
      </c>
      <c r="L43" s="8">
        <f>-Gamma_fit!$K$10*LN(1-C43)</f>
        <v/>
      </c>
      <c r="M43" s="9">
        <f>PERCENTRANK.INC($B$2:$B$69,B43,6)</f>
        <v/>
      </c>
    </row>
    <row r="44">
      <c r="A44">
        <f>ROW()-1</f>
        <v/>
      </c>
      <c r="B44" s="8">
        <f>SMALL(Gamma_fit!$F$2:$F$121,A44)</f>
        <v/>
      </c>
      <c r="C44" s="9">
        <f>A44/($O$2+1)</f>
        <v/>
      </c>
      <c r="D44" s="9">
        <f>A44/$O$2</f>
        <v/>
      </c>
      <c r="E44" s="9">
        <f>GAMMA.DIST(B44,Gamma_fit!$K$13,Gamma_fit!$K$14,TRUE)</f>
        <v/>
      </c>
      <c r="F44" s="9">
        <f>GAMMA.DIST(B44,Gamma_fit!$K$18,Gamma_fit!$K$19,TRUE)</f>
        <v/>
      </c>
      <c r="G44" s="9">
        <f>1-EXP(-B44/Gamma_fit!$K$10)</f>
        <v/>
      </c>
      <c r="H44" s="9">
        <f>MAX(A44/$O$2-E44,E44-(A44-1)/$O$2)</f>
        <v/>
      </c>
      <c r="I44" s="9">
        <f>MAX(A44/$O$2-F44,F44-(A44-1)/$O$2)</f>
        <v/>
      </c>
      <c r="J44" s="9">
        <f>MAX(A44/$O$2-G44,G44-(A44-1)/$O$2)</f>
        <v/>
      </c>
      <c r="K44" s="8">
        <f>GAMMA.INV(C44,Gamma_fit!$K$18,Gamma_fit!$K$19)</f>
        <v/>
      </c>
      <c r="L44" s="8">
        <f>-Gamma_fit!$K$10*LN(1-C44)</f>
        <v/>
      </c>
      <c r="M44" s="9">
        <f>PERCENTRANK.INC($B$2:$B$69,B44,6)</f>
        <v/>
      </c>
    </row>
    <row r="45">
      <c r="A45">
        <f>ROW()-1</f>
        <v/>
      </c>
      <c r="B45" s="8">
        <f>SMALL(Gamma_fit!$F$2:$F$121,A45)</f>
        <v/>
      </c>
      <c r="C45" s="9">
        <f>A45/($O$2+1)</f>
        <v/>
      </c>
      <c r="D45" s="9">
        <f>A45/$O$2</f>
        <v/>
      </c>
      <c r="E45" s="9">
        <f>GAMMA.DIST(B45,Gamma_fit!$K$13,Gamma_fit!$K$14,TRUE)</f>
        <v/>
      </c>
      <c r="F45" s="9">
        <f>GAMMA.DIST(B45,Gamma_fit!$K$18,Gamma_fit!$K$19,TRUE)</f>
        <v/>
      </c>
      <c r="G45" s="9">
        <f>1-EXP(-B45/Gamma_fit!$K$10)</f>
        <v/>
      </c>
      <c r="H45" s="9">
        <f>MAX(A45/$O$2-E45,E45-(A45-1)/$O$2)</f>
        <v/>
      </c>
      <c r="I45" s="9">
        <f>MAX(A45/$O$2-F45,F45-(A45-1)/$O$2)</f>
        <v/>
      </c>
      <c r="J45" s="9">
        <f>MAX(A45/$O$2-G45,G45-(A45-1)/$O$2)</f>
        <v/>
      </c>
      <c r="K45" s="8">
        <f>GAMMA.INV(C45,Gamma_fit!$K$18,Gamma_fit!$K$19)</f>
        <v/>
      </c>
      <c r="L45" s="8">
        <f>-Gamma_fit!$K$10*LN(1-C45)</f>
        <v/>
      </c>
      <c r="M45" s="9">
        <f>PERCENTRANK.INC($B$2:$B$69,B45,6)</f>
        <v/>
      </c>
    </row>
    <row r="46">
      <c r="A46">
        <f>ROW()-1</f>
        <v/>
      </c>
      <c r="B46" s="8">
        <f>SMALL(Gamma_fit!$F$2:$F$121,A46)</f>
        <v/>
      </c>
      <c r="C46" s="9">
        <f>A46/($O$2+1)</f>
        <v/>
      </c>
      <c r="D46" s="9">
        <f>A46/$O$2</f>
        <v/>
      </c>
      <c r="E46" s="9">
        <f>GAMMA.DIST(B46,Gamma_fit!$K$13,Gamma_fit!$K$14,TRUE)</f>
        <v/>
      </c>
      <c r="F46" s="9">
        <f>GAMMA.DIST(B46,Gamma_fit!$K$18,Gamma_fit!$K$19,TRUE)</f>
        <v/>
      </c>
      <c r="G46" s="9">
        <f>1-EXP(-B46/Gamma_fit!$K$10)</f>
        <v/>
      </c>
      <c r="H46" s="9">
        <f>MAX(A46/$O$2-E46,E46-(A46-1)/$O$2)</f>
        <v/>
      </c>
      <c r="I46" s="9">
        <f>MAX(A46/$O$2-F46,F46-(A46-1)/$O$2)</f>
        <v/>
      </c>
      <c r="J46" s="9">
        <f>MAX(A46/$O$2-G46,G46-(A46-1)/$O$2)</f>
        <v/>
      </c>
      <c r="K46" s="8">
        <f>GAMMA.INV(C46,Gamma_fit!$K$18,Gamma_fit!$K$19)</f>
        <v/>
      </c>
      <c r="L46" s="8">
        <f>-Gamma_fit!$K$10*LN(1-C46)</f>
        <v/>
      </c>
      <c r="M46" s="9">
        <f>PERCENTRANK.INC($B$2:$B$69,B46,6)</f>
        <v/>
      </c>
    </row>
    <row r="47">
      <c r="A47">
        <f>ROW()-1</f>
        <v/>
      </c>
      <c r="B47" s="8">
        <f>SMALL(Gamma_fit!$F$2:$F$121,A47)</f>
        <v/>
      </c>
      <c r="C47" s="9">
        <f>A47/($O$2+1)</f>
        <v/>
      </c>
      <c r="D47" s="9">
        <f>A47/$O$2</f>
        <v/>
      </c>
      <c r="E47" s="9">
        <f>GAMMA.DIST(B47,Gamma_fit!$K$13,Gamma_fit!$K$14,TRUE)</f>
        <v/>
      </c>
      <c r="F47" s="9">
        <f>GAMMA.DIST(B47,Gamma_fit!$K$18,Gamma_fit!$K$19,TRUE)</f>
        <v/>
      </c>
      <c r="G47" s="9">
        <f>1-EXP(-B47/Gamma_fit!$K$10)</f>
        <v/>
      </c>
      <c r="H47" s="9">
        <f>MAX(A47/$O$2-E47,E47-(A47-1)/$O$2)</f>
        <v/>
      </c>
      <c r="I47" s="9">
        <f>MAX(A47/$O$2-F47,F47-(A47-1)/$O$2)</f>
        <v/>
      </c>
      <c r="J47" s="9">
        <f>MAX(A47/$O$2-G47,G47-(A47-1)/$O$2)</f>
        <v/>
      </c>
      <c r="K47" s="8">
        <f>GAMMA.INV(C47,Gamma_fit!$K$18,Gamma_fit!$K$19)</f>
        <v/>
      </c>
      <c r="L47" s="8">
        <f>-Gamma_fit!$K$10*LN(1-C47)</f>
        <v/>
      </c>
      <c r="M47" s="9">
        <f>PERCENTRANK.INC($B$2:$B$69,B47,6)</f>
        <v/>
      </c>
    </row>
    <row r="48">
      <c r="A48">
        <f>ROW()-1</f>
        <v/>
      </c>
      <c r="B48" s="8">
        <f>SMALL(Gamma_fit!$F$2:$F$121,A48)</f>
        <v/>
      </c>
      <c r="C48" s="9">
        <f>A48/($O$2+1)</f>
        <v/>
      </c>
      <c r="D48" s="9">
        <f>A48/$O$2</f>
        <v/>
      </c>
      <c r="E48" s="9">
        <f>GAMMA.DIST(B48,Gamma_fit!$K$13,Gamma_fit!$K$14,TRUE)</f>
        <v/>
      </c>
      <c r="F48" s="9">
        <f>GAMMA.DIST(B48,Gamma_fit!$K$18,Gamma_fit!$K$19,TRUE)</f>
        <v/>
      </c>
      <c r="G48" s="9">
        <f>1-EXP(-B48/Gamma_fit!$K$10)</f>
        <v/>
      </c>
      <c r="H48" s="9">
        <f>MAX(A48/$O$2-E48,E48-(A48-1)/$O$2)</f>
        <v/>
      </c>
      <c r="I48" s="9">
        <f>MAX(A48/$O$2-F48,F48-(A48-1)/$O$2)</f>
        <v/>
      </c>
      <c r="J48" s="9">
        <f>MAX(A48/$O$2-G48,G48-(A48-1)/$O$2)</f>
        <v/>
      </c>
      <c r="K48" s="8">
        <f>GAMMA.INV(C48,Gamma_fit!$K$18,Gamma_fit!$K$19)</f>
        <v/>
      </c>
      <c r="L48" s="8">
        <f>-Gamma_fit!$K$10*LN(1-C48)</f>
        <v/>
      </c>
      <c r="M48" s="9">
        <f>PERCENTRANK.INC($B$2:$B$69,B48,6)</f>
        <v/>
      </c>
    </row>
    <row r="49">
      <c r="A49">
        <f>ROW()-1</f>
        <v/>
      </c>
      <c r="B49" s="8">
        <f>SMALL(Gamma_fit!$F$2:$F$121,A49)</f>
        <v/>
      </c>
      <c r="C49" s="9">
        <f>A49/($O$2+1)</f>
        <v/>
      </c>
      <c r="D49" s="9">
        <f>A49/$O$2</f>
        <v/>
      </c>
      <c r="E49" s="9">
        <f>GAMMA.DIST(B49,Gamma_fit!$K$13,Gamma_fit!$K$14,TRUE)</f>
        <v/>
      </c>
      <c r="F49" s="9">
        <f>GAMMA.DIST(B49,Gamma_fit!$K$18,Gamma_fit!$K$19,TRUE)</f>
        <v/>
      </c>
      <c r="G49" s="9">
        <f>1-EXP(-B49/Gamma_fit!$K$10)</f>
        <v/>
      </c>
      <c r="H49" s="9">
        <f>MAX(A49/$O$2-E49,E49-(A49-1)/$O$2)</f>
        <v/>
      </c>
      <c r="I49" s="9">
        <f>MAX(A49/$O$2-F49,F49-(A49-1)/$O$2)</f>
        <v/>
      </c>
      <c r="J49" s="9">
        <f>MAX(A49/$O$2-G49,G49-(A49-1)/$O$2)</f>
        <v/>
      </c>
      <c r="K49" s="8">
        <f>GAMMA.INV(C49,Gamma_fit!$K$18,Gamma_fit!$K$19)</f>
        <v/>
      </c>
      <c r="L49" s="8">
        <f>-Gamma_fit!$K$10*LN(1-C49)</f>
        <v/>
      </c>
      <c r="M49" s="9">
        <f>PERCENTRANK.INC($B$2:$B$69,B49,6)</f>
        <v/>
      </c>
    </row>
    <row r="50">
      <c r="A50">
        <f>ROW()-1</f>
        <v/>
      </c>
      <c r="B50" s="8">
        <f>SMALL(Gamma_fit!$F$2:$F$121,A50)</f>
        <v/>
      </c>
      <c r="C50" s="9">
        <f>A50/($O$2+1)</f>
        <v/>
      </c>
      <c r="D50" s="9">
        <f>A50/$O$2</f>
        <v/>
      </c>
      <c r="E50" s="9">
        <f>GAMMA.DIST(B50,Gamma_fit!$K$13,Gamma_fit!$K$14,TRUE)</f>
        <v/>
      </c>
      <c r="F50" s="9">
        <f>GAMMA.DIST(B50,Gamma_fit!$K$18,Gamma_fit!$K$19,TRUE)</f>
        <v/>
      </c>
      <c r="G50" s="9">
        <f>1-EXP(-B50/Gamma_fit!$K$10)</f>
        <v/>
      </c>
      <c r="H50" s="9">
        <f>MAX(A50/$O$2-E50,E50-(A50-1)/$O$2)</f>
        <v/>
      </c>
      <c r="I50" s="9">
        <f>MAX(A50/$O$2-F50,F50-(A50-1)/$O$2)</f>
        <v/>
      </c>
      <c r="J50" s="9">
        <f>MAX(A50/$O$2-G50,G50-(A50-1)/$O$2)</f>
        <v/>
      </c>
      <c r="K50" s="8">
        <f>GAMMA.INV(C50,Gamma_fit!$K$18,Gamma_fit!$K$19)</f>
        <v/>
      </c>
      <c r="L50" s="8">
        <f>-Gamma_fit!$K$10*LN(1-C50)</f>
        <v/>
      </c>
      <c r="M50" s="9">
        <f>PERCENTRANK.INC($B$2:$B$69,B50,6)</f>
        <v/>
      </c>
    </row>
    <row r="51">
      <c r="A51">
        <f>ROW()-1</f>
        <v/>
      </c>
      <c r="B51" s="8">
        <f>SMALL(Gamma_fit!$F$2:$F$121,A51)</f>
        <v/>
      </c>
      <c r="C51" s="9">
        <f>A51/($O$2+1)</f>
        <v/>
      </c>
      <c r="D51" s="9">
        <f>A51/$O$2</f>
        <v/>
      </c>
      <c r="E51" s="9">
        <f>GAMMA.DIST(B51,Gamma_fit!$K$13,Gamma_fit!$K$14,TRUE)</f>
        <v/>
      </c>
      <c r="F51" s="9">
        <f>GAMMA.DIST(B51,Gamma_fit!$K$18,Gamma_fit!$K$19,TRUE)</f>
        <v/>
      </c>
      <c r="G51" s="9">
        <f>1-EXP(-B51/Gamma_fit!$K$10)</f>
        <v/>
      </c>
      <c r="H51" s="9">
        <f>MAX(A51/$O$2-E51,E51-(A51-1)/$O$2)</f>
        <v/>
      </c>
      <c r="I51" s="9">
        <f>MAX(A51/$O$2-F51,F51-(A51-1)/$O$2)</f>
        <v/>
      </c>
      <c r="J51" s="9">
        <f>MAX(A51/$O$2-G51,G51-(A51-1)/$O$2)</f>
        <v/>
      </c>
      <c r="K51" s="8">
        <f>GAMMA.INV(C51,Gamma_fit!$K$18,Gamma_fit!$K$19)</f>
        <v/>
      </c>
      <c r="L51" s="8">
        <f>-Gamma_fit!$K$10*LN(1-C51)</f>
        <v/>
      </c>
      <c r="M51" s="9">
        <f>PERCENTRANK.INC($B$2:$B$69,B51,6)</f>
        <v/>
      </c>
    </row>
    <row r="52">
      <c r="A52">
        <f>ROW()-1</f>
        <v/>
      </c>
      <c r="B52" s="8">
        <f>SMALL(Gamma_fit!$F$2:$F$121,A52)</f>
        <v/>
      </c>
      <c r="C52" s="9">
        <f>A52/($O$2+1)</f>
        <v/>
      </c>
      <c r="D52" s="9">
        <f>A52/$O$2</f>
        <v/>
      </c>
      <c r="E52" s="9">
        <f>GAMMA.DIST(B52,Gamma_fit!$K$13,Gamma_fit!$K$14,TRUE)</f>
        <v/>
      </c>
      <c r="F52" s="9">
        <f>GAMMA.DIST(B52,Gamma_fit!$K$18,Gamma_fit!$K$19,TRUE)</f>
        <v/>
      </c>
      <c r="G52" s="9">
        <f>1-EXP(-B52/Gamma_fit!$K$10)</f>
        <v/>
      </c>
      <c r="H52" s="9">
        <f>MAX(A52/$O$2-E52,E52-(A52-1)/$O$2)</f>
        <v/>
      </c>
      <c r="I52" s="9">
        <f>MAX(A52/$O$2-F52,F52-(A52-1)/$O$2)</f>
        <v/>
      </c>
      <c r="J52" s="9">
        <f>MAX(A52/$O$2-G52,G52-(A52-1)/$O$2)</f>
        <v/>
      </c>
      <c r="K52" s="8">
        <f>GAMMA.INV(C52,Gamma_fit!$K$18,Gamma_fit!$K$19)</f>
        <v/>
      </c>
      <c r="L52" s="8">
        <f>-Gamma_fit!$K$10*LN(1-C52)</f>
        <v/>
      </c>
      <c r="M52" s="9">
        <f>PERCENTRANK.INC($B$2:$B$69,B52,6)</f>
        <v/>
      </c>
    </row>
    <row r="53">
      <c r="A53">
        <f>ROW()-1</f>
        <v/>
      </c>
      <c r="B53" s="8">
        <f>SMALL(Gamma_fit!$F$2:$F$121,A53)</f>
        <v/>
      </c>
      <c r="C53" s="9">
        <f>A53/($O$2+1)</f>
        <v/>
      </c>
      <c r="D53" s="9">
        <f>A53/$O$2</f>
        <v/>
      </c>
      <c r="E53" s="9">
        <f>GAMMA.DIST(B53,Gamma_fit!$K$13,Gamma_fit!$K$14,TRUE)</f>
        <v/>
      </c>
      <c r="F53" s="9">
        <f>GAMMA.DIST(B53,Gamma_fit!$K$18,Gamma_fit!$K$19,TRUE)</f>
        <v/>
      </c>
      <c r="G53" s="9">
        <f>1-EXP(-B53/Gamma_fit!$K$10)</f>
        <v/>
      </c>
      <c r="H53" s="9">
        <f>MAX(A53/$O$2-E53,E53-(A53-1)/$O$2)</f>
        <v/>
      </c>
      <c r="I53" s="9">
        <f>MAX(A53/$O$2-F53,F53-(A53-1)/$O$2)</f>
        <v/>
      </c>
      <c r="J53" s="9">
        <f>MAX(A53/$O$2-G53,G53-(A53-1)/$O$2)</f>
        <v/>
      </c>
      <c r="K53" s="8">
        <f>GAMMA.INV(C53,Gamma_fit!$K$18,Gamma_fit!$K$19)</f>
        <v/>
      </c>
      <c r="L53" s="8">
        <f>-Gamma_fit!$K$10*LN(1-C53)</f>
        <v/>
      </c>
      <c r="M53" s="9">
        <f>PERCENTRANK.INC($B$2:$B$69,B53,6)</f>
        <v/>
      </c>
    </row>
    <row r="54">
      <c r="A54">
        <f>ROW()-1</f>
        <v/>
      </c>
      <c r="B54" s="8">
        <f>SMALL(Gamma_fit!$F$2:$F$121,A54)</f>
        <v/>
      </c>
      <c r="C54" s="9">
        <f>A54/($O$2+1)</f>
        <v/>
      </c>
      <c r="D54" s="9">
        <f>A54/$O$2</f>
        <v/>
      </c>
      <c r="E54" s="9">
        <f>GAMMA.DIST(B54,Gamma_fit!$K$13,Gamma_fit!$K$14,TRUE)</f>
        <v/>
      </c>
      <c r="F54" s="9">
        <f>GAMMA.DIST(B54,Gamma_fit!$K$18,Gamma_fit!$K$19,TRUE)</f>
        <v/>
      </c>
      <c r="G54" s="9">
        <f>1-EXP(-B54/Gamma_fit!$K$10)</f>
        <v/>
      </c>
      <c r="H54" s="9">
        <f>MAX(A54/$O$2-E54,E54-(A54-1)/$O$2)</f>
        <v/>
      </c>
      <c r="I54" s="9">
        <f>MAX(A54/$O$2-F54,F54-(A54-1)/$O$2)</f>
        <v/>
      </c>
      <c r="J54" s="9">
        <f>MAX(A54/$O$2-G54,G54-(A54-1)/$O$2)</f>
        <v/>
      </c>
      <c r="K54" s="8">
        <f>GAMMA.INV(C54,Gamma_fit!$K$18,Gamma_fit!$K$19)</f>
        <v/>
      </c>
      <c r="L54" s="8">
        <f>-Gamma_fit!$K$10*LN(1-C54)</f>
        <v/>
      </c>
      <c r="M54" s="9">
        <f>PERCENTRANK.INC($B$2:$B$69,B54,6)</f>
        <v/>
      </c>
    </row>
    <row r="55">
      <c r="A55">
        <f>ROW()-1</f>
        <v/>
      </c>
      <c r="B55" s="8">
        <f>SMALL(Gamma_fit!$F$2:$F$121,A55)</f>
        <v/>
      </c>
      <c r="C55" s="9">
        <f>A55/($O$2+1)</f>
        <v/>
      </c>
      <c r="D55" s="9">
        <f>A55/$O$2</f>
        <v/>
      </c>
      <c r="E55" s="9">
        <f>GAMMA.DIST(B55,Gamma_fit!$K$13,Gamma_fit!$K$14,TRUE)</f>
        <v/>
      </c>
      <c r="F55" s="9">
        <f>GAMMA.DIST(B55,Gamma_fit!$K$18,Gamma_fit!$K$19,TRUE)</f>
        <v/>
      </c>
      <c r="G55" s="9">
        <f>1-EXP(-B55/Gamma_fit!$K$10)</f>
        <v/>
      </c>
      <c r="H55" s="9">
        <f>MAX(A55/$O$2-E55,E55-(A55-1)/$O$2)</f>
        <v/>
      </c>
      <c r="I55" s="9">
        <f>MAX(A55/$O$2-F55,F55-(A55-1)/$O$2)</f>
        <v/>
      </c>
      <c r="J55" s="9">
        <f>MAX(A55/$O$2-G55,G55-(A55-1)/$O$2)</f>
        <v/>
      </c>
      <c r="K55" s="8">
        <f>GAMMA.INV(C55,Gamma_fit!$K$18,Gamma_fit!$K$19)</f>
        <v/>
      </c>
      <c r="L55" s="8">
        <f>-Gamma_fit!$K$10*LN(1-C55)</f>
        <v/>
      </c>
      <c r="M55" s="9">
        <f>PERCENTRANK.INC($B$2:$B$69,B55,6)</f>
        <v/>
      </c>
    </row>
    <row r="56">
      <c r="A56">
        <f>ROW()-1</f>
        <v/>
      </c>
      <c r="B56" s="8">
        <f>SMALL(Gamma_fit!$F$2:$F$121,A56)</f>
        <v/>
      </c>
      <c r="C56" s="9">
        <f>A56/($O$2+1)</f>
        <v/>
      </c>
      <c r="D56" s="9">
        <f>A56/$O$2</f>
        <v/>
      </c>
      <c r="E56" s="9">
        <f>GAMMA.DIST(B56,Gamma_fit!$K$13,Gamma_fit!$K$14,TRUE)</f>
        <v/>
      </c>
      <c r="F56" s="9">
        <f>GAMMA.DIST(B56,Gamma_fit!$K$18,Gamma_fit!$K$19,TRUE)</f>
        <v/>
      </c>
      <c r="G56" s="9">
        <f>1-EXP(-B56/Gamma_fit!$K$10)</f>
        <v/>
      </c>
      <c r="H56" s="9">
        <f>MAX(A56/$O$2-E56,E56-(A56-1)/$O$2)</f>
        <v/>
      </c>
      <c r="I56" s="9">
        <f>MAX(A56/$O$2-F56,F56-(A56-1)/$O$2)</f>
        <v/>
      </c>
      <c r="J56" s="9">
        <f>MAX(A56/$O$2-G56,G56-(A56-1)/$O$2)</f>
        <v/>
      </c>
      <c r="K56" s="8">
        <f>GAMMA.INV(C56,Gamma_fit!$K$18,Gamma_fit!$K$19)</f>
        <v/>
      </c>
      <c r="L56" s="8">
        <f>-Gamma_fit!$K$10*LN(1-C56)</f>
        <v/>
      </c>
      <c r="M56" s="9">
        <f>PERCENTRANK.INC($B$2:$B$69,B56,6)</f>
        <v/>
      </c>
    </row>
    <row r="57">
      <c r="A57">
        <f>ROW()-1</f>
        <v/>
      </c>
      <c r="B57" s="8">
        <f>SMALL(Gamma_fit!$F$2:$F$121,A57)</f>
        <v/>
      </c>
      <c r="C57" s="9">
        <f>A57/($O$2+1)</f>
        <v/>
      </c>
      <c r="D57" s="9">
        <f>A57/$O$2</f>
        <v/>
      </c>
      <c r="E57" s="9">
        <f>GAMMA.DIST(B57,Gamma_fit!$K$13,Gamma_fit!$K$14,TRUE)</f>
        <v/>
      </c>
      <c r="F57" s="9">
        <f>GAMMA.DIST(B57,Gamma_fit!$K$18,Gamma_fit!$K$19,TRUE)</f>
        <v/>
      </c>
      <c r="G57" s="9">
        <f>1-EXP(-B57/Gamma_fit!$K$10)</f>
        <v/>
      </c>
      <c r="H57" s="9">
        <f>MAX(A57/$O$2-E57,E57-(A57-1)/$O$2)</f>
        <v/>
      </c>
      <c r="I57" s="9">
        <f>MAX(A57/$O$2-F57,F57-(A57-1)/$O$2)</f>
        <v/>
      </c>
      <c r="J57" s="9">
        <f>MAX(A57/$O$2-G57,G57-(A57-1)/$O$2)</f>
        <v/>
      </c>
      <c r="K57" s="8">
        <f>GAMMA.INV(C57,Gamma_fit!$K$18,Gamma_fit!$K$19)</f>
        <v/>
      </c>
      <c r="L57" s="8">
        <f>-Gamma_fit!$K$10*LN(1-C57)</f>
        <v/>
      </c>
      <c r="M57" s="9">
        <f>PERCENTRANK.INC($B$2:$B$69,B57,6)</f>
        <v/>
      </c>
    </row>
    <row r="58">
      <c r="A58">
        <f>ROW()-1</f>
        <v/>
      </c>
      <c r="B58" s="8">
        <f>SMALL(Gamma_fit!$F$2:$F$121,A58)</f>
        <v/>
      </c>
      <c r="C58" s="9">
        <f>A58/($O$2+1)</f>
        <v/>
      </c>
      <c r="D58" s="9">
        <f>A58/$O$2</f>
        <v/>
      </c>
      <c r="E58" s="9">
        <f>GAMMA.DIST(B58,Gamma_fit!$K$13,Gamma_fit!$K$14,TRUE)</f>
        <v/>
      </c>
      <c r="F58" s="9">
        <f>GAMMA.DIST(B58,Gamma_fit!$K$18,Gamma_fit!$K$19,TRUE)</f>
        <v/>
      </c>
      <c r="G58" s="9">
        <f>1-EXP(-B58/Gamma_fit!$K$10)</f>
        <v/>
      </c>
      <c r="H58" s="9">
        <f>MAX(A58/$O$2-E58,E58-(A58-1)/$O$2)</f>
        <v/>
      </c>
      <c r="I58" s="9">
        <f>MAX(A58/$O$2-F58,F58-(A58-1)/$O$2)</f>
        <v/>
      </c>
      <c r="J58" s="9">
        <f>MAX(A58/$O$2-G58,G58-(A58-1)/$O$2)</f>
        <v/>
      </c>
      <c r="K58" s="8">
        <f>GAMMA.INV(C58,Gamma_fit!$K$18,Gamma_fit!$K$19)</f>
        <v/>
      </c>
      <c r="L58" s="8">
        <f>-Gamma_fit!$K$10*LN(1-C58)</f>
        <v/>
      </c>
      <c r="M58" s="9">
        <f>PERCENTRANK.INC($B$2:$B$69,B58,6)</f>
        <v/>
      </c>
    </row>
    <row r="59">
      <c r="A59">
        <f>ROW()-1</f>
        <v/>
      </c>
      <c r="B59" s="8">
        <f>SMALL(Gamma_fit!$F$2:$F$121,A59)</f>
        <v/>
      </c>
      <c r="C59" s="9">
        <f>A59/($O$2+1)</f>
        <v/>
      </c>
      <c r="D59" s="9">
        <f>A59/$O$2</f>
        <v/>
      </c>
      <c r="E59" s="9">
        <f>GAMMA.DIST(B59,Gamma_fit!$K$13,Gamma_fit!$K$14,TRUE)</f>
        <v/>
      </c>
      <c r="F59" s="9">
        <f>GAMMA.DIST(B59,Gamma_fit!$K$18,Gamma_fit!$K$19,TRUE)</f>
        <v/>
      </c>
      <c r="G59" s="9">
        <f>1-EXP(-B59/Gamma_fit!$K$10)</f>
        <v/>
      </c>
      <c r="H59" s="9">
        <f>MAX(A59/$O$2-E59,E59-(A59-1)/$O$2)</f>
        <v/>
      </c>
      <c r="I59" s="9">
        <f>MAX(A59/$O$2-F59,F59-(A59-1)/$O$2)</f>
        <v/>
      </c>
      <c r="J59" s="9">
        <f>MAX(A59/$O$2-G59,G59-(A59-1)/$O$2)</f>
        <v/>
      </c>
      <c r="K59" s="8">
        <f>GAMMA.INV(C59,Gamma_fit!$K$18,Gamma_fit!$K$19)</f>
        <v/>
      </c>
      <c r="L59" s="8">
        <f>-Gamma_fit!$K$10*LN(1-C59)</f>
        <v/>
      </c>
      <c r="M59" s="9">
        <f>PERCENTRANK.INC($B$2:$B$69,B59,6)</f>
        <v/>
      </c>
    </row>
    <row r="60">
      <c r="A60">
        <f>ROW()-1</f>
        <v/>
      </c>
      <c r="B60" s="8">
        <f>SMALL(Gamma_fit!$F$2:$F$121,A60)</f>
        <v/>
      </c>
      <c r="C60" s="9">
        <f>A60/($O$2+1)</f>
        <v/>
      </c>
      <c r="D60" s="9">
        <f>A60/$O$2</f>
        <v/>
      </c>
      <c r="E60" s="9">
        <f>GAMMA.DIST(B60,Gamma_fit!$K$13,Gamma_fit!$K$14,TRUE)</f>
        <v/>
      </c>
      <c r="F60" s="9">
        <f>GAMMA.DIST(B60,Gamma_fit!$K$18,Gamma_fit!$K$19,TRUE)</f>
        <v/>
      </c>
      <c r="G60" s="9">
        <f>1-EXP(-B60/Gamma_fit!$K$10)</f>
        <v/>
      </c>
      <c r="H60" s="9">
        <f>MAX(A60/$O$2-E60,E60-(A60-1)/$O$2)</f>
        <v/>
      </c>
      <c r="I60" s="9">
        <f>MAX(A60/$O$2-F60,F60-(A60-1)/$O$2)</f>
        <v/>
      </c>
      <c r="J60" s="9">
        <f>MAX(A60/$O$2-G60,G60-(A60-1)/$O$2)</f>
        <v/>
      </c>
      <c r="K60" s="8">
        <f>GAMMA.INV(C60,Gamma_fit!$K$18,Gamma_fit!$K$19)</f>
        <v/>
      </c>
      <c r="L60" s="8">
        <f>-Gamma_fit!$K$10*LN(1-C60)</f>
        <v/>
      </c>
      <c r="M60" s="9">
        <f>PERCENTRANK.INC($B$2:$B$69,B60,6)</f>
        <v/>
      </c>
    </row>
    <row r="61">
      <c r="A61">
        <f>ROW()-1</f>
        <v/>
      </c>
      <c r="B61" s="8">
        <f>SMALL(Gamma_fit!$F$2:$F$121,A61)</f>
        <v/>
      </c>
      <c r="C61" s="9">
        <f>A61/($O$2+1)</f>
        <v/>
      </c>
      <c r="D61" s="9">
        <f>A61/$O$2</f>
        <v/>
      </c>
      <c r="E61" s="9">
        <f>GAMMA.DIST(B61,Gamma_fit!$K$13,Gamma_fit!$K$14,TRUE)</f>
        <v/>
      </c>
      <c r="F61" s="9">
        <f>GAMMA.DIST(B61,Gamma_fit!$K$18,Gamma_fit!$K$19,TRUE)</f>
        <v/>
      </c>
      <c r="G61" s="9">
        <f>1-EXP(-B61/Gamma_fit!$K$10)</f>
        <v/>
      </c>
      <c r="H61" s="9">
        <f>MAX(A61/$O$2-E61,E61-(A61-1)/$O$2)</f>
        <v/>
      </c>
      <c r="I61" s="9">
        <f>MAX(A61/$O$2-F61,F61-(A61-1)/$O$2)</f>
        <v/>
      </c>
      <c r="J61" s="9">
        <f>MAX(A61/$O$2-G61,G61-(A61-1)/$O$2)</f>
        <v/>
      </c>
      <c r="K61" s="8">
        <f>GAMMA.INV(C61,Gamma_fit!$K$18,Gamma_fit!$K$19)</f>
        <v/>
      </c>
      <c r="L61" s="8">
        <f>-Gamma_fit!$K$10*LN(1-C61)</f>
        <v/>
      </c>
      <c r="M61" s="9">
        <f>PERCENTRANK.INC($B$2:$B$69,B61,6)</f>
        <v/>
      </c>
    </row>
    <row r="62">
      <c r="A62">
        <f>ROW()-1</f>
        <v/>
      </c>
      <c r="B62" s="8">
        <f>SMALL(Gamma_fit!$F$2:$F$121,A62)</f>
        <v/>
      </c>
      <c r="C62" s="9">
        <f>A62/($O$2+1)</f>
        <v/>
      </c>
      <c r="D62" s="9">
        <f>A62/$O$2</f>
        <v/>
      </c>
      <c r="E62" s="9">
        <f>GAMMA.DIST(B62,Gamma_fit!$K$13,Gamma_fit!$K$14,TRUE)</f>
        <v/>
      </c>
      <c r="F62" s="9">
        <f>GAMMA.DIST(B62,Gamma_fit!$K$18,Gamma_fit!$K$19,TRUE)</f>
        <v/>
      </c>
      <c r="G62" s="9">
        <f>1-EXP(-B62/Gamma_fit!$K$10)</f>
        <v/>
      </c>
      <c r="H62" s="9">
        <f>MAX(A62/$O$2-E62,E62-(A62-1)/$O$2)</f>
        <v/>
      </c>
      <c r="I62" s="9">
        <f>MAX(A62/$O$2-F62,F62-(A62-1)/$O$2)</f>
        <v/>
      </c>
      <c r="J62" s="9">
        <f>MAX(A62/$O$2-G62,G62-(A62-1)/$O$2)</f>
        <v/>
      </c>
      <c r="K62" s="8">
        <f>GAMMA.INV(C62,Gamma_fit!$K$18,Gamma_fit!$K$19)</f>
        <v/>
      </c>
      <c r="L62" s="8">
        <f>-Gamma_fit!$K$10*LN(1-C62)</f>
        <v/>
      </c>
      <c r="M62" s="9">
        <f>PERCENTRANK.INC($B$2:$B$69,B62,6)</f>
        <v/>
      </c>
    </row>
    <row r="63">
      <c r="A63">
        <f>ROW()-1</f>
        <v/>
      </c>
      <c r="B63" s="8">
        <f>SMALL(Gamma_fit!$F$2:$F$121,A63)</f>
        <v/>
      </c>
      <c r="C63" s="9">
        <f>A63/($O$2+1)</f>
        <v/>
      </c>
      <c r="D63" s="9">
        <f>A63/$O$2</f>
        <v/>
      </c>
      <c r="E63" s="9">
        <f>GAMMA.DIST(B63,Gamma_fit!$K$13,Gamma_fit!$K$14,TRUE)</f>
        <v/>
      </c>
      <c r="F63" s="9">
        <f>GAMMA.DIST(B63,Gamma_fit!$K$18,Gamma_fit!$K$19,TRUE)</f>
        <v/>
      </c>
      <c r="G63" s="9">
        <f>1-EXP(-B63/Gamma_fit!$K$10)</f>
        <v/>
      </c>
      <c r="H63" s="9">
        <f>MAX(A63/$O$2-E63,E63-(A63-1)/$O$2)</f>
        <v/>
      </c>
      <c r="I63" s="9">
        <f>MAX(A63/$O$2-F63,F63-(A63-1)/$O$2)</f>
        <v/>
      </c>
      <c r="J63" s="9">
        <f>MAX(A63/$O$2-G63,G63-(A63-1)/$O$2)</f>
        <v/>
      </c>
      <c r="K63" s="8">
        <f>GAMMA.INV(C63,Gamma_fit!$K$18,Gamma_fit!$K$19)</f>
        <v/>
      </c>
      <c r="L63" s="8">
        <f>-Gamma_fit!$K$10*LN(1-C63)</f>
        <v/>
      </c>
      <c r="M63" s="9">
        <f>PERCENTRANK.INC($B$2:$B$69,B63,6)</f>
        <v/>
      </c>
    </row>
    <row r="64">
      <c r="A64">
        <f>ROW()-1</f>
        <v/>
      </c>
      <c r="B64" s="8">
        <f>SMALL(Gamma_fit!$F$2:$F$121,A64)</f>
        <v/>
      </c>
      <c r="C64" s="9">
        <f>A64/($O$2+1)</f>
        <v/>
      </c>
      <c r="D64" s="9">
        <f>A64/$O$2</f>
        <v/>
      </c>
      <c r="E64" s="9">
        <f>GAMMA.DIST(B64,Gamma_fit!$K$13,Gamma_fit!$K$14,TRUE)</f>
        <v/>
      </c>
      <c r="F64" s="9">
        <f>GAMMA.DIST(B64,Gamma_fit!$K$18,Gamma_fit!$K$19,TRUE)</f>
        <v/>
      </c>
      <c r="G64" s="9">
        <f>1-EXP(-B64/Gamma_fit!$K$10)</f>
        <v/>
      </c>
      <c r="H64" s="9">
        <f>MAX(A64/$O$2-E64,E64-(A64-1)/$O$2)</f>
        <v/>
      </c>
      <c r="I64" s="9">
        <f>MAX(A64/$O$2-F64,F64-(A64-1)/$O$2)</f>
        <v/>
      </c>
      <c r="J64" s="9">
        <f>MAX(A64/$O$2-G64,G64-(A64-1)/$O$2)</f>
        <v/>
      </c>
      <c r="K64" s="8">
        <f>GAMMA.INV(C64,Gamma_fit!$K$18,Gamma_fit!$K$19)</f>
        <v/>
      </c>
      <c r="L64" s="8">
        <f>-Gamma_fit!$K$10*LN(1-C64)</f>
        <v/>
      </c>
      <c r="M64" s="9">
        <f>PERCENTRANK.INC($B$2:$B$69,B64,6)</f>
        <v/>
      </c>
    </row>
    <row r="65">
      <c r="A65">
        <f>ROW()-1</f>
        <v/>
      </c>
      <c r="B65" s="8">
        <f>SMALL(Gamma_fit!$F$2:$F$121,A65)</f>
        <v/>
      </c>
      <c r="C65" s="9">
        <f>A65/($O$2+1)</f>
        <v/>
      </c>
      <c r="D65" s="9">
        <f>A65/$O$2</f>
        <v/>
      </c>
      <c r="E65" s="9">
        <f>GAMMA.DIST(B65,Gamma_fit!$K$13,Gamma_fit!$K$14,TRUE)</f>
        <v/>
      </c>
      <c r="F65" s="9">
        <f>GAMMA.DIST(B65,Gamma_fit!$K$18,Gamma_fit!$K$19,TRUE)</f>
        <v/>
      </c>
      <c r="G65" s="9">
        <f>1-EXP(-B65/Gamma_fit!$K$10)</f>
        <v/>
      </c>
      <c r="H65" s="9">
        <f>MAX(A65/$O$2-E65,E65-(A65-1)/$O$2)</f>
        <v/>
      </c>
      <c r="I65" s="9">
        <f>MAX(A65/$O$2-F65,F65-(A65-1)/$O$2)</f>
        <v/>
      </c>
      <c r="J65" s="9">
        <f>MAX(A65/$O$2-G65,G65-(A65-1)/$O$2)</f>
        <v/>
      </c>
      <c r="K65" s="8">
        <f>GAMMA.INV(C65,Gamma_fit!$K$18,Gamma_fit!$K$19)</f>
        <v/>
      </c>
      <c r="L65" s="8">
        <f>-Gamma_fit!$K$10*LN(1-C65)</f>
        <v/>
      </c>
      <c r="M65" s="9">
        <f>PERCENTRANK.INC($B$2:$B$69,B65,6)</f>
        <v/>
      </c>
    </row>
    <row r="66">
      <c r="A66">
        <f>ROW()-1</f>
        <v/>
      </c>
      <c r="B66" s="8">
        <f>SMALL(Gamma_fit!$F$2:$F$121,A66)</f>
        <v/>
      </c>
      <c r="C66" s="9">
        <f>A66/($O$2+1)</f>
        <v/>
      </c>
      <c r="D66" s="9">
        <f>A66/$O$2</f>
        <v/>
      </c>
      <c r="E66" s="9">
        <f>GAMMA.DIST(B66,Gamma_fit!$K$13,Gamma_fit!$K$14,TRUE)</f>
        <v/>
      </c>
      <c r="F66" s="9">
        <f>GAMMA.DIST(B66,Gamma_fit!$K$18,Gamma_fit!$K$19,TRUE)</f>
        <v/>
      </c>
      <c r="G66" s="9">
        <f>1-EXP(-B66/Gamma_fit!$K$10)</f>
        <v/>
      </c>
      <c r="H66" s="9">
        <f>MAX(A66/$O$2-E66,E66-(A66-1)/$O$2)</f>
        <v/>
      </c>
      <c r="I66" s="9">
        <f>MAX(A66/$O$2-F66,F66-(A66-1)/$O$2)</f>
        <v/>
      </c>
      <c r="J66" s="9">
        <f>MAX(A66/$O$2-G66,G66-(A66-1)/$O$2)</f>
        <v/>
      </c>
      <c r="K66" s="8">
        <f>GAMMA.INV(C66,Gamma_fit!$K$18,Gamma_fit!$K$19)</f>
        <v/>
      </c>
      <c r="L66" s="8">
        <f>-Gamma_fit!$K$10*LN(1-C66)</f>
        <v/>
      </c>
      <c r="M66" s="9">
        <f>PERCENTRANK.INC($B$2:$B$69,B66,6)</f>
        <v/>
      </c>
    </row>
    <row r="67">
      <c r="A67">
        <f>ROW()-1</f>
        <v/>
      </c>
      <c r="B67" s="8">
        <f>SMALL(Gamma_fit!$F$2:$F$121,A67)</f>
        <v/>
      </c>
      <c r="C67" s="9">
        <f>A67/($O$2+1)</f>
        <v/>
      </c>
      <c r="D67" s="9">
        <f>A67/$O$2</f>
        <v/>
      </c>
      <c r="E67" s="9">
        <f>GAMMA.DIST(B67,Gamma_fit!$K$13,Gamma_fit!$K$14,TRUE)</f>
        <v/>
      </c>
      <c r="F67" s="9">
        <f>GAMMA.DIST(B67,Gamma_fit!$K$18,Gamma_fit!$K$19,TRUE)</f>
        <v/>
      </c>
      <c r="G67" s="9">
        <f>1-EXP(-B67/Gamma_fit!$K$10)</f>
        <v/>
      </c>
      <c r="H67" s="9">
        <f>MAX(A67/$O$2-E67,E67-(A67-1)/$O$2)</f>
        <v/>
      </c>
      <c r="I67" s="9">
        <f>MAX(A67/$O$2-F67,F67-(A67-1)/$O$2)</f>
        <v/>
      </c>
      <c r="J67" s="9">
        <f>MAX(A67/$O$2-G67,G67-(A67-1)/$O$2)</f>
        <v/>
      </c>
      <c r="K67" s="8">
        <f>GAMMA.INV(C67,Gamma_fit!$K$18,Gamma_fit!$K$19)</f>
        <v/>
      </c>
      <c r="L67" s="8">
        <f>-Gamma_fit!$K$10*LN(1-C67)</f>
        <v/>
      </c>
      <c r="M67" s="9">
        <f>PERCENTRANK.INC($B$2:$B$69,B67,6)</f>
        <v/>
      </c>
    </row>
    <row r="68">
      <c r="A68">
        <f>ROW()-1</f>
        <v/>
      </c>
      <c r="B68" s="8">
        <f>SMALL(Gamma_fit!$F$2:$F$121,A68)</f>
        <v/>
      </c>
      <c r="C68" s="9">
        <f>A68/($O$2+1)</f>
        <v/>
      </c>
      <c r="D68" s="9">
        <f>A68/$O$2</f>
        <v/>
      </c>
      <c r="E68" s="9">
        <f>GAMMA.DIST(B68,Gamma_fit!$K$13,Gamma_fit!$K$14,TRUE)</f>
        <v/>
      </c>
      <c r="F68" s="9">
        <f>GAMMA.DIST(B68,Gamma_fit!$K$18,Gamma_fit!$K$19,TRUE)</f>
        <v/>
      </c>
      <c r="G68" s="9">
        <f>1-EXP(-B68/Gamma_fit!$K$10)</f>
        <v/>
      </c>
      <c r="H68" s="9">
        <f>MAX(A68/$O$2-E68,E68-(A68-1)/$O$2)</f>
        <v/>
      </c>
      <c r="I68" s="9">
        <f>MAX(A68/$O$2-F68,F68-(A68-1)/$O$2)</f>
        <v/>
      </c>
      <c r="J68" s="9">
        <f>MAX(A68/$O$2-G68,G68-(A68-1)/$O$2)</f>
        <v/>
      </c>
      <c r="K68" s="8">
        <f>GAMMA.INV(C68,Gamma_fit!$K$18,Gamma_fit!$K$19)</f>
        <v/>
      </c>
      <c r="L68" s="8">
        <f>-Gamma_fit!$K$10*LN(1-C68)</f>
        <v/>
      </c>
      <c r="M68" s="9">
        <f>PERCENTRANK.INC($B$2:$B$69,B68,6)</f>
        <v/>
      </c>
    </row>
    <row r="69">
      <c r="A69">
        <f>ROW()-1</f>
        <v/>
      </c>
      <c r="B69" s="8">
        <f>SMALL(Gamma_fit!$F$2:$F$121,A69)</f>
        <v/>
      </c>
      <c r="C69" s="9">
        <f>A69/($O$2+1)</f>
        <v/>
      </c>
      <c r="D69" s="9">
        <f>A69/$O$2</f>
        <v/>
      </c>
      <c r="E69" s="9">
        <f>GAMMA.DIST(B69,Gamma_fit!$K$13,Gamma_fit!$K$14,TRUE)</f>
        <v/>
      </c>
      <c r="F69" s="9">
        <f>GAMMA.DIST(B69,Gamma_fit!$K$18,Gamma_fit!$K$19,TRUE)</f>
        <v/>
      </c>
      <c r="G69" s="9">
        <f>1-EXP(-B69/Gamma_fit!$K$10)</f>
        <v/>
      </c>
      <c r="H69" s="9">
        <f>MAX(A69/$O$2-E69,E69-(A69-1)/$O$2)</f>
        <v/>
      </c>
      <c r="I69" s="9">
        <f>MAX(A69/$O$2-F69,F69-(A69-1)/$O$2)</f>
        <v/>
      </c>
      <c r="J69" s="9">
        <f>MAX(A69/$O$2-G69,G69-(A69-1)/$O$2)</f>
        <v/>
      </c>
      <c r="K69" s="8">
        <f>GAMMA.INV(C69,Gamma_fit!$K$18,Gamma_fit!$K$19)</f>
        <v/>
      </c>
      <c r="L69" s="8">
        <f>-Gamma_fit!$K$10*LN(1-C69)</f>
        <v/>
      </c>
      <c r="M69" s="9">
        <f>PERCENTRANK.INC($B$2:$B$69,B69,6)</f>
        <v/>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2" customWidth="1" min="3" max="3"/>
    <col width="14" customWidth="1" min="4" max="4"/>
    <col width="12" customWidth="1" min="5" max="5"/>
    <col width="3" customWidth="1" min="6" max="6"/>
    <col width="3" customWidth="1" min="7" max="7"/>
    <col width="3" customWidth="1" min="8" max="8"/>
    <col width="3" customWidth="1" min="9" max="9"/>
    <col width="44" customWidth="1" min="10" max="10"/>
    <col width="12" customWidth="1" min="11" max="11"/>
    <col width="12" customWidth="1" min="12" max="12"/>
    <col width="12" customWidth="1" min="13" max="13"/>
    <col width="12" customWidth="1" min="14" max="14"/>
  </cols>
  <sheetData>
    <row r="1">
      <c r="A1" s="3" t="inlineStr">
        <is>
          <t>year</t>
        </is>
      </c>
      <c r="B1" s="3" t="inlineStr">
        <is>
          <t>model T x (degC)</t>
        </is>
      </c>
      <c r="C1" s="3" t="inlineStr">
        <is>
          <t>station T y (degC)</t>
        </is>
      </c>
      <c r="D1" s="3" t="inlineStr">
        <is>
          <t>conditional mean a+b*x</t>
        </is>
      </c>
      <c r="E1" s="3" t="inlineStr">
        <is>
          <t>residual y - mean</t>
        </is>
      </c>
    </row>
    <row r="2">
      <c r="A2">
        <f>Data!D2</f>
        <v/>
      </c>
      <c r="B2" s="11">
        <f>Data!E2</f>
        <v/>
      </c>
      <c r="C2" s="11">
        <f>Data!F2</f>
        <v/>
      </c>
      <c r="D2" s="11">
        <f>$K$10+$K$9*B2</f>
        <v/>
      </c>
      <c r="E2" s="11">
        <f>C2-D2</f>
        <v/>
      </c>
      <c r="J2" t="inlineStr">
        <is>
          <t>n</t>
        </is>
      </c>
      <c r="K2" s="10">
        <f>COUNT($B$2:$B$41)</f>
        <v/>
      </c>
    </row>
    <row r="3">
      <c r="A3">
        <f>Data!D3</f>
        <v/>
      </c>
      <c r="B3" s="11">
        <f>Data!E3</f>
        <v/>
      </c>
      <c r="C3" s="11">
        <f>Data!F3</f>
        <v/>
      </c>
      <c r="D3" s="11">
        <f>$K$10+$K$9*B3</f>
        <v/>
      </c>
      <c r="E3" s="11">
        <f>C3-D3</f>
        <v/>
      </c>
      <c r="J3" t="inlineStr">
        <is>
          <t>mean of x (degC)</t>
        </is>
      </c>
      <c r="K3" s="11">
        <f>AVERAGE($B$2:$B$41)</f>
        <v/>
      </c>
    </row>
    <row r="4">
      <c r="A4">
        <f>Data!D4</f>
        <v/>
      </c>
      <c r="B4" s="11">
        <f>Data!E4</f>
        <v/>
      </c>
      <c r="C4" s="11">
        <f>Data!F4</f>
        <v/>
      </c>
      <c r="D4" s="11">
        <f>$K$10+$K$9*B4</f>
        <v/>
      </c>
      <c r="E4" s="11">
        <f>C4-D4</f>
        <v/>
      </c>
      <c r="J4" t="inlineStr">
        <is>
          <t>mean of y (degC)</t>
        </is>
      </c>
      <c r="K4" s="11">
        <f>AVERAGE($C$2:$C$41)</f>
        <v/>
      </c>
    </row>
    <row r="5">
      <c r="A5">
        <f>Data!D5</f>
        <v/>
      </c>
      <c r="B5" s="11">
        <f>Data!E5</f>
        <v/>
      </c>
      <c r="C5" s="11">
        <f>Data!F5</f>
        <v/>
      </c>
      <c r="D5" s="11">
        <f>$K$10+$K$9*B5</f>
        <v/>
      </c>
      <c r="E5" s="11">
        <f>C5-D5</f>
        <v/>
      </c>
      <c r="J5" t="inlineStr">
        <is>
          <t>sd of x (degC)</t>
        </is>
      </c>
      <c r="K5" s="11">
        <f>STDEV.S($B$2:$B$41)</f>
        <v/>
      </c>
    </row>
    <row r="6">
      <c r="A6">
        <f>Data!D6</f>
        <v/>
      </c>
      <c r="B6" s="11">
        <f>Data!E6</f>
        <v/>
      </c>
      <c r="C6" s="11">
        <f>Data!F6</f>
        <v/>
      </c>
      <c r="D6" s="11">
        <f>$K$10+$K$9*B6</f>
        <v/>
      </c>
      <c r="E6" s="11">
        <f>C6-D6</f>
        <v/>
      </c>
      <c r="J6" t="inlineStr">
        <is>
          <t>sd of y (degC)</t>
        </is>
      </c>
      <c r="K6" s="11">
        <f>STDEV.S($C$2:$C$41)</f>
        <v/>
      </c>
    </row>
    <row r="7">
      <c r="A7">
        <f>Data!D7</f>
        <v/>
      </c>
      <c r="B7" s="11">
        <f>Data!E7</f>
        <v/>
      </c>
      <c r="C7" s="11">
        <f>Data!F7</f>
        <v/>
      </c>
      <c r="D7" s="11">
        <f>$K$10+$K$9*B7</f>
        <v/>
      </c>
      <c r="E7" s="11">
        <f>C7-D7</f>
        <v/>
      </c>
      <c r="J7" t="inlineStr">
        <is>
          <t>correlation rho</t>
        </is>
      </c>
      <c r="K7" s="9">
        <f>CORREL($B$2:$B$41,$C$2:$C$41)</f>
        <v/>
      </c>
    </row>
    <row r="8">
      <c r="A8">
        <f>Data!D8</f>
        <v/>
      </c>
      <c r="B8" s="11">
        <f>Data!E8</f>
        <v/>
      </c>
      <c r="C8" s="11">
        <f>Data!F8</f>
        <v/>
      </c>
      <c r="D8" s="11">
        <f>$K$10+$K$9*B8</f>
        <v/>
      </c>
      <c r="E8" s="11">
        <f>C8-D8</f>
        <v/>
      </c>
      <c r="J8" t="inlineStr">
        <is>
          <t>covariance (degC2)</t>
        </is>
      </c>
      <c r="K8" s="9">
        <f>K7*K5*K6</f>
        <v/>
      </c>
    </row>
    <row r="9">
      <c r="A9">
        <f>Data!D9</f>
        <v/>
      </c>
      <c r="B9" s="11">
        <f>Data!E9</f>
        <v/>
      </c>
      <c r="C9" s="11">
        <f>Data!F9</f>
        <v/>
      </c>
      <c r="D9" s="11">
        <f>$K$10+$K$9*B9</f>
        <v/>
      </c>
      <c r="E9" s="11">
        <f>C9-D9</f>
        <v/>
      </c>
      <c r="J9" t="inlineStr">
        <is>
          <t>slope b = rho*sy/sx</t>
        </is>
      </c>
      <c r="K9" s="9">
        <f>K7*K6/K5</f>
        <v/>
      </c>
    </row>
    <row r="10">
      <c r="A10">
        <f>Data!D10</f>
        <v/>
      </c>
      <c r="B10" s="11">
        <f>Data!E10</f>
        <v/>
      </c>
      <c r="C10" s="11">
        <f>Data!F10</f>
        <v/>
      </c>
      <c r="D10" s="11">
        <f>$K$10+$K$9*B10</f>
        <v/>
      </c>
      <c r="E10" s="11">
        <f>C10-D10</f>
        <v/>
      </c>
      <c r="J10" t="inlineStr">
        <is>
          <t>intercept a = my - b*mx (degC)</t>
        </is>
      </c>
      <c r="K10" s="9">
        <f>K4-K9*K3</f>
        <v/>
      </c>
    </row>
    <row r="11">
      <c r="A11">
        <f>Data!D11</f>
        <v/>
      </c>
      <c r="B11" s="11">
        <f>Data!E11</f>
        <v/>
      </c>
      <c r="C11" s="11">
        <f>Data!F11</f>
        <v/>
      </c>
      <c r="D11" s="11">
        <f>$K$10+$K$9*B11</f>
        <v/>
      </c>
      <c r="E11" s="11">
        <f>C11-D11</f>
        <v/>
      </c>
      <c r="J11" t="inlineStr">
        <is>
          <t>check SLOPE()</t>
        </is>
      </c>
      <c r="K11" s="9">
        <f>SLOPE($C$2:$C$41,$B$2:$B$41)</f>
        <v/>
      </c>
    </row>
    <row r="12">
      <c r="A12">
        <f>Data!D12</f>
        <v/>
      </c>
      <c r="B12" s="11">
        <f>Data!E12</f>
        <v/>
      </c>
      <c r="C12" s="11">
        <f>Data!F12</f>
        <v/>
      </c>
      <c r="D12" s="11">
        <f>$K$10+$K$9*B12</f>
        <v/>
      </c>
      <c r="E12" s="11">
        <f>C12-D12</f>
        <v/>
      </c>
      <c r="J12" t="inlineStr">
        <is>
          <t>check INTERCEPT()</t>
        </is>
      </c>
      <c r="K12" s="9">
        <f>INTERCEPT($C$2:$C$41,$B$2:$B$41)</f>
        <v/>
      </c>
    </row>
    <row r="13">
      <c r="A13">
        <f>Data!D13</f>
        <v/>
      </c>
      <c r="B13" s="11">
        <f>Data!E13</f>
        <v/>
      </c>
      <c r="C13" s="11">
        <f>Data!F13</f>
        <v/>
      </c>
      <c r="D13" s="11">
        <f>$K$10+$K$9*B13</f>
        <v/>
      </c>
      <c r="E13" s="11">
        <f>C13-D13</f>
        <v/>
      </c>
      <c r="J13" t="inlineStr">
        <is>
          <t>check LINEST slope</t>
        </is>
      </c>
      <c r="K13" s="9">
        <f>INDEX(LINEST($C$2:$C$41,$B$2:$B$41),1,1)</f>
        <v/>
      </c>
    </row>
    <row r="14">
      <c r="A14">
        <f>Data!D14</f>
        <v/>
      </c>
      <c r="B14" s="11">
        <f>Data!E14</f>
        <v/>
      </c>
      <c r="C14" s="11">
        <f>Data!F14</f>
        <v/>
      </c>
      <c r="D14" s="11">
        <f>$K$10+$K$9*B14</f>
        <v/>
      </c>
      <c r="E14" s="11">
        <f>C14-D14</f>
        <v/>
      </c>
      <c r="J14" t="inlineStr">
        <is>
          <t>R-squared (RSQ)</t>
        </is>
      </c>
      <c r="K14" s="9">
        <f>RSQ($C$2:$C$41,$B$2:$B$41)</f>
        <v/>
      </c>
    </row>
    <row r="15">
      <c r="A15">
        <f>Data!D15</f>
        <v/>
      </c>
      <c r="B15" s="11">
        <f>Data!E15</f>
        <v/>
      </c>
      <c r="C15" s="11">
        <f>Data!F15</f>
        <v/>
      </c>
      <c r="D15" s="11">
        <f>$K$10+$K$9*B15</f>
        <v/>
      </c>
      <c r="E15" s="11">
        <f>C15-D15</f>
        <v/>
      </c>
      <c r="J15" t="inlineStr">
        <is>
          <t>conditional sd, normal theory sy*sqrt(1-rho^2)</t>
        </is>
      </c>
      <c r="K15" s="9">
        <f>K6*SQRT(1-K7^2)</f>
        <v/>
      </c>
    </row>
    <row r="16">
      <c r="A16">
        <f>Data!D16</f>
        <v/>
      </c>
      <c r="B16" s="11">
        <f>Data!E16</f>
        <v/>
      </c>
      <c r="C16" s="11">
        <f>Data!F16</f>
        <v/>
      </c>
      <c r="D16" s="11">
        <f>$K$10+$K$9*B16</f>
        <v/>
      </c>
      <c r="E16" s="11">
        <f>C16-D16</f>
        <v/>
      </c>
      <c r="J16" t="inlineStr">
        <is>
          <t>residual sd with n-2 divisor</t>
        </is>
      </c>
      <c r="K16" s="9">
        <f>SQRT(SUMPRODUCT(E2:E41,E2:E41)/(K2-2))</f>
        <v/>
      </c>
    </row>
    <row r="17">
      <c r="A17">
        <f>Data!D17</f>
        <v/>
      </c>
      <c r="B17" s="11">
        <f>Data!E17</f>
        <v/>
      </c>
      <c r="C17" s="11">
        <f>Data!F17</f>
        <v/>
      </c>
      <c r="D17" s="11">
        <f>$K$10+$K$9*B17</f>
        <v/>
      </c>
      <c r="E17" s="11">
        <f>C17-D17</f>
        <v/>
      </c>
      <c r="J17" t="inlineStr">
        <is>
          <t>variance reduction 1 - cond var / var y</t>
        </is>
      </c>
      <c r="K17" s="9">
        <f>1-K15^2/K6^2</f>
        <v/>
      </c>
    </row>
    <row r="18">
      <c r="A18">
        <f>Data!D18</f>
        <v/>
      </c>
      <c r="B18" s="11">
        <f>Data!E18</f>
        <v/>
      </c>
      <c r="C18" s="11">
        <f>Data!F18</f>
        <v/>
      </c>
      <c r="D18" s="11">
        <f>$K$10+$K$9*B18</f>
        <v/>
      </c>
      <c r="E18" s="11">
        <f>C18-D18</f>
        <v/>
      </c>
    </row>
    <row r="19">
      <c r="A19">
        <f>Data!D19</f>
        <v/>
      </c>
      <c r="B19" s="11">
        <f>Data!E19</f>
        <v/>
      </c>
      <c r="C19" s="11">
        <f>Data!F19</f>
        <v/>
      </c>
      <c r="D19" s="11">
        <f>$K$10+$K$9*B19</f>
        <v/>
      </c>
      <c r="E19" s="11">
        <f>C19-D19</f>
        <v/>
      </c>
    </row>
    <row r="20">
      <c r="A20">
        <f>Data!D20</f>
        <v/>
      </c>
      <c r="B20" s="11">
        <f>Data!E20</f>
        <v/>
      </c>
      <c r="C20" s="11">
        <f>Data!F20</f>
        <v/>
      </c>
      <c r="D20" s="11">
        <f>$K$10+$K$9*B20</f>
        <v/>
      </c>
      <c r="E20" s="11">
        <f>C20-D20</f>
        <v/>
      </c>
      <c r="J20" s="3" t="inlineStr">
        <is>
          <t>given model T x0 (degC)</t>
        </is>
      </c>
      <c r="K20" s="3" t="inlineStr">
        <is>
          <t>E[Y|x0] (degC)</t>
        </is>
      </c>
      <c r="L20" s="3" t="inlineStr">
        <is>
          <t>sd of Y|x0 (degC)</t>
        </is>
      </c>
      <c r="M20" s="3" t="inlineStr">
        <is>
          <t>5% quantile</t>
        </is>
      </c>
      <c r="N20" s="3" t="inlineStr">
        <is>
          <t>95% quantile</t>
        </is>
      </c>
    </row>
    <row r="21">
      <c r="A21">
        <f>Data!D21</f>
        <v/>
      </c>
      <c r="B21" s="11">
        <f>Data!E21</f>
        <v/>
      </c>
      <c r="C21" s="11">
        <f>Data!F21</f>
        <v/>
      </c>
      <c r="D21" s="11">
        <f>$K$10+$K$9*B21</f>
        <v/>
      </c>
      <c r="E21" s="11">
        <f>C21-D21</f>
        <v/>
      </c>
      <c r="J21" s="4" t="n">
        <v>26</v>
      </c>
      <c r="K21" s="11">
        <f>$K$4+$K$9*(J21-$K$3)</f>
        <v/>
      </c>
      <c r="L21" s="11">
        <f>$K$15</f>
        <v/>
      </c>
      <c r="M21" s="11">
        <f>NORM.INV(0.05,K21,L21)</f>
        <v/>
      </c>
      <c r="N21" s="11">
        <f>NORM.INV(0.95,K21,L21)</f>
        <v/>
      </c>
    </row>
    <row r="22">
      <c r="A22">
        <f>Data!D22</f>
        <v/>
      </c>
      <c r="B22" s="11">
        <f>Data!E22</f>
        <v/>
      </c>
      <c r="C22" s="11">
        <f>Data!F22</f>
        <v/>
      </c>
      <c r="D22" s="11">
        <f>$K$10+$K$9*B22</f>
        <v/>
      </c>
      <c r="E22" s="11">
        <f>C22-D22</f>
        <v/>
      </c>
      <c r="J22" s="4" t="n">
        <v>27</v>
      </c>
      <c r="K22" s="11">
        <f>$K$4+$K$9*(J22-$K$3)</f>
        <v/>
      </c>
      <c r="L22" s="11">
        <f>$K$15</f>
        <v/>
      </c>
      <c r="M22" s="11">
        <f>NORM.INV(0.05,K22,L22)</f>
        <v/>
      </c>
      <c r="N22" s="11">
        <f>NORM.INV(0.95,K22,L22)</f>
        <v/>
      </c>
    </row>
    <row r="23">
      <c r="A23">
        <f>Data!D23</f>
        <v/>
      </c>
      <c r="B23" s="11">
        <f>Data!E23</f>
        <v/>
      </c>
      <c r="C23" s="11">
        <f>Data!F23</f>
        <v/>
      </c>
      <c r="D23" s="11">
        <f>$K$10+$K$9*B23</f>
        <v/>
      </c>
      <c r="E23" s="11">
        <f>C23-D23</f>
        <v/>
      </c>
      <c r="J23" s="4" t="n">
        <v>27.5</v>
      </c>
      <c r="K23" s="11">
        <f>$K$4+$K$9*(J23-$K$3)</f>
        <v/>
      </c>
      <c r="L23" s="11">
        <f>$K$15</f>
        <v/>
      </c>
      <c r="M23" s="11">
        <f>NORM.INV(0.05,K23,L23)</f>
        <v/>
      </c>
      <c r="N23" s="11">
        <f>NORM.INV(0.95,K23,L23)</f>
        <v/>
      </c>
    </row>
    <row r="24">
      <c r="A24">
        <f>Data!D24</f>
        <v/>
      </c>
      <c r="B24" s="11">
        <f>Data!E24</f>
        <v/>
      </c>
      <c r="C24" s="11">
        <f>Data!F24</f>
        <v/>
      </c>
      <c r="D24" s="11">
        <f>$K$10+$K$9*B24</f>
        <v/>
      </c>
      <c r="E24" s="11">
        <f>C24-D24</f>
        <v/>
      </c>
      <c r="J24" s="4" t="n">
        <v>28</v>
      </c>
      <c r="K24" s="11">
        <f>$K$4+$K$9*(J24-$K$3)</f>
        <v/>
      </c>
      <c r="L24" s="11">
        <f>$K$15</f>
        <v/>
      </c>
      <c r="M24" s="11">
        <f>NORM.INV(0.05,K24,L24)</f>
        <v/>
      </c>
      <c r="N24" s="11">
        <f>NORM.INV(0.95,K24,L24)</f>
        <v/>
      </c>
    </row>
    <row r="25">
      <c r="A25">
        <f>Data!D25</f>
        <v/>
      </c>
      <c r="B25" s="11">
        <f>Data!E25</f>
        <v/>
      </c>
      <c r="C25" s="11">
        <f>Data!F25</f>
        <v/>
      </c>
      <c r="D25" s="11">
        <f>$K$10+$K$9*B25</f>
        <v/>
      </c>
      <c r="E25" s="11">
        <f>C25-D25</f>
        <v/>
      </c>
      <c r="J25" s="4" t="n">
        <v>29</v>
      </c>
      <c r="K25" s="11">
        <f>$K$4+$K$9*(J25-$K$3)</f>
        <v/>
      </c>
      <c r="L25" s="11">
        <f>$K$15</f>
        <v/>
      </c>
      <c r="M25" s="11">
        <f>NORM.INV(0.05,K25,L25)</f>
        <v/>
      </c>
      <c r="N25" s="11">
        <f>NORM.INV(0.95,K25,L25)</f>
        <v/>
      </c>
    </row>
    <row r="26">
      <c r="A26">
        <f>Data!D26</f>
        <v/>
      </c>
      <c r="B26" s="11">
        <f>Data!E26</f>
        <v/>
      </c>
      <c r="C26" s="11">
        <f>Data!F26</f>
        <v/>
      </c>
      <c r="D26" s="11">
        <f>$K$10+$K$9*B26</f>
        <v/>
      </c>
      <c r="E26" s="11">
        <f>C26-D26</f>
        <v/>
      </c>
    </row>
    <row r="27">
      <c r="A27">
        <f>Data!D27</f>
        <v/>
      </c>
      <c r="B27" s="11">
        <f>Data!E27</f>
        <v/>
      </c>
      <c r="C27" s="11">
        <f>Data!F27</f>
        <v/>
      </c>
      <c r="D27" s="11">
        <f>$K$10+$K$9*B27</f>
        <v/>
      </c>
      <c r="E27" s="11">
        <f>C27-D27</f>
        <v/>
      </c>
      <c r="J27" t="inlineStr">
        <is>
          <t>Unconditional 5% and 95% of y (for comparison)</t>
        </is>
      </c>
      <c r="M27" s="11">
        <f>NORM.INV(0.05,K4,K6)</f>
        <v/>
      </c>
      <c r="N27" s="11">
        <f>NORM.INV(0.95,K4,K6)</f>
        <v/>
      </c>
    </row>
    <row r="28">
      <c r="A28">
        <f>Data!D28</f>
        <v/>
      </c>
      <c r="B28" s="11">
        <f>Data!E28</f>
        <v/>
      </c>
      <c r="C28" s="11">
        <f>Data!F28</f>
        <v/>
      </c>
      <c r="D28" s="11">
        <f>$K$10+$K$9*B28</f>
        <v/>
      </c>
      <c r="E28" s="11">
        <f>C28-D28</f>
        <v/>
      </c>
    </row>
    <row r="29">
      <c r="A29">
        <f>Data!D29</f>
        <v/>
      </c>
      <c r="B29" s="11">
        <f>Data!E29</f>
        <v/>
      </c>
      <c r="C29" s="11">
        <f>Data!F29</f>
        <v/>
      </c>
      <c r="D29" s="11">
        <f>$K$10+$K$9*B29</f>
        <v/>
      </c>
      <c r="E29" s="11">
        <f>C29-D29</f>
        <v/>
      </c>
    </row>
    <row r="30">
      <c r="A30">
        <f>Data!D30</f>
        <v/>
      </c>
      <c r="B30" s="11">
        <f>Data!E30</f>
        <v/>
      </c>
      <c r="C30" s="11">
        <f>Data!F30</f>
        <v/>
      </c>
      <c r="D30" s="11">
        <f>$K$10+$K$9*B30</f>
        <v/>
      </c>
      <c r="E30" s="11">
        <f>C30-D30</f>
        <v/>
      </c>
    </row>
    <row r="31">
      <c r="A31">
        <f>Data!D31</f>
        <v/>
      </c>
      <c r="B31" s="11">
        <f>Data!E31</f>
        <v/>
      </c>
      <c r="C31" s="11">
        <f>Data!F31</f>
        <v/>
      </c>
      <c r="D31" s="11">
        <f>$K$10+$K$9*B31</f>
        <v/>
      </c>
      <c r="E31" s="11">
        <f>C31-D31</f>
        <v/>
      </c>
    </row>
    <row r="32">
      <c r="A32">
        <f>Data!D32</f>
        <v/>
      </c>
      <c r="B32" s="11">
        <f>Data!E32</f>
        <v/>
      </c>
      <c r="C32" s="11">
        <f>Data!F32</f>
        <v/>
      </c>
      <c r="D32" s="11">
        <f>$K$10+$K$9*B32</f>
        <v/>
      </c>
      <c r="E32" s="11">
        <f>C32-D32</f>
        <v/>
      </c>
    </row>
    <row r="33">
      <c r="A33">
        <f>Data!D33</f>
        <v/>
      </c>
      <c r="B33" s="11">
        <f>Data!E33</f>
        <v/>
      </c>
      <c r="C33" s="11">
        <f>Data!F33</f>
        <v/>
      </c>
      <c r="D33" s="11">
        <f>$K$10+$K$9*B33</f>
        <v/>
      </c>
      <c r="E33" s="11">
        <f>C33-D33</f>
        <v/>
      </c>
    </row>
    <row r="34">
      <c r="A34">
        <f>Data!D34</f>
        <v/>
      </c>
      <c r="B34" s="11">
        <f>Data!E34</f>
        <v/>
      </c>
      <c r="C34" s="11">
        <f>Data!F34</f>
        <v/>
      </c>
      <c r="D34" s="11">
        <f>$K$10+$K$9*B34</f>
        <v/>
      </c>
      <c r="E34" s="11">
        <f>C34-D34</f>
        <v/>
      </c>
    </row>
    <row r="35">
      <c r="A35">
        <f>Data!D35</f>
        <v/>
      </c>
      <c r="B35" s="11">
        <f>Data!E35</f>
        <v/>
      </c>
      <c r="C35" s="11">
        <f>Data!F35</f>
        <v/>
      </c>
      <c r="D35" s="11">
        <f>$K$10+$K$9*B35</f>
        <v/>
      </c>
      <c r="E35" s="11">
        <f>C35-D35</f>
        <v/>
      </c>
    </row>
    <row r="36">
      <c r="A36">
        <f>Data!D36</f>
        <v/>
      </c>
      <c r="B36" s="11">
        <f>Data!E36</f>
        <v/>
      </c>
      <c r="C36" s="11">
        <f>Data!F36</f>
        <v/>
      </c>
      <c r="D36" s="11">
        <f>$K$10+$K$9*B36</f>
        <v/>
      </c>
      <c r="E36" s="11">
        <f>C36-D36</f>
        <v/>
      </c>
    </row>
    <row r="37">
      <c r="A37">
        <f>Data!D37</f>
        <v/>
      </c>
      <c r="B37" s="11">
        <f>Data!E37</f>
        <v/>
      </c>
      <c r="C37" s="11">
        <f>Data!F37</f>
        <v/>
      </c>
      <c r="D37" s="11">
        <f>$K$10+$K$9*B37</f>
        <v/>
      </c>
      <c r="E37" s="11">
        <f>C37-D37</f>
        <v/>
      </c>
    </row>
    <row r="38">
      <c r="A38">
        <f>Data!D38</f>
        <v/>
      </c>
      <c r="B38" s="11">
        <f>Data!E38</f>
        <v/>
      </c>
      <c r="C38" s="11">
        <f>Data!F38</f>
        <v/>
      </c>
      <c r="D38" s="11">
        <f>$K$10+$K$9*B38</f>
        <v/>
      </c>
      <c r="E38" s="11">
        <f>C38-D38</f>
        <v/>
      </c>
    </row>
    <row r="39">
      <c r="A39">
        <f>Data!D39</f>
        <v/>
      </c>
      <c r="B39" s="11">
        <f>Data!E39</f>
        <v/>
      </c>
      <c r="C39" s="11">
        <f>Data!F39</f>
        <v/>
      </c>
      <c r="D39" s="11">
        <f>$K$10+$K$9*B39</f>
        <v/>
      </c>
      <c r="E39" s="11">
        <f>C39-D39</f>
        <v/>
      </c>
    </row>
    <row r="40">
      <c r="A40">
        <f>Data!D40</f>
        <v/>
      </c>
      <c r="B40" s="11">
        <f>Data!E40</f>
        <v/>
      </c>
      <c r="C40" s="11">
        <f>Data!F40</f>
        <v/>
      </c>
      <c r="D40" s="11">
        <f>$K$10+$K$9*B40</f>
        <v/>
      </c>
      <c r="E40" s="11">
        <f>C40-D40</f>
        <v/>
      </c>
    </row>
    <row r="41">
      <c r="A41">
        <f>Data!D41</f>
        <v/>
      </c>
      <c r="B41" s="11">
        <f>Data!E41</f>
        <v/>
      </c>
      <c r="C41" s="11">
        <f>Data!F41</f>
        <v/>
      </c>
      <c r="D41" s="11">
        <f>$K$10+$K$9*B41</f>
        <v/>
      </c>
      <c r="E41" s="11">
        <f>C41-D41</f>
        <v/>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6" customWidth="1" min="3" max="3"/>
    <col width="14" customWidth="1" min="4" max="4"/>
    <col width="14" customWidth="1" min="5" max="5"/>
    <col width="14" customWidth="1" min="6" max="6"/>
    <col width="10" customWidth="1" min="7" max="7"/>
    <col width="13" customWidth="1" min="8" max="8"/>
    <col width="13" customWidth="1" min="9" max="9"/>
    <col width="3" customWidth="1" min="10" max="10"/>
    <col width="44" customWidth="1" min="11" max="11"/>
    <col width="10" customWidth="1" min="12" max="12"/>
  </cols>
  <sheetData>
    <row r="1">
      <c r="A1" s="3" t="inlineStr">
        <is>
          <t>draw</t>
        </is>
      </c>
      <c r="B1" s="3" t="inlineStr">
        <is>
          <t>uniform u</t>
        </is>
      </c>
      <c r="C1" s="3" t="inlineStr">
        <is>
          <t>exponential x = -beta*ln(1-u) (mm)</t>
        </is>
      </c>
      <c r="D1" s="3" t="inlineStr">
        <is>
          <t>gamma x = F^-1(u) (mm)</t>
        </is>
      </c>
      <c r="E1" s="3" t="inlineStr">
        <is>
          <t>empirical inverse (mm)</t>
        </is>
      </c>
      <c r="F1" s="3" t="inlineStr">
        <is>
          <t>normal station T (degC)</t>
        </is>
      </c>
      <c r="G1" s="3" t="inlineStr">
        <is>
          <t>Bernoulli wet (1/0)</t>
        </is>
      </c>
      <c r="H1" s="3" t="inlineStr">
        <is>
          <t>check F_gamma(x) - u</t>
        </is>
      </c>
      <c r="I1" s="3" t="inlineStr">
        <is>
          <t>check F_exp(x) - u</t>
        </is>
      </c>
      <c r="K1" s="7" t="inlineStr">
        <is>
          <t>Sample versus theory (20 draws only, so expect scatter)</t>
        </is>
      </c>
    </row>
    <row r="2">
      <c r="A2">
        <f>Data!H2</f>
        <v/>
      </c>
      <c r="B2" s="9">
        <f>Data!I2</f>
        <v/>
      </c>
      <c r="C2" s="11">
        <f>-Gamma_fit!$K$10*LN(1-B2)</f>
        <v/>
      </c>
      <c r="D2" s="11">
        <f>GAMMA.INV(B2,Gamma_fit!$K$18,Gamma_fit!$K$19)</f>
        <v/>
      </c>
      <c r="E2" s="11">
        <f>PERCENTILE.INC(Gamma_fit!$F$2:$F$121,B2)</f>
        <v/>
      </c>
      <c r="F2" s="11">
        <f>NORM.INV(B2,Bivariate!$K$4,Bivariate!$K$6)</f>
        <v/>
      </c>
      <c r="G2">
        <f>IF(B2&lt;=Gamma_fit!$K$4,1,0)</f>
        <v/>
      </c>
      <c r="H2" s="13">
        <f>GAMMA.DIST(D2,Gamma_fit!$K$18,Gamma_fit!$K$19,TRUE)-B2</f>
        <v/>
      </c>
      <c r="I2" s="13">
        <f>1-EXP(-C2/Gamma_fit!$K$10)-B2</f>
        <v/>
      </c>
      <c r="K2" t="inlineStr">
        <is>
          <t>mean of exponential draws</t>
        </is>
      </c>
      <c r="L2" s="11">
        <f>AVERAGE(C2:C21)</f>
        <v/>
      </c>
    </row>
    <row r="3">
      <c r="A3">
        <f>Data!H3</f>
        <v/>
      </c>
      <c r="B3" s="9">
        <f>Data!I3</f>
        <v/>
      </c>
      <c r="C3" s="11">
        <f>-Gamma_fit!$K$10*LN(1-B3)</f>
        <v/>
      </c>
      <c r="D3" s="11">
        <f>GAMMA.INV(B3,Gamma_fit!$K$18,Gamma_fit!$K$19)</f>
        <v/>
      </c>
      <c r="E3" s="11">
        <f>PERCENTILE.INC(Gamma_fit!$F$2:$F$121,B3)</f>
        <v/>
      </c>
      <c r="F3" s="11">
        <f>NORM.INV(B3,Bivariate!$K$4,Bivariate!$K$6)</f>
        <v/>
      </c>
      <c r="G3">
        <f>IF(B3&lt;=Gamma_fit!$K$4,1,0)</f>
        <v/>
      </c>
      <c r="H3" s="13">
        <f>GAMMA.DIST(D3,Gamma_fit!$K$18,Gamma_fit!$K$19,TRUE)-B3</f>
        <v/>
      </c>
      <c r="I3" s="13">
        <f>1-EXP(-C3/Gamma_fit!$K$10)-B3</f>
        <v/>
      </c>
      <c r="K3" t="inlineStr">
        <is>
          <t>theoretical mean beta</t>
        </is>
      </c>
      <c r="L3" s="11">
        <f>Gamma_fit!$K$10</f>
        <v/>
      </c>
    </row>
    <row r="4">
      <c r="A4">
        <f>Data!H4</f>
        <v/>
      </c>
      <c r="B4" s="9">
        <f>Data!I4</f>
        <v/>
      </c>
      <c r="C4" s="11">
        <f>-Gamma_fit!$K$10*LN(1-B4)</f>
        <v/>
      </c>
      <c r="D4" s="11">
        <f>GAMMA.INV(B4,Gamma_fit!$K$18,Gamma_fit!$K$19)</f>
        <v/>
      </c>
      <c r="E4" s="11">
        <f>PERCENTILE.INC(Gamma_fit!$F$2:$F$121,B4)</f>
        <v/>
      </c>
      <c r="F4" s="11">
        <f>NORM.INV(B4,Bivariate!$K$4,Bivariate!$K$6)</f>
        <v/>
      </c>
      <c r="G4">
        <f>IF(B4&lt;=Gamma_fit!$K$4,1,0)</f>
        <v/>
      </c>
      <c r="H4" s="13">
        <f>GAMMA.DIST(D4,Gamma_fit!$K$18,Gamma_fit!$K$19,TRUE)-B4</f>
        <v/>
      </c>
      <c r="I4" s="13">
        <f>1-EXP(-C4/Gamma_fit!$K$10)-B4</f>
        <v/>
      </c>
      <c r="K4" t="inlineStr">
        <is>
          <t>mean of gamma draws</t>
        </is>
      </c>
      <c r="L4" s="11">
        <f>AVERAGE(D2:D21)</f>
        <v/>
      </c>
    </row>
    <row r="5">
      <c r="A5">
        <f>Data!H5</f>
        <v/>
      </c>
      <c r="B5" s="9">
        <f>Data!I5</f>
        <v/>
      </c>
      <c r="C5" s="11">
        <f>-Gamma_fit!$K$10*LN(1-B5)</f>
        <v/>
      </c>
      <c r="D5" s="11">
        <f>GAMMA.INV(B5,Gamma_fit!$K$18,Gamma_fit!$K$19)</f>
        <v/>
      </c>
      <c r="E5" s="11">
        <f>PERCENTILE.INC(Gamma_fit!$F$2:$F$121,B5)</f>
        <v/>
      </c>
      <c r="F5" s="11">
        <f>NORM.INV(B5,Bivariate!$K$4,Bivariate!$K$6)</f>
        <v/>
      </c>
      <c r="G5">
        <f>IF(B5&lt;=Gamma_fit!$K$4,1,0)</f>
        <v/>
      </c>
      <c r="H5" s="13">
        <f>GAMMA.DIST(D5,Gamma_fit!$K$18,Gamma_fit!$K$19,TRUE)-B5</f>
        <v/>
      </c>
      <c r="I5" s="13">
        <f>1-EXP(-C5/Gamma_fit!$K$10)-B5</f>
        <v/>
      </c>
      <c r="K5" t="inlineStr">
        <is>
          <t>theoretical mean alpha*beta</t>
        </is>
      </c>
      <c r="L5" s="11">
        <f>Gamma_fit!$K$18*Gamma_fit!$K$19</f>
        <v/>
      </c>
    </row>
    <row r="6">
      <c r="A6">
        <f>Data!H6</f>
        <v/>
      </c>
      <c r="B6" s="9">
        <f>Data!I6</f>
        <v/>
      </c>
      <c r="C6" s="11">
        <f>-Gamma_fit!$K$10*LN(1-B6)</f>
        <v/>
      </c>
      <c r="D6" s="11">
        <f>GAMMA.INV(B6,Gamma_fit!$K$18,Gamma_fit!$K$19)</f>
        <v/>
      </c>
      <c r="E6" s="11">
        <f>PERCENTILE.INC(Gamma_fit!$F$2:$F$121,B6)</f>
        <v/>
      </c>
      <c r="F6" s="11">
        <f>NORM.INV(B6,Bivariate!$K$4,Bivariate!$K$6)</f>
        <v/>
      </c>
      <c r="G6">
        <f>IF(B6&lt;=Gamma_fit!$K$4,1,0)</f>
        <v/>
      </c>
      <c r="H6" s="13">
        <f>GAMMA.DIST(D6,Gamma_fit!$K$18,Gamma_fit!$K$19,TRUE)-B6</f>
        <v/>
      </c>
      <c r="I6" s="13">
        <f>1-EXP(-C6/Gamma_fit!$K$10)-B6</f>
        <v/>
      </c>
      <c r="K6" t="inlineStr">
        <is>
          <t>mean of empirical-inverse draws</t>
        </is>
      </c>
      <c r="L6" s="11">
        <f>AVERAGE(E2:E21)</f>
        <v/>
      </c>
    </row>
    <row r="7">
      <c r="A7">
        <f>Data!H7</f>
        <v/>
      </c>
      <c r="B7" s="9">
        <f>Data!I7</f>
        <v/>
      </c>
      <c r="C7" s="11">
        <f>-Gamma_fit!$K$10*LN(1-B7)</f>
        <v/>
      </c>
      <c r="D7" s="11">
        <f>GAMMA.INV(B7,Gamma_fit!$K$18,Gamma_fit!$K$19)</f>
        <v/>
      </c>
      <c r="E7" s="11">
        <f>PERCENTILE.INC(Gamma_fit!$F$2:$F$121,B7)</f>
        <v/>
      </c>
      <c r="F7" s="11">
        <f>NORM.INV(B7,Bivariate!$K$4,Bivariate!$K$6)</f>
        <v/>
      </c>
      <c r="G7">
        <f>IF(B7&lt;=Gamma_fit!$K$4,1,0)</f>
        <v/>
      </c>
      <c r="H7" s="13">
        <f>GAMMA.DIST(D7,Gamma_fit!$K$18,Gamma_fit!$K$19,TRUE)-B7</f>
        <v/>
      </c>
      <c r="I7" s="13">
        <f>1-EXP(-C7/Gamma_fit!$K$10)-B7</f>
        <v/>
      </c>
      <c r="K7" t="inlineStr">
        <is>
          <t>observed wet-day mean</t>
        </is>
      </c>
      <c r="L7" s="11">
        <f>Gamma_fit!K5</f>
        <v/>
      </c>
    </row>
    <row r="8">
      <c r="A8">
        <f>Data!H8</f>
        <v/>
      </c>
      <c r="B8" s="9">
        <f>Data!I8</f>
        <v/>
      </c>
      <c r="C8" s="11">
        <f>-Gamma_fit!$K$10*LN(1-B8)</f>
        <v/>
      </c>
      <c r="D8" s="11">
        <f>GAMMA.INV(B8,Gamma_fit!$K$18,Gamma_fit!$K$19)</f>
        <v/>
      </c>
      <c r="E8" s="11">
        <f>PERCENTILE.INC(Gamma_fit!$F$2:$F$121,B8)</f>
        <v/>
      </c>
      <c r="F8" s="11">
        <f>NORM.INV(B8,Bivariate!$K$4,Bivariate!$K$6)</f>
        <v/>
      </c>
      <c r="G8">
        <f>IF(B8&lt;=Gamma_fit!$K$4,1,0)</f>
        <v/>
      </c>
      <c r="H8" s="13">
        <f>GAMMA.DIST(D8,Gamma_fit!$K$18,Gamma_fit!$K$19,TRUE)-B8</f>
        <v/>
      </c>
      <c r="I8" s="13">
        <f>1-EXP(-C8/Gamma_fit!$K$10)-B8</f>
        <v/>
      </c>
      <c r="K8" t="inlineStr">
        <is>
          <t>fraction of draws wet</t>
        </is>
      </c>
      <c r="L8" s="11">
        <f>AVERAGE(G2:G21)</f>
        <v/>
      </c>
    </row>
    <row r="9">
      <c r="A9">
        <f>Data!H9</f>
        <v/>
      </c>
      <c r="B9" s="9">
        <f>Data!I9</f>
        <v/>
      </c>
      <c r="C9" s="11">
        <f>-Gamma_fit!$K$10*LN(1-B9)</f>
        <v/>
      </c>
      <c r="D9" s="11">
        <f>GAMMA.INV(B9,Gamma_fit!$K$18,Gamma_fit!$K$19)</f>
        <v/>
      </c>
      <c r="E9" s="11">
        <f>PERCENTILE.INC(Gamma_fit!$F$2:$F$121,B9)</f>
        <v/>
      </c>
      <c r="F9" s="11">
        <f>NORM.INV(B9,Bivariate!$K$4,Bivariate!$K$6)</f>
        <v/>
      </c>
      <c r="G9">
        <f>IF(B9&lt;=Gamma_fit!$K$4,1,0)</f>
        <v/>
      </c>
      <c r="H9" s="13">
        <f>GAMMA.DIST(D9,Gamma_fit!$K$18,Gamma_fit!$K$19,TRUE)-B9</f>
        <v/>
      </c>
      <c r="I9" s="13">
        <f>1-EXP(-C9/Gamma_fit!$K$10)-B9</f>
        <v/>
      </c>
      <c r="K9" t="inlineStr">
        <is>
          <t>wet-day probability p</t>
        </is>
      </c>
      <c r="L9" s="11">
        <f>Gamma_fit!K4</f>
        <v/>
      </c>
    </row>
    <row r="10">
      <c r="A10">
        <f>Data!H10</f>
        <v/>
      </c>
      <c r="B10" s="9">
        <f>Data!I10</f>
        <v/>
      </c>
      <c r="C10" s="11">
        <f>-Gamma_fit!$K$10*LN(1-B10)</f>
        <v/>
      </c>
      <c r="D10" s="11">
        <f>GAMMA.INV(B10,Gamma_fit!$K$18,Gamma_fit!$K$19)</f>
        <v/>
      </c>
      <c r="E10" s="11">
        <f>PERCENTILE.INC(Gamma_fit!$F$2:$F$121,B10)</f>
        <v/>
      </c>
      <c r="F10" s="11">
        <f>NORM.INV(B10,Bivariate!$K$4,Bivariate!$K$6)</f>
        <v/>
      </c>
      <c r="G10">
        <f>IF(B10&lt;=Gamma_fit!$K$4,1,0)</f>
        <v/>
      </c>
      <c r="H10" s="13">
        <f>GAMMA.DIST(D10,Gamma_fit!$K$18,Gamma_fit!$K$19,TRUE)-B10</f>
        <v/>
      </c>
      <c r="I10" s="13">
        <f>1-EXP(-C10/Gamma_fit!$K$10)-B10</f>
        <v/>
      </c>
      <c r="K10" t="inlineStr">
        <is>
          <t>mean of normal draws (degC)</t>
        </is>
      </c>
      <c r="L10" s="11">
        <f>AVERAGE(F2:F21)</f>
        <v/>
      </c>
    </row>
    <row r="11">
      <c r="A11">
        <f>Data!H11</f>
        <v/>
      </c>
      <c r="B11" s="9">
        <f>Data!I11</f>
        <v/>
      </c>
      <c r="C11" s="11">
        <f>-Gamma_fit!$K$10*LN(1-B11)</f>
        <v/>
      </c>
      <c r="D11" s="11">
        <f>GAMMA.INV(B11,Gamma_fit!$K$18,Gamma_fit!$K$19)</f>
        <v/>
      </c>
      <c r="E11" s="11">
        <f>PERCENTILE.INC(Gamma_fit!$F$2:$F$121,B11)</f>
        <v/>
      </c>
      <c r="F11" s="11">
        <f>NORM.INV(B11,Bivariate!$K$4,Bivariate!$K$6)</f>
        <v/>
      </c>
      <c r="G11">
        <f>IF(B11&lt;=Gamma_fit!$K$4,1,0)</f>
        <v/>
      </c>
      <c r="H11" s="13">
        <f>GAMMA.DIST(D11,Gamma_fit!$K$18,Gamma_fit!$K$19,TRUE)-B11</f>
        <v/>
      </c>
      <c r="I11" s="13">
        <f>1-EXP(-C11/Gamma_fit!$K$10)-B11</f>
        <v/>
      </c>
      <c r="K11" t="inlineStr">
        <is>
          <t>mean of station T (degC)</t>
        </is>
      </c>
      <c r="L11" s="11">
        <f>Bivariate!K4</f>
        <v/>
      </c>
    </row>
    <row r="12">
      <c r="A12">
        <f>Data!H12</f>
        <v/>
      </c>
      <c r="B12" s="9">
        <f>Data!I12</f>
        <v/>
      </c>
      <c r="C12" s="11">
        <f>-Gamma_fit!$K$10*LN(1-B12)</f>
        <v/>
      </c>
      <c r="D12" s="11">
        <f>GAMMA.INV(B12,Gamma_fit!$K$18,Gamma_fit!$K$19)</f>
        <v/>
      </c>
      <c r="E12" s="11">
        <f>PERCENTILE.INC(Gamma_fit!$F$2:$F$121,B12)</f>
        <v/>
      </c>
      <c r="F12" s="11">
        <f>NORM.INV(B12,Bivariate!$K$4,Bivariate!$K$6)</f>
        <v/>
      </c>
      <c r="G12">
        <f>IF(B12&lt;=Gamma_fit!$K$4,1,0)</f>
        <v/>
      </c>
      <c r="H12" s="13">
        <f>GAMMA.DIST(D12,Gamma_fit!$K$18,Gamma_fit!$K$19,TRUE)-B12</f>
        <v/>
      </c>
      <c r="I12" s="13">
        <f>1-EXP(-C12/Gamma_fit!$K$10)-B12</f>
        <v/>
      </c>
    </row>
    <row r="13">
      <c r="A13">
        <f>Data!H13</f>
        <v/>
      </c>
      <c r="B13" s="9">
        <f>Data!I13</f>
        <v/>
      </c>
      <c r="C13" s="11">
        <f>-Gamma_fit!$K$10*LN(1-B13)</f>
        <v/>
      </c>
      <c r="D13" s="11">
        <f>GAMMA.INV(B13,Gamma_fit!$K$18,Gamma_fit!$K$19)</f>
        <v/>
      </c>
      <c r="E13" s="11">
        <f>PERCENTILE.INC(Gamma_fit!$F$2:$F$121,B13)</f>
        <v/>
      </c>
      <c r="F13" s="11">
        <f>NORM.INV(B13,Bivariate!$K$4,Bivariate!$K$6)</f>
        <v/>
      </c>
      <c r="G13">
        <f>IF(B13&lt;=Gamma_fit!$K$4,1,0)</f>
        <v/>
      </c>
      <c r="H13" s="13">
        <f>GAMMA.DIST(D13,Gamma_fit!$K$18,Gamma_fit!$K$19,TRUE)-B13</f>
        <v/>
      </c>
      <c r="I13" s="13">
        <f>1-EXP(-C13/Gamma_fit!$K$10)-B13</f>
        <v/>
      </c>
    </row>
    <row r="14">
      <c r="A14">
        <f>Data!H14</f>
        <v/>
      </c>
      <c r="B14" s="9">
        <f>Data!I14</f>
        <v/>
      </c>
      <c r="C14" s="11">
        <f>-Gamma_fit!$K$10*LN(1-B14)</f>
        <v/>
      </c>
      <c r="D14" s="11">
        <f>GAMMA.INV(B14,Gamma_fit!$K$18,Gamma_fit!$K$19)</f>
        <v/>
      </c>
      <c r="E14" s="11">
        <f>PERCENTILE.INC(Gamma_fit!$F$2:$F$121,B14)</f>
        <v/>
      </c>
      <c r="F14" s="11">
        <f>NORM.INV(B14,Bivariate!$K$4,Bivariate!$K$6)</f>
        <v/>
      </c>
      <c r="G14">
        <f>IF(B14&lt;=Gamma_fit!$K$4,1,0)</f>
        <v/>
      </c>
      <c r="H14" s="13">
        <f>GAMMA.DIST(D14,Gamma_fit!$K$18,Gamma_fit!$K$19,TRUE)-B14</f>
        <v/>
      </c>
      <c r="I14" s="13">
        <f>1-EXP(-C14/Gamma_fit!$K$10)-B14</f>
        <v/>
      </c>
    </row>
    <row r="15">
      <c r="A15">
        <f>Data!H15</f>
        <v/>
      </c>
      <c r="B15" s="9">
        <f>Data!I15</f>
        <v/>
      </c>
      <c r="C15" s="11">
        <f>-Gamma_fit!$K$10*LN(1-B15)</f>
        <v/>
      </c>
      <c r="D15" s="11">
        <f>GAMMA.INV(B15,Gamma_fit!$K$18,Gamma_fit!$K$19)</f>
        <v/>
      </c>
      <c r="E15" s="11">
        <f>PERCENTILE.INC(Gamma_fit!$F$2:$F$121,B15)</f>
        <v/>
      </c>
      <c r="F15" s="11">
        <f>NORM.INV(B15,Bivariate!$K$4,Bivariate!$K$6)</f>
        <v/>
      </c>
      <c r="G15">
        <f>IF(B15&lt;=Gamma_fit!$K$4,1,0)</f>
        <v/>
      </c>
      <c r="H15" s="13">
        <f>GAMMA.DIST(D15,Gamma_fit!$K$18,Gamma_fit!$K$19,TRUE)-B15</f>
        <v/>
      </c>
      <c r="I15" s="13">
        <f>1-EXP(-C15/Gamma_fit!$K$10)-B15</f>
        <v/>
      </c>
    </row>
    <row r="16">
      <c r="A16">
        <f>Data!H16</f>
        <v/>
      </c>
      <c r="B16" s="9">
        <f>Data!I16</f>
        <v/>
      </c>
      <c r="C16" s="11">
        <f>-Gamma_fit!$K$10*LN(1-B16)</f>
        <v/>
      </c>
      <c r="D16" s="11">
        <f>GAMMA.INV(B16,Gamma_fit!$K$18,Gamma_fit!$K$19)</f>
        <v/>
      </c>
      <c r="E16" s="11">
        <f>PERCENTILE.INC(Gamma_fit!$F$2:$F$121,B16)</f>
        <v/>
      </c>
      <c r="F16" s="11">
        <f>NORM.INV(B16,Bivariate!$K$4,Bivariate!$K$6)</f>
        <v/>
      </c>
      <c r="G16">
        <f>IF(B16&lt;=Gamma_fit!$K$4,1,0)</f>
        <v/>
      </c>
      <c r="H16" s="13">
        <f>GAMMA.DIST(D16,Gamma_fit!$K$18,Gamma_fit!$K$19,TRUE)-B16</f>
        <v/>
      </c>
      <c r="I16" s="13">
        <f>1-EXP(-C16/Gamma_fit!$K$10)-B16</f>
        <v/>
      </c>
    </row>
    <row r="17">
      <c r="A17">
        <f>Data!H17</f>
        <v/>
      </c>
      <c r="B17" s="9">
        <f>Data!I17</f>
        <v/>
      </c>
      <c r="C17" s="11">
        <f>-Gamma_fit!$K$10*LN(1-B17)</f>
        <v/>
      </c>
      <c r="D17" s="11">
        <f>GAMMA.INV(B17,Gamma_fit!$K$18,Gamma_fit!$K$19)</f>
        <v/>
      </c>
      <c r="E17" s="11">
        <f>PERCENTILE.INC(Gamma_fit!$F$2:$F$121,B17)</f>
        <v/>
      </c>
      <c r="F17" s="11">
        <f>NORM.INV(B17,Bivariate!$K$4,Bivariate!$K$6)</f>
        <v/>
      </c>
      <c r="G17">
        <f>IF(B17&lt;=Gamma_fit!$K$4,1,0)</f>
        <v/>
      </c>
      <c r="H17" s="13">
        <f>GAMMA.DIST(D17,Gamma_fit!$K$18,Gamma_fit!$K$19,TRUE)-B17</f>
        <v/>
      </c>
      <c r="I17" s="13">
        <f>1-EXP(-C17/Gamma_fit!$K$10)-B17</f>
        <v/>
      </c>
    </row>
    <row r="18">
      <c r="A18">
        <f>Data!H18</f>
        <v/>
      </c>
      <c r="B18" s="9">
        <f>Data!I18</f>
        <v/>
      </c>
      <c r="C18" s="11">
        <f>-Gamma_fit!$K$10*LN(1-B18)</f>
        <v/>
      </c>
      <c r="D18" s="11">
        <f>GAMMA.INV(B18,Gamma_fit!$K$18,Gamma_fit!$K$19)</f>
        <v/>
      </c>
      <c r="E18" s="11">
        <f>PERCENTILE.INC(Gamma_fit!$F$2:$F$121,B18)</f>
        <v/>
      </c>
      <c r="F18" s="11">
        <f>NORM.INV(B18,Bivariate!$K$4,Bivariate!$K$6)</f>
        <v/>
      </c>
      <c r="G18">
        <f>IF(B18&lt;=Gamma_fit!$K$4,1,0)</f>
        <v/>
      </c>
      <c r="H18" s="13">
        <f>GAMMA.DIST(D18,Gamma_fit!$K$18,Gamma_fit!$K$19,TRUE)-B18</f>
        <v/>
      </c>
      <c r="I18" s="13">
        <f>1-EXP(-C18/Gamma_fit!$K$10)-B18</f>
        <v/>
      </c>
    </row>
    <row r="19">
      <c r="A19">
        <f>Data!H19</f>
        <v/>
      </c>
      <c r="B19" s="9">
        <f>Data!I19</f>
        <v/>
      </c>
      <c r="C19" s="11">
        <f>-Gamma_fit!$K$10*LN(1-B19)</f>
        <v/>
      </c>
      <c r="D19" s="11">
        <f>GAMMA.INV(B19,Gamma_fit!$K$18,Gamma_fit!$K$19)</f>
        <v/>
      </c>
      <c r="E19" s="11">
        <f>PERCENTILE.INC(Gamma_fit!$F$2:$F$121,B19)</f>
        <v/>
      </c>
      <c r="F19" s="11">
        <f>NORM.INV(B19,Bivariate!$K$4,Bivariate!$K$6)</f>
        <v/>
      </c>
      <c r="G19">
        <f>IF(B19&lt;=Gamma_fit!$K$4,1,0)</f>
        <v/>
      </c>
      <c r="H19" s="13">
        <f>GAMMA.DIST(D19,Gamma_fit!$K$18,Gamma_fit!$K$19,TRUE)-B19</f>
        <v/>
      </c>
      <c r="I19" s="13">
        <f>1-EXP(-C19/Gamma_fit!$K$10)-B19</f>
        <v/>
      </c>
    </row>
    <row r="20">
      <c r="A20">
        <f>Data!H20</f>
        <v/>
      </c>
      <c r="B20" s="9">
        <f>Data!I20</f>
        <v/>
      </c>
      <c r="C20" s="11">
        <f>-Gamma_fit!$K$10*LN(1-B20)</f>
        <v/>
      </c>
      <c r="D20" s="11">
        <f>GAMMA.INV(B20,Gamma_fit!$K$18,Gamma_fit!$K$19)</f>
        <v/>
      </c>
      <c r="E20" s="11">
        <f>PERCENTILE.INC(Gamma_fit!$F$2:$F$121,B20)</f>
        <v/>
      </c>
      <c r="F20" s="11">
        <f>NORM.INV(B20,Bivariate!$K$4,Bivariate!$K$6)</f>
        <v/>
      </c>
      <c r="G20">
        <f>IF(B20&lt;=Gamma_fit!$K$4,1,0)</f>
        <v/>
      </c>
      <c r="H20" s="13">
        <f>GAMMA.DIST(D20,Gamma_fit!$K$18,Gamma_fit!$K$19,TRUE)-B20</f>
        <v/>
      </c>
      <c r="I20" s="13">
        <f>1-EXP(-C20/Gamma_fit!$K$10)-B20</f>
        <v/>
      </c>
    </row>
    <row r="21">
      <c r="A21">
        <f>Data!H21</f>
        <v/>
      </c>
      <c r="B21" s="9">
        <f>Data!I21</f>
        <v/>
      </c>
      <c r="C21" s="11">
        <f>-Gamma_fit!$K$10*LN(1-B21)</f>
        <v/>
      </c>
      <c r="D21" s="11">
        <f>GAMMA.INV(B21,Gamma_fit!$K$18,Gamma_fit!$K$19)</f>
        <v/>
      </c>
      <c r="E21" s="11">
        <f>PERCENTILE.INC(Gamma_fit!$F$2:$F$121,B21)</f>
        <v/>
      </c>
      <c r="F21" s="11">
        <f>NORM.INV(B21,Bivariate!$K$4,Bivariate!$K$6)</f>
        <v/>
      </c>
      <c r="G21">
        <f>IF(B21&lt;=Gamma_fit!$K$4,1,0)</f>
        <v/>
      </c>
      <c r="H21" s="13">
        <f>GAMMA.DIST(D21,Gamma_fit!$K$18,Gamma_fit!$K$19,TRUE)-B21</f>
        <v/>
      </c>
      <c r="I21" s="13">
        <f>1-EXP(-C21/Gamma_fit!$K$10)-B21</f>
        <v/>
      </c>
    </row>
  </sheetData>
  <pageMargins left="0.75" right="0.75" top="1" bottom="1" header="0.5" footer="0.5"/>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2026-10-15T10:56:18Z</dcterms:created>
  <dcterms:modified xmlns:dcterms="http://purl.org/dc/terms/" xmlns:xsi="http://www.w3.org/2001/XMLSchema-instance" xsi:type="dcterms:W3CDTF">2026-10-15T10:56:18Z</dcterms:modified>
</cp:coreProperties>
</file>