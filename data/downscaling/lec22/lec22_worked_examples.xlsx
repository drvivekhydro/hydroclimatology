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WeatherType_Rain" sheetId="3" state="visible" r:id="rId3"/>
    <sheet xmlns:r="http://schemas.openxmlformats.org/officeDocument/2006/relationships" name="kNN_Re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Lecture 22 worked examples (CE524 Applied Hydroclimatology)</t>
        </is>
      </c>
    </row>
    <row r="2">
      <c r="A2" t="inlineStr">
        <is>
          <t>All numbers are synthetic and were made for teaching; they are not data from the book.</t>
        </is>
      </c>
    </row>
    <row r="3">
      <c r="A3" t="inlineStr">
        <is>
          <t>Sheets: Data (inputs), WeatherType_Rain (hand example a: daily rainfall from a weather-type chain), kNN_Resample (hand example b: kNN resampling and daily-to-hourly scaling).</t>
        </is>
      </c>
    </row>
    <row r="4">
      <c r="A4" t="inlineStr">
        <is>
          <t>Colour code: blue = input you may change, black = formula. Cells marked Note explain the formulas.</t>
        </is>
      </c>
    </row>
    <row r="5">
      <c r="A5" t="inlineStr">
        <is>
          <t>Symbols follow Lee and Singh (2019): P_LWT, PCTM, P_wet, mu_LWT, u, R (Chapter 7); D_i, w_j, k, y_i, Y_t, x_{i,h}, X_{t,h} (Chapter 8).</t>
        </is>
      </c>
    </row>
    <row r="6">
      <c r="A6" t="inlineStr">
        <is>
          <t>The notebook prints the same numbers in the cells after the hand-worked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Assumed weather-type statistics (synthetic)</t>
        </is>
      </c>
    </row>
    <row r="2">
      <c r="G2" s="2" t="inlineStr">
        <is>
          <t>Transition matrix (row = type today, column = type tomorrow)</t>
        </is>
      </c>
    </row>
    <row r="3">
      <c r="A3" s="3" t="inlineStr">
        <is>
          <t>Type</t>
        </is>
      </c>
      <c r="B3" s="3" t="inlineStr">
        <is>
          <t>P_LWT</t>
        </is>
      </c>
      <c r="C3" s="3" t="inlineStr">
        <is>
          <t>P_wet</t>
        </is>
      </c>
      <c r="D3" s="3" t="inlineStr">
        <is>
          <t>mu_LWT [mm]</t>
        </is>
      </c>
      <c r="G3" s="2" t="inlineStr">
        <is>
          <t>From / To</t>
        </is>
      </c>
      <c r="H3" s="3" t="inlineStr">
        <is>
          <t>A</t>
        </is>
      </c>
      <c r="I3" s="3" t="inlineStr">
        <is>
          <t>C</t>
        </is>
      </c>
      <c r="J3" s="3" t="inlineStr">
        <is>
          <t>W</t>
        </is>
      </c>
      <c r="K3" s="3" t="inlineStr">
        <is>
          <t>O</t>
        </is>
      </c>
      <c r="L3" s="2" t="inlineStr">
        <is>
          <t>Row sum</t>
        </is>
      </c>
    </row>
    <row r="4">
      <c r="A4" t="inlineStr">
        <is>
          <t>A</t>
        </is>
      </c>
      <c r="B4" s="4" t="n">
        <v>0.3</v>
      </c>
      <c r="C4" s="4" t="n">
        <v>0.15</v>
      </c>
      <c r="D4" s="4" t="n">
        <v>2</v>
      </c>
      <c r="G4" t="inlineStr">
        <is>
          <t>A</t>
        </is>
      </c>
      <c r="H4" s="4" t="n">
        <v>0.5</v>
      </c>
      <c r="I4" s="4" t="n">
        <v>0.05</v>
      </c>
      <c r="J4" s="4" t="n">
        <v>0.1</v>
      </c>
      <c r="K4" s="4" t="n">
        <v>0.35</v>
      </c>
      <c r="L4">
        <f>SUM(H4:K4)</f>
        <v/>
      </c>
    </row>
    <row r="5">
      <c r="A5" t="inlineStr">
        <is>
          <t>C</t>
        </is>
      </c>
      <c r="B5" s="4" t="n">
        <v>0.1</v>
      </c>
      <c r="C5" s="4" t="n">
        <v>0.8</v>
      </c>
      <c r="D5" s="4" t="n">
        <v>7</v>
      </c>
      <c r="G5" t="inlineStr">
        <is>
          <t>C</t>
        </is>
      </c>
      <c r="H5" s="4" t="n">
        <v>0.1</v>
      </c>
      <c r="I5" s="4" t="n">
        <v>0.4</v>
      </c>
      <c r="J5" s="4" t="n">
        <v>0.1</v>
      </c>
      <c r="K5" s="4" t="n">
        <v>0.4</v>
      </c>
      <c r="L5">
        <f>SUM(H5:K5)</f>
        <v/>
      </c>
    </row>
    <row r="6">
      <c r="A6" t="inlineStr">
        <is>
          <t>W</t>
        </is>
      </c>
      <c r="B6" s="4" t="n">
        <v>0.2</v>
      </c>
      <c r="C6" s="4" t="n">
        <v>0.5</v>
      </c>
      <c r="D6" s="4" t="n">
        <v>4</v>
      </c>
      <c r="G6" t="inlineStr">
        <is>
          <t>W</t>
        </is>
      </c>
      <c r="H6" s="4" t="n">
        <v>0.15</v>
      </c>
      <c r="I6" s="4" t="n">
        <v>0.1</v>
      </c>
      <c r="J6" s="4" t="n">
        <v>0.45</v>
      </c>
      <c r="K6" s="4" t="n">
        <v>0.3</v>
      </c>
      <c r="L6">
        <f>SUM(H6:K6)</f>
        <v/>
      </c>
    </row>
    <row r="7">
      <c r="A7" t="inlineStr">
        <is>
          <t>O</t>
        </is>
      </c>
      <c r="B7" s="4" t="n">
        <v>0.4</v>
      </c>
      <c r="C7" s="4" t="n">
        <v>0.4</v>
      </c>
      <c r="D7" s="4" t="n">
        <v>3</v>
      </c>
      <c r="G7" t="inlineStr">
        <is>
          <t>O</t>
        </is>
      </c>
      <c r="H7" s="4" t="n">
        <v>0.2</v>
      </c>
      <c r="I7" s="4" t="n">
        <v>0.15</v>
      </c>
      <c r="J7" s="4" t="n">
        <v>0.15</v>
      </c>
      <c r="K7" s="4" t="n">
        <v>0.5</v>
      </c>
      <c r="L7">
        <f>SUM(H7:K7)</f>
        <v/>
      </c>
    </row>
    <row r="8">
      <c r="A8" t="inlineStr">
        <is>
          <t>Sum P_LWT</t>
        </is>
      </c>
      <c r="B8">
        <f>SUM(B4:B7)</f>
        <v/>
      </c>
    </row>
    <row r="11">
      <c r="A11" s="2" t="inlineStr">
        <is>
          <t>Library of observed days: hourly depths x_{i,h} [mm]; daily total y_i = sum over h</t>
        </is>
      </c>
    </row>
    <row r="12">
      <c r="A12" s="3" t="inlineStr">
        <is>
          <t>i</t>
        </is>
      </c>
      <c r="B12" s="3" t="inlineStr">
        <is>
          <t>y_i [mm]</t>
        </is>
      </c>
      <c r="C12" s="3" t="n">
        <v>1</v>
      </c>
      <c r="D12" s="3" t="n">
        <v>2</v>
      </c>
      <c r="E12" s="3" t="n">
        <v>3</v>
      </c>
      <c r="F12" s="3" t="n">
        <v>4</v>
      </c>
      <c r="G12" s="3" t="n">
        <v>5</v>
      </c>
      <c r="H12" s="3" t="n">
        <v>6</v>
      </c>
      <c r="I12" s="3" t="n">
        <v>7</v>
      </c>
      <c r="J12" s="3" t="n">
        <v>8</v>
      </c>
      <c r="K12" s="3" t="n">
        <v>9</v>
      </c>
      <c r="L12" s="3" t="n">
        <v>10</v>
      </c>
      <c r="M12" s="3" t="n">
        <v>11</v>
      </c>
      <c r="N12" s="3" t="n">
        <v>12</v>
      </c>
      <c r="O12" s="3" t="n">
        <v>13</v>
      </c>
      <c r="P12" s="3" t="n">
        <v>14</v>
      </c>
      <c r="Q12" s="3" t="n">
        <v>15</v>
      </c>
      <c r="R12" s="3" t="n">
        <v>16</v>
      </c>
      <c r="S12" s="3" t="n">
        <v>17</v>
      </c>
      <c r="T12" s="3" t="n">
        <v>18</v>
      </c>
      <c r="U12" s="3" t="n">
        <v>19</v>
      </c>
      <c r="V12" s="3" t="n">
        <v>20</v>
      </c>
      <c r="W12" s="3" t="n">
        <v>21</v>
      </c>
      <c r="X12" s="3" t="n">
        <v>22</v>
      </c>
      <c r="Y12" s="3" t="n">
        <v>23</v>
      </c>
      <c r="Z12" s="3" t="n">
        <v>24</v>
      </c>
    </row>
    <row r="13">
      <c r="A13" t="n">
        <v>1</v>
      </c>
      <c r="B13">
        <f>SUM(C13:Z13)</f>
        <v/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2</v>
      </c>
      <c r="Q13" s="4" t="n">
        <v>5</v>
      </c>
      <c r="R13" s="4" t="n">
        <v>3</v>
      </c>
      <c r="S13" s="4" t="n">
        <v>2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t="n">
        <v>2</v>
      </c>
      <c r="B14">
        <f>SUM(C14:Z14)</f>
        <v/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4</v>
      </c>
      <c r="S14" s="4" t="n">
        <v>9</v>
      </c>
      <c r="T14" s="4" t="n">
        <v>10</v>
      </c>
      <c r="U14" s="4" t="n">
        <v>5</v>
      </c>
      <c r="V14" s="4" t="n">
        <v>3</v>
      </c>
      <c r="W14" s="4" t="n">
        <v>0</v>
      </c>
      <c r="X14" s="4" t="n">
        <v>0</v>
      </c>
      <c r="Y14" s="4" t="n">
        <v>0</v>
      </c>
      <c r="Z14" s="4" t="n">
        <v>0</v>
      </c>
    </row>
    <row r="15">
      <c r="A15" t="n">
        <v>3</v>
      </c>
      <c r="B15">
        <f>SUM(C15:Z15)</f>
        <v/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1.5</v>
      </c>
      <c r="J15" s="4" t="n">
        <v>4.5</v>
      </c>
      <c r="K15" s="4" t="n">
        <v>7.5</v>
      </c>
      <c r="L15" s="4" t="n">
        <v>5</v>
      </c>
      <c r="M15" s="4" t="n">
        <v>3</v>
      </c>
      <c r="N15" s="4" t="n">
        <v>1.5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0.6</v>
      </c>
      <c r="V15" s="4" t="n">
        <v>0.4</v>
      </c>
      <c r="W15" s="4" t="n">
        <v>0</v>
      </c>
      <c r="X15" s="4" t="n">
        <v>0</v>
      </c>
      <c r="Y15" s="4" t="n">
        <v>0</v>
      </c>
      <c r="Z15" s="4" t="n">
        <v>0</v>
      </c>
    </row>
    <row r="16">
      <c r="A16" t="n">
        <v>4</v>
      </c>
      <c r="B16">
        <f>SUM(C16:Z16)</f>
        <v/>
      </c>
      <c r="C16" s="4" t="n">
        <v>0</v>
      </c>
      <c r="D16" s="4" t="n">
        <v>0</v>
      </c>
      <c r="E16" s="4" t="n">
        <v>1</v>
      </c>
      <c r="F16" s="4" t="n">
        <v>2</v>
      </c>
      <c r="G16" s="4" t="n">
        <v>3</v>
      </c>
      <c r="H16" s="4" t="n">
        <v>2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</row>
    <row r="17">
      <c r="A17" t="n">
        <v>5</v>
      </c>
      <c r="B17">
        <f>SUM(C17:Z17)</f>
        <v/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3</v>
      </c>
      <c r="P17" s="4" t="n">
        <v>8</v>
      </c>
      <c r="Q17" s="4" t="n">
        <v>12</v>
      </c>
      <c r="R17" s="4" t="n">
        <v>9</v>
      </c>
      <c r="S17" s="4" t="n">
        <v>5</v>
      </c>
      <c r="T17" s="4" t="n">
        <v>3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</row>
    <row r="18">
      <c r="A18" t="n">
        <v>6</v>
      </c>
      <c r="B18">
        <f>SUM(C18:Z18)</f>
        <v/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2</v>
      </c>
      <c r="H18" s="4" t="n">
        <v>5</v>
      </c>
      <c r="I18" s="4" t="n">
        <v>6</v>
      </c>
      <c r="J18" s="4" t="n">
        <v>4</v>
      </c>
      <c r="K18" s="4" t="n">
        <v>2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</row>
    <row r="20">
      <c r="A20" t="inlineStr">
        <is>
          <t>Row 12 (columns C to Z) holds the hour h = 1..24.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Hand example (a): one simulated day, Chapter 7 steps 1 to 4</t>
        </is>
      </c>
    </row>
    <row r="3">
      <c r="A3" s="2" t="inlineStr">
        <is>
          <t>Inputs (uniform random numbers)</t>
        </is>
      </c>
    </row>
    <row r="4">
      <c r="A4" t="inlineStr">
        <is>
          <t>u1 (type of day 1, from P_LWT)</t>
        </is>
      </c>
      <c r="B4" s="4" t="n">
        <v>0.34</v>
      </c>
    </row>
    <row r="5">
      <c r="A5" t="inlineStr">
        <is>
          <t>u2 (type of day 2, from the row of day 1)</t>
        </is>
      </c>
      <c r="B5" s="4" t="n">
        <v>0.58</v>
      </c>
    </row>
    <row r="6">
      <c r="A6" t="inlineStr">
        <is>
          <t>u3 (rainfall occurrence)</t>
        </is>
      </c>
      <c r="B6" s="4" t="n">
        <v>0.27</v>
      </c>
    </row>
    <row r="7">
      <c r="A7" t="inlineStr">
        <is>
          <t>u4 (rainfall amount)</t>
        </is>
      </c>
      <c r="B7" s="4" t="n">
        <v>0.7</v>
      </c>
    </row>
    <row r="9">
      <c r="A9" s="2" t="inlineStr">
        <is>
          <t>Step 1: day 1 from the cumulative P_LWT</t>
        </is>
      </c>
    </row>
    <row r="10">
      <c r="A10" t="inlineStr">
        <is>
          <t>Type</t>
        </is>
      </c>
      <c r="B10">
        <f>Data!A4</f>
        <v/>
      </c>
      <c r="C10">
        <f>Data!A5</f>
        <v/>
      </c>
      <c r="D10">
        <f>Data!A6</f>
        <v/>
      </c>
      <c r="E10">
        <f>Data!A7</f>
        <v/>
      </c>
    </row>
    <row r="11">
      <c r="A11" t="inlineStr">
        <is>
          <t>PCTM (cumulative P_LWT)</t>
        </is>
      </c>
      <c r="B11">
        <f>SUM(Data!$B$4:$B4)</f>
        <v/>
      </c>
      <c r="C11">
        <f>SUM(Data!$B$4:$B5)</f>
        <v/>
      </c>
      <c r="D11">
        <f>SUM(Data!$B$4:$B6)</f>
        <v/>
      </c>
      <c r="E11">
        <f>SUM(Data!$B$4:$B7)</f>
        <v/>
      </c>
      <c r="G11" t="inlineStr">
        <is>
          <t>Note: running sum of P_LWT in the order A, C, W, O.</t>
        </is>
      </c>
    </row>
    <row r="12">
      <c r="A12" t="inlineStr">
        <is>
          <t>Type index of day 1</t>
        </is>
      </c>
      <c r="B12">
        <f>COUNTIF(B11:E11,"&lt;="&amp;B4)+1</f>
        <v/>
      </c>
      <c r="G12" t="inlineStr">
        <is>
          <t>Note: day 1 is the type whose interval [PCTM(j-1), PCTM(j)) contains u1, i.e. 1 + the number of PCTM values &lt;= u1.</t>
        </is>
      </c>
    </row>
    <row r="13">
      <c r="A13" t="inlineStr">
        <is>
          <t>Type of day 1</t>
        </is>
      </c>
      <c r="B13">
        <f>INDEX(B10:E10,B12)</f>
        <v/>
      </c>
    </row>
    <row r="15">
      <c r="A15" s="2" t="inlineStr">
        <is>
          <t>Step 2: day 2 from the row of day 1 of the transition matrix</t>
        </is>
      </c>
    </row>
    <row r="16">
      <c r="A16" t="inlineStr">
        <is>
          <t>Cumulative transition matrix</t>
        </is>
      </c>
      <c r="B16">
        <f>Data!H3</f>
        <v/>
      </c>
      <c r="C16">
        <f>Data!I3</f>
        <v/>
      </c>
      <c r="D16">
        <f>Data!J3</f>
        <v/>
      </c>
      <c r="E16">
        <f>Data!K3</f>
        <v/>
      </c>
    </row>
    <row r="17">
      <c r="A17">
        <f>Data!G4</f>
        <v/>
      </c>
      <c r="B17">
        <f>SUM(Data!$H4:H4)</f>
        <v/>
      </c>
      <c r="C17">
        <f>SUM(Data!$H4:I4)</f>
        <v/>
      </c>
      <c r="D17">
        <f>SUM(Data!$H4:J4)</f>
        <v/>
      </c>
      <c r="E17">
        <f>SUM(Data!$H4:K4)</f>
        <v/>
      </c>
      <c r="G17" t="inlineStr">
        <is>
          <t>Note: each row is the running sum of that row of the transition matrix; the row of the previous day's type is used.</t>
        </is>
      </c>
    </row>
    <row r="18">
      <c r="A18">
        <f>Data!G5</f>
        <v/>
      </c>
      <c r="B18">
        <f>SUM(Data!$H5:H5)</f>
        <v/>
      </c>
      <c r="C18">
        <f>SUM(Data!$H5:I5)</f>
        <v/>
      </c>
      <c r="D18">
        <f>SUM(Data!$H5:J5)</f>
        <v/>
      </c>
      <c r="E18">
        <f>SUM(Data!$H5:K5)</f>
        <v/>
      </c>
    </row>
    <row r="19">
      <c r="A19">
        <f>Data!G6</f>
        <v/>
      </c>
      <c r="B19">
        <f>SUM(Data!$H6:H6)</f>
        <v/>
      </c>
      <c r="C19">
        <f>SUM(Data!$H6:I6)</f>
        <v/>
      </c>
      <c r="D19">
        <f>SUM(Data!$H6:J6)</f>
        <v/>
      </c>
      <c r="E19">
        <f>SUM(Data!$H6:K6)</f>
        <v/>
      </c>
    </row>
    <row r="20">
      <c r="A20">
        <f>Data!G7</f>
        <v/>
      </c>
      <c r="B20">
        <f>SUM(Data!$H7:H7)</f>
        <v/>
      </c>
      <c r="C20">
        <f>SUM(Data!$H7:I7)</f>
        <v/>
      </c>
      <c r="D20">
        <f>SUM(Data!$H7:J7)</f>
        <v/>
      </c>
      <c r="E20">
        <f>SUM(Data!$H7:K7)</f>
        <v/>
      </c>
    </row>
    <row r="22">
      <c r="A22" t="inlineStr">
        <is>
          <t>PCTM row of the day-1 type</t>
        </is>
      </c>
      <c r="B22">
        <f>INDEX(B17:B20,$B$12)</f>
        <v/>
      </c>
      <c r="C22">
        <f>INDEX(C17:C20,$B$12)</f>
        <v/>
      </c>
      <c r="D22">
        <f>INDEX(D17:D20,$B$12)</f>
        <v/>
      </c>
      <c r="E22">
        <f>INDEX(E17:E20,$B$12)</f>
        <v/>
      </c>
    </row>
    <row r="23">
      <c r="A23" t="inlineStr">
        <is>
          <t>Type index of day 2</t>
        </is>
      </c>
      <c r="B23">
        <f>COUNTIF(B22:E22,"&lt;="&amp;B5)+1</f>
        <v/>
      </c>
    </row>
    <row r="24">
      <c r="A24" t="inlineStr">
        <is>
          <t>Type of day 2</t>
        </is>
      </c>
      <c r="B24">
        <f>INDEX(B10:E10,B23)</f>
        <v/>
      </c>
    </row>
    <row r="26">
      <c r="A26" s="2" t="inlineStr">
        <is>
          <t>Step 3: occurrence for the type of day 2</t>
        </is>
      </c>
    </row>
    <row r="27">
      <c r="A27" t="inlineStr">
        <is>
          <t>P_wet</t>
        </is>
      </c>
      <c r="B27">
        <f>INDEX(Data!C4:C7,B23)</f>
        <v/>
      </c>
    </row>
    <row r="28">
      <c r="A28" t="inlineStr">
        <is>
          <t>wet if u3 &lt; P_wet</t>
        </is>
      </c>
      <c r="B28">
        <f>IF(B6&lt;B27,"wet","dry")</f>
        <v/>
      </c>
      <c r="G28" t="inlineStr">
        <is>
          <t>Note: the day is wet when u &lt; P_wet.</t>
        </is>
      </c>
    </row>
    <row r="30">
      <c r="A30" s="2" t="inlineStr">
        <is>
          <t>Step 4: rainfall amount (exponential)</t>
        </is>
      </c>
    </row>
    <row r="31">
      <c r="A31" t="inlineStr">
        <is>
          <t>mu_LWT [mm]</t>
        </is>
      </c>
      <c r="B31">
        <f>INDEX(Data!D4:D7,B23)</f>
        <v/>
      </c>
    </row>
    <row r="32">
      <c r="A32" t="inlineStr">
        <is>
          <t>R [mm] = -mu_LWT ln(1-u4)</t>
        </is>
      </c>
      <c r="B32">
        <f>IF(B28="wet",-B31*LN(1-B7),0)</f>
        <v/>
      </c>
      <c r="G32" t="inlineStr">
        <is>
          <t>Note: R is zero if the day is dry.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5" t="inlineStr">
        <is>
          <t>Hand example (b): kNN resampling of an hourly pattern for a target daily total</t>
        </is>
      </c>
    </row>
    <row r="3">
      <c r="A3" t="inlineStr">
        <is>
          <t>y_t = Y_t target daily total [mm]</t>
        </is>
      </c>
      <c r="B3" s="4" t="n">
        <v>28</v>
      </c>
    </row>
    <row r="4">
      <c r="A4" t="inlineStr">
        <is>
          <t>u random number</t>
        </is>
      </c>
      <c r="B4" s="4" t="n">
        <v>0.7</v>
      </c>
    </row>
    <row r="5">
      <c r="A5" t="inlineStr">
        <is>
          <t>n library days</t>
        </is>
      </c>
      <c r="B5">
        <f>COUNT(Data!B13:B18)</f>
        <v/>
      </c>
    </row>
    <row r="6">
      <c r="A6" t="inlineStr">
        <is>
          <t>k = ceil(sqrt(n))</t>
        </is>
      </c>
      <c r="B6">
        <f>ROUNDUP(SQRT(B5),0)</f>
        <v/>
      </c>
      <c r="D6" t="inlineStr">
        <is>
          <t>Note: heuristic number of neighbours.</t>
        </is>
      </c>
    </row>
    <row r="8">
      <c r="A8" s="3" t="inlineStr">
        <is>
          <t>i</t>
        </is>
      </c>
      <c r="B8" s="3" t="inlineStr">
        <is>
          <t>y_i [mm]</t>
        </is>
      </c>
      <c r="C8" s="3" t="inlineStr">
        <is>
          <t>D_i = (y_t - y_i)^2</t>
        </is>
      </c>
      <c r="D8" s="3" t="inlineStr">
        <is>
          <t>rank of D_i</t>
        </is>
      </c>
      <c r="F8" t="inlineStr">
        <is>
          <t>Note: squared distance on the daily total (Eq. 8.3); rank 1 is the nearest day.</t>
        </is>
      </c>
    </row>
    <row r="9">
      <c r="A9" t="n">
        <v>1</v>
      </c>
      <c r="B9">
        <f>Data!B13</f>
        <v/>
      </c>
      <c r="C9">
        <f>($B$3-B9)^2</f>
        <v/>
      </c>
      <c r="D9">
        <f>RANK(C9,$C$9:$C$14,1)</f>
        <v/>
      </c>
    </row>
    <row r="10">
      <c r="A10" t="n">
        <v>2</v>
      </c>
      <c r="B10">
        <f>Data!B14</f>
        <v/>
      </c>
      <c r="C10">
        <f>($B$3-B10)^2</f>
        <v/>
      </c>
      <c r="D10">
        <f>RANK(C10,$C$9:$C$14,1)</f>
        <v/>
      </c>
    </row>
    <row r="11">
      <c r="A11" t="n">
        <v>3</v>
      </c>
      <c r="B11">
        <f>Data!B15</f>
        <v/>
      </c>
      <c r="C11">
        <f>($B$3-B11)^2</f>
        <v/>
      </c>
      <c r="D11">
        <f>RANK(C11,$C$9:$C$14,1)</f>
        <v/>
      </c>
    </row>
    <row r="12">
      <c r="A12" t="n">
        <v>4</v>
      </c>
      <c r="B12">
        <f>Data!B16</f>
        <v/>
      </c>
      <c r="C12">
        <f>($B$3-B12)^2</f>
        <v/>
      </c>
      <c r="D12">
        <f>RANK(C12,$C$9:$C$14,1)</f>
        <v/>
      </c>
    </row>
    <row r="13">
      <c r="A13" t="n">
        <v>5</v>
      </c>
      <c r="B13">
        <f>Data!B17</f>
        <v/>
      </c>
      <c r="C13">
        <f>($B$3-B13)^2</f>
        <v/>
      </c>
      <c r="D13">
        <f>RANK(C13,$C$9:$C$14,1)</f>
        <v/>
      </c>
    </row>
    <row r="14">
      <c r="A14" t="n">
        <v>6</v>
      </c>
      <c r="B14">
        <f>Data!B18</f>
        <v/>
      </c>
      <c r="C14">
        <f>($B$3-B14)^2</f>
        <v/>
      </c>
      <c r="D14">
        <f>RANK(C14,$C$9:$C$14,1)</f>
        <v/>
      </c>
    </row>
    <row r="17">
      <c r="A17" s="3" t="inlineStr">
        <is>
          <t>j</t>
        </is>
      </c>
      <c r="B17" s="3" t="inlineStr">
        <is>
          <t>index p(j)</t>
        </is>
      </c>
      <c r="C17" s="3" t="inlineStr">
        <is>
          <t>D_(j)</t>
        </is>
      </c>
      <c r="D17" s="3" t="inlineStr">
        <is>
          <t>y_p(j) [mm]</t>
        </is>
      </c>
      <c r="E17" s="3" t="inlineStr">
        <is>
          <t>1/j (if j&lt;=k)</t>
        </is>
      </c>
      <c r="F17" s="3" t="inlineStr">
        <is>
          <t>w_j</t>
        </is>
      </c>
      <c r="G17" s="3" t="inlineStr">
        <is>
          <t>cumulative c_j</t>
        </is>
      </c>
    </row>
    <row r="18">
      <c r="A18" t="n">
        <v>1</v>
      </c>
      <c r="B18">
        <f>MATCH(A18,$D$9:$D$14,0)</f>
        <v/>
      </c>
      <c r="C18">
        <f>INDEX($C$9:$C$14,B18)</f>
        <v/>
      </c>
      <c r="D18">
        <f>INDEX($B$9:$B$14,B18)</f>
        <v/>
      </c>
      <c r="E18">
        <f>IF(A18&lt;=$B$6,1/A18,0)</f>
        <v/>
      </c>
      <c r="F18">
        <f>E18/SUM($E$18:$E$23)</f>
        <v/>
      </c>
      <c r="G18">
        <f>SUM($F$18:F18)</f>
        <v/>
      </c>
      <c r="I18" t="inlineStr">
        <is>
          <t>Note: w_j = (1/j) / sum over m = 1..k of (1/m) (Eq. 8.4); rows with j &gt; k get weight 0.</t>
        </is>
      </c>
    </row>
    <row r="19">
      <c r="A19" t="n">
        <v>2</v>
      </c>
      <c r="B19">
        <f>MATCH(A19,$D$9:$D$14,0)</f>
        <v/>
      </c>
      <c r="C19">
        <f>INDEX($C$9:$C$14,B19)</f>
        <v/>
      </c>
      <c r="D19">
        <f>INDEX($B$9:$B$14,B19)</f>
        <v/>
      </c>
      <c r="E19">
        <f>IF(A19&lt;=$B$6,1/A19,0)</f>
        <v/>
      </c>
      <c r="F19">
        <f>E19/SUM($E$18:$E$23)</f>
        <v/>
      </c>
      <c r="G19">
        <f>SUM($F$18:F19)</f>
        <v/>
      </c>
    </row>
    <row r="20">
      <c r="A20" t="n">
        <v>3</v>
      </c>
      <c r="B20">
        <f>MATCH(A20,$D$9:$D$14,0)</f>
        <v/>
      </c>
      <c r="C20">
        <f>INDEX($C$9:$C$14,B20)</f>
        <v/>
      </c>
      <c r="D20">
        <f>INDEX($B$9:$B$14,B20)</f>
        <v/>
      </c>
      <c r="E20">
        <f>IF(A20&lt;=$B$6,1/A20,0)</f>
        <v/>
      </c>
      <c r="F20">
        <f>E20/SUM($E$18:$E$23)</f>
        <v/>
      </c>
      <c r="G20">
        <f>SUM($F$18:F20)</f>
        <v/>
      </c>
    </row>
    <row r="21">
      <c r="A21" t="n">
        <v>4</v>
      </c>
      <c r="B21">
        <f>MATCH(A21,$D$9:$D$14,0)</f>
        <v/>
      </c>
      <c r="C21">
        <f>INDEX($C$9:$C$14,B21)</f>
        <v/>
      </c>
      <c r="D21">
        <f>INDEX($B$9:$B$14,B21)</f>
        <v/>
      </c>
      <c r="E21">
        <f>IF(A21&lt;=$B$6,1/A21,0)</f>
        <v/>
      </c>
      <c r="F21">
        <f>E21/SUM($E$18:$E$23)</f>
        <v/>
      </c>
      <c r="G21">
        <f>SUM($F$18:F21)</f>
        <v/>
      </c>
    </row>
    <row r="22">
      <c r="A22" t="n">
        <v>5</v>
      </c>
      <c r="B22">
        <f>MATCH(A22,$D$9:$D$14,0)</f>
        <v/>
      </c>
      <c r="C22">
        <f>INDEX($C$9:$C$14,B22)</f>
        <v/>
      </c>
      <c r="D22">
        <f>INDEX($B$9:$B$14,B22)</f>
        <v/>
      </c>
      <c r="E22">
        <f>IF(A22&lt;=$B$6,1/A22,0)</f>
        <v/>
      </c>
      <c r="F22">
        <f>E22/SUM($E$18:$E$23)</f>
        <v/>
      </c>
      <c r="G22">
        <f>SUM($F$18:F22)</f>
        <v/>
      </c>
    </row>
    <row r="23">
      <c r="A23" t="n">
        <v>6</v>
      </c>
      <c r="B23">
        <f>MATCH(A23,$D$9:$D$14,0)</f>
        <v/>
      </c>
      <c r="C23">
        <f>INDEX($C$9:$C$14,B23)</f>
        <v/>
      </c>
      <c r="D23">
        <f>INDEX($B$9:$B$14,B23)</f>
        <v/>
      </c>
      <c r="E23">
        <f>IF(A23&lt;=$B$6,1/A23,0)</f>
        <v/>
      </c>
      <c r="F23">
        <f>E23/SUM($E$18:$E$23)</f>
        <v/>
      </c>
      <c r="G23">
        <f>SUM($F$18:F23)</f>
        <v/>
      </c>
    </row>
    <row r="25">
      <c r="A25" t="inlineStr">
        <is>
          <t>j* (first j with c_j &gt;= u)</t>
        </is>
      </c>
      <c r="B25">
        <f>COUNTIF(G18:G23,"&lt;"&amp;B4)+1</f>
        <v/>
      </c>
    </row>
    <row r="26">
      <c r="A26" t="inlineStr">
        <is>
          <t>selected day p</t>
        </is>
      </c>
      <c r="B26">
        <f>INDEX(B18:B23,B25)</f>
        <v/>
      </c>
    </row>
    <row r="27">
      <c r="A27" t="inlineStr">
        <is>
          <t>y_p [mm]</t>
        </is>
      </c>
      <c r="B27">
        <f>INDEX(B9:B14,B26)</f>
        <v/>
      </c>
    </row>
    <row r="28">
      <c r="A28" t="inlineStr">
        <is>
          <t>scale factor Y_t / y_p</t>
        </is>
      </c>
      <c r="B28">
        <f>B3/B27</f>
        <v/>
      </c>
      <c r="D28" t="inlineStr">
        <is>
          <t>Note: proportional adjustment (Eq. 8.7) without GA mixing, i.e. Pc = Pm = 0.</t>
        </is>
      </c>
    </row>
    <row r="30">
      <c r="A30" t="inlineStr">
        <is>
          <t>hour h</t>
        </is>
      </c>
      <c r="B30" s="3" t="n">
        <v>1</v>
      </c>
      <c r="C30" s="3" t="n">
        <v>2</v>
      </c>
      <c r="D30" s="3" t="n">
        <v>3</v>
      </c>
      <c r="E30" s="3" t="n">
        <v>4</v>
      </c>
      <c r="F30" s="3" t="n">
        <v>5</v>
      </c>
      <c r="G30" s="3" t="n">
        <v>6</v>
      </c>
      <c r="H30" s="3" t="n">
        <v>7</v>
      </c>
      <c r="I30" s="3" t="n">
        <v>8</v>
      </c>
      <c r="J30" s="3" t="n">
        <v>9</v>
      </c>
      <c r="K30" s="3" t="n">
        <v>10</v>
      </c>
      <c r="L30" s="3" t="n">
        <v>11</v>
      </c>
      <c r="M30" s="3" t="n">
        <v>12</v>
      </c>
      <c r="N30" s="3" t="n">
        <v>13</v>
      </c>
      <c r="O30" s="3" t="n">
        <v>14</v>
      </c>
      <c r="P30" s="3" t="n">
        <v>15</v>
      </c>
      <c r="Q30" s="3" t="n">
        <v>16</v>
      </c>
      <c r="R30" s="3" t="n">
        <v>17</v>
      </c>
      <c r="S30" s="3" t="n">
        <v>18</v>
      </c>
      <c r="T30" s="3" t="n">
        <v>19</v>
      </c>
      <c r="U30" s="3" t="n">
        <v>20</v>
      </c>
      <c r="V30" s="3" t="n">
        <v>21</v>
      </c>
      <c r="W30" s="3" t="n">
        <v>22</v>
      </c>
      <c r="X30" s="3" t="n">
        <v>23</v>
      </c>
      <c r="Y30" s="3" t="n">
        <v>24</v>
      </c>
    </row>
    <row r="31">
      <c r="A31" t="inlineStr">
        <is>
          <t>x_{p,h} [mm]</t>
        </is>
      </c>
      <c r="B31">
        <f>INDEX(Data!C$13:C$18,$B$26)</f>
        <v/>
      </c>
      <c r="C31">
        <f>INDEX(Data!D$13:D$18,$B$26)</f>
        <v/>
      </c>
      <c r="D31">
        <f>INDEX(Data!E$13:E$18,$B$26)</f>
        <v/>
      </c>
      <c r="E31">
        <f>INDEX(Data!F$13:F$18,$B$26)</f>
        <v/>
      </c>
      <c r="F31">
        <f>INDEX(Data!G$13:G$18,$B$26)</f>
        <v/>
      </c>
      <c r="G31">
        <f>INDEX(Data!H$13:H$18,$B$26)</f>
        <v/>
      </c>
      <c r="H31">
        <f>INDEX(Data!I$13:I$18,$B$26)</f>
        <v/>
      </c>
      <c r="I31">
        <f>INDEX(Data!J$13:J$18,$B$26)</f>
        <v/>
      </c>
      <c r="J31">
        <f>INDEX(Data!K$13:K$18,$B$26)</f>
        <v/>
      </c>
      <c r="K31">
        <f>INDEX(Data!L$13:L$18,$B$26)</f>
        <v/>
      </c>
      <c r="L31">
        <f>INDEX(Data!M$13:M$18,$B$26)</f>
        <v/>
      </c>
      <c r="M31">
        <f>INDEX(Data!N$13:N$18,$B$26)</f>
        <v/>
      </c>
      <c r="N31">
        <f>INDEX(Data!O$13:O$18,$B$26)</f>
        <v/>
      </c>
      <c r="O31">
        <f>INDEX(Data!P$13:P$18,$B$26)</f>
        <v/>
      </c>
      <c r="P31">
        <f>INDEX(Data!Q$13:Q$18,$B$26)</f>
        <v/>
      </c>
      <c r="Q31">
        <f>INDEX(Data!R$13:R$18,$B$26)</f>
        <v/>
      </c>
      <c r="R31">
        <f>INDEX(Data!S$13:S$18,$B$26)</f>
        <v/>
      </c>
      <c r="S31">
        <f>INDEX(Data!T$13:T$18,$B$26)</f>
        <v/>
      </c>
      <c r="T31">
        <f>INDEX(Data!U$13:U$18,$B$26)</f>
        <v/>
      </c>
      <c r="U31">
        <f>INDEX(Data!V$13:V$18,$B$26)</f>
        <v/>
      </c>
      <c r="V31">
        <f>INDEX(Data!W$13:W$18,$B$26)</f>
        <v/>
      </c>
      <c r="W31">
        <f>INDEX(Data!X$13:X$18,$B$26)</f>
        <v/>
      </c>
      <c r="X31">
        <f>INDEX(Data!Y$13:Y$18,$B$26)</f>
        <v/>
      </c>
      <c r="Y31">
        <f>INDEX(Data!Z$13:Z$18,$B$26)</f>
        <v/>
      </c>
    </row>
    <row r="32">
      <c r="A32" t="inlineStr">
        <is>
          <t>X_{t,h} [mm]</t>
        </is>
      </c>
      <c r="B32">
        <f>B31*$B$28</f>
        <v/>
      </c>
      <c r="C32">
        <f>C31*$B$28</f>
        <v/>
      </c>
      <c r="D32">
        <f>D31*$B$28</f>
        <v/>
      </c>
      <c r="E32">
        <f>E31*$B$28</f>
        <v/>
      </c>
      <c r="F32">
        <f>F31*$B$28</f>
        <v/>
      </c>
      <c r="G32">
        <f>G31*$B$28</f>
        <v/>
      </c>
      <c r="H32">
        <f>H31*$B$28</f>
        <v/>
      </c>
      <c r="I32">
        <f>I31*$B$28</f>
        <v/>
      </c>
      <c r="J32">
        <f>J31*$B$28</f>
        <v/>
      </c>
      <c r="K32">
        <f>K31*$B$28</f>
        <v/>
      </c>
      <c r="L32">
        <f>L31*$B$28</f>
        <v/>
      </c>
      <c r="M32">
        <f>M31*$B$28</f>
        <v/>
      </c>
      <c r="N32">
        <f>N31*$B$28</f>
        <v/>
      </c>
      <c r="O32">
        <f>O31*$B$28</f>
        <v/>
      </c>
      <c r="P32">
        <f>P31*$B$28</f>
        <v/>
      </c>
      <c r="Q32">
        <f>Q31*$B$28</f>
        <v/>
      </c>
      <c r="R32">
        <f>R31*$B$28</f>
        <v/>
      </c>
      <c r="S32">
        <f>S31*$B$28</f>
        <v/>
      </c>
      <c r="T32">
        <f>T31*$B$28</f>
        <v/>
      </c>
      <c r="U32">
        <f>U31*$B$28</f>
        <v/>
      </c>
      <c r="V32">
        <f>V31*$B$28</f>
        <v/>
      </c>
      <c r="W32">
        <f>W31*$B$28</f>
        <v/>
      </c>
      <c r="X32">
        <f>X31*$B$28</f>
        <v/>
      </c>
      <c r="Y32">
        <f>Y31*$B$28</f>
        <v/>
      </c>
    </row>
    <row r="33">
      <c r="A33" t="inlineStr">
        <is>
          <t>sum of X_{t,h} [mm]</t>
        </is>
      </c>
      <c r="B33">
        <f>SUM(B32:Y32)</f>
        <v/>
      </c>
    </row>
    <row r="34">
      <c r="A34" t="inlineStr">
        <is>
          <t>largest hour [mm]</t>
        </is>
      </c>
      <c r="B34">
        <f>MAX(B32:Y32)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2026-10-23T07:16:34Z</dcterms:created>
  <dcterms:modified xmlns:dcterms="http://purl.org/dc/terms/" xmlns:xsi="http://www.w3.org/2001/XMLSchema-instance" xsi:type="dcterms:W3CDTF">2026-10-23T07:16:34Z</dcterms:modified>
</cp:coreProperties>
</file>