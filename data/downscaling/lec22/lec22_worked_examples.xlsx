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KMeans" sheetId="3" state="visible" r:id="rId3"/>
    <sheet xmlns:r="http://schemas.openxmlformats.org/officeDocument/2006/relationships" name="kNN_Res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b val="1"/>
    </font>
    <font>
      <name val="Arial"/>
      <color rgb="000000FF"/>
    </font>
    <font>
      <name val="Arial"/>
      <i val="1"/>
      <color rgb="0059595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0" fontId="2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1" fillId="0" borderId="0" pivotButton="0" quotePrefix="0" xfId="0"/>
    <xf numFmtId="0" fontId="5" fillId="0" borderId="0" pivotButton="0" quotePrefix="0" xfId="0"/>
    <xf numFmtId="165" fontId="2" fillId="0" borderId="0" pivotButton="0" quotePrefix="0" xfId="0"/>
    <xf numFmtId="0" fontId="3" fillId="3" borderId="0" pivotButton="0" quotePrefix="0" xfId="0"/>
    <xf numFmtId="2" fontId="2" fillId="0" borderId="0" pivotButton="0" quotePrefix="0" xfId="0"/>
    <xf numFmtId="1" fontId="2" fillId="0" borderId="0" pivotButton="0" quotePrefix="0" xfId="0"/>
    <xf numFmtId="0" fontId="3" fillId="0" borderId="0" pivotButton="0" quotePrefix="0" xfId="0"/>
    <xf numFmtId="166" fontId="2" fillId="0" borderId="0" pivotButton="0" quotePrefix="0" xfId="0"/>
    <xf numFmtId="1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WSS by iteration</a:t>
            </a:r>
          </a:p>
        </rich>
      </tx>
    </title>
    <plotArea>
      <lineChart>
        <grouping val="standard"/>
        <ser>
          <idx val="0"/>
          <order val="0"/>
          <tx>
            <strRef>
              <f>'KMeans'!B4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'KMeans'!$A$5:$A$8</f>
            </numRef>
          </cat>
          <val>
            <numRef>
              <f>'KMeans'!$B$5:$B$8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WSS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Days, starting and final centroids</a:t>
            </a:r>
          </a:p>
        </rich>
      </tx>
    </title>
    <plotArea>
      <scatterChart>
        <ser>
          <idx val="0"/>
          <order val="0"/>
          <tx>
            <v>days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'KMeans'!$B$12:$B$23</f>
            </numRef>
          </xVal>
          <yVal>
            <numRef>
              <f>'KMeans'!$C$12:$C$23</f>
            </numRef>
          </yVal>
        </ser>
        <ser>
          <idx val="1"/>
          <order val="1"/>
          <tx>
            <v>starting centroids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10"/>
            <spPr>
              <a:ln xmlns:a="http://schemas.openxmlformats.org/drawingml/2006/main">
                <a:prstDash val="solid"/>
              </a:ln>
            </spPr>
          </marker>
          <xVal>
            <numRef>
              <f>'KMeans'!$K$12:$K$14</f>
            </numRef>
          </xVal>
          <yVal>
            <numRef>
              <f>'KMeans'!$L$12:$L$14</f>
            </numRef>
          </yVal>
        </ser>
        <ser>
          <idx val="2"/>
          <order val="2"/>
          <tx>
            <v>final centroids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10"/>
            <spPr>
              <a:ln xmlns:a="http://schemas.openxmlformats.org/drawingml/2006/main">
                <a:prstDash val="solid"/>
              </a:ln>
            </spPr>
          </marker>
          <xVal>
            <numRef>
              <f>'KMeans'!$N$63:$N$65</f>
            </numRef>
          </xVal>
          <yVal>
            <numRef>
              <f>'KMeans'!$O$63:$O$65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PC1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Kernel weights of the neighbours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'kNN_Resample'!L11</f>
            </strRef>
          </tx>
          <spPr>
            <a:ln xmlns:a="http://schemas.openxmlformats.org/drawingml/2006/main">
              <a:prstDash val="solid"/>
            </a:ln>
          </spPr>
          <cat>
            <numRef>
              <f>'kNN_Resample'!$H$12:$H$19</f>
            </numRef>
          </cat>
          <val>
            <numRef>
              <f>'kNN_Resample'!$L$12:$L$19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neighbour j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weight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Hourly pattern before and after scaling (mm)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'kNN_Resample'!B35</f>
            </strRef>
          </tx>
          <spPr>
            <a:ln xmlns:a="http://schemas.openxmlformats.org/drawingml/2006/main">
              <a:prstDash val="solid"/>
            </a:ln>
          </spPr>
          <cat>
            <numRef>
              <f>'kNN_Resample'!$A$36:$A$59</f>
            </numRef>
          </cat>
          <val>
            <numRef>
              <f>'kNN_Resample'!$B$36:$B$59</f>
            </numRef>
          </val>
        </ser>
        <ser>
          <idx val="1"/>
          <order val="1"/>
          <tx>
            <strRef>
              <f>'kNN_Resample'!C35</f>
            </strRef>
          </tx>
          <spPr>
            <a:ln xmlns:a="http://schemas.openxmlformats.org/drawingml/2006/main">
              <a:prstDash val="solid"/>
            </a:ln>
          </spPr>
          <cat>
            <numRef>
              <f>'kNN_Resample'!$A$36:$A$59</f>
            </numRef>
          </cat>
          <val>
            <numRef>
              <f>'kNN_Resample'!$C$36:$C$59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 per hour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CE524</author>
  </authors>
  <commentList>
    <comment ref="B1" authorId="0" shapeId="0">
      <text>
        <t>Synthetic standardised principal-component scores of 12 days (PC1, PC2). Teaching data, not observations.</t>
      </text>
    </comment>
    <comment ref="D1" authorId="0" shapeId="0">
      <text>
        <t>1, 2, 3 mark the points used as the starting centroids of clusters 1, 2, 3. A poor start on purpose (points 1 and 2 lie in the same group) so that the iterations have work to do.</t>
      </text>
    </comment>
    <comment ref="G1" authorId="0" shapeId="0">
      <text>
        <t>Daily total = sum of the 24 hourly values (formula).</t>
      </text>
    </comment>
    <comment ref="H1" authorId="0" shapeId="0">
      <text>
        <t>Hourly rainfall depth in mm for hour h of the day (synthetic, with an afternoon-evening maximum).</t>
      </text>
    </comment>
    <comment ref="AH2" authorId="0" shapeId="0">
      <text>
        <t>The daily rainfall (mm) to be disaggregated into hours, for example a GCM or gauge daily value.</t>
      </text>
    </comment>
    <comment ref="AH3" authorId="0" shapeId="0">
      <text>
        <t>A FIXED uniform number in (0,1) standing in for a random draw so the sheet is reproducible. Replace by =RAND() for a new draw.</t>
      </text>
    </comment>
  </commentList>
</comments>
</file>

<file path=xl/comments/comment2.xml><?xml version="1.0" encoding="utf-8"?>
<comments xmlns="http://schemas.openxmlformats.org/spreadsheetml/2006/main">
  <authors>
    <author>CE524</author>
  </authors>
  <commentList>
    <comment ref="C4" authorId="0" shapeId="0">
      <text>
        <t>Total absolute movement of the three centroids in the update step. Zero means converged.</t>
      </text>
    </comment>
    <comment ref="G12" authorId="0" shapeId="0">
      <text>
        <t>MATCH(MIN(...), range, 0) returns the position (1, 2 or 3) of the smallest distance, i.e. the nearest centroid. Ties go to the lower number.</t>
      </text>
    </comment>
    <comment ref="K12" authorId="0" shapeId="0">
      <text>
        <t>Iteration 1: the three starting points chosen in Data column D. Later iterations: the 'new' centroids of the previous iteration.</t>
      </text>
    </comment>
    <comment ref="N12" authorId="0" shapeId="0">
      <text>
        <t>New centroid = mean of the x values of the points assigned to the cluster (SUMIF / COUNTIF). If a cluster is empty it stays where it was.</t>
      </text>
    </comment>
    <comment ref="J17" authorId="0" shapeId="0">
      <text>
        <t>Within-cluster sum of squares for the assignment of this iteration, measured to the centroids used in this iteration.</t>
      </text>
    </comment>
    <comment ref="G29" authorId="0" shapeId="0">
      <text>
        <t>MATCH(MIN(...), range, 0) returns the position (1, 2 or 3) of the smallest distance, i.e. the nearest centroid. Ties go to the lower number.</t>
      </text>
    </comment>
    <comment ref="N29" authorId="0" shapeId="0">
      <text>
        <t>New centroid = mean of the x values of the points assigned to the cluster (SUMIF / COUNTIF). If a cluster is empty it stays where it was.</t>
      </text>
    </comment>
    <comment ref="J34" authorId="0" shapeId="0">
      <text>
        <t>Within-cluster sum of squares for the assignment of this iteration, measured to the centroids used in this iteration.</t>
      </text>
    </comment>
    <comment ref="G46" authorId="0" shapeId="0">
      <text>
        <t>MATCH(MIN(...), range, 0) returns the position (1, 2 or 3) of the smallest distance, i.e. the nearest centroid. Ties go to the lower number.</t>
      </text>
    </comment>
    <comment ref="N46" authorId="0" shapeId="0">
      <text>
        <t>New centroid = mean of the x values of the points assigned to the cluster (SUMIF / COUNTIF). If a cluster is empty it stays where it was.</t>
      </text>
    </comment>
    <comment ref="J51" authorId="0" shapeId="0">
      <text>
        <t>Within-cluster sum of squares for the assignment of this iteration, measured to the centroids used in this iteration.</t>
      </text>
    </comment>
    <comment ref="G63" authorId="0" shapeId="0">
      <text>
        <t>MATCH(MIN(...), range, 0) returns the position (1, 2 or 3) of the smallest distance, i.e. the nearest centroid. Ties go to the lower number.</t>
      </text>
    </comment>
    <comment ref="N63" authorId="0" shapeId="0">
      <text>
        <t>New centroid = mean of the x values of the points assigned to the cluster (SUMIF / COUNTIF). If a cluster is empty it stays where it was.</t>
      </text>
    </comment>
    <comment ref="J68" authorId="0" shapeId="0">
      <text>
        <t>Within-cluster sum of squares for the assignment of this iteration, measured to the centroids used in this iteration.</t>
      </text>
    </comment>
  </commentList>
</comments>
</file>

<file path=xl/comments/comment3.xml><?xml version="1.0" encoding="utf-8"?>
<comments xmlns="http://schemas.openxmlformats.org/spreadsheetml/2006/main">
  <authors>
    <author>CE524</author>
  </authors>
  <commentList>
    <comment ref="B6" authorId="0" shapeId="0">
      <text>
        <t>Common default k = ceiling(sqrt(n)). Results are not very sensitive to k. The neighbour table on the right has room for k up to 8.</t>
      </text>
    </comment>
    <comment ref="B8" authorId="0" shapeId="0">
      <text>
        <t>For k = 5 this is 1 + 1/2 + 1/3 + 1/4 + 1/5 = 2.2833. Dividing by it makes the weights add up to 1.</t>
      </text>
    </comment>
    <comment ref="D12" authorId="0" shapeId="0">
      <text>
        <t>RANK(...,1) = position when sorted ascending (1 = closest). The COUNTIF term breaks exact ties so that every rank appears once.</t>
      </text>
    </comment>
    <comment ref="I12" authorId="0" shapeId="0">
      <text>
        <t>Position in the table on the left of the library day whose rank is j.</t>
      </text>
    </comment>
    <comment ref="L23" authorId="0" shapeId="0">
      <text>
        <t>j* is the first j whose cumulative weight reaches u. The number of cumulative weights smaller than u, plus one, equals j*.</t>
      </text>
    </comment>
    <comment ref="L27" authorId="0" shapeId="0">
      <text>
        <t>Every hourly value of the chosen day is multiplied by s, so the 24 values add up to y_t exactly.</t>
      </text>
    </comment>
    <comment ref="C62" authorId="0" shapeId="0">
      <text>
        <t>Must be 0 (to rounding): the additive condition.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16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17</row>
      <rowOff>0</rowOff>
    </from>
    <ext cx="46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15" customHeight="1">
      <c r="A1" s="1" t="inlineStr">
        <is>
          <t>Lecture 22: Weather types and temporal downscaling - worked examples</t>
        </is>
      </c>
    </row>
    <row r="2" ht="15" customHeight="1">
      <c r="A2" s="2" t="inlineStr">
        <is>
          <t>CE524 Applied Hydroclimatology, IIT Mandi. Companion to lecture-22-weather-types-and-temporal-downscaling.ipynb.</t>
        </is>
      </c>
    </row>
    <row r="3" ht="15" customHeight="1">
      <c r="A3" s="2" t="inlineStr"/>
    </row>
    <row r="4" ht="15" customHeight="1">
      <c r="A4" s="3" t="inlineStr">
        <is>
          <t>Purpose</t>
        </is>
      </c>
    </row>
    <row r="5" ht="45" customHeight="1">
      <c r="A5" s="2" t="inlineStr">
        <is>
          <t>Two small examples that can be followed cell by cell: (1) k-means clustering of 12 days in a 2-D space of principal-component scores (weather types); (2) k-nearest-neighbour (kNN) resampling to disaggregate one daily rainfall total into 24 hourly values.</t>
        </is>
      </c>
    </row>
    <row r="6" ht="15" customHeight="1">
      <c r="A6" s="2" t="inlineStr"/>
    </row>
    <row r="7" ht="15" customHeight="1">
      <c r="A7" s="3" t="inlineStr">
        <is>
          <t>Sheets</t>
        </is>
      </c>
    </row>
    <row r="8" ht="30" customHeight="1">
      <c r="A8" s="2" t="inlineStr">
        <is>
          <t>Data - all inputs: 12 synthetic PC-score points, 20 synthetic hourly rainfall days (the library), the target daily total and one fixed uniform random number u.</t>
        </is>
      </c>
    </row>
    <row r="9" ht="30" customHeight="1">
      <c r="A9" s="2" t="inlineStr">
        <is>
          <t>KMeans - four iterations of k-means (k = 3): distances, assignment, centroid update, within-cluster sum of squares (WSS), plus charts.</t>
        </is>
      </c>
    </row>
    <row r="10" ht="30" customHeight="1">
      <c r="A10" s="2" t="inlineStr">
        <is>
          <t>kNN_Resample - distance, rank, kernel weights 1/j normalised, cumulative weights, selection with the fixed u, proportional scaling to the daily total, plus charts.</t>
        </is>
      </c>
    </row>
    <row r="11" ht="15" customHeight="1">
      <c r="A11" s="2" t="inlineStr"/>
    </row>
    <row r="12" ht="15" customHeight="1">
      <c r="A12" s="3" t="inlineStr">
        <is>
          <t>Colour code</t>
        </is>
      </c>
    </row>
    <row r="13" ht="45" customHeight="1">
      <c r="A13" s="2" t="inlineStr">
        <is>
          <t>Blue font = input value typed in (Data sheet; the cluster numbers 1-3 and the neighbour numbers j are fixed labels). Black font = formula. Yellow fill = the cells you are most likely to change (target daily total, u) or the key result (chosen neighbour).</t>
        </is>
      </c>
    </row>
    <row r="14" ht="15" customHeight="1">
      <c r="A14" s="2" t="inlineStr"/>
    </row>
    <row r="15" ht="15" customHeight="1">
      <c r="A15" s="3" t="inlineStr">
        <is>
          <t>How to use</t>
        </is>
      </c>
    </row>
    <row r="16" ht="45" customHeight="1">
      <c r="A16" s="2" t="inlineStr">
        <is>
          <t>Change the target total or u in Data (cells AH2, AH3), or change any hourly value or any PC score, and every downstream cell recalculates. No macros. The 'random' number is a fixed value stored in Data so that the sheet matches the notebook; replace u by =RAND() to draw a new day.</t>
        </is>
      </c>
    </row>
    <row r="17" ht="45" customHeight="1">
      <c r="A17" s="2" t="inlineStr">
        <is>
          <t>To use your own k-means points: overwrite Data!B2:C13 and choose the three starting points by putting 1, 2, 3 in column D. To use your own hourly library: overwrite Data!H2:AE21 (one row per wet day, 24 hours, mm). The sheet is built for 12 points, 3 clusters and 20 library days.</t>
        </is>
      </c>
    </row>
    <row r="18" ht="30" customHeight="1">
      <c r="A18" s="2" t="inlineStr">
        <is>
          <t>RANK is used instead of RANK.EQ; they give identical results, and RANK works in every Excel version and in LibreOffice.</t>
        </is>
      </c>
    </row>
    <row r="19" ht="15" customHeight="1">
      <c r="A19" s="2" t="inlineStr"/>
    </row>
    <row r="20" ht="30" customHeight="1">
      <c r="A20" s="3" t="inlineStr">
        <is>
          <t>All data are SYNTHETIC. They were made up for teaching and are not observations of any place. They are also written to the CSV files in the same folder (kmeans_points.csv, knn_library_hourly.csv) and read by the notebook.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13" customWidth="1" min="4" max="4"/>
    <col width="3" customWidth="1" min="5" max="5"/>
    <col width="6" customWidth="1" min="6" max="6"/>
    <col width="11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3" customWidth="1" min="32" max="32"/>
    <col width="30" customWidth="1" min="33" max="33"/>
    <col width="10" customWidth="1" min="34" max="34"/>
  </cols>
  <sheetData>
    <row r="1" ht="32" customHeight="1">
      <c r="A1" s="4" t="inlineStr">
        <is>
          <t>point</t>
        </is>
      </c>
      <c r="B1" s="4" t="inlineStr">
        <is>
          <t>PC1</t>
        </is>
      </c>
      <c r="C1" s="4" t="inlineStr">
        <is>
          <t>PC2</t>
        </is>
      </c>
      <c r="D1" s="4" t="inlineStr">
        <is>
          <t>init_centroid</t>
        </is>
      </c>
      <c r="F1" s="4" t="inlineStr">
        <is>
          <t>day</t>
        </is>
      </c>
      <c r="G1" s="4" t="inlineStr">
        <is>
          <t>daily total (mm)</t>
        </is>
      </c>
      <c r="H1" s="4" t="inlineStr">
        <is>
          <t>h1</t>
        </is>
      </c>
      <c r="I1" s="4" t="inlineStr">
        <is>
          <t>h2</t>
        </is>
      </c>
      <c r="J1" s="4" t="inlineStr">
        <is>
          <t>h3</t>
        </is>
      </c>
      <c r="K1" s="4" t="inlineStr">
        <is>
          <t>h4</t>
        </is>
      </c>
      <c r="L1" s="4" t="inlineStr">
        <is>
          <t>h5</t>
        </is>
      </c>
      <c r="M1" s="4" t="inlineStr">
        <is>
          <t>h6</t>
        </is>
      </c>
      <c r="N1" s="4" t="inlineStr">
        <is>
          <t>h7</t>
        </is>
      </c>
      <c r="O1" s="4" t="inlineStr">
        <is>
          <t>h8</t>
        </is>
      </c>
      <c r="P1" s="4" t="inlineStr">
        <is>
          <t>h9</t>
        </is>
      </c>
      <c r="Q1" s="4" t="inlineStr">
        <is>
          <t>h10</t>
        </is>
      </c>
      <c r="R1" s="4" t="inlineStr">
        <is>
          <t>h11</t>
        </is>
      </c>
      <c r="S1" s="4" t="inlineStr">
        <is>
          <t>h12</t>
        </is>
      </c>
      <c r="T1" s="4" t="inlineStr">
        <is>
          <t>h13</t>
        </is>
      </c>
      <c r="U1" s="4" t="inlineStr">
        <is>
          <t>h14</t>
        </is>
      </c>
      <c r="V1" s="4" t="inlineStr">
        <is>
          <t>h15</t>
        </is>
      </c>
      <c r="W1" s="4" t="inlineStr">
        <is>
          <t>h16</t>
        </is>
      </c>
      <c r="X1" s="4" t="inlineStr">
        <is>
          <t>h17</t>
        </is>
      </c>
      <c r="Y1" s="4" t="inlineStr">
        <is>
          <t>h18</t>
        </is>
      </c>
      <c r="Z1" s="4" t="inlineStr">
        <is>
          <t>h19</t>
        </is>
      </c>
      <c r="AA1" s="4" t="inlineStr">
        <is>
          <t>h20</t>
        </is>
      </c>
      <c r="AB1" s="4" t="inlineStr">
        <is>
          <t>h21</t>
        </is>
      </c>
      <c r="AC1" s="4" t="inlineStr">
        <is>
          <t>h22</t>
        </is>
      </c>
      <c r="AD1" s="4" t="inlineStr">
        <is>
          <t>h23</t>
        </is>
      </c>
      <c r="AE1" s="4" t="inlineStr">
        <is>
          <t>h24</t>
        </is>
      </c>
      <c r="AG1" s="4" t="inlineStr">
        <is>
          <t>parameter</t>
        </is>
      </c>
      <c r="AH1" s="4" t="inlineStr">
        <is>
          <t>value</t>
        </is>
      </c>
    </row>
    <row r="2">
      <c r="A2" s="5" t="n">
        <v>1</v>
      </c>
      <c r="B2" s="6" t="n">
        <v>-1.8</v>
      </c>
      <c r="C2" s="6" t="n">
        <v>1.1</v>
      </c>
      <c r="D2" s="5" t="n">
        <v>1</v>
      </c>
      <c r="F2" s="5" t="n">
        <v>1</v>
      </c>
      <c r="G2" s="7">
        <f>SUM(H2:AE2)</f>
        <v/>
      </c>
      <c r="H2" s="8" t="n">
        <v>0</v>
      </c>
      <c r="I2" s="8" t="n">
        <v>0</v>
      </c>
      <c r="J2" s="8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0</v>
      </c>
      <c r="S2" s="8" t="n">
        <v>0</v>
      </c>
      <c r="T2" s="8" t="n">
        <v>0.2</v>
      </c>
      <c r="U2" s="8" t="n">
        <v>0.2</v>
      </c>
      <c r="V2" s="8" t="n">
        <v>0.3</v>
      </c>
      <c r="W2" s="8" t="n">
        <v>0.7</v>
      </c>
      <c r="X2" s="8" t="n">
        <v>2</v>
      </c>
      <c r="Y2" s="8" t="n">
        <v>3</v>
      </c>
      <c r="Z2" s="8" t="n">
        <v>4.5</v>
      </c>
      <c r="AA2" s="8" t="n">
        <v>3.8</v>
      </c>
      <c r="AB2" s="8" t="n">
        <v>10.8</v>
      </c>
      <c r="AC2" s="8" t="n">
        <v>13.8</v>
      </c>
      <c r="AD2" s="8" t="n">
        <v>17.1</v>
      </c>
      <c r="AE2" s="8" t="n">
        <v>12.2</v>
      </c>
      <c r="AG2" s="9" t="inlineStr">
        <is>
          <t>target daily total y_t (mm)</t>
        </is>
      </c>
      <c r="AH2" s="10" t="n">
        <v>46</v>
      </c>
    </row>
    <row r="3">
      <c r="A3" s="5" t="n">
        <v>2</v>
      </c>
      <c r="B3" s="6" t="n">
        <v>-1.2</v>
      </c>
      <c r="C3" s="6" t="n">
        <v>0.6</v>
      </c>
      <c r="D3" s="5" t="n">
        <v>2</v>
      </c>
      <c r="F3" s="5" t="n">
        <v>2</v>
      </c>
      <c r="G3" s="7">
        <f>SUM(H3:AE3)</f>
        <v/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0.1</v>
      </c>
      <c r="U3" s="8" t="n">
        <v>0.1</v>
      </c>
      <c r="V3" s="8" t="n">
        <v>0.2</v>
      </c>
      <c r="W3" s="8" t="n">
        <v>0.3</v>
      </c>
      <c r="X3" s="8" t="n">
        <v>0.3</v>
      </c>
      <c r="Y3" s="8" t="n">
        <v>0.8</v>
      </c>
      <c r="Z3" s="8" t="n">
        <v>1.1</v>
      </c>
      <c r="AA3" s="8" t="n">
        <v>1.5</v>
      </c>
      <c r="AB3" s="8" t="n">
        <v>1.4</v>
      </c>
      <c r="AC3" s="8" t="n">
        <v>0.8</v>
      </c>
      <c r="AD3" s="8" t="n">
        <v>5.2</v>
      </c>
      <c r="AE3" s="8" t="n">
        <v>3.5</v>
      </c>
      <c r="AG3" s="9" t="inlineStr">
        <is>
          <t>uniform random number u</t>
        </is>
      </c>
      <c r="AH3" s="11" t="n">
        <v>0.62</v>
      </c>
    </row>
    <row r="4">
      <c r="A4" s="5" t="n">
        <v>3</v>
      </c>
      <c r="B4" s="6" t="n">
        <v>-1.5</v>
      </c>
      <c r="C4" s="6" t="n">
        <v>1.6</v>
      </c>
      <c r="F4" s="5" t="n">
        <v>3</v>
      </c>
      <c r="G4" s="7">
        <f>SUM(H4:AE4)</f>
        <v/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0.1</v>
      </c>
      <c r="V4" s="8" t="n">
        <v>0.4</v>
      </c>
      <c r="W4" s="8" t="n">
        <v>0.7</v>
      </c>
      <c r="X4" s="8" t="n">
        <v>2.4</v>
      </c>
      <c r="Y4" s="8" t="n">
        <v>9.9</v>
      </c>
      <c r="Z4" s="8" t="n">
        <v>6.2</v>
      </c>
      <c r="AA4" s="8" t="n">
        <v>7.8</v>
      </c>
      <c r="AB4" s="8" t="n">
        <v>9.199999999999999</v>
      </c>
      <c r="AC4" s="8" t="n">
        <v>10.5</v>
      </c>
      <c r="AD4" s="8" t="n">
        <v>4.8</v>
      </c>
      <c r="AE4" s="8" t="n">
        <v>3.3</v>
      </c>
    </row>
    <row r="5">
      <c r="A5" s="5" t="n">
        <v>4</v>
      </c>
      <c r="B5" s="6" t="n">
        <v>-0.9</v>
      </c>
      <c r="C5" s="6" t="n">
        <v>1.3</v>
      </c>
      <c r="F5" s="5" t="n">
        <v>4</v>
      </c>
      <c r="G5" s="7">
        <f>SUM(H5:AE5)</f>
        <v/>
      </c>
      <c r="H5" s="8" t="n">
        <v>0</v>
      </c>
      <c r="I5" s="8" t="n">
        <v>0</v>
      </c>
      <c r="J5" s="8" t="n">
        <v>0.1</v>
      </c>
      <c r="K5" s="8" t="n">
        <v>0.2</v>
      </c>
      <c r="L5" s="8" t="n">
        <v>0.6</v>
      </c>
      <c r="M5" s="8" t="n">
        <v>0.6</v>
      </c>
      <c r="N5" s="8" t="n">
        <v>1.2</v>
      </c>
      <c r="O5" s="8" t="n">
        <v>2.3</v>
      </c>
      <c r="P5" s="8" t="n">
        <v>4.8</v>
      </c>
      <c r="Q5" s="8" t="n">
        <v>6.9</v>
      </c>
      <c r="R5" s="8" t="n">
        <v>3.6</v>
      </c>
      <c r="S5" s="8" t="n">
        <v>10.2</v>
      </c>
      <c r="T5" s="8" t="n">
        <v>7.8</v>
      </c>
      <c r="U5" s="8" t="n">
        <v>11.1</v>
      </c>
      <c r="V5" s="8" t="n">
        <v>9.699999999999999</v>
      </c>
      <c r="W5" s="8" t="n">
        <v>4.4</v>
      </c>
      <c r="X5" s="8" t="n">
        <v>4.4</v>
      </c>
      <c r="Y5" s="8" t="n">
        <v>2.8</v>
      </c>
      <c r="Z5" s="8" t="n">
        <v>2.5</v>
      </c>
      <c r="AA5" s="8" t="n">
        <v>2.6</v>
      </c>
      <c r="AB5" s="8" t="n">
        <v>0.8</v>
      </c>
      <c r="AC5" s="8" t="n">
        <v>0.3</v>
      </c>
      <c r="AD5" s="8" t="n">
        <v>0.6</v>
      </c>
      <c r="AE5" s="8" t="n">
        <v>0.1</v>
      </c>
    </row>
    <row r="6">
      <c r="A6" s="5" t="n">
        <v>5</v>
      </c>
      <c r="B6" s="6" t="n">
        <v>1</v>
      </c>
      <c r="C6" s="6" t="n">
        <v>1.4</v>
      </c>
      <c r="F6" s="5" t="n">
        <v>5</v>
      </c>
      <c r="G6" s="7">
        <f>SUM(H6:AE6)</f>
        <v/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0.1</v>
      </c>
      <c r="S6" s="8" t="n">
        <v>0.2</v>
      </c>
      <c r="T6" s="8" t="n">
        <v>0.3</v>
      </c>
      <c r="U6" s="8" t="n">
        <v>0.8</v>
      </c>
      <c r="V6" s="8" t="n">
        <v>1.3</v>
      </c>
      <c r="W6" s="8" t="n">
        <v>1.1</v>
      </c>
      <c r="X6" s="8" t="n">
        <v>1.3</v>
      </c>
      <c r="Y6" s="8" t="n">
        <v>1.2</v>
      </c>
      <c r="Z6" s="8" t="n">
        <v>1</v>
      </c>
      <c r="AA6" s="8" t="n">
        <v>0.7</v>
      </c>
      <c r="AB6" s="8" t="n">
        <v>0.4</v>
      </c>
      <c r="AC6" s="8" t="n">
        <v>0.6</v>
      </c>
      <c r="AD6" s="8" t="n">
        <v>0.3</v>
      </c>
      <c r="AE6" s="8" t="n">
        <v>0.3</v>
      </c>
    </row>
    <row r="7">
      <c r="A7" s="5" t="n">
        <v>6</v>
      </c>
      <c r="B7" s="6" t="n">
        <v>1.6</v>
      </c>
      <c r="C7" s="6" t="n">
        <v>0.9</v>
      </c>
      <c r="F7" s="5" t="n">
        <v>6</v>
      </c>
      <c r="G7" s="7">
        <f>SUM(H7:AE7)</f>
        <v/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0.1</v>
      </c>
      <c r="N7" s="8" t="n">
        <v>0.1</v>
      </c>
      <c r="O7" s="8" t="n">
        <v>0.2</v>
      </c>
      <c r="P7" s="8" t="n">
        <v>0.7</v>
      </c>
      <c r="Q7" s="8" t="n">
        <v>0.9</v>
      </c>
      <c r="R7" s="8" t="n">
        <v>0.8</v>
      </c>
      <c r="S7" s="8" t="n">
        <v>1.4</v>
      </c>
      <c r="T7" s="8" t="n">
        <v>2.7</v>
      </c>
      <c r="U7" s="8" t="n">
        <v>1.7</v>
      </c>
      <c r="V7" s="8" t="n">
        <v>2.4</v>
      </c>
      <c r="W7" s="8" t="n">
        <v>2.8</v>
      </c>
      <c r="X7" s="8" t="n">
        <v>1.8</v>
      </c>
      <c r="Y7" s="8" t="n">
        <v>1.3</v>
      </c>
      <c r="Z7" s="8" t="n">
        <v>0.8</v>
      </c>
      <c r="AA7" s="8" t="n">
        <v>0.6</v>
      </c>
      <c r="AB7" s="8" t="n">
        <v>0.1</v>
      </c>
      <c r="AC7" s="8" t="n">
        <v>0.1</v>
      </c>
      <c r="AD7" s="8" t="n">
        <v>0</v>
      </c>
      <c r="AE7" s="8" t="n">
        <v>0</v>
      </c>
    </row>
    <row r="8">
      <c r="A8" s="5" t="n">
        <v>7</v>
      </c>
      <c r="B8" s="6" t="n">
        <v>1.3</v>
      </c>
      <c r="C8" s="6" t="n">
        <v>1.9</v>
      </c>
      <c r="F8" s="5" t="n">
        <v>7</v>
      </c>
      <c r="G8" s="7">
        <f>SUM(H8:AE8)</f>
        <v/>
      </c>
      <c r="H8" s="8" t="n">
        <v>2.7</v>
      </c>
      <c r="I8" s="8" t="n">
        <v>1.5</v>
      </c>
      <c r="J8" s="8" t="n">
        <v>2.1</v>
      </c>
      <c r="K8" s="8" t="n">
        <v>3.4</v>
      </c>
      <c r="L8" s="8" t="n">
        <v>4.6</v>
      </c>
      <c r="M8" s="8" t="n">
        <v>4.8</v>
      </c>
      <c r="N8" s="8" t="n">
        <v>3.2</v>
      </c>
      <c r="O8" s="8" t="n">
        <v>3.8</v>
      </c>
      <c r="P8" s="8" t="n">
        <v>7.2</v>
      </c>
      <c r="Q8" s="8" t="n">
        <v>8.6</v>
      </c>
      <c r="R8" s="8" t="n">
        <v>5</v>
      </c>
      <c r="S8" s="8" t="n">
        <v>7</v>
      </c>
      <c r="T8" s="8" t="n">
        <v>12.4</v>
      </c>
      <c r="U8" s="8" t="n">
        <v>4.8</v>
      </c>
      <c r="V8" s="8" t="n">
        <v>3.7</v>
      </c>
      <c r="W8" s="8" t="n">
        <v>2.7</v>
      </c>
      <c r="X8" s="8" t="n">
        <v>3.4</v>
      </c>
      <c r="Y8" s="8" t="n">
        <v>2.3</v>
      </c>
      <c r="Z8" s="8" t="n">
        <v>1.7</v>
      </c>
      <c r="AA8" s="8" t="n">
        <v>1</v>
      </c>
      <c r="AB8" s="8" t="n">
        <v>0.9</v>
      </c>
      <c r="AC8" s="8" t="n">
        <v>0.6</v>
      </c>
      <c r="AD8" s="8" t="n">
        <v>0.3</v>
      </c>
      <c r="AE8" s="8" t="n">
        <v>0.3</v>
      </c>
    </row>
    <row r="9">
      <c r="A9" s="5" t="n">
        <v>8</v>
      </c>
      <c r="B9" s="6" t="n">
        <v>0.7</v>
      </c>
      <c r="C9" s="6" t="n">
        <v>0.8</v>
      </c>
      <c r="F9" s="5" t="n">
        <v>8</v>
      </c>
      <c r="G9" s="7">
        <f>SUM(H9:AE9)</f>
        <v/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0.1</v>
      </c>
      <c r="V9" s="8" t="n">
        <v>0.1</v>
      </c>
      <c r="W9" s="8" t="n">
        <v>0.3</v>
      </c>
      <c r="X9" s="8" t="n">
        <v>0.6</v>
      </c>
      <c r="Y9" s="8" t="n">
        <v>0.9</v>
      </c>
      <c r="Z9" s="8" t="n">
        <v>1.1</v>
      </c>
      <c r="AA9" s="8" t="n">
        <v>1</v>
      </c>
      <c r="AB9" s="8" t="n">
        <v>1.2</v>
      </c>
      <c r="AC9" s="8" t="n">
        <v>1.5</v>
      </c>
      <c r="AD9" s="8" t="n">
        <v>2.8</v>
      </c>
      <c r="AE9" s="8" t="n">
        <v>2.2</v>
      </c>
    </row>
    <row r="10">
      <c r="A10" s="5" t="n">
        <v>9</v>
      </c>
      <c r="B10" s="6" t="n">
        <v>-0.2</v>
      </c>
      <c r="C10" s="6" t="n">
        <v>-1.3</v>
      </c>
      <c r="F10" s="5" t="n">
        <v>9</v>
      </c>
      <c r="G10" s="7">
        <f>SUM(H10:AE10)</f>
        <v/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0.1</v>
      </c>
      <c r="R10" s="8" t="n">
        <v>0</v>
      </c>
      <c r="S10" s="8" t="n">
        <v>0.1</v>
      </c>
      <c r="T10" s="8" t="n">
        <v>0.3</v>
      </c>
      <c r="U10" s="8" t="n">
        <v>0.6</v>
      </c>
      <c r="V10" s="8" t="n">
        <v>0.6</v>
      </c>
      <c r="W10" s="8" t="n">
        <v>1.3</v>
      </c>
      <c r="X10" s="8" t="n">
        <v>2.3</v>
      </c>
      <c r="Y10" s="8" t="n">
        <v>3.4</v>
      </c>
      <c r="Z10" s="8" t="n">
        <v>3</v>
      </c>
      <c r="AA10" s="8" t="n">
        <v>3.9</v>
      </c>
      <c r="AB10" s="8" t="n">
        <v>5.2</v>
      </c>
      <c r="AC10" s="8" t="n">
        <v>10.2</v>
      </c>
      <c r="AD10" s="8" t="n">
        <v>2.7</v>
      </c>
      <c r="AE10" s="8" t="n">
        <v>5</v>
      </c>
    </row>
    <row r="11">
      <c r="A11" s="5" t="n">
        <v>10</v>
      </c>
      <c r="B11" s="6" t="n">
        <v>0.4</v>
      </c>
      <c r="C11" s="6" t="n">
        <v>-1.8</v>
      </c>
      <c r="F11" s="5" t="n">
        <v>10</v>
      </c>
      <c r="G11" s="7">
        <f>SUM(H11:AE11)</f>
        <v/>
      </c>
      <c r="H11" s="8" t="n">
        <v>0</v>
      </c>
      <c r="I11" s="8" t="n">
        <v>0</v>
      </c>
      <c r="J11" s="8" t="n">
        <v>0.1</v>
      </c>
      <c r="K11" s="8" t="n">
        <v>0.1</v>
      </c>
      <c r="L11" s="8" t="n">
        <v>0.1</v>
      </c>
      <c r="M11" s="8" t="n">
        <v>0.6</v>
      </c>
      <c r="N11" s="8" t="n">
        <v>1</v>
      </c>
      <c r="O11" s="8" t="n">
        <v>1.3</v>
      </c>
      <c r="P11" s="8" t="n">
        <v>1.6</v>
      </c>
      <c r="Q11" s="8" t="n">
        <v>1.6</v>
      </c>
      <c r="R11" s="8" t="n">
        <v>2.8</v>
      </c>
      <c r="S11" s="8" t="n">
        <v>2.6</v>
      </c>
      <c r="T11" s="8" t="n">
        <v>3.3</v>
      </c>
      <c r="U11" s="8" t="n">
        <v>1.8</v>
      </c>
      <c r="V11" s="8" t="n">
        <v>1.7</v>
      </c>
      <c r="W11" s="8" t="n">
        <v>1.2</v>
      </c>
      <c r="X11" s="8" t="n">
        <v>0.8</v>
      </c>
      <c r="Y11" s="8" t="n">
        <v>0.6</v>
      </c>
      <c r="Z11" s="8" t="n">
        <v>0.5</v>
      </c>
      <c r="AA11" s="8" t="n">
        <v>0.4</v>
      </c>
      <c r="AB11" s="8" t="n">
        <v>0.1</v>
      </c>
      <c r="AC11" s="8" t="n">
        <v>0</v>
      </c>
      <c r="AD11" s="8" t="n">
        <v>0</v>
      </c>
      <c r="AE11" s="8" t="n">
        <v>0</v>
      </c>
    </row>
    <row r="12">
      <c r="A12" s="5" t="n">
        <v>11</v>
      </c>
      <c r="B12" s="6" t="n">
        <v>-0.6</v>
      </c>
      <c r="C12" s="6" t="n">
        <v>-1.7</v>
      </c>
      <c r="F12" s="5" t="n">
        <v>11</v>
      </c>
      <c r="G12" s="7">
        <f>SUM(H12:AE12)</f>
        <v/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0.1</v>
      </c>
      <c r="R12" s="8" t="n">
        <v>0.3</v>
      </c>
      <c r="S12" s="8" t="n">
        <v>0.4</v>
      </c>
      <c r="T12" s="8" t="n">
        <v>1.3</v>
      </c>
      <c r="U12" s="8" t="n">
        <v>1.5</v>
      </c>
      <c r="V12" s="8" t="n">
        <v>1.4</v>
      </c>
      <c r="W12" s="8" t="n">
        <v>5.4</v>
      </c>
      <c r="X12" s="8" t="n">
        <v>7.9</v>
      </c>
      <c r="Y12" s="8" t="n">
        <v>9.1</v>
      </c>
      <c r="Z12" s="8" t="n">
        <v>7.1</v>
      </c>
      <c r="AA12" s="8" t="n">
        <v>5.7</v>
      </c>
      <c r="AB12" s="8" t="n">
        <v>6.7</v>
      </c>
      <c r="AC12" s="8" t="n">
        <v>5.6</v>
      </c>
      <c r="AD12" s="8" t="n">
        <v>4.8</v>
      </c>
      <c r="AE12" s="8" t="n">
        <v>3.6</v>
      </c>
    </row>
    <row r="13">
      <c r="A13" s="5" t="n">
        <v>12</v>
      </c>
      <c r="B13" s="6" t="n">
        <v>0.1</v>
      </c>
      <c r="C13" s="6" t="n">
        <v>-0.9</v>
      </c>
      <c r="D13" s="5" t="n">
        <v>3</v>
      </c>
      <c r="F13" s="5" t="n">
        <v>12</v>
      </c>
      <c r="G13" s="7">
        <f>SUM(H13:AE13)</f>
        <v/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0.1</v>
      </c>
      <c r="M13" s="8" t="n">
        <v>0.1</v>
      </c>
      <c r="N13" s="8" t="n">
        <v>0.2</v>
      </c>
      <c r="O13" s="8" t="n">
        <v>0.3</v>
      </c>
      <c r="P13" s="8" t="n">
        <v>0.2</v>
      </c>
      <c r="Q13" s="8" t="n">
        <v>1.4</v>
      </c>
      <c r="R13" s="8" t="n">
        <v>1.2</v>
      </c>
      <c r="S13" s="8" t="n">
        <v>1</v>
      </c>
      <c r="T13" s="8" t="n">
        <v>3.5</v>
      </c>
      <c r="U13" s="8" t="n">
        <v>3.4</v>
      </c>
      <c r="V13" s="8" t="n">
        <v>0.9</v>
      </c>
      <c r="W13" s="8" t="n">
        <v>2.2</v>
      </c>
      <c r="X13" s="8" t="n">
        <v>2.1</v>
      </c>
      <c r="Y13" s="8" t="n">
        <v>2.8</v>
      </c>
      <c r="Z13" s="8" t="n">
        <v>1.8</v>
      </c>
      <c r="AA13" s="8" t="n">
        <v>2.3</v>
      </c>
      <c r="AB13" s="8" t="n">
        <v>2.3</v>
      </c>
      <c r="AC13" s="8" t="n">
        <v>0.7</v>
      </c>
      <c r="AD13" s="8" t="n">
        <v>1.7</v>
      </c>
      <c r="AE13" s="8" t="n">
        <v>2.3</v>
      </c>
    </row>
    <row r="14">
      <c r="F14" s="5" t="n">
        <v>13</v>
      </c>
      <c r="G14" s="7">
        <f>SUM(H14:AE14)</f>
        <v/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0.1</v>
      </c>
      <c r="T14" s="8" t="n">
        <v>0.3</v>
      </c>
      <c r="U14" s="8" t="n">
        <v>0.5</v>
      </c>
      <c r="V14" s="8" t="n">
        <v>1.2</v>
      </c>
      <c r="W14" s="8" t="n">
        <v>0.8</v>
      </c>
      <c r="X14" s="8" t="n">
        <v>1.1</v>
      </c>
      <c r="Y14" s="8" t="n">
        <v>4</v>
      </c>
      <c r="Z14" s="8" t="n">
        <v>3.1</v>
      </c>
      <c r="AA14" s="8" t="n">
        <v>5.4</v>
      </c>
      <c r="AB14" s="8" t="n">
        <v>7.9</v>
      </c>
      <c r="AC14" s="8" t="n">
        <v>5.8</v>
      </c>
      <c r="AD14" s="8" t="n">
        <v>6</v>
      </c>
      <c r="AE14" s="8" t="n">
        <v>13.5</v>
      </c>
    </row>
    <row r="15">
      <c r="F15" s="5" t="n">
        <v>14</v>
      </c>
      <c r="G15" s="7">
        <f>SUM(H15:AE15)</f>
        <v/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0.1</v>
      </c>
      <c r="W15" s="8" t="n">
        <v>0.2</v>
      </c>
      <c r="X15" s="8" t="n">
        <v>0.5</v>
      </c>
      <c r="Y15" s="8" t="n">
        <v>0.5</v>
      </c>
      <c r="Z15" s="8" t="n">
        <v>0.7</v>
      </c>
      <c r="AA15" s="8" t="n">
        <v>1.3</v>
      </c>
      <c r="AB15" s="8" t="n">
        <v>1.4</v>
      </c>
      <c r="AC15" s="8" t="n">
        <v>0.9</v>
      </c>
      <c r="AD15" s="8" t="n">
        <v>0.6</v>
      </c>
      <c r="AE15" s="8" t="n">
        <v>0.5</v>
      </c>
    </row>
    <row r="16">
      <c r="F16" s="5" t="n">
        <v>15</v>
      </c>
      <c r="G16" s="7">
        <f>SUM(H16:AE16)</f>
        <v/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0.1</v>
      </c>
      <c r="AB16" s="8" t="n">
        <v>0.3</v>
      </c>
      <c r="AC16" s="8" t="n">
        <v>0.7</v>
      </c>
      <c r="AD16" s="8" t="n">
        <v>1.7</v>
      </c>
      <c r="AE16" s="8" t="n">
        <v>1.3</v>
      </c>
    </row>
    <row r="17">
      <c r="F17" s="5" t="n">
        <v>16</v>
      </c>
      <c r="G17" s="7">
        <f>SUM(H17:AE17)</f>
        <v/>
      </c>
      <c r="H17" s="8" t="n">
        <v>0</v>
      </c>
      <c r="I17" s="8" t="n">
        <v>0.2</v>
      </c>
      <c r="J17" s="8" t="n">
        <v>0.3</v>
      </c>
      <c r="K17" s="8" t="n">
        <v>0.8</v>
      </c>
      <c r="L17" s="8" t="n">
        <v>1.4</v>
      </c>
      <c r="M17" s="8" t="n">
        <v>2.2</v>
      </c>
      <c r="N17" s="8" t="n">
        <v>1.8</v>
      </c>
      <c r="O17" s="8" t="n">
        <v>3.9</v>
      </c>
      <c r="P17" s="8" t="n">
        <v>9.300000000000001</v>
      </c>
      <c r="Q17" s="8" t="n">
        <v>7.1</v>
      </c>
      <c r="R17" s="8" t="n">
        <v>4.2</v>
      </c>
      <c r="S17" s="8" t="n">
        <v>2.9</v>
      </c>
      <c r="T17" s="8" t="n">
        <v>4.5</v>
      </c>
      <c r="U17" s="8" t="n">
        <v>2.1</v>
      </c>
      <c r="V17" s="8" t="n">
        <v>0.7</v>
      </c>
      <c r="W17" s="8" t="n">
        <v>0.6</v>
      </c>
      <c r="X17" s="8" t="n">
        <v>0.8</v>
      </c>
      <c r="Y17" s="8" t="n">
        <v>0.1</v>
      </c>
      <c r="Z17" s="8" t="n">
        <v>0.1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</row>
    <row r="18">
      <c r="F18" s="5" t="n">
        <v>17</v>
      </c>
      <c r="G18" s="7">
        <f>SUM(H18:AE18)</f>
        <v/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0.1</v>
      </c>
      <c r="R18" s="8" t="n">
        <v>0.1</v>
      </c>
      <c r="S18" s="8" t="n">
        <v>0.2</v>
      </c>
      <c r="T18" s="8" t="n">
        <v>0.3</v>
      </c>
      <c r="U18" s="8" t="n">
        <v>0.7</v>
      </c>
      <c r="V18" s="8" t="n">
        <v>2.3</v>
      </c>
      <c r="W18" s="8" t="n">
        <v>1.4</v>
      </c>
      <c r="X18" s="8" t="n">
        <v>2.8</v>
      </c>
      <c r="Y18" s="8" t="n">
        <v>5</v>
      </c>
      <c r="Z18" s="8" t="n">
        <v>2.4</v>
      </c>
      <c r="AA18" s="8" t="n">
        <v>2.4</v>
      </c>
      <c r="AB18" s="8" t="n">
        <v>1.3</v>
      </c>
      <c r="AC18" s="8" t="n">
        <v>2.4</v>
      </c>
      <c r="AD18" s="8" t="n">
        <v>2.2</v>
      </c>
      <c r="AE18" s="8" t="n">
        <v>2.3</v>
      </c>
    </row>
    <row r="19">
      <c r="F19" s="5" t="n">
        <v>18</v>
      </c>
      <c r="G19" s="7">
        <f>SUM(H19:AE19)</f>
        <v/>
      </c>
      <c r="H19" s="8" t="n">
        <v>0</v>
      </c>
      <c r="I19" s="8" t="n">
        <v>0.1</v>
      </c>
      <c r="J19" s="8" t="n">
        <v>0</v>
      </c>
      <c r="K19" s="8" t="n">
        <v>0.1</v>
      </c>
      <c r="L19" s="8" t="n">
        <v>0.1</v>
      </c>
      <c r="M19" s="8" t="n">
        <v>0.2</v>
      </c>
      <c r="N19" s="8" t="n">
        <v>0.4</v>
      </c>
      <c r="O19" s="8" t="n">
        <v>0.5</v>
      </c>
      <c r="P19" s="8" t="n">
        <v>0.5</v>
      </c>
      <c r="Q19" s="8" t="n">
        <v>1</v>
      </c>
      <c r="R19" s="8" t="n">
        <v>1</v>
      </c>
      <c r="S19" s="8" t="n">
        <v>1.7</v>
      </c>
      <c r="T19" s="8" t="n">
        <v>1.2</v>
      </c>
      <c r="U19" s="8" t="n">
        <v>1.8</v>
      </c>
      <c r="V19" s="8" t="n">
        <v>1.2</v>
      </c>
      <c r="W19" s="8" t="n">
        <v>2.6</v>
      </c>
      <c r="X19" s="8" t="n">
        <v>1.6</v>
      </c>
      <c r="Y19" s="8" t="n">
        <v>1.7</v>
      </c>
      <c r="Z19" s="8" t="n">
        <v>1.5</v>
      </c>
      <c r="AA19" s="8" t="n">
        <v>2.7</v>
      </c>
      <c r="AB19" s="8" t="n">
        <v>2.5</v>
      </c>
      <c r="AC19" s="8" t="n">
        <v>3.6</v>
      </c>
      <c r="AD19" s="8" t="n">
        <v>5</v>
      </c>
      <c r="AE19" s="8" t="n">
        <v>3.1</v>
      </c>
    </row>
    <row r="20">
      <c r="F20" s="5" t="n">
        <v>19</v>
      </c>
      <c r="G20" s="7">
        <f>SUM(H20:AE20)</f>
        <v/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0.1</v>
      </c>
      <c r="Q20" s="8" t="n">
        <v>0.5</v>
      </c>
      <c r="R20" s="8" t="n">
        <v>0.5</v>
      </c>
      <c r="S20" s="8" t="n">
        <v>0.8</v>
      </c>
      <c r="T20" s="8" t="n">
        <v>0.8</v>
      </c>
      <c r="U20" s="8" t="n">
        <v>2.1</v>
      </c>
      <c r="V20" s="8" t="n">
        <v>5.3</v>
      </c>
      <c r="W20" s="8" t="n">
        <v>1.9</v>
      </c>
      <c r="X20" s="8" t="n">
        <v>8.1</v>
      </c>
      <c r="Y20" s="8" t="n">
        <v>3.2</v>
      </c>
      <c r="Z20" s="8" t="n">
        <v>15.2</v>
      </c>
      <c r="AA20" s="8" t="n">
        <v>13.6</v>
      </c>
      <c r="AB20" s="8" t="n">
        <v>9.699999999999999</v>
      </c>
      <c r="AC20" s="8" t="n">
        <v>12.8</v>
      </c>
      <c r="AD20" s="8" t="n">
        <v>22.1</v>
      </c>
      <c r="AE20" s="8" t="n">
        <v>7.2</v>
      </c>
    </row>
    <row r="21">
      <c r="F21" s="5" t="n">
        <v>20</v>
      </c>
      <c r="G21" s="7">
        <f>SUM(H21:AE21)</f>
        <v/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0.1</v>
      </c>
      <c r="W21" s="8" t="n">
        <v>0.1</v>
      </c>
      <c r="X21" s="8" t="n">
        <v>0.3</v>
      </c>
      <c r="Y21" s="8" t="n">
        <v>0.4</v>
      </c>
      <c r="Z21" s="8" t="n">
        <v>0.5</v>
      </c>
      <c r="AA21" s="8" t="n">
        <v>0.5</v>
      </c>
      <c r="AB21" s="8" t="n">
        <v>0.3</v>
      </c>
      <c r="AC21" s="8" t="n">
        <v>0.1</v>
      </c>
      <c r="AD21" s="8" t="n">
        <v>0</v>
      </c>
      <c r="AE21" s="8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3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2" t="inlineStr">
        <is>
          <t>k-means with k = 3 on 12 days (PC1, PC2). Each iteration: (1) assign every point to the nearest centroid, (2) move each centroid to the mean of its points.</t>
        </is>
      </c>
    </row>
    <row r="2">
      <c r="A2" s="13" t="inlineStr">
        <is>
          <t>Distance d = SQRT((x - cx)^2 + (y - cy)^2). WSS = sum over points of squared distance to the own centroid; it can only go down (Lecture 22, Section 3).</t>
        </is>
      </c>
    </row>
    <row r="4">
      <c r="A4" s="4" t="inlineStr">
        <is>
          <t>iteration</t>
        </is>
      </c>
      <c r="B4" s="4" t="inlineStr">
        <is>
          <t>WSS</t>
        </is>
      </c>
      <c r="C4" s="4" t="inlineStr">
        <is>
          <t>centroid shift</t>
        </is>
      </c>
    </row>
    <row r="5">
      <c r="A5" s="5" t="n">
        <v>1</v>
      </c>
      <c r="B5" s="14">
        <f>J17</f>
        <v/>
      </c>
      <c r="C5" s="14">
        <f>SUMPRODUCT(ABS(N12:N14-K12:K14))+SUMPRODUCT(ABS(O12:O14-L12:L14))</f>
        <v/>
      </c>
    </row>
    <row r="6">
      <c r="A6" s="5" t="n">
        <v>2</v>
      </c>
      <c r="B6" s="14">
        <f>J34</f>
        <v/>
      </c>
      <c r="C6" s="14">
        <f>SUMPRODUCT(ABS(N29:N31-K29:K31))+SUMPRODUCT(ABS(O29:O31-L29:L31))</f>
        <v/>
      </c>
    </row>
    <row r="7">
      <c r="A7" s="5" t="n">
        <v>3</v>
      </c>
      <c r="B7" s="14">
        <f>J51</f>
        <v/>
      </c>
      <c r="C7" s="14">
        <f>SUMPRODUCT(ABS(N46:N48-K46:K48))+SUMPRODUCT(ABS(O46:O48-L46:L48))</f>
        <v/>
      </c>
    </row>
    <row r="8">
      <c r="A8" s="5" t="n">
        <v>4</v>
      </c>
      <c r="B8" s="14">
        <f>J68</f>
        <v/>
      </c>
      <c r="C8" s="14">
        <f>SUMPRODUCT(ABS(N63:N65-K63:K65))+SUMPRODUCT(ABS(O63:O65-L63:L65))</f>
        <v/>
      </c>
    </row>
    <row r="10">
      <c r="A10" s="15" t="inlineStr">
        <is>
          <t>Iteration 1</t>
        </is>
      </c>
    </row>
    <row r="11" ht="32" customHeight="1">
      <c r="A11" s="4" t="inlineStr">
        <is>
          <t>point</t>
        </is>
      </c>
      <c r="B11" s="4" t="inlineStr">
        <is>
          <t>x = PC1</t>
        </is>
      </c>
      <c r="C11" s="4" t="inlineStr">
        <is>
          <t>y = PC2</t>
        </is>
      </c>
      <c r="D11" s="4" t="inlineStr">
        <is>
          <t>d to c1</t>
        </is>
      </c>
      <c r="E11" s="4" t="inlineStr">
        <is>
          <t>d to c2</t>
        </is>
      </c>
      <c r="F11" s="4" t="inlineStr">
        <is>
          <t>d to c3</t>
        </is>
      </c>
      <c r="G11" s="4" t="inlineStr">
        <is>
          <t>cluster</t>
        </is>
      </c>
      <c r="H11" s="4" t="inlineStr">
        <is>
          <t>sq. dist to own centroid</t>
        </is>
      </c>
      <c r="J11" s="4" t="inlineStr">
        <is>
          <t>cluster</t>
        </is>
      </c>
      <c r="K11" s="4" t="inlineStr">
        <is>
          <t>cx used</t>
        </is>
      </c>
      <c r="L11" s="4" t="inlineStr">
        <is>
          <t>cy used</t>
        </is>
      </c>
      <c r="M11" s="4" t="inlineStr">
        <is>
          <t>n points</t>
        </is>
      </c>
      <c r="N11" s="4" t="inlineStr">
        <is>
          <t>new cx</t>
        </is>
      </c>
      <c r="O11" s="4" t="inlineStr">
        <is>
          <t>new cy</t>
        </is>
      </c>
    </row>
    <row r="12">
      <c r="A12" s="9">
        <f>Data!A2</f>
        <v/>
      </c>
      <c r="B12" s="16">
        <f>Data!B2</f>
        <v/>
      </c>
      <c r="C12" s="16">
        <f>Data!C2</f>
        <v/>
      </c>
      <c r="D12" s="14">
        <f>SQRT(($B12-$K$12)^2+($C12-$L$12)^2)</f>
        <v/>
      </c>
      <c r="E12" s="14">
        <f>SQRT(($B12-$K$13)^2+($C12-$L$13)^2)</f>
        <v/>
      </c>
      <c r="F12" s="14">
        <f>SQRT(($B12-$K$14)^2+($C12-$L$14)^2)</f>
        <v/>
      </c>
      <c r="G12" s="17">
        <f>MATCH(MIN(D12:F12),D12:F12,0)</f>
        <v/>
      </c>
      <c r="H12" s="14">
        <f>INDEX(D12:F12,G12)^2</f>
        <v/>
      </c>
      <c r="J12" s="5" t="n">
        <v>1</v>
      </c>
      <c r="K12" s="14">
        <f>INDEX(Data!$B$2:$B$13,MATCH(J12,Data!$D$2:$D$13,0))</f>
        <v/>
      </c>
      <c r="L12" s="14">
        <f>INDEX(Data!$C$2:$C$13,MATCH(J12,Data!$D$2:$D$13,0))</f>
        <v/>
      </c>
      <c r="M12" s="17">
        <f>COUNTIF($G$12:$G$23,J12)</f>
        <v/>
      </c>
      <c r="N12" s="14">
        <f>IF(M12=0,K12,SUMIF($G$12:$G$23,J12,$B$12:$B$23)/M12)</f>
        <v/>
      </c>
      <c r="O12" s="14">
        <f>IF(M12=0,L12,SUMIF($G$12:$G$23,J12,$C$12:$C$23)/M12)</f>
        <v/>
      </c>
    </row>
    <row r="13">
      <c r="A13" s="9">
        <f>Data!A3</f>
        <v/>
      </c>
      <c r="B13" s="16">
        <f>Data!B3</f>
        <v/>
      </c>
      <c r="C13" s="16">
        <f>Data!C3</f>
        <v/>
      </c>
      <c r="D13" s="14">
        <f>SQRT(($B13-$K$12)^2+($C13-$L$12)^2)</f>
        <v/>
      </c>
      <c r="E13" s="14">
        <f>SQRT(($B13-$K$13)^2+($C13-$L$13)^2)</f>
        <v/>
      </c>
      <c r="F13" s="14">
        <f>SQRT(($B13-$K$14)^2+($C13-$L$14)^2)</f>
        <v/>
      </c>
      <c r="G13" s="17">
        <f>MATCH(MIN(D13:F13),D13:F13,0)</f>
        <v/>
      </c>
      <c r="H13" s="14">
        <f>INDEX(D13:F13,G13)^2</f>
        <v/>
      </c>
      <c r="J13" s="5" t="n">
        <v>2</v>
      </c>
      <c r="K13" s="14">
        <f>INDEX(Data!$B$2:$B$13,MATCH(J13,Data!$D$2:$D$13,0))</f>
        <v/>
      </c>
      <c r="L13" s="14">
        <f>INDEX(Data!$C$2:$C$13,MATCH(J13,Data!$D$2:$D$13,0))</f>
        <v/>
      </c>
      <c r="M13" s="17">
        <f>COUNTIF($G$12:$G$23,J13)</f>
        <v/>
      </c>
      <c r="N13" s="14">
        <f>IF(M13=0,K13,SUMIF($G$12:$G$23,J13,$B$12:$B$23)/M13)</f>
        <v/>
      </c>
      <c r="O13" s="14">
        <f>IF(M13=0,L13,SUMIF($G$12:$G$23,J13,$C$12:$C$23)/M13)</f>
        <v/>
      </c>
    </row>
    <row r="14">
      <c r="A14" s="9">
        <f>Data!A4</f>
        <v/>
      </c>
      <c r="B14" s="16">
        <f>Data!B4</f>
        <v/>
      </c>
      <c r="C14" s="16">
        <f>Data!C4</f>
        <v/>
      </c>
      <c r="D14" s="14">
        <f>SQRT(($B14-$K$12)^2+($C14-$L$12)^2)</f>
        <v/>
      </c>
      <c r="E14" s="14">
        <f>SQRT(($B14-$K$13)^2+($C14-$L$13)^2)</f>
        <v/>
      </c>
      <c r="F14" s="14">
        <f>SQRT(($B14-$K$14)^2+($C14-$L$14)^2)</f>
        <v/>
      </c>
      <c r="G14" s="17">
        <f>MATCH(MIN(D14:F14),D14:F14,0)</f>
        <v/>
      </c>
      <c r="H14" s="14">
        <f>INDEX(D14:F14,G14)^2</f>
        <v/>
      </c>
      <c r="J14" s="5" t="n">
        <v>3</v>
      </c>
      <c r="K14" s="14">
        <f>INDEX(Data!$B$2:$B$13,MATCH(J14,Data!$D$2:$D$13,0))</f>
        <v/>
      </c>
      <c r="L14" s="14">
        <f>INDEX(Data!$C$2:$C$13,MATCH(J14,Data!$D$2:$D$13,0))</f>
        <v/>
      </c>
      <c r="M14" s="17">
        <f>COUNTIF($G$12:$G$23,J14)</f>
        <v/>
      </c>
      <c r="N14" s="14">
        <f>IF(M14=0,K14,SUMIF($G$12:$G$23,J14,$B$12:$B$23)/M14)</f>
        <v/>
      </c>
      <c r="O14" s="14">
        <f>IF(M14=0,L14,SUMIF($G$12:$G$23,J14,$C$12:$C$23)/M14)</f>
        <v/>
      </c>
    </row>
    <row r="15">
      <c r="A15" s="9">
        <f>Data!A5</f>
        <v/>
      </c>
      <c r="B15" s="16">
        <f>Data!B5</f>
        <v/>
      </c>
      <c r="C15" s="16">
        <f>Data!C5</f>
        <v/>
      </c>
      <c r="D15" s="14">
        <f>SQRT(($B15-$K$12)^2+($C15-$L$12)^2)</f>
        <v/>
      </c>
      <c r="E15" s="14">
        <f>SQRT(($B15-$K$13)^2+($C15-$L$13)^2)</f>
        <v/>
      </c>
      <c r="F15" s="14">
        <f>SQRT(($B15-$K$14)^2+($C15-$L$14)^2)</f>
        <v/>
      </c>
      <c r="G15" s="17">
        <f>MATCH(MIN(D15:F15),D15:F15,0)</f>
        <v/>
      </c>
      <c r="H15" s="14">
        <f>INDEX(D15:F15,G15)^2</f>
        <v/>
      </c>
    </row>
    <row r="16">
      <c r="A16" s="9">
        <f>Data!A6</f>
        <v/>
      </c>
      <c r="B16" s="16">
        <f>Data!B6</f>
        <v/>
      </c>
      <c r="C16" s="16">
        <f>Data!C6</f>
        <v/>
      </c>
      <c r="D16" s="14">
        <f>SQRT(($B16-$K$12)^2+($C16-$L$12)^2)</f>
        <v/>
      </c>
      <c r="E16" s="14">
        <f>SQRT(($B16-$K$13)^2+($C16-$L$13)^2)</f>
        <v/>
      </c>
      <c r="F16" s="14">
        <f>SQRT(($B16-$K$14)^2+($C16-$L$14)^2)</f>
        <v/>
      </c>
      <c r="G16" s="17">
        <f>MATCH(MIN(D16:F16),D16:F16,0)</f>
        <v/>
      </c>
      <c r="H16" s="14">
        <f>INDEX(D16:F16,G16)^2</f>
        <v/>
      </c>
      <c r="J16" s="18" t="inlineStr">
        <is>
          <t>WSS =</t>
        </is>
      </c>
    </row>
    <row r="17">
      <c r="A17" s="9">
        <f>Data!A7</f>
        <v/>
      </c>
      <c r="B17" s="16">
        <f>Data!B7</f>
        <v/>
      </c>
      <c r="C17" s="16">
        <f>Data!C7</f>
        <v/>
      </c>
      <c r="D17" s="14">
        <f>SQRT(($B17-$K$12)^2+($C17-$L$12)^2)</f>
        <v/>
      </c>
      <c r="E17" s="14">
        <f>SQRT(($B17-$K$13)^2+($C17-$L$13)^2)</f>
        <v/>
      </c>
      <c r="F17" s="14">
        <f>SQRT(($B17-$K$14)^2+($C17-$L$14)^2)</f>
        <v/>
      </c>
      <c r="G17" s="17">
        <f>MATCH(MIN(D17:F17),D17:F17,0)</f>
        <v/>
      </c>
      <c r="H17" s="14">
        <f>INDEX(D17:F17,G17)^2</f>
        <v/>
      </c>
      <c r="J17" s="14">
        <f>SUM(H12:H23)</f>
        <v/>
      </c>
    </row>
    <row r="18">
      <c r="A18" s="9">
        <f>Data!A8</f>
        <v/>
      </c>
      <c r="B18" s="16">
        <f>Data!B8</f>
        <v/>
      </c>
      <c r="C18" s="16">
        <f>Data!C8</f>
        <v/>
      </c>
      <c r="D18" s="14">
        <f>SQRT(($B18-$K$12)^2+($C18-$L$12)^2)</f>
        <v/>
      </c>
      <c r="E18" s="14">
        <f>SQRT(($B18-$K$13)^2+($C18-$L$13)^2)</f>
        <v/>
      </c>
      <c r="F18" s="14">
        <f>SQRT(($B18-$K$14)^2+($C18-$L$14)^2)</f>
        <v/>
      </c>
      <c r="G18" s="17">
        <f>MATCH(MIN(D18:F18),D18:F18,0)</f>
        <v/>
      </c>
      <c r="H18" s="14">
        <f>INDEX(D18:F18,G18)^2</f>
        <v/>
      </c>
    </row>
    <row r="19">
      <c r="A19" s="9">
        <f>Data!A9</f>
        <v/>
      </c>
      <c r="B19" s="16">
        <f>Data!B9</f>
        <v/>
      </c>
      <c r="C19" s="16">
        <f>Data!C9</f>
        <v/>
      </c>
      <c r="D19" s="14">
        <f>SQRT(($B19-$K$12)^2+($C19-$L$12)^2)</f>
        <v/>
      </c>
      <c r="E19" s="14">
        <f>SQRT(($B19-$K$13)^2+($C19-$L$13)^2)</f>
        <v/>
      </c>
      <c r="F19" s="14">
        <f>SQRT(($B19-$K$14)^2+($C19-$L$14)^2)</f>
        <v/>
      </c>
      <c r="G19" s="17">
        <f>MATCH(MIN(D19:F19),D19:F19,0)</f>
        <v/>
      </c>
      <c r="H19" s="14">
        <f>INDEX(D19:F19,G19)^2</f>
        <v/>
      </c>
    </row>
    <row r="20">
      <c r="A20" s="9">
        <f>Data!A10</f>
        <v/>
      </c>
      <c r="B20" s="16">
        <f>Data!B10</f>
        <v/>
      </c>
      <c r="C20" s="16">
        <f>Data!C10</f>
        <v/>
      </c>
      <c r="D20" s="14">
        <f>SQRT(($B20-$K$12)^2+($C20-$L$12)^2)</f>
        <v/>
      </c>
      <c r="E20" s="14">
        <f>SQRT(($B20-$K$13)^2+($C20-$L$13)^2)</f>
        <v/>
      </c>
      <c r="F20" s="14">
        <f>SQRT(($B20-$K$14)^2+($C20-$L$14)^2)</f>
        <v/>
      </c>
      <c r="G20" s="17">
        <f>MATCH(MIN(D20:F20),D20:F20,0)</f>
        <v/>
      </c>
      <c r="H20" s="14">
        <f>INDEX(D20:F20,G20)^2</f>
        <v/>
      </c>
    </row>
    <row r="21">
      <c r="A21" s="9">
        <f>Data!A11</f>
        <v/>
      </c>
      <c r="B21" s="16">
        <f>Data!B11</f>
        <v/>
      </c>
      <c r="C21" s="16">
        <f>Data!C11</f>
        <v/>
      </c>
      <c r="D21" s="14">
        <f>SQRT(($B21-$K$12)^2+($C21-$L$12)^2)</f>
        <v/>
      </c>
      <c r="E21" s="14">
        <f>SQRT(($B21-$K$13)^2+($C21-$L$13)^2)</f>
        <v/>
      </c>
      <c r="F21" s="14">
        <f>SQRT(($B21-$K$14)^2+($C21-$L$14)^2)</f>
        <v/>
      </c>
      <c r="G21" s="17">
        <f>MATCH(MIN(D21:F21),D21:F21,0)</f>
        <v/>
      </c>
      <c r="H21" s="14">
        <f>INDEX(D21:F21,G21)^2</f>
        <v/>
      </c>
    </row>
    <row r="22">
      <c r="A22" s="9">
        <f>Data!A12</f>
        <v/>
      </c>
      <c r="B22" s="16">
        <f>Data!B12</f>
        <v/>
      </c>
      <c r="C22" s="16">
        <f>Data!C12</f>
        <v/>
      </c>
      <c r="D22" s="14">
        <f>SQRT(($B22-$K$12)^2+($C22-$L$12)^2)</f>
        <v/>
      </c>
      <c r="E22" s="14">
        <f>SQRT(($B22-$K$13)^2+($C22-$L$13)^2)</f>
        <v/>
      </c>
      <c r="F22" s="14">
        <f>SQRT(($B22-$K$14)^2+($C22-$L$14)^2)</f>
        <v/>
      </c>
      <c r="G22" s="17">
        <f>MATCH(MIN(D22:F22),D22:F22,0)</f>
        <v/>
      </c>
      <c r="H22" s="14">
        <f>INDEX(D22:F22,G22)^2</f>
        <v/>
      </c>
    </row>
    <row r="23">
      <c r="A23" s="9">
        <f>Data!A13</f>
        <v/>
      </c>
      <c r="B23" s="16">
        <f>Data!B13</f>
        <v/>
      </c>
      <c r="C23" s="16">
        <f>Data!C13</f>
        <v/>
      </c>
      <c r="D23" s="14">
        <f>SQRT(($B23-$K$12)^2+($C23-$L$12)^2)</f>
        <v/>
      </c>
      <c r="E23" s="14">
        <f>SQRT(($B23-$K$13)^2+($C23-$L$13)^2)</f>
        <v/>
      </c>
      <c r="F23" s="14">
        <f>SQRT(($B23-$K$14)^2+($C23-$L$14)^2)</f>
        <v/>
      </c>
      <c r="G23" s="17">
        <f>MATCH(MIN(D23:F23),D23:F23,0)</f>
        <v/>
      </c>
      <c r="H23" s="14">
        <f>INDEX(D23:F23,G23)^2</f>
        <v/>
      </c>
    </row>
    <row r="27">
      <c r="A27" s="15" t="inlineStr">
        <is>
          <t>Iteration 2</t>
        </is>
      </c>
    </row>
    <row r="28" ht="32" customHeight="1">
      <c r="A28" s="4" t="inlineStr">
        <is>
          <t>point</t>
        </is>
      </c>
      <c r="B28" s="4" t="inlineStr">
        <is>
          <t>x = PC1</t>
        </is>
      </c>
      <c r="C28" s="4" t="inlineStr">
        <is>
          <t>y = PC2</t>
        </is>
      </c>
      <c r="D28" s="4" t="inlineStr">
        <is>
          <t>d to c1</t>
        </is>
      </c>
      <c r="E28" s="4" t="inlineStr">
        <is>
          <t>d to c2</t>
        </is>
      </c>
      <c r="F28" s="4" t="inlineStr">
        <is>
          <t>d to c3</t>
        </is>
      </c>
      <c r="G28" s="4" t="inlineStr">
        <is>
          <t>cluster</t>
        </is>
      </c>
      <c r="H28" s="4" t="inlineStr">
        <is>
          <t>sq. dist to own centroid</t>
        </is>
      </c>
      <c r="J28" s="4" t="inlineStr">
        <is>
          <t>cluster</t>
        </is>
      </c>
      <c r="K28" s="4" t="inlineStr">
        <is>
          <t>cx used</t>
        </is>
      </c>
      <c r="L28" s="4" t="inlineStr">
        <is>
          <t>cy used</t>
        </is>
      </c>
      <c r="M28" s="4" t="inlineStr">
        <is>
          <t>n points</t>
        </is>
      </c>
      <c r="N28" s="4" t="inlineStr">
        <is>
          <t>new cx</t>
        </is>
      </c>
      <c r="O28" s="4" t="inlineStr">
        <is>
          <t>new cy</t>
        </is>
      </c>
    </row>
    <row r="29">
      <c r="A29" s="9">
        <f>Data!A2</f>
        <v/>
      </c>
      <c r="B29" s="16">
        <f>Data!B2</f>
        <v/>
      </c>
      <c r="C29" s="16">
        <f>Data!C2</f>
        <v/>
      </c>
      <c r="D29" s="14">
        <f>SQRT(($B29-$K$29)^2+($C29-$L$29)^2)</f>
        <v/>
      </c>
      <c r="E29" s="14">
        <f>SQRT(($B29-$K$30)^2+($C29-$L$30)^2)</f>
        <v/>
      </c>
      <c r="F29" s="14">
        <f>SQRT(($B29-$K$31)^2+($C29-$L$31)^2)</f>
        <v/>
      </c>
      <c r="G29" s="17">
        <f>MATCH(MIN(D29:F29),D29:F29,0)</f>
        <v/>
      </c>
      <c r="H29" s="14">
        <f>INDEX(D29:F29,G29)^2</f>
        <v/>
      </c>
      <c r="J29" s="5" t="n">
        <v>1</v>
      </c>
      <c r="K29" s="14">
        <f>N12</f>
        <v/>
      </c>
      <c r="L29" s="14">
        <f>O12</f>
        <v/>
      </c>
      <c r="M29" s="17">
        <f>COUNTIF($G$29:$G$40,J29)</f>
        <v/>
      </c>
      <c r="N29" s="14">
        <f>IF(M29=0,K29,SUMIF($G$29:$G$40,J29,$B$29:$B$40)/M29)</f>
        <v/>
      </c>
      <c r="O29" s="14">
        <f>IF(M29=0,L29,SUMIF($G$29:$G$40,J29,$C$29:$C$40)/M29)</f>
        <v/>
      </c>
    </row>
    <row r="30">
      <c r="A30" s="9">
        <f>Data!A3</f>
        <v/>
      </c>
      <c r="B30" s="16">
        <f>Data!B3</f>
        <v/>
      </c>
      <c r="C30" s="16">
        <f>Data!C3</f>
        <v/>
      </c>
      <c r="D30" s="14">
        <f>SQRT(($B30-$K$29)^2+($C30-$L$29)^2)</f>
        <v/>
      </c>
      <c r="E30" s="14">
        <f>SQRT(($B30-$K$30)^2+($C30-$L$30)^2)</f>
        <v/>
      </c>
      <c r="F30" s="14">
        <f>SQRT(($B30-$K$31)^2+($C30-$L$31)^2)</f>
        <v/>
      </c>
      <c r="G30" s="17">
        <f>MATCH(MIN(D30:F30),D30:F30,0)</f>
        <v/>
      </c>
      <c r="H30" s="14">
        <f>INDEX(D30:F30,G30)^2</f>
        <v/>
      </c>
      <c r="J30" s="5" t="n">
        <v>2</v>
      </c>
      <c r="K30" s="14">
        <f>N13</f>
        <v/>
      </c>
      <c r="L30" s="14">
        <f>O13</f>
        <v/>
      </c>
      <c r="M30" s="17">
        <f>COUNTIF($G$29:$G$40,J30)</f>
        <v/>
      </c>
      <c r="N30" s="14">
        <f>IF(M30=0,K30,SUMIF($G$29:$G$40,J30,$B$29:$B$40)/M30)</f>
        <v/>
      </c>
      <c r="O30" s="14">
        <f>IF(M30=0,L30,SUMIF($G$29:$G$40,J30,$C$29:$C$40)/M30)</f>
        <v/>
      </c>
    </row>
    <row r="31">
      <c r="A31" s="9">
        <f>Data!A4</f>
        <v/>
      </c>
      <c r="B31" s="16">
        <f>Data!B4</f>
        <v/>
      </c>
      <c r="C31" s="16">
        <f>Data!C4</f>
        <v/>
      </c>
      <c r="D31" s="14">
        <f>SQRT(($B31-$K$29)^2+($C31-$L$29)^2)</f>
        <v/>
      </c>
      <c r="E31" s="14">
        <f>SQRT(($B31-$K$30)^2+($C31-$L$30)^2)</f>
        <v/>
      </c>
      <c r="F31" s="14">
        <f>SQRT(($B31-$K$31)^2+($C31-$L$31)^2)</f>
        <v/>
      </c>
      <c r="G31" s="17">
        <f>MATCH(MIN(D31:F31),D31:F31,0)</f>
        <v/>
      </c>
      <c r="H31" s="14">
        <f>INDEX(D31:F31,G31)^2</f>
        <v/>
      </c>
      <c r="J31" s="5" t="n">
        <v>3</v>
      </c>
      <c r="K31" s="14">
        <f>N14</f>
        <v/>
      </c>
      <c r="L31" s="14">
        <f>O14</f>
        <v/>
      </c>
      <c r="M31" s="17">
        <f>COUNTIF($G$29:$G$40,J31)</f>
        <v/>
      </c>
      <c r="N31" s="14">
        <f>IF(M31=0,K31,SUMIF($G$29:$G$40,J31,$B$29:$B$40)/M31)</f>
        <v/>
      </c>
      <c r="O31" s="14">
        <f>IF(M31=0,L31,SUMIF($G$29:$G$40,J31,$C$29:$C$40)/M31)</f>
        <v/>
      </c>
    </row>
    <row r="32">
      <c r="A32" s="9">
        <f>Data!A5</f>
        <v/>
      </c>
      <c r="B32" s="16">
        <f>Data!B5</f>
        <v/>
      </c>
      <c r="C32" s="16">
        <f>Data!C5</f>
        <v/>
      </c>
      <c r="D32" s="14">
        <f>SQRT(($B32-$K$29)^2+($C32-$L$29)^2)</f>
        <v/>
      </c>
      <c r="E32" s="14">
        <f>SQRT(($B32-$K$30)^2+($C32-$L$30)^2)</f>
        <v/>
      </c>
      <c r="F32" s="14">
        <f>SQRT(($B32-$K$31)^2+($C32-$L$31)^2)</f>
        <v/>
      </c>
      <c r="G32" s="17">
        <f>MATCH(MIN(D32:F32),D32:F32,0)</f>
        <v/>
      </c>
      <c r="H32" s="14">
        <f>INDEX(D32:F32,G32)^2</f>
        <v/>
      </c>
    </row>
    <row r="33">
      <c r="A33" s="9">
        <f>Data!A6</f>
        <v/>
      </c>
      <c r="B33" s="16">
        <f>Data!B6</f>
        <v/>
      </c>
      <c r="C33" s="16">
        <f>Data!C6</f>
        <v/>
      </c>
      <c r="D33" s="14">
        <f>SQRT(($B33-$K$29)^2+($C33-$L$29)^2)</f>
        <v/>
      </c>
      <c r="E33" s="14">
        <f>SQRT(($B33-$K$30)^2+($C33-$L$30)^2)</f>
        <v/>
      </c>
      <c r="F33" s="14">
        <f>SQRT(($B33-$K$31)^2+($C33-$L$31)^2)</f>
        <v/>
      </c>
      <c r="G33" s="17">
        <f>MATCH(MIN(D33:F33),D33:F33,0)</f>
        <v/>
      </c>
      <c r="H33" s="14">
        <f>INDEX(D33:F33,G33)^2</f>
        <v/>
      </c>
      <c r="J33" s="18" t="inlineStr">
        <is>
          <t>WSS =</t>
        </is>
      </c>
    </row>
    <row r="34">
      <c r="A34" s="9">
        <f>Data!A7</f>
        <v/>
      </c>
      <c r="B34" s="16">
        <f>Data!B7</f>
        <v/>
      </c>
      <c r="C34" s="16">
        <f>Data!C7</f>
        <v/>
      </c>
      <c r="D34" s="14">
        <f>SQRT(($B34-$K$29)^2+($C34-$L$29)^2)</f>
        <v/>
      </c>
      <c r="E34" s="14">
        <f>SQRT(($B34-$K$30)^2+($C34-$L$30)^2)</f>
        <v/>
      </c>
      <c r="F34" s="14">
        <f>SQRT(($B34-$K$31)^2+($C34-$L$31)^2)</f>
        <v/>
      </c>
      <c r="G34" s="17">
        <f>MATCH(MIN(D34:F34),D34:F34,0)</f>
        <v/>
      </c>
      <c r="H34" s="14">
        <f>INDEX(D34:F34,G34)^2</f>
        <v/>
      </c>
      <c r="J34" s="14">
        <f>SUM(H29:H40)</f>
        <v/>
      </c>
    </row>
    <row r="35">
      <c r="A35" s="9">
        <f>Data!A8</f>
        <v/>
      </c>
      <c r="B35" s="16">
        <f>Data!B8</f>
        <v/>
      </c>
      <c r="C35" s="16">
        <f>Data!C8</f>
        <v/>
      </c>
      <c r="D35" s="14">
        <f>SQRT(($B35-$K$29)^2+($C35-$L$29)^2)</f>
        <v/>
      </c>
      <c r="E35" s="14">
        <f>SQRT(($B35-$K$30)^2+($C35-$L$30)^2)</f>
        <v/>
      </c>
      <c r="F35" s="14">
        <f>SQRT(($B35-$K$31)^2+($C35-$L$31)^2)</f>
        <v/>
      </c>
      <c r="G35" s="17">
        <f>MATCH(MIN(D35:F35),D35:F35,0)</f>
        <v/>
      </c>
      <c r="H35" s="14">
        <f>INDEX(D35:F35,G35)^2</f>
        <v/>
      </c>
    </row>
    <row r="36">
      <c r="A36" s="9">
        <f>Data!A9</f>
        <v/>
      </c>
      <c r="B36" s="16">
        <f>Data!B9</f>
        <v/>
      </c>
      <c r="C36" s="16">
        <f>Data!C9</f>
        <v/>
      </c>
      <c r="D36" s="14">
        <f>SQRT(($B36-$K$29)^2+($C36-$L$29)^2)</f>
        <v/>
      </c>
      <c r="E36" s="14">
        <f>SQRT(($B36-$K$30)^2+($C36-$L$30)^2)</f>
        <v/>
      </c>
      <c r="F36" s="14">
        <f>SQRT(($B36-$K$31)^2+($C36-$L$31)^2)</f>
        <v/>
      </c>
      <c r="G36" s="17">
        <f>MATCH(MIN(D36:F36),D36:F36,0)</f>
        <v/>
      </c>
      <c r="H36" s="14">
        <f>INDEX(D36:F36,G36)^2</f>
        <v/>
      </c>
    </row>
    <row r="37">
      <c r="A37" s="9">
        <f>Data!A10</f>
        <v/>
      </c>
      <c r="B37" s="16">
        <f>Data!B10</f>
        <v/>
      </c>
      <c r="C37" s="16">
        <f>Data!C10</f>
        <v/>
      </c>
      <c r="D37" s="14">
        <f>SQRT(($B37-$K$29)^2+($C37-$L$29)^2)</f>
        <v/>
      </c>
      <c r="E37" s="14">
        <f>SQRT(($B37-$K$30)^2+($C37-$L$30)^2)</f>
        <v/>
      </c>
      <c r="F37" s="14">
        <f>SQRT(($B37-$K$31)^2+($C37-$L$31)^2)</f>
        <v/>
      </c>
      <c r="G37" s="17">
        <f>MATCH(MIN(D37:F37),D37:F37,0)</f>
        <v/>
      </c>
      <c r="H37" s="14">
        <f>INDEX(D37:F37,G37)^2</f>
        <v/>
      </c>
    </row>
    <row r="38">
      <c r="A38" s="9">
        <f>Data!A11</f>
        <v/>
      </c>
      <c r="B38" s="16">
        <f>Data!B11</f>
        <v/>
      </c>
      <c r="C38" s="16">
        <f>Data!C11</f>
        <v/>
      </c>
      <c r="D38" s="14">
        <f>SQRT(($B38-$K$29)^2+($C38-$L$29)^2)</f>
        <v/>
      </c>
      <c r="E38" s="14">
        <f>SQRT(($B38-$K$30)^2+($C38-$L$30)^2)</f>
        <v/>
      </c>
      <c r="F38" s="14">
        <f>SQRT(($B38-$K$31)^2+($C38-$L$31)^2)</f>
        <v/>
      </c>
      <c r="G38" s="17">
        <f>MATCH(MIN(D38:F38),D38:F38,0)</f>
        <v/>
      </c>
      <c r="H38" s="14">
        <f>INDEX(D38:F38,G38)^2</f>
        <v/>
      </c>
    </row>
    <row r="39">
      <c r="A39" s="9">
        <f>Data!A12</f>
        <v/>
      </c>
      <c r="B39" s="16">
        <f>Data!B12</f>
        <v/>
      </c>
      <c r="C39" s="16">
        <f>Data!C12</f>
        <v/>
      </c>
      <c r="D39" s="14">
        <f>SQRT(($B39-$K$29)^2+($C39-$L$29)^2)</f>
        <v/>
      </c>
      <c r="E39" s="14">
        <f>SQRT(($B39-$K$30)^2+($C39-$L$30)^2)</f>
        <v/>
      </c>
      <c r="F39" s="14">
        <f>SQRT(($B39-$K$31)^2+($C39-$L$31)^2)</f>
        <v/>
      </c>
      <c r="G39" s="17">
        <f>MATCH(MIN(D39:F39),D39:F39,0)</f>
        <v/>
      </c>
      <c r="H39" s="14">
        <f>INDEX(D39:F39,G39)^2</f>
        <v/>
      </c>
    </row>
    <row r="40">
      <c r="A40" s="9">
        <f>Data!A13</f>
        <v/>
      </c>
      <c r="B40" s="16">
        <f>Data!B13</f>
        <v/>
      </c>
      <c r="C40" s="16">
        <f>Data!C13</f>
        <v/>
      </c>
      <c r="D40" s="14">
        <f>SQRT(($B40-$K$29)^2+($C40-$L$29)^2)</f>
        <v/>
      </c>
      <c r="E40" s="14">
        <f>SQRT(($B40-$K$30)^2+($C40-$L$30)^2)</f>
        <v/>
      </c>
      <c r="F40" s="14">
        <f>SQRT(($B40-$K$31)^2+($C40-$L$31)^2)</f>
        <v/>
      </c>
      <c r="G40" s="17">
        <f>MATCH(MIN(D40:F40),D40:F40,0)</f>
        <v/>
      </c>
      <c r="H40" s="14">
        <f>INDEX(D40:F40,G40)^2</f>
        <v/>
      </c>
    </row>
    <row r="44">
      <c r="A44" s="15" t="inlineStr">
        <is>
          <t>Iteration 3</t>
        </is>
      </c>
    </row>
    <row r="45" ht="32" customHeight="1">
      <c r="A45" s="4" t="inlineStr">
        <is>
          <t>point</t>
        </is>
      </c>
      <c r="B45" s="4" t="inlineStr">
        <is>
          <t>x = PC1</t>
        </is>
      </c>
      <c r="C45" s="4" t="inlineStr">
        <is>
          <t>y = PC2</t>
        </is>
      </c>
      <c r="D45" s="4" t="inlineStr">
        <is>
          <t>d to c1</t>
        </is>
      </c>
      <c r="E45" s="4" t="inlineStr">
        <is>
          <t>d to c2</t>
        </is>
      </c>
      <c r="F45" s="4" t="inlineStr">
        <is>
          <t>d to c3</t>
        </is>
      </c>
      <c r="G45" s="4" t="inlineStr">
        <is>
          <t>cluster</t>
        </is>
      </c>
      <c r="H45" s="4" t="inlineStr">
        <is>
          <t>sq. dist to own centroid</t>
        </is>
      </c>
      <c r="J45" s="4" t="inlineStr">
        <is>
          <t>cluster</t>
        </is>
      </c>
      <c r="K45" s="4" t="inlineStr">
        <is>
          <t>cx used</t>
        </is>
      </c>
      <c r="L45" s="4" t="inlineStr">
        <is>
          <t>cy used</t>
        </is>
      </c>
      <c r="M45" s="4" t="inlineStr">
        <is>
          <t>n points</t>
        </is>
      </c>
      <c r="N45" s="4" t="inlineStr">
        <is>
          <t>new cx</t>
        </is>
      </c>
      <c r="O45" s="4" t="inlineStr">
        <is>
          <t>new cy</t>
        </is>
      </c>
    </row>
    <row r="46">
      <c r="A46" s="9">
        <f>Data!A2</f>
        <v/>
      </c>
      <c r="B46" s="16">
        <f>Data!B2</f>
        <v/>
      </c>
      <c r="C46" s="16">
        <f>Data!C2</f>
        <v/>
      </c>
      <c r="D46" s="14">
        <f>SQRT(($B46-$K$46)^2+($C46-$L$46)^2)</f>
        <v/>
      </c>
      <c r="E46" s="14">
        <f>SQRT(($B46-$K$47)^2+($C46-$L$47)^2)</f>
        <v/>
      </c>
      <c r="F46" s="14">
        <f>SQRT(($B46-$K$48)^2+($C46-$L$48)^2)</f>
        <v/>
      </c>
      <c r="G46" s="17">
        <f>MATCH(MIN(D46:F46),D46:F46,0)</f>
        <v/>
      </c>
      <c r="H46" s="14">
        <f>INDEX(D46:F46,G46)^2</f>
        <v/>
      </c>
      <c r="J46" s="5" t="n">
        <v>1</v>
      </c>
      <c r="K46" s="14">
        <f>N29</f>
        <v/>
      </c>
      <c r="L46" s="14">
        <f>O29</f>
        <v/>
      </c>
      <c r="M46" s="17">
        <f>COUNTIF($G$46:$G$57,J46)</f>
        <v/>
      </c>
      <c r="N46" s="14">
        <f>IF(M46=0,K46,SUMIF($G$46:$G$57,J46,$B$46:$B$57)/M46)</f>
        <v/>
      </c>
      <c r="O46" s="14">
        <f>IF(M46=0,L46,SUMIF($G$46:$G$57,J46,$C$46:$C$57)/M46)</f>
        <v/>
      </c>
    </row>
    <row r="47">
      <c r="A47" s="9">
        <f>Data!A3</f>
        <v/>
      </c>
      <c r="B47" s="16">
        <f>Data!B3</f>
        <v/>
      </c>
      <c r="C47" s="16">
        <f>Data!C3</f>
        <v/>
      </c>
      <c r="D47" s="14">
        <f>SQRT(($B47-$K$46)^2+($C47-$L$46)^2)</f>
        <v/>
      </c>
      <c r="E47" s="14">
        <f>SQRT(($B47-$K$47)^2+($C47-$L$47)^2)</f>
        <v/>
      </c>
      <c r="F47" s="14">
        <f>SQRT(($B47-$K$48)^2+($C47-$L$48)^2)</f>
        <v/>
      </c>
      <c r="G47" s="17">
        <f>MATCH(MIN(D47:F47),D47:F47,0)</f>
        <v/>
      </c>
      <c r="H47" s="14">
        <f>INDEX(D47:F47,G47)^2</f>
        <v/>
      </c>
      <c r="J47" s="5" t="n">
        <v>2</v>
      </c>
      <c r="K47" s="14">
        <f>N30</f>
        <v/>
      </c>
      <c r="L47" s="14">
        <f>O30</f>
        <v/>
      </c>
      <c r="M47" s="17">
        <f>COUNTIF($G$46:$G$57,J47)</f>
        <v/>
      </c>
      <c r="N47" s="14">
        <f>IF(M47=0,K47,SUMIF($G$46:$G$57,J47,$B$46:$B$57)/M47)</f>
        <v/>
      </c>
      <c r="O47" s="14">
        <f>IF(M47=0,L47,SUMIF($G$46:$G$57,J47,$C$46:$C$57)/M47)</f>
        <v/>
      </c>
    </row>
    <row r="48">
      <c r="A48" s="9">
        <f>Data!A4</f>
        <v/>
      </c>
      <c r="B48" s="16">
        <f>Data!B4</f>
        <v/>
      </c>
      <c r="C48" s="16">
        <f>Data!C4</f>
        <v/>
      </c>
      <c r="D48" s="14">
        <f>SQRT(($B48-$K$46)^2+($C48-$L$46)^2)</f>
        <v/>
      </c>
      <c r="E48" s="14">
        <f>SQRT(($B48-$K$47)^2+($C48-$L$47)^2)</f>
        <v/>
      </c>
      <c r="F48" s="14">
        <f>SQRT(($B48-$K$48)^2+($C48-$L$48)^2)</f>
        <v/>
      </c>
      <c r="G48" s="17">
        <f>MATCH(MIN(D48:F48),D48:F48,0)</f>
        <v/>
      </c>
      <c r="H48" s="14">
        <f>INDEX(D48:F48,G48)^2</f>
        <v/>
      </c>
      <c r="J48" s="5" t="n">
        <v>3</v>
      </c>
      <c r="K48" s="14">
        <f>N31</f>
        <v/>
      </c>
      <c r="L48" s="14">
        <f>O31</f>
        <v/>
      </c>
      <c r="M48" s="17">
        <f>COUNTIF($G$46:$G$57,J48)</f>
        <v/>
      </c>
      <c r="N48" s="14">
        <f>IF(M48=0,K48,SUMIF($G$46:$G$57,J48,$B$46:$B$57)/M48)</f>
        <v/>
      </c>
      <c r="O48" s="14">
        <f>IF(M48=0,L48,SUMIF($G$46:$G$57,J48,$C$46:$C$57)/M48)</f>
        <v/>
      </c>
    </row>
    <row r="49">
      <c r="A49" s="9">
        <f>Data!A5</f>
        <v/>
      </c>
      <c r="B49" s="16">
        <f>Data!B5</f>
        <v/>
      </c>
      <c r="C49" s="16">
        <f>Data!C5</f>
        <v/>
      </c>
      <c r="D49" s="14">
        <f>SQRT(($B49-$K$46)^2+($C49-$L$46)^2)</f>
        <v/>
      </c>
      <c r="E49" s="14">
        <f>SQRT(($B49-$K$47)^2+($C49-$L$47)^2)</f>
        <v/>
      </c>
      <c r="F49" s="14">
        <f>SQRT(($B49-$K$48)^2+($C49-$L$48)^2)</f>
        <v/>
      </c>
      <c r="G49" s="17">
        <f>MATCH(MIN(D49:F49),D49:F49,0)</f>
        <v/>
      </c>
      <c r="H49" s="14">
        <f>INDEX(D49:F49,G49)^2</f>
        <v/>
      </c>
    </row>
    <row r="50">
      <c r="A50" s="9">
        <f>Data!A6</f>
        <v/>
      </c>
      <c r="B50" s="16">
        <f>Data!B6</f>
        <v/>
      </c>
      <c r="C50" s="16">
        <f>Data!C6</f>
        <v/>
      </c>
      <c r="D50" s="14">
        <f>SQRT(($B50-$K$46)^2+($C50-$L$46)^2)</f>
        <v/>
      </c>
      <c r="E50" s="14">
        <f>SQRT(($B50-$K$47)^2+($C50-$L$47)^2)</f>
        <v/>
      </c>
      <c r="F50" s="14">
        <f>SQRT(($B50-$K$48)^2+($C50-$L$48)^2)</f>
        <v/>
      </c>
      <c r="G50" s="17">
        <f>MATCH(MIN(D50:F50),D50:F50,0)</f>
        <v/>
      </c>
      <c r="H50" s="14">
        <f>INDEX(D50:F50,G50)^2</f>
        <v/>
      </c>
      <c r="J50" s="18" t="inlineStr">
        <is>
          <t>WSS =</t>
        </is>
      </c>
    </row>
    <row r="51">
      <c r="A51" s="9">
        <f>Data!A7</f>
        <v/>
      </c>
      <c r="B51" s="16">
        <f>Data!B7</f>
        <v/>
      </c>
      <c r="C51" s="16">
        <f>Data!C7</f>
        <v/>
      </c>
      <c r="D51" s="14">
        <f>SQRT(($B51-$K$46)^2+($C51-$L$46)^2)</f>
        <v/>
      </c>
      <c r="E51" s="14">
        <f>SQRT(($B51-$K$47)^2+($C51-$L$47)^2)</f>
        <v/>
      </c>
      <c r="F51" s="14">
        <f>SQRT(($B51-$K$48)^2+($C51-$L$48)^2)</f>
        <v/>
      </c>
      <c r="G51" s="17">
        <f>MATCH(MIN(D51:F51),D51:F51,0)</f>
        <v/>
      </c>
      <c r="H51" s="14">
        <f>INDEX(D51:F51,G51)^2</f>
        <v/>
      </c>
      <c r="J51" s="14">
        <f>SUM(H46:H57)</f>
        <v/>
      </c>
    </row>
    <row r="52">
      <c r="A52" s="9">
        <f>Data!A8</f>
        <v/>
      </c>
      <c r="B52" s="16">
        <f>Data!B8</f>
        <v/>
      </c>
      <c r="C52" s="16">
        <f>Data!C8</f>
        <v/>
      </c>
      <c r="D52" s="14">
        <f>SQRT(($B52-$K$46)^2+($C52-$L$46)^2)</f>
        <v/>
      </c>
      <c r="E52" s="14">
        <f>SQRT(($B52-$K$47)^2+($C52-$L$47)^2)</f>
        <v/>
      </c>
      <c r="F52" s="14">
        <f>SQRT(($B52-$K$48)^2+($C52-$L$48)^2)</f>
        <v/>
      </c>
      <c r="G52" s="17">
        <f>MATCH(MIN(D52:F52),D52:F52,0)</f>
        <v/>
      </c>
      <c r="H52" s="14">
        <f>INDEX(D52:F52,G52)^2</f>
        <v/>
      </c>
    </row>
    <row r="53">
      <c r="A53" s="9">
        <f>Data!A9</f>
        <v/>
      </c>
      <c r="B53" s="16">
        <f>Data!B9</f>
        <v/>
      </c>
      <c r="C53" s="16">
        <f>Data!C9</f>
        <v/>
      </c>
      <c r="D53" s="14">
        <f>SQRT(($B53-$K$46)^2+($C53-$L$46)^2)</f>
        <v/>
      </c>
      <c r="E53" s="14">
        <f>SQRT(($B53-$K$47)^2+($C53-$L$47)^2)</f>
        <v/>
      </c>
      <c r="F53" s="14">
        <f>SQRT(($B53-$K$48)^2+($C53-$L$48)^2)</f>
        <v/>
      </c>
      <c r="G53" s="17">
        <f>MATCH(MIN(D53:F53),D53:F53,0)</f>
        <v/>
      </c>
      <c r="H53" s="14">
        <f>INDEX(D53:F53,G53)^2</f>
        <v/>
      </c>
    </row>
    <row r="54">
      <c r="A54" s="9">
        <f>Data!A10</f>
        <v/>
      </c>
      <c r="B54" s="16">
        <f>Data!B10</f>
        <v/>
      </c>
      <c r="C54" s="16">
        <f>Data!C10</f>
        <v/>
      </c>
      <c r="D54" s="14">
        <f>SQRT(($B54-$K$46)^2+($C54-$L$46)^2)</f>
        <v/>
      </c>
      <c r="E54" s="14">
        <f>SQRT(($B54-$K$47)^2+($C54-$L$47)^2)</f>
        <v/>
      </c>
      <c r="F54" s="14">
        <f>SQRT(($B54-$K$48)^2+($C54-$L$48)^2)</f>
        <v/>
      </c>
      <c r="G54" s="17">
        <f>MATCH(MIN(D54:F54),D54:F54,0)</f>
        <v/>
      </c>
      <c r="H54" s="14">
        <f>INDEX(D54:F54,G54)^2</f>
        <v/>
      </c>
    </row>
    <row r="55">
      <c r="A55" s="9">
        <f>Data!A11</f>
        <v/>
      </c>
      <c r="B55" s="16">
        <f>Data!B11</f>
        <v/>
      </c>
      <c r="C55" s="16">
        <f>Data!C11</f>
        <v/>
      </c>
      <c r="D55" s="14">
        <f>SQRT(($B55-$K$46)^2+($C55-$L$46)^2)</f>
        <v/>
      </c>
      <c r="E55" s="14">
        <f>SQRT(($B55-$K$47)^2+($C55-$L$47)^2)</f>
        <v/>
      </c>
      <c r="F55" s="14">
        <f>SQRT(($B55-$K$48)^2+($C55-$L$48)^2)</f>
        <v/>
      </c>
      <c r="G55" s="17">
        <f>MATCH(MIN(D55:F55),D55:F55,0)</f>
        <v/>
      </c>
      <c r="H55" s="14">
        <f>INDEX(D55:F55,G55)^2</f>
        <v/>
      </c>
    </row>
    <row r="56">
      <c r="A56" s="9">
        <f>Data!A12</f>
        <v/>
      </c>
      <c r="B56" s="16">
        <f>Data!B12</f>
        <v/>
      </c>
      <c r="C56" s="16">
        <f>Data!C12</f>
        <v/>
      </c>
      <c r="D56" s="14">
        <f>SQRT(($B56-$K$46)^2+($C56-$L$46)^2)</f>
        <v/>
      </c>
      <c r="E56" s="14">
        <f>SQRT(($B56-$K$47)^2+($C56-$L$47)^2)</f>
        <v/>
      </c>
      <c r="F56" s="14">
        <f>SQRT(($B56-$K$48)^2+($C56-$L$48)^2)</f>
        <v/>
      </c>
      <c r="G56" s="17">
        <f>MATCH(MIN(D56:F56),D56:F56,0)</f>
        <v/>
      </c>
      <c r="H56" s="14">
        <f>INDEX(D56:F56,G56)^2</f>
        <v/>
      </c>
    </row>
    <row r="57">
      <c r="A57" s="9">
        <f>Data!A13</f>
        <v/>
      </c>
      <c r="B57" s="16">
        <f>Data!B13</f>
        <v/>
      </c>
      <c r="C57" s="16">
        <f>Data!C13</f>
        <v/>
      </c>
      <c r="D57" s="14">
        <f>SQRT(($B57-$K$46)^2+($C57-$L$46)^2)</f>
        <v/>
      </c>
      <c r="E57" s="14">
        <f>SQRT(($B57-$K$47)^2+($C57-$L$47)^2)</f>
        <v/>
      </c>
      <c r="F57" s="14">
        <f>SQRT(($B57-$K$48)^2+($C57-$L$48)^2)</f>
        <v/>
      </c>
      <c r="G57" s="17">
        <f>MATCH(MIN(D57:F57),D57:F57,0)</f>
        <v/>
      </c>
      <c r="H57" s="14">
        <f>INDEX(D57:F57,G57)^2</f>
        <v/>
      </c>
    </row>
    <row r="61">
      <c r="A61" s="15" t="inlineStr">
        <is>
          <t>Iteration 4</t>
        </is>
      </c>
    </row>
    <row r="62" ht="32" customHeight="1">
      <c r="A62" s="4" t="inlineStr">
        <is>
          <t>point</t>
        </is>
      </c>
      <c r="B62" s="4" t="inlineStr">
        <is>
          <t>x = PC1</t>
        </is>
      </c>
      <c r="C62" s="4" t="inlineStr">
        <is>
          <t>y = PC2</t>
        </is>
      </c>
      <c r="D62" s="4" t="inlineStr">
        <is>
          <t>d to c1</t>
        </is>
      </c>
      <c r="E62" s="4" t="inlineStr">
        <is>
          <t>d to c2</t>
        </is>
      </c>
      <c r="F62" s="4" t="inlineStr">
        <is>
          <t>d to c3</t>
        </is>
      </c>
      <c r="G62" s="4" t="inlineStr">
        <is>
          <t>cluster</t>
        </is>
      </c>
      <c r="H62" s="4" t="inlineStr">
        <is>
          <t>sq. dist to own centroid</t>
        </is>
      </c>
      <c r="J62" s="4" t="inlineStr">
        <is>
          <t>cluster</t>
        </is>
      </c>
      <c r="K62" s="4" t="inlineStr">
        <is>
          <t>cx used</t>
        </is>
      </c>
      <c r="L62" s="4" t="inlineStr">
        <is>
          <t>cy used</t>
        </is>
      </c>
      <c r="M62" s="4" t="inlineStr">
        <is>
          <t>n points</t>
        </is>
      </c>
      <c r="N62" s="4" t="inlineStr">
        <is>
          <t>new cx</t>
        </is>
      </c>
      <c r="O62" s="4" t="inlineStr">
        <is>
          <t>new cy</t>
        </is>
      </c>
    </row>
    <row r="63">
      <c r="A63" s="9">
        <f>Data!A2</f>
        <v/>
      </c>
      <c r="B63" s="16">
        <f>Data!B2</f>
        <v/>
      </c>
      <c r="C63" s="16">
        <f>Data!C2</f>
        <v/>
      </c>
      <c r="D63" s="14">
        <f>SQRT(($B63-$K$63)^2+($C63-$L$63)^2)</f>
        <v/>
      </c>
      <c r="E63" s="14">
        <f>SQRT(($B63-$K$64)^2+($C63-$L$64)^2)</f>
        <v/>
      </c>
      <c r="F63" s="14">
        <f>SQRT(($B63-$K$65)^2+($C63-$L$65)^2)</f>
        <v/>
      </c>
      <c r="G63" s="17">
        <f>MATCH(MIN(D63:F63),D63:F63,0)</f>
        <v/>
      </c>
      <c r="H63" s="14">
        <f>INDEX(D63:F63,G63)^2</f>
        <v/>
      </c>
      <c r="J63" s="5" t="n">
        <v>1</v>
      </c>
      <c r="K63" s="14">
        <f>N46</f>
        <v/>
      </c>
      <c r="L63" s="14">
        <f>O46</f>
        <v/>
      </c>
      <c r="M63" s="17">
        <f>COUNTIF($G$63:$G$74,J63)</f>
        <v/>
      </c>
      <c r="N63" s="14">
        <f>IF(M63=0,K63,SUMIF($G$63:$G$74,J63,$B$63:$B$74)/M63)</f>
        <v/>
      </c>
      <c r="O63" s="14">
        <f>IF(M63=0,L63,SUMIF($G$63:$G$74,J63,$C$63:$C$74)/M63)</f>
        <v/>
      </c>
    </row>
    <row r="64">
      <c r="A64" s="9">
        <f>Data!A3</f>
        <v/>
      </c>
      <c r="B64" s="16">
        <f>Data!B3</f>
        <v/>
      </c>
      <c r="C64" s="16">
        <f>Data!C3</f>
        <v/>
      </c>
      <c r="D64" s="14">
        <f>SQRT(($B64-$K$63)^2+($C64-$L$63)^2)</f>
        <v/>
      </c>
      <c r="E64" s="14">
        <f>SQRT(($B64-$K$64)^2+($C64-$L$64)^2)</f>
        <v/>
      </c>
      <c r="F64" s="14">
        <f>SQRT(($B64-$K$65)^2+($C64-$L$65)^2)</f>
        <v/>
      </c>
      <c r="G64" s="17">
        <f>MATCH(MIN(D64:F64),D64:F64,0)</f>
        <v/>
      </c>
      <c r="H64" s="14">
        <f>INDEX(D64:F64,G64)^2</f>
        <v/>
      </c>
      <c r="J64" s="5" t="n">
        <v>2</v>
      </c>
      <c r="K64" s="14">
        <f>N47</f>
        <v/>
      </c>
      <c r="L64" s="14">
        <f>O47</f>
        <v/>
      </c>
      <c r="M64" s="17">
        <f>COUNTIF($G$63:$G$74,J64)</f>
        <v/>
      </c>
      <c r="N64" s="14">
        <f>IF(M64=0,K64,SUMIF($G$63:$G$74,J64,$B$63:$B$74)/M64)</f>
        <v/>
      </c>
      <c r="O64" s="14">
        <f>IF(M64=0,L64,SUMIF($G$63:$G$74,J64,$C$63:$C$74)/M64)</f>
        <v/>
      </c>
    </row>
    <row r="65">
      <c r="A65" s="9">
        <f>Data!A4</f>
        <v/>
      </c>
      <c r="B65" s="16">
        <f>Data!B4</f>
        <v/>
      </c>
      <c r="C65" s="16">
        <f>Data!C4</f>
        <v/>
      </c>
      <c r="D65" s="14">
        <f>SQRT(($B65-$K$63)^2+($C65-$L$63)^2)</f>
        <v/>
      </c>
      <c r="E65" s="14">
        <f>SQRT(($B65-$K$64)^2+($C65-$L$64)^2)</f>
        <v/>
      </c>
      <c r="F65" s="14">
        <f>SQRT(($B65-$K$65)^2+($C65-$L$65)^2)</f>
        <v/>
      </c>
      <c r="G65" s="17">
        <f>MATCH(MIN(D65:F65),D65:F65,0)</f>
        <v/>
      </c>
      <c r="H65" s="14">
        <f>INDEX(D65:F65,G65)^2</f>
        <v/>
      </c>
      <c r="J65" s="5" t="n">
        <v>3</v>
      </c>
      <c r="K65" s="14">
        <f>N48</f>
        <v/>
      </c>
      <c r="L65" s="14">
        <f>O48</f>
        <v/>
      </c>
      <c r="M65" s="17">
        <f>COUNTIF($G$63:$G$74,J65)</f>
        <v/>
      </c>
      <c r="N65" s="14">
        <f>IF(M65=0,K65,SUMIF($G$63:$G$74,J65,$B$63:$B$74)/M65)</f>
        <v/>
      </c>
      <c r="O65" s="14">
        <f>IF(M65=0,L65,SUMIF($G$63:$G$74,J65,$C$63:$C$74)/M65)</f>
        <v/>
      </c>
    </row>
    <row r="66">
      <c r="A66" s="9">
        <f>Data!A5</f>
        <v/>
      </c>
      <c r="B66" s="16">
        <f>Data!B5</f>
        <v/>
      </c>
      <c r="C66" s="16">
        <f>Data!C5</f>
        <v/>
      </c>
      <c r="D66" s="14">
        <f>SQRT(($B66-$K$63)^2+($C66-$L$63)^2)</f>
        <v/>
      </c>
      <c r="E66" s="14">
        <f>SQRT(($B66-$K$64)^2+($C66-$L$64)^2)</f>
        <v/>
      </c>
      <c r="F66" s="14">
        <f>SQRT(($B66-$K$65)^2+($C66-$L$65)^2)</f>
        <v/>
      </c>
      <c r="G66" s="17">
        <f>MATCH(MIN(D66:F66),D66:F66,0)</f>
        <v/>
      </c>
      <c r="H66" s="14">
        <f>INDEX(D66:F66,G66)^2</f>
        <v/>
      </c>
    </row>
    <row r="67">
      <c r="A67" s="9">
        <f>Data!A6</f>
        <v/>
      </c>
      <c r="B67" s="16">
        <f>Data!B6</f>
        <v/>
      </c>
      <c r="C67" s="16">
        <f>Data!C6</f>
        <v/>
      </c>
      <c r="D67" s="14">
        <f>SQRT(($B67-$K$63)^2+($C67-$L$63)^2)</f>
        <v/>
      </c>
      <c r="E67" s="14">
        <f>SQRT(($B67-$K$64)^2+($C67-$L$64)^2)</f>
        <v/>
      </c>
      <c r="F67" s="14">
        <f>SQRT(($B67-$K$65)^2+($C67-$L$65)^2)</f>
        <v/>
      </c>
      <c r="G67" s="17">
        <f>MATCH(MIN(D67:F67),D67:F67,0)</f>
        <v/>
      </c>
      <c r="H67" s="14">
        <f>INDEX(D67:F67,G67)^2</f>
        <v/>
      </c>
      <c r="J67" s="18" t="inlineStr">
        <is>
          <t>WSS =</t>
        </is>
      </c>
    </row>
    <row r="68">
      <c r="A68" s="9">
        <f>Data!A7</f>
        <v/>
      </c>
      <c r="B68" s="16">
        <f>Data!B7</f>
        <v/>
      </c>
      <c r="C68" s="16">
        <f>Data!C7</f>
        <v/>
      </c>
      <c r="D68" s="14">
        <f>SQRT(($B68-$K$63)^2+($C68-$L$63)^2)</f>
        <v/>
      </c>
      <c r="E68" s="14">
        <f>SQRT(($B68-$K$64)^2+($C68-$L$64)^2)</f>
        <v/>
      </c>
      <c r="F68" s="14">
        <f>SQRT(($B68-$K$65)^2+($C68-$L$65)^2)</f>
        <v/>
      </c>
      <c r="G68" s="17">
        <f>MATCH(MIN(D68:F68),D68:F68,0)</f>
        <v/>
      </c>
      <c r="H68" s="14">
        <f>INDEX(D68:F68,G68)^2</f>
        <v/>
      </c>
      <c r="J68" s="14">
        <f>SUM(H63:H74)</f>
        <v/>
      </c>
    </row>
    <row r="69">
      <c r="A69" s="9">
        <f>Data!A8</f>
        <v/>
      </c>
      <c r="B69" s="16">
        <f>Data!B8</f>
        <v/>
      </c>
      <c r="C69" s="16">
        <f>Data!C8</f>
        <v/>
      </c>
      <c r="D69" s="14">
        <f>SQRT(($B69-$K$63)^2+($C69-$L$63)^2)</f>
        <v/>
      </c>
      <c r="E69" s="14">
        <f>SQRT(($B69-$K$64)^2+($C69-$L$64)^2)</f>
        <v/>
      </c>
      <c r="F69" s="14">
        <f>SQRT(($B69-$K$65)^2+($C69-$L$65)^2)</f>
        <v/>
      </c>
      <c r="G69" s="17">
        <f>MATCH(MIN(D69:F69),D69:F69,0)</f>
        <v/>
      </c>
      <c r="H69" s="14">
        <f>INDEX(D69:F69,G69)^2</f>
        <v/>
      </c>
    </row>
    <row r="70">
      <c r="A70" s="9">
        <f>Data!A9</f>
        <v/>
      </c>
      <c r="B70" s="16">
        <f>Data!B9</f>
        <v/>
      </c>
      <c r="C70" s="16">
        <f>Data!C9</f>
        <v/>
      </c>
      <c r="D70" s="14">
        <f>SQRT(($B70-$K$63)^2+($C70-$L$63)^2)</f>
        <v/>
      </c>
      <c r="E70" s="14">
        <f>SQRT(($B70-$K$64)^2+($C70-$L$64)^2)</f>
        <v/>
      </c>
      <c r="F70" s="14">
        <f>SQRT(($B70-$K$65)^2+($C70-$L$65)^2)</f>
        <v/>
      </c>
      <c r="G70" s="17">
        <f>MATCH(MIN(D70:F70),D70:F70,0)</f>
        <v/>
      </c>
      <c r="H70" s="14">
        <f>INDEX(D70:F70,G70)^2</f>
        <v/>
      </c>
    </row>
    <row r="71">
      <c r="A71" s="9">
        <f>Data!A10</f>
        <v/>
      </c>
      <c r="B71" s="16">
        <f>Data!B10</f>
        <v/>
      </c>
      <c r="C71" s="16">
        <f>Data!C10</f>
        <v/>
      </c>
      <c r="D71" s="14">
        <f>SQRT(($B71-$K$63)^2+($C71-$L$63)^2)</f>
        <v/>
      </c>
      <c r="E71" s="14">
        <f>SQRT(($B71-$K$64)^2+($C71-$L$64)^2)</f>
        <v/>
      </c>
      <c r="F71" s="14">
        <f>SQRT(($B71-$K$65)^2+($C71-$L$65)^2)</f>
        <v/>
      </c>
      <c r="G71" s="17">
        <f>MATCH(MIN(D71:F71),D71:F71,0)</f>
        <v/>
      </c>
      <c r="H71" s="14">
        <f>INDEX(D71:F71,G71)^2</f>
        <v/>
      </c>
    </row>
    <row r="72">
      <c r="A72" s="9">
        <f>Data!A11</f>
        <v/>
      </c>
      <c r="B72" s="16">
        <f>Data!B11</f>
        <v/>
      </c>
      <c r="C72" s="16">
        <f>Data!C11</f>
        <v/>
      </c>
      <c r="D72" s="14">
        <f>SQRT(($B72-$K$63)^2+($C72-$L$63)^2)</f>
        <v/>
      </c>
      <c r="E72" s="14">
        <f>SQRT(($B72-$K$64)^2+($C72-$L$64)^2)</f>
        <v/>
      </c>
      <c r="F72" s="14">
        <f>SQRT(($B72-$K$65)^2+($C72-$L$65)^2)</f>
        <v/>
      </c>
      <c r="G72" s="17">
        <f>MATCH(MIN(D72:F72),D72:F72,0)</f>
        <v/>
      </c>
      <c r="H72" s="14">
        <f>INDEX(D72:F72,G72)^2</f>
        <v/>
      </c>
    </row>
    <row r="73">
      <c r="A73" s="9">
        <f>Data!A12</f>
        <v/>
      </c>
      <c r="B73" s="16">
        <f>Data!B12</f>
        <v/>
      </c>
      <c r="C73" s="16">
        <f>Data!C12</f>
        <v/>
      </c>
      <c r="D73" s="14">
        <f>SQRT(($B73-$K$63)^2+($C73-$L$63)^2)</f>
        <v/>
      </c>
      <c r="E73" s="14">
        <f>SQRT(($B73-$K$64)^2+($C73-$L$64)^2)</f>
        <v/>
      </c>
      <c r="F73" s="14">
        <f>SQRT(($B73-$K$65)^2+($C73-$L$65)^2)</f>
        <v/>
      </c>
      <c r="G73" s="17">
        <f>MATCH(MIN(D73:F73),D73:F73,0)</f>
        <v/>
      </c>
      <c r="H73" s="14">
        <f>INDEX(D73:F73,G73)^2</f>
        <v/>
      </c>
    </row>
    <row r="74">
      <c r="A74" s="9">
        <f>Data!A13</f>
        <v/>
      </c>
      <c r="B74" s="16">
        <f>Data!B13</f>
        <v/>
      </c>
      <c r="C74" s="16">
        <f>Data!C13</f>
        <v/>
      </c>
      <c r="D74" s="14">
        <f>SQRT(($B74-$K$63)^2+($C74-$L$63)^2)</f>
        <v/>
      </c>
      <c r="E74" s="14">
        <f>SQRT(($B74-$K$64)^2+($C74-$L$64)^2)</f>
        <v/>
      </c>
      <c r="F74" s="14">
        <f>SQRT(($B74-$K$65)^2+($C74-$L$65)^2)</f>
        <v/>
      </c>
      <c r="G74" s="17">
        <f>MATCH(MIN(D74:F74),D74:F74,0)</f>
        <v/>
      </c>
      <c r="H74" s="14">
        <f>INDEX(D74:F74,G74)^2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4" customWidth="1" min="4" max="4"/>
    <col width="14" customWidth="1" min="5" max="5"/>
    <col width="12" customWidth="1" min="6" max="6"/>
    <col width="3" customWidth="1" min="7" max="7"/>
    <col width="10" customWidth="1" min="8" max="8"/>
    <col width="11" customWidth="1" min="9" max="9"/>
    <col width="8" customWidth="1" min="10" max="10"/>
    <col width="14" customWidth="1" min="11" max="11"/>
    <col width="12" customWidth="1" min="12" max="12"/>
    <col width="14" customWidth="1" min="13" max="13"/>
  </cols>
  <sheetData>
    <row r="1">
      <c r="A1" s="12" t="inlineStr">
        <is>
          <t>kNN resampling: disaggregate one daily total into 24 hourly values using the hourly pattern of a similar observed day.</t>
        </is>
      </c>
    </row>
    <row r="2">
      <c r="A2" s="13" t="inlineStr">
        <is>
          <t>Steps: distance -&gt; rank -&gt; kernel weight 1/j (normalised) -&gt; cumulative weight -&gt; pick the neighbour with the fixed u -&gt; scale the pattern so the 24 hours add up to the target.</t>
        </is>
      </c>
    </row>
    <row r="4">
      <c r="A4" s="9" t="inlineStr">
        <is>
          <t>target daily total y_t (mm)</t>
        </is>
      </c>
      <c r="B4" s="7">
        <f>Data!AH2</f>
        <v/>
      </c>
    </row>
    <row r="5">
      <c r="A5" s="9" t="inlineStr">
        <is>
          <t>library size n</t>
        </is>
      </c>
      <c r="B5" s="17">
        <f>COUNT(Data!G2:G21)</f>
        <v/>
      </c>
    </row>
    <row r="6">
      <c r="A6" s="9" t="inlineStr">
        <is>
          <t>neighbours k = ROUNDUP(SQRT(n),0)</t>
        </is>
      </c>
      <c r="B6" s="17">
        <f>ROUNDUP(SQRT(B5),0)</f>
        <v/>
      </c>
    </row>
    <row r="7">
      <c r="A7" s="9" t="inlineStr">
        <is>
          <t>uniform random number u</t>
        </is>
      </c>
      <c r="B7" s="14">
        <f>Data!AH3</f>
        <v/>
      </c>
    </row>
    <row r="8">
      <c r="A8" s="9" t="inlineStr">
        <is>
          <t>sum of raw kernel weights</t>
        </is>
      </c>
      <c r="B8" s="19">
        <f>SUM(E12:E31)</f>
        <v/>
      </c>
    </row>
    <row r="11" ht="45" customHeight="1">
      <c r="A11" s="4" t="inlineStr">
        <is>
          <t>day</t>
        </is>
      </c>
      <c r="B11" s="4" t="inlineStr">
        <is>
          <t>daily total y_i (mm)</t>
        </is>
      </c>
      <c r="C11" s="4" t="inlineStr">
        <is>
          <t>distance D = (y_t - y_i)^2</t>
        </is>
      </c>
      <c r="D11" s="4" t="inlineStr">
        <is>
          <t>rank j</t>
        </is>
      </c>
      <c r="E11" s="4" t="inlineStr">
        <is>
          <t>raw kernel 1/j (if j &lt;= k)</t>
        </is>
      </c>
      <c r="F11" s="4" t="inlineStr">
        <is>
          <t>weight w_j</t>
        </is>
      </c>
      <c r="H11" s="4" t="inlineStr">
        <is>
          <t>j</t>
        </is>
      </c>
      <c r="I11" s="4" t="inlineStr">
        <is>
          <t>library row</t>
        </is>
      </c>
      <c r="J11" s="4" t="inlineStr">
        <is>
          <t>day</t>
        </is>
      </c>
      <c r="K11" s="4" t="inlineStr">
        <is>
          <t>daily total y_p (mm)</t>
        </is>
      </c>
      <c r="L11" s="4" t="inlineStr">
        <is>
          <t>weight w_j</t>
        </is>
      </c>
      <c r="M11" s="4" t="inlineStr">
        <is>
          <t>cumulative weight</t>
        </is>
      </c>
    </row>
    <row r="12">
      <c r="A12" s="17">
        <f>Data!F2</f>
        <v/>
      </c>
      <c r="B12" s="7">
        <f>Data!G2</f>
        <v/>
      </c>
      <c r="C12" s="16">
        <f>($B$4-B12)^2</f>
        <v/>
      </c>
      <c r="D12" s="17">
        <f>RANK(C12,$C$12:$C$31,1)+COUNTIF($C$12:C12,C12)-1</f>
        <v/>
      </c>
      <c r="E12" s="19">
        <f>IF(D12&lt;=$B$6,1/D12,0)</f>
        <v/>
      </c>
      <c r="F12" s="19">
        <f>E12/$B$8</f>
        <v/>
      </c>
      <c r="H12" s="5" t="n">
        <v>1</v>
      </c>
      <c r="I12" s="17">
        <f>MATCH(H12,$D$12:$D$31,0)</f>
        <v/>
      </c>
      <c r="J12" s="17">
        <f>INDEX($A$12:$A$31,I12)</f>
        <v/>
      </c>
      <c r="K12" s="7">
        <f>INDEX($B$12:$B$31,I12)</f>
        <v/>
      </c>
      <c r="L12" s="19">
        <f>INDEX($F$12:$F$31,I12)</f>
        <v/>
      </c>
      <c r="M12" s="19">
        <f>SUM($L$12:L12)</f>
        <v/>
      </c>
    </row>
    <row r="13">
      <c r="A13" s="17">
        <f>Data!F3</f>
        <v/>
      </c>
      <c r="B13" s="7">
        <f>Data!G3</f>
        <v/>
      </c>
      <c r="C13" s="16">
        <f>($B$4-B13)^2</f>
        <v/>
      </c>
      <c r="D13" s="17">
        <f>RANK(C13,$C$12:$C$31,1)+COUNTIF($C$12:C13,C13)-1</f>
        <v/>
      </c>
      <c r="E13" s="19">
        <f>IF(D13&lt;=$B$6,1/D13,0)</f>
        <v/>
      </c>
      <c r="F13" s="19">
        <f>E13/$B$8</f>
        <v/>
      </c>
      <c r="H13" s="5" t="n">
        <v>2</v>
      </c>
      <c r="I13" s="17">
        <f>MATCH(H13,$D$12:$D$31,0)</f>
        <v/>
      </c>
      <c r="J13" s="17">
        <f>INDEX($A$12:$A$31,I13)</f>
        <v/>
      </c>
      <c r="K13" s="7">
        <f>INDEX($B$12:$B$31,I13)</f>
        <v/>
      </c>
      <c r="L13" s="19">
        <f>INDEX($F$12:$F$31,I13)</f>
        <v/>
      </c>
      <c r="M13" s="19">
        <f>SUM($L$12:L13)</f>
        <v/>
      </c>
    </row>
    <row r="14">
      <c r="A14" s="17">
        <f>Data!F4</f>
        <v/>
      </c>
      <c r="B14" s="7">
        <f>Data!G4</f>
        <v/>
      </c>
      <c r="C14" s="16">
        <f>($B$4-B14)^2</f>
        <v/>
      </c>
      <c r="D14" s="17">
        <f>RANK(C14,$C$12:$C$31,1)+COUNTIF($C$12:C14,C14)-1</f>
        <v/>
      </c>
      <c r="E14" s="19">
        <f>IF(D14&lt;=$B$6,1/D14,0)</f>
        <v/>
      </c>
      <c r="F14" s="19">
        <f>E14/$B$8</f>
        <v/>
      </c>
      <c r="H14" s="5" t="n">
        <v>3</v>
      </c>
      <c r="I14" s="17">
        <f>MATCH(H14,$D$12:$D$31,0)</f>
        <v/>
      </c>
      <c r="J14" s="17">
        <f>INDEX($A$12:$A$31,I14)</f>
        <v/>
      </c>
      <c r="K14" s="7">
        <f>INDEX($B$12:$B$31,I14)</f>
        <v/>
      </c>
      <c r="L14" s="19">
        <f>INDEX($F$12:$F$31,I14)</f>
        <v/>
      </c>
      <c r="M14" s="19">
        <f>SUM($L$12:L14)</f>
        <v/>
      </c>
    </row>
    <row r="15">
      <c r="A15" s="17">
        <f>Data!F5</f>
        <v/>
      </c>
      <c r="B15" s="7">
        <f>Data!G5</f>
        <v/>
      </c>
      <c r="C15" s="16">
        <f>($B$4-B15)^2</f>
        <v/>
      </c>
      <c r="D15" s="17">
        <f>RANK(C15,$C$12:$C$31,1)+COUNTIF($C$12:C15,C15)-1</f>
        <v/>
      </c>
      <c r="E15" s="19">
        <f>IF(D15&lt;=$B$6,1/D15,0)</f>
        <v/>
      </c>
      <c r="F15" s="19">
        <f>E15/$B$8</f>
        <v/>
      </c>
      <c r="H15" s="5" t="n">
        <v>4</v>
      </c>
      <c r="I15" s="17">
        <f>MATCH(H15,$D$12:$D$31,0)</f>
        <v/>
      </c>
      <c r="J15" s="17">
        <f>INDEX($A$12:$A$31,I15)</f>
        <v/>
      </c>
      <c r="K15" s="7">
        <f>INDEX($B$12:$B$31,I15)</f>
        <v/>
      </c>
      <c r="L15" s="19">
        <f>INDEX($F$12:$F$31,I15)</f>
        <v/>
      </c>
      <c r="M15" s="19">
        <f>SUM($L$12:L15)</f>
        <v/>
      </c>
    </row>
    <row r="16">
      <c r="A16" s="17">
        <f>Data!F6</f>
        <v/>
      </c>
      <c r="B16" s="7">
        <f>Data!G6</f>
        <v/>
      </c>
      <c r="C16" s="16">
        <f>($B$4-B16)^2</f>
        <v/>
      </c>
      <c r="D16" s="17">
        <f>RANK(C16,$C$12:$C$31,1)+COUNTIF($C$12:C16,C16)-1</f>
        <v/>
      </c>
      <c r="E16" s="19">
        <f>IF(D16&lt;=$B$6,1/D16,0)</f>
        <v/>
      </c>
      <c r="F16" s="19">
        <f>E16/$B$8</f>
        <v/>
      </c>
      <c r="H16" s="5" t="n">
        <v>5</v>
      </c>
      <c r="I16" s="17">
        <f>MATCH(H16,$D$12:$D$31,0)</f>
        <v/>
      </c>
      <c r="J16" s="17">
        <f>INDEX($A$12:$A$31,I16)</f>
        <v/>
      </c>
      <c r="K16" s="7">
        <f>INDEX($B$12:$B$31,I16)</f>
        <v/>
      </c>
      <c r="L16" s="19">
        <f>INDEX($F$12:$F$31,I16)</f>
        <v/>
      </c>
      <c r="M16" s="19">
        <f>SUM($L$12:L16)</f>
        <v/>
      </c>
    </row>
    <row r="17">
      <c r="A17" s="17">
        <f>Data!F7</f>
        <v/>
      </c>
      <c r="B17" s="7">
        <f>Data!G7</f>
        <v/>
      </c>
      <c r="C17" s="16">
        <f>($B$4-B17)^2</f>
        <v/>
      </c>
      <c r="D17" s="17">
        <f>RANK(C17,$C$12:$C$31,1)+COUNTIF($C$12:C17,C17)-1</f>
        <v/>
      </c>
      <c r="E17" s="19">
        <f>IF(D17&lt;=$B$6,1/D17,0)</f>
        <v/>
      </c>
      <c r="F17" s="19">
        <f>E17/$B$8</f>
        <v/>
      </c>
      <c r="H17" s="5" t="n">
        <v>6</v>
      </c>
      <c r="I17" s="17">
        <f>MATCH(H17,$D$12:$D$31,0)</f>
        <v/>
      </c>
      <c r="J17" s="17">
        <f>INDEX($A$12:$A$31,I17)</f>
        <v/>
      </c>
      <c r="K17" s="7">
        <f>INDEX($B$12:$B$31,I17)</f>
        <v/>
      </c>
      <c r="L17" s="19">
        <f>INDEX($F$12:$F$31,I17)</f>
        <v/>
      </c>
      <c r="M17" s="19">
        <f>SUM($L$12:L17)</f>
        <v/>
      </c>
    </row>
    <row r="18">
      <c r="A18" s="17">
        <f>Data!F8</f>
        <v/>
      </c>
      <c r="B18" s="7">
        <f>Data!G8</f>
        <v/>
      </c>
      <c r="C18" s="16">
        <f>($B$4-B18)^2</f>
        <v/>
      </c>
      <c r="D18" s="17">
        <f>RANK(C18,$C$12:$C$31,1)+COUNTIF($C$12:C18,C18)-1</f>
        <v/>
      </c>
      <c r="E18" s="19">
        <f>IF(D18&lt;=$B$6,1/D18,0)</f>
        <v/>
      </c>
      <c r="F18" s="19">
        <f>E18/$B$8</f>
        <v/>
      </c>
      <c r="H18" s="5" t="n">
        <v>7</v>
      </c>
      <c r="I18" s="17">
        <f>MATCH(H18,$D$12:$D$31,0)</f>
        <v/>
      </c>
      <c r="J18" s="17">
        <f>INDEX($A$12:$A$31,I18)</f>
        <v/>
      </c>
      <c r="K18" s="7">
        <f>INDEX($B$12:$B$31,I18)</f>
        <v/>
      </c>
      <c r="L18" s="19">
        <f>INDEX($F$12:$F$31,I18)</f>
        <v/>
      </c>
      <c r="M18" s="19">
        <f>SUM($L$12:L18)</f>
        <v/>
      </c>
    </row>
    <row r="19">
      <c r="A19" s="17">
        <f>Data!F9</f>
        <v/>
      </c>
      <c r="B19" s="7">
        <f>Data!G9</f>
        <v/>
      </c>
      <c r="C19" s="16">
        <f>($B$4-B19)^2</f>
        <v/>
      </c>
      <c r="D19" s="17">
        <f>RANK(C19,$C$12:$C$31,1)+COUNTIF($C$12:C19,C19)-1</f>
        <v/>
      </c>
      <c r="E19" s="19">
        <f>IF(D19&lt;=$B$6,1/D19,0)</f>
        <v/>
      </c>
      <c r="F19" s="19">
        <f>E19/$B$8</f>
        <v/>
      </c>
      <c r="H19" s="5" t="n">
        <v>8</v>
      </c>
      <c r="I19" s="17">
        <f>MATCH(H19,$D$12:$D$31,0)</f>
        <v/>
      </c>
      <c r="J19" s="17">
        <f>INDEX($A$12:$A$31,I19)</f>
        <v/>
      </c>
      <c r="K19" s="7">
        <f>INDEX($B$12:$B$31,I19)</f>
        <v/>
      </c>
      <c r="L19" s="19">
        <f>INDEX($F$12:$F$31,I19)</f>
        <v/>
      </c>
      <c r="M19" s="19">
        <f>SUM($L$12:L19)</f>
        <v/>
      </c>
    </row>
    <row r="20">
      <c r="A20" s="17">
        <f>Data!F10</f>
        <v/>
      </c>
      <c r="B20" s="7">
        <f>Data!G10</f>
        <v/>
      </c>
      <c r="C20" s="16">
        <f>($B$4-B20)^2</f>
        <v/>
      </c>
      <c r="D20" s="17">
        <f>RANK(C20,$C$12:$C$31,1)+COUNTIF($C$12:C20,C20)-1</f>
        <v/>
      </c>
      <c r="E20" s="19">
        <f>IF(D20&lt;=$B$6,1/D20,0)</f>
        <v/>
      </c>
      <c r="F20" s="19">
        <f>E20/$B$8</f>
        <v/>
      </c>
    </row>
    <row r="21">
      <c r="A21" s="17">
        <f>Data!F11</f>
        <v/>
      </c>
      <c r="B21" s="7">
        <f>Data!G11</f>
        <v/>
      </c>
      <c r="C21" s="16">
        <f>($B$4-B21)^2</f>
        <v/>
      </c>
      <c r="D21" s="17">
        <f>RANK(C21,$C$12:$C$31,1)+COUNTIF($C$12:C21,C21)-1</f>
        <v/>
      </c>
      <c r="E21" s="19">
        <f>IF(D21&lt;=$B$6,1/D21,0)</f>
        <v/>
      </c>
      <c r="F21" s="19">
        <f>E21/$B$8</f>
        <v/>
      </c>
    </row>
    <row r="22">
      <c r="A22" s="17">
        <f>Data!F12</f>
        <v/>
      </c>
      <c r="B22" s="7">
        <f>Data!G12</f>
        <v/>
      </c>
      <c r="C22" s="16">
        <f>($B$4-B22)^2</f>
        <v/>
      </c>
      <c r="D22" s="17">
        <f>RANK(C22,$C$12:$C$31,1)+COUNTIF($C$12:C22,C22)-1</f>
        <v/>
      </c>
      <c r="E22" s="19">
        <f>IF(D22&lt;=$B$6,1/D22,0)</f>
        <v/>
      </c>
      <c r="F22" s="19">
        <f>E22/$B$8</f>
        <v/>
      </c>
      <c r="H22" s="18" t="inlineStr">
        <is>
          <t>Selection with u</t>
        </is>
      </c>
    </row>
    <row r="23">
      <c r="A23" s="17">
        <f>Data!F13</f>
        <v/>
      </c>
      <c r="B23" s="7">
        <f>Data!G13</f>
        <v/>
      </c>
      <c r="C23" s="16">
        <f>($B$4-B23)^2</f>
        <v/>
      </c>
      <c r="D23" s="17">
        <f>RANK(C23,$C$12:$C$31,1)+COUNTIF($C$12:C23,C23)-1</f>
        <v/>
      </c>
      <c r="E23" s="19">
        <f>IF(D23&lt;=$B$6,1/D23,0)</f>
        <v/>
      </c>
      <c r="F23" s="19">
        <f>E23/$B$8</f>
        <v/>
      </c>
      <c r="H23" s="9" t="inlineStr">
        <is>
          <t>chosen neighbour j*</t>
        </is>
      </c>
      <c r="L23" s="20">
        <f>1+COUNTIF($M$12:$M$19,"&lt;"&amp;$B$7)</f>
        <v/>
      </c>
    </row>
    <row r="24">
      <c r="A24" s="17">
        <f>Data!F14</f>
        <v/>
      </c>
      <c r="B24" s="7">
        <f>Data!G14</f>
        <v/>
      </c>
      <c r="C24" s="16">
        <f>($B$4-B24)^2</f>
        <v/>
      </c>
      <c r="D24" s="17">
        <f>RANK(C24,$C$12:$C$31,1)+COUNTIF($C$12:C24,C24)-1</f>
        <v/>
      </c>
      <c r="E24" s="19">
        <f>IF(D24&lt;=$B$6,1/D24,0)</f>
        <v/>
      </c>
      <c r="F24" s="19">
        <f>E24/$B$8</f>
        <v/>
      </c>
      <c r="H24" s="9" t="inlineStr">
        <is>
          <t>chosen library day</t>
        </is>
      </c>
      <c r="L24" s="17">
        <f>INDEX($J$12:$J$19,L23)</f>
        <v/>
      </c>
    </row>
    <row r="25">
      <c r="A25" s="17">
        <f>Data!F15</f>
        <v/>
      </c>
      <c r="B25" s="7">
        <f>Data!G15</f>
        <v/>
      </c>
      <c r="C25" s="16">
        <f>($B$4-B25)^2</f>
        <v/>
      </c>
      <c r="D25" s="17">
        <f>RANK(C25,$C$12:$C$31,1)+COUNTIF($C$12:C25,C25)-1</f>
        <v/>
      </c>
      <c r="E25" s="19">
        <f>IF(D25&lt;=$B$6,1/D25,0)</f>
        <v/>
      </c>
      <c r="F25" s="19">
        <f>E25/$B$8</f>
        <v/>
      </c>
      <c r="H25" s="9" t="inlineStr">
        <is>
          <t>library row</t>
        </is>
      </c>
      <c r="L25" s="17">
        <f>INDEX($I$12:$I$19,L23)</f>
        <v/>
      </c>
    </row>
    <row r="26">
      <c r="A26" s="17">
        <f>Data!F16</f>
        <v/>
      </c>
      <c r="B26" s="7">
        <f>Data!G16</f>
        <v/>
      </c>
      <c r="C26" s="16">
        <f>($B$4-B26)^2</f>
        <v/>
      </c>
      <c r="D26" s="17">
        <f>RANK(C26,$C$12:$C$31,1)+COUNTIF($C$12:C26,C26)-1</f>
        <v/>
      </c>
      <c r="E26" s="19">
        <f>IF(D26&lt;=$B$6,1/D26,0)</f>
        <v/>
      </c>
      <c r="F26" s="19">
        <f>E26/$B$8</f>
        <v/>
      </c>
      <c r="H26" s="9" t="inlineStr">
        <is>
          <t>its daily total y_p (mm)</t>
        </is>
      </c>
      <c r="L26" s="7">
        <f>INDEX($K$12:$K$19,L23)</f>
        <v/>
      </c>
    </row>
    <row r="27">
      <c r="A27" s="17">
        <f>Data!F17</f>
        <v/>
      </c>
      <c r="B27" s="7">
        <f>Data!G17</f>
        <v/>
      </c>
      <c r="C27" s="16">
        <f>($B$4-B27)^2</f>
        <v/>
      </c>
      <c r="D27" s="17">
        <f>RANK(C27,$C$12:$C$31,1)+COUNTIF($C$12:C27,C27)-1</f>
        <v/>
      </c>
      <c r="E27" s="19">
        <f>IF(D27&lt;=$B$6,1/D27,0)</f>
        <v/>
      </c>
      <c r="F27" s="19">
        <f>E27/$B$8</f>
        <v/>
      </c>
      <c r="H27" s="9" t="inlineStr">
        <is>
          <t>scale factor s = y_t / y_p</t>
        </is>
      </c>
      <c r="L27" s="19">
        <f>B4/L26</f>
        <v/>
      </c>
    </row>
    <row r="28">
      <c r="A28" s="17">
        <f>Data!F18</f>
        <v/>
      </c>
      <c r="B28" s="7">
        <f>Data!G18</f>
        <v/>
      </c>
      <c r="C28" s="16">
        <f>($B$4-B28)^2</f>
        <v/>
      </c>
      <c r="D28" s="17">
        <f>RANK(C28,$C$12:$C$31,1)+COUNTIF($C$12:C28,C28)-1</f>
        <v/>
      </c>
      <c r="E28" s="19">
        <f>IF(D28&lt;=$B$6,1/D28,0)</f>
        <v/>
      </c>
      <c r="F28" s="19">
        <f>E28/$B$8</f>
        <v/>
      </c>
    </row>
    <row r="29">
      <c r="A29" s="17">
        <f>Data!F19</f>
        <v/>
      </c>
      <c r="B29" s="7">
        <f>Data!G19</f>
        <v/>
      </c>
      <c r="C29" s="16">
        <f>($B$4-B29)^2</f>
        <v/>
      </c>
      <c r="D29" s="17">
        <f>RANK(C29,$C$12:$C$31,1)+COUNTIF($C$12:C29,C29)-1</f>
        <v/>
      </c>
      <c r="E29" s="19">
        <f>IF(D29&lt;=$B$6,1/D29,0)</f>
        <v/>
      </c>
      <c r="F29" s="19">
        <f>E29/$B$8</f>
        <v/>
      </c>
    </row>
    <row r="30">
      <c r="A30" s="17">
        <f>Data!F20</f>
        <v/>
      </c>
      <c r="B30" s="7">
        <f>Data!G20</f>
        <v/>
      </c>
      <c r="C30" s="16">
        <f>($B$4-B30)^2</f>
        <v/>
      </c>
      <c r="D30" s="17">
        <f>RANK(C30,$C$12:$C$31,1)+COUNTIF($C$12:C30,C30)-1</f>
        <v/>
      </c>
      <c r="E30" s="19">
        <f>IF(D30&lt;=$B$6,1/D30,0)</f>
        <v/>
      </c>
      <c r="F30" s="19">
        <f>E30/$B$8</f>
        <v/>
      </c>
    </row>
    <row r="31">
      <c r="A31" s="17">
        <f>Data!F21</f>
        <v/>
      </c>
      <c r="B31" s="7">
        <f>Data!G21</f>
        <v/>
      </c>
      <c r="C31" s="16">
        <f>($B$4-B31)^2</f>
        <v/>
      </c>
      <c r="D31" s="17">
        <f>RANK(C31,$C$12:$C$31,1)+COUNTIF($C$12:C31,C31)-1</f>
        <v/>
      </c>
      <c r="E31" s="19">
        <f>IF(D31&lt;=$B$6,1/D31,0)</f>
        <v/>
      </c>
      <c r="F31" s="19">
        <f>E31/$B$8</f>
        <v/>
      </c>
    </row>
    <row r="32">
      <c r="A32" s="18" t="inlineStr">
        <is>
          <t>check: sum of weights</t>
        </is>
      </c>
      <c r="F32" s="19">
        <f>SUM(F12:F31)</f>
        <v/>
      </c>
    </row>
    <row r="35" ht="45" customHeight="1">
      <c r="A35" s="4" t="inlineStr">
        <is>
          <t>hour h</t>
        </is>
      </c>
      <c r="B35" s="4" t="inlineStr">
        <is>
          <t>observed pattern x_p,h (mm)</t>
        </is>
      </c>
      <c r="C35" s="4" t="inlineStr">
        <is>
          <t>downscaled X_h = s * x_p,h (mm)</t>
        </is>
      </c>
      <c r="D35" s="4" t="inlineStr">
        <is>
          <t>fraction of day x_p,h / y_p</t>
        </is>
      </c>
    </row>
    <row r="36">
      <c r="A36" s="5" t="n">
        <v>1</v>
      </c>
      <c r="B36" s="7">
        <f>INDEX(Data!$H$2:$AE$21,$L$25,A36)</f>
        <v/>
      </c>
      <c r="C36" s="16">
        <f>B36*$L$27</f>
        <v/>
      </c>
      <c r="D36" s="19">
        <f>B36/$L$26</f>
        <v/>
      </c>
    </row>
    <row r="37">
      <c r="A37" s="5" t="n">
        <v>2</v>
      </c>
      <c r="B37" s="7">
        <f>INDEX(Data!$H$2:$AE$21,$L$25,A37)</f>
        <v/>
      </c>
      <c r="C37" s="16">
        <f>B37*$L$27</f>
        <v/>
      </c>
      <c r="D37" s="19">
        <f>B37/$L$26</f>
        <v/>
      </c>
    </row>
    <row r="38">
      <c r="A38" s="5" t="n">
        <v>3</v>
      </c>
      <c r="B38" s="7">
        <f>INDEX(Data!$H$2:$AE$21,$L$25,A38)</f>
        <v/>
      </c>
      <c r="C38" s="16">
        <f>B38*$L$27</f>
        <v/>
      </c>
      <c r="D38" s="19">
        <f>B38/$L$26</f>
        <v/>
      </c>
    </row>
    <row r="39">
      <c r="A39" s="5" t="n">
        <v>4</v>
      </c>
      <c r="B39" s="7">
        <f>INDEX(Data!$H$2:$AE$21,$L$25,A39)</f>
        <v/>
      </c>
      <c r="C39" s="16">
        <f>B39*$L$27</f>
        <v/>
      </c>
      <c r="D39" s="19">
        <f>B39/$L$26</f>
        <v/>
      </c>
    </row>
    <row r="40">
      <c r="A40" s="5" t="n">
        <v>5</v>
      </c>
      <c r="B40" s="7">
        <f>INDEX(Data!$H$2:$AE$21,$L$25,A40)</f>
        <v/>
      </c>
      <c r="C40" s="16">
        <f>B40*$L$27</f>
        <v/>
      </c>
      <c r="D40" s="19">
        <f>B40/$L$26</f>
        <v/>
      </c>
    </row>
    <row r="41">
      <c r="A41" s="5" t="n">
        <v>6</v>
      </c>
      <c r="B41" s="7">
        <f>INDEX(Data!$H$2:$AE$21,$L$25,A41)</f>
        <v/>
      </c>
      <c r="C41" s="16">
        <f>B41*$L$27</f>
        <v/>
      </c>
      <c r="D41" s="19">
        <f>B41/$L$26</f>
        <v/>
      </c>
    </row>
    <row r="42">
      <c r="A42" s="5" t="n">
        <v>7</v>
      </c>
      <c r="B42" s="7">
        <f>INDEX(Data!$H$2:$AE$21,$L$25,A42)</f>
        <v/>
      </c>
      <c r="C42" s="16">
        <f>B42*$L$27</f>
        <v/>
      </c>
      <c r="D42" s="19">
        <f>B42/$L$26</f>
        <v/>
      </c>
    </row>
    <row r="43">
      <c r="A43" s="5" t="n">
        <v>8</v>
      </c>
      <c r="B43" s="7">
        <f>INDEX(Data!$H$2:$AE$21,$L$25,A43)</f>
        <v/>
      </c>
      <c r="C43" s="16">
        <f>B43*$L$27</f>
        <v/>
      </c>
      <c r="D43" s="19">
        <f>B43/$L$26</f>
        <v/>
      </c>
    </row>
    <row r="44">
      <c r="A44" s="5" t="n">
        <v>9</v>
      </c>
      <c r="B44" s="7">
        <f>INDEX(Data!$H$2:$AE$21,$L$25,A44)</f>
        <v/>
      </c>
      <c r="C44" s="16">
        <f>B44*$L$27</f>
        <v/>
      </c>
      <c r="D44" s="19">
        <f>B44/$L$26</f>
        <v/>
      </c>
    </row>
    <row r="45">
      <c r="A45" s="5" t="n">
        <v>10</v>
      </c>
      <c r="B45" s="7">
        <f>INDEX(Data!$H$2:$AE$21,$L$25,A45)</f>
        <v/>
      </c>
      <c r="C45" s="16">
        <f>B45*$L$27</f>
        <v/>
      </c>
      <c r="D45" s="19">
        <f>B45/$L$26</f>
        <v/>
      </c>
    </row>
    <row r="46">
      <c r="A46" s="5" t="n">
        <v>11</v>
      </c>
      <c r="B46" s="7">
        <f>INDEX(Data!$H$2:$AE$21,$L$25,A46)</f>
        <v/>
      </c>
      <c r="C46" s="16">
        <f>B46*$L$27</f>
        <v/>
      </c>
      <c r="D46" s="19">
        <f>B46/$L$26</f>
        <v/>
      </c>
    </row>
    <row r="47">
      <c r="A47" s="5" t="n">
        <v>12</v>
      </c>
      <c r="B47" s="7">
        <f>INDEX(Data!$H$2:$AE$21,$L$25,A47)</f>
        <v/>
      </c>
      <c r="C47" s="16">
        <f>B47*$L$27</f>
        <v/>
      </c>
      <c r="D47" s="19">
        <f>B47/$L$26</f>
        <v/>
      </c>
    </row>
    <row r="48">
      <c r="A48" s="5" t="n">
        <v>13</v>
      </c>
      <c r="B48" s="7">
        <f>INDEX(Data!$H$2:$AE$21,$L$25,A48)</f>
        <v/>
      </c>
      <c r="C48" s="16">
        <f>B48*$L$27</f>
        <v/>
      </c>
      <c r="D48" s="19">
        <f>B48/$L$26</f>
        <v/>
      </c>
    </row>
    <row r="49">
      <c r="A49" s="5" t="n">
        <v>14</v>
      </c>
      <c r="B49" s="7">
        <f>INDEX(Data!$H$2:$AE$21,$L$25,A49)</f>
        <v/>
      </c>
      <c r="C49" s="16">
        <f>B49*$L$27</f>
        <v/>
      </c>
      <c r="D49" s="19">
        <f>B49/$L$26</f>
        <v/>
      </c>
    </row>
    <row r="50">
      <c r="A50" s="5" t="n">
        <v>15</v>
      </c>
      <c r="B50" s="7">
        <f>INDEX(Data!$H$2:$AE$21,$L$25,A50)</f>
        <v/>
      </c>
      <c r="C50" s="16">
        <f>B50*$L$27</f>
        <v/>
      </c>
      <c r="D50" s="19">
        <f>B50/$L$26</f>
        <v/>
      </c>
    </row>
    <row r="51">
      <c r="A51" s="5" t="n">
        <v>16</v>
      </c>
      <c r="B51" s="7">
        <f>INDEX(Data!$H$2:$AE$21,$L$25,A51)</f>
        <v/>
      </c>
      <c r="C51" s="16">
        <f>B51*$L$27</f>
        <v/>
      </c>
      <c r="D51" s="19">
        <f>B51/$L$26</f>
        <v/>
      </c>
    </row>
    <row r="52">
      <c r="A52" s="5" t="n">
        <v>17</v>
      </c>
      <c r="B52" s="7">
        <f>INDEX(Data!$H$2:$AE$21,$L$25,A52)</f>
        <v/>
      </c>
      <c r="C52" s="16">
        <f>B52*$L$27</f>
        <v/>
      </c>
      <c r="D52" s="19">
        <f>B52/$L$26</f>
        <v/>
      </c>
    </row>
    <row r="53">
      <c r="A53" s="5" t="n">
        <v>18</v>
      </c>
      <c r="B53" s="7">
        <f>INDEX(Data!$H$2:$AE$21,$L$25,A53)</f>
        <v/>
      </c>
      <c r="C53" s="16">
        <f>B53*$L$27</f>
        <v/>
      </c>
      <c r="D53" s="19">
        <f>B53/$L$26</f>
        <v/>
      </c>
    </row>
    <row r="54">
      <c r="A54" s="5" t="n">
        <v>19</v>
      </c>
      <c r="B54" s="7">
        <f>INDEX(Data!$H$2:$AE$21,$L$25,A54)</f>
        <v/>
      </c>
      <c r="C54" s="16">
        <f>B54*$L$27</f>
        <v/>
      </c>
      <c r="D54" s="19">
        <f>B54/$L$26</f>
        <v/>
      </c>
    </row>
    <row r="55">
      <c r="A55" s="5" t="n">
        <v>20</v>
      </c>
      <c r="B55" s="7">
        <f>INDEX(Data!$H$2:$AE$21,$L$25,A55)</f>
        <v/>
      </c>
      <c r="C55" s="16">
        <f>B55*$L$27</f>
        <v/>
      </c>
      <c r="D55" s="19">
        <f>B55/$L$26</f>
        <v/>
      </c>
    </row>
    <row r="56">
      <c r="A56" s="5" t="n">
        <v>21</v>
      </c>
      <c r="B56" s="7">
        <f>INDEX(Data!$H$2:$AE$21,$L$25,A56)</f>
        <v/>
      </c>
      <c r="C56" s="16">
        <f>B56*$L$27</f>
        <v/>
      </c>
      <c r="D56" s="19">
        <f>B56/$L$26</f>
        <v/>
      </c>
    </row>
    <row r="57">
      <c r="A57" s="5" t="n">
        <v>22</v>
      </c>
      <c r="B57" s="7">
        <f>INDEX(Data!$H$2:$AE$21,$L$25,A57)</f>
        <v/>
      </c>
      <c r="C57" s="16">
        <f>B57*$L$27</f>
        <v/>
      </c>
      <c r="D57" s="19">
        <f>B57/$L$26</f>
        <v/>
      </c>
    </row>
    <row r="58">
      <c r="A58" s="5" t="n">
        <v>23</v>
      </c>
      <c r="B58" s="7">
        <f>INDEX(Data!$H$2:$AE$21,$L$25,A58)</f>
        <v/>
      </c>
      <c r="C58" s="16">
        <f>B58*$L$27</f>
        <v/>
      </c>
      <c r="D58" s="19">
        <f>B58/$L$26</f>
        <v/>
      </c>
    </row>
    <row r="59">
      <c r="A59" s="5" t="n">
        <v>24</v>
      </c>
      <c r="B59" s="7">
        <f>INDEX(Data!$H$2:$AE$21,$L$25,A59)</f>
        <v/>
      </c>
      <c r="C59" s="16">
        <f>B59*$L$27</f>
        <v/>
      </c>
      <c r="D59" s="19">
        <f>B59/$L$26</f>
        <v/>
      </c>
    </row>
    <row r="60">
      <c r="A60" s="18" t="inlineStr">
        <is>
          <t>sum</t>
        </is>
      </c>
      <c r="B60" s="7">
        <f>SUM(B36:B59)</f>
        <v/>
      </c>
      <c r="C60" s="16">
        <f>SUM(C36:C59)</f>
        <v/>
      </c>
      <c r="D60" s="19">
        <f>SUM(D36:D59)</f>
        <v/>
      </c>
    </row>
    <row r="61">
      <c r="A61" s="18" t="inlineStr">
        <is>
          <t>maximum hourly</t>
        </is>
      </c>
      <c r="B61" s="7">
        <f>MAX(B36:B59)</f>
        <v/>
      </c>
      <c r="C61" s="16">
        <f>MAX(C36:C59)</f>
        <v/>
      </c>
    </row>
    <row r="62">
      <c r="A62" s="18" t="inlineStr">
        <is>
          <t>check: sum(X) - y_t</t>
        </is>
      </c>
      <c r="C62" s="19">
        <f>C60-B4</f>
        <v/>
      </c>
    </row>
    <row r="63">
      <c r="A63" s="18" t="inlineStr">
        <is>
          <t>wet hours (&gt;= 0.1 mm)</t>
        </is>
      </c>
      <c r="B63" s="17">
        <f>COUNTIF(B36:B59,"&gt;=0.1")</f>
        <v/>
      </c>
      <c r="C63" s="17">
        <f>COUNTIF(C36:C59,"&gt;=0.1")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2026-10-15T10:56:17Z</dcterms:created>
  <dcterms:modified xmlns:dcterms="http://purl.org/dc/terms/" xmlns:xsi="http://www.w3.org/2001/XMLSchema-instance" xsi:type="dcterms:W3CDTF">2026-10-15T10:56:17Z</dcterms:modified>
</cp:coreProperties>
</file>