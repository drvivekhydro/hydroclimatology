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Hand_example" sheetId="2" state="visible" r:id="rId2"/>
    <sheet name="Data" sheetId="3" state="visible" r:id="rId3"/>
    <sheet name="Bias_check" sheetId="4" state="visible" r:id="rId4"/>
    <sheet name="Method_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E+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top" wrapText="1"/>
    </xf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CE524</author>
  </authors>
  <commentList>
    <comment ref="B3" authorId="0" shapeId="0">
      <text>
        <t>solar energy</t>
      </text>
    </comment>
    <comment ref="B4" authorId="0" shapeId="0">
      <text>
        <t>planetary albedo</t>
      </text>
    </comment>
    <comment ref="B5" authorId="0" shapeId="0">
      <text>
        <t>Stefan-Boltzmann constant</t>
      </text>
    </comment>
    <comment ref="B6" authorId="0" shapeId="0">
      <text>
        <t>Eq. 1.2: Te = [(1-alpha_p) S0 / (4 sigma)]^(1/4)</t>
      </text>
    </comment>
    <comment ref="B7" authorId="0" shapeId="0">
      <text>
        <t>kelvin to Celsius</t>
      </text>
    </comment>
    <comment ref="B11" authorId="0" shapeId="0">
      <text>
        <t>model rain flux</t>
      </text>
    </comment>
    <comment ref="C11" authorId="0" shapeId="0">
      <text>
        <t>days in a month of the 360-day calendar</t>
      </text>
    </comment>
    <comment ref="D11" authorId="0" shapeId="0">
      <text>
        <t>1 kg m-2 = 1 mm; 86400 s per day</t>
      </text>
    </comment>
    <comment ref="E11" authorId="0" shapeId="0">
      <text>
        <t>rate times days</t>
      </text>
    </comment>
    <comment ref="F11" authorId="0" shapeId="0">
      <text>
        <t>gauge rate</t>
      </text>
    </comment>
    <comment ref="G11" authorId="0" shapeId="0">
      <text>
        <t>same 30 days so totals are comparable</t>
      </text>
    </comment>
    <comment ref="H11" authorId="0" shapeId="0">
      <text>
        <t>monthly ratio</t>
      </text>
    </comment>
    <comment ref="B12" authorId="0" shapeId="0">
      <text>
        <t>model rain flux</t>
      </text>
    </comment>
    <comment ref="C12" authorId="0" shapeId="0">
      <text>
        <t>days in a month of the 360-day calendar</t>
      </text>
    </comment>
    <comment ref="D12" authorId="0" shapeId="0">
      <text>
        <t>1 kg m-2 = 1 mm; 86400 s per day</t>
      </text>
    </comment>
    <comment ref="E12" authorId="0" shapeId="0">
      <text>
        <t>rate times days</t>
      </text>
    </comment>
    <comment ref="F12" authorId="0" shapeId="0">
      <text>
        <t>gauge rate</t>
      </text>
    </comment>
    <comment ref="G12" authorId="0" shapeId="0">
      <text>
        <t>same 30 days so totals are comparable</t>
      </text>
    </comment>
    <comment ref="H12" authorId="0" shapeId="0">
      <text>
        <t>monthly ratio</t>
      </text>
    </comment>
    <comment ref="B13" authorId="0" shapeId="0">
      <text>
        <t>model rain flux</t>
      </text>
    </comment>
    <comment ref="C13" authorId="0" shapeId="0">
      <text>
        <t>days in a month of the 360-day calendar</t>
      </text>
    </comment>
    <comment ref="D13" authorId="0" shapeId="0">
      <text>
        <t>1 kg m-2 = 1 mm; 86400 s per day</t>
      </text>
    </comment>
    <comment ref="E13" authorId="0" shapeId="0">
      <text>
        <t>rate times days</t>
      </text>
    </comment>
    <comment ref="F13" authorId="0" shapeId="0">
      <text>
        <t>gauge rate</t>
      </text>
    </comment>
    <comment ref="G13" authorId="0" shapeId="0">
      <text>
        <t>same 30 days so totals are comparable</t>
      </text>
    </comment>
    <comment ref="H13" authorId="0" shapeId="0">
      <text>
        <t>monthly ratio</t>
      </text>
    </comment>
    <comment ref="B15" authorId="0" shapeId="0">
      <text>
        <t>rain bias as a ratio</t>
      </text>
    </comment>
    <comment ref="B22" authorId="0" shapeId="0">
      <text>
        <t>temperature bias as a difference</t>
      </text>
    </comment>
  </commentList>
</comments>
</file>

<file path=xl/comments/comment2.xml><?xml version="1.0" encoding="utf-8"?>
<comments xmlns="http://schemas.openxmlformats.org/spreadsheetml/2006/main">
  <authors>
    <author>CE524</author>
  </authors>
  <commentList>
    <comment ref="B4" authorId="0" shapeId="0">
      <text>
        <t>days of the real month (no leap day)</t>
      </text>
    </comment>
    <comment ref="C4" authorId="0" shapeId="0">
      <text>
        <t>model month in a 360-day calendar</t>
      </text>
    </comment>
    <comment ref="E4" authorId="0" shapeId="0">
      <text>
        <t>flux to mm/day</t>
      </text>
    </comment>
    <comment ref="F4" authorId="0" shapeId="0">
      <text>
        <t>rate times real days</t>
      </text>
    </comment>
    <comment ref="G4" authorId="0" shapeId="0">
      <text>
        <t>rate times 30 days</t>
      </text>
    </comment>
    <comment ref="I4" authorId="0" shapeId="0">
      <text>
        <t>K to degC</t>
      </text>
    </comment>
    <comment ref="J4" authorId="0" shapeId="0">
      <text>
        <t>b_T = T_m - T_o</t>
      </text>
    </comment>
    <comment ref="B5" authorId="0" shapeId="0">
      <text>
        <t>days of the real month (no leap day)</t>
      </text>
    </comment>
    <comment ref="C5" authorId="0" shapeId="0">
      <text>
        <t>model month in a 360-day calendar</t>
      </text>
    </comment>
    <comment ref="E5" authorId="0" shapeId="0">
      <text>
        <t>flux to mm/day</t>
      </text>
    </comment>
    <comment ref="F5" authorId="0" shapeId="0">
      <text>
        <t>rate times real days</t>
      </text>
    </comment>
    <comment ref="G5" authorId="0" shapeId="0">
      <text>
        <t>rate times 30 days</t>
      </text>
    </comment>
    <comment ref="I5" authorId="0" shapeId="0">
      <text>
        <t>K to degC</t>
      </text>
    </comment>
    <comment ref="J5" authorId="0" shapeId="0">
      <text>
        <t>b_T = T_m - T_o</t>
      </text>
    </comment>
    <comment ref="B6" authorId="0" shapeId="0">
      <text>
        <t>days of the real month (no leap day)</t>
      </text>
    </comment>
    <comment ref="C6" authorId="0" shapeId="0">
      <text>
        <t>model month in a 360-day calendar</t>
      </text>
    </comment>
    <comment ref="E6" authorId="0" shapeId="0">
      <text>
        <t>flux to mm/day</t>
      </text>
    </comment>
    <comment ref="F6" authorId="0" shapeId="0">
      <text>
        <t>rate times real days</t>
      </text>
    </comment>
    <comment ref="G6" authorId="0" shapeId="0">
      <text>
        <t>rate times 30 days</t>
      </text>
    </comment>
    <comment ref="I6" authorId="0" shapeId="0">
      <text>
        <t>K to degC</t>
      </text>
    </comment>
    <comment ref="J6" authorId="0" shapeId="0">
      <text>
        <t>b_T = T_m - T_o</t>
      </text>
    </comment>
    <comment ref="B7" authorId="0" shapeId="0">
      <text>
        <t>days of the real month (no leap day)</t>
      </text>
    </comment>
    <comment ref="C7" authorId="0" shapeId="0">
      <text>
        <t>model month in a 360-day calendar</t>
      </text>
    </comment>
    <comment ref="E7" authorId="0" shapeId="0">
      <text>
        <t>flux to mm/day</t>
      </text>
    </comment>
    <comment ref="F7" authorId="0" shapeId="0">
      <text>
        <t>rate times real days</t>
      </text>
    </comment>
    <comment ref="G7" authorId="0" shapeId="0">
      <text>
        <t>rate times 30 days</t>
      </text>
    </comment>
    <comment ref="I7" authorId="0" shapeId="0">
      <text>
        <t>K to degC</t>
      </text>
    </comment>
    <comment ref="J7" authorId="0" shapeId="0">
      <text>
        <t>b_T = T_m - T_o</t>
      </text>
    </comment>
    <comment ref="B8" authorId="0" shapeId="0">
      <text>
        <t>days of the real month (no leap day)</t>
      </text>
    </comment>
    <comment ref="C8" authorId="0" shapeId="0">
      <text>
        <t>model month in a 360-day calendar</t>
      </text>
    </comment>
    <comment ref="E8" authorId="0" shapeId="0">
      <text>
        <t>flux to mm/day</t>
      </text>
    </comment>
    <comment ref="F8" authorId="0" shapeId="0">
      <text>
        <t>rate times real days</t>
      </text>
    </comment>
    <comment ref="G8" authorId="0" shapeId="0">
      <text>
        <t>rate times 30 days</t>
      </text>
    </comment>
    <comment ref="I8" authorId="0" shapeId="0">
      <text>
        <t>K to degC</t>
      </text>
    </comment>
    <comment ref="J8" authorId="0" shapeId="0">
      <text>
        <t>b_T = T_m - T_o</t>
      </text>
    </comment>
    <comment ref="B9" authorId="0" shapeId="0">
      <text>
        <t>days of the real month (no leap day)</t>
      </text>
    </comment>
    <comment ref="C9" authorId="0" shapeId="0">
      <text>
        <t>model month in a 360-day calendar</t>
      </text>
    </comment>
    <comment ref="E9" authorId="0" shapeId="0">
      <text>
        <t>flux to mm/day</t>
      </text>
    </comment>
    <comment ref="F9" authorId="0" shapeId="0">
      <text>
        <t>rate times real days</t>
      </text>
    </comment>
    <comment ref="G9" authorId="0" shapeId="0">
      <text>
        <t>rate times 30 days</t>
      </text>
    </comment>
    <comment ref="I9" authorId="0" shapeId="0">
      <text>
        <t>K to degC</t>
      </text>
    </comment>
    <comment ref="J9" authorId="0" shapeId="0">
      <text>
        <t>b_T = T_m - T_o</t>
      </text>
    </comment>
    <comment ref="B10" authorId="0" shapeId="0">
      <text>
        <t>days of the real month (no leap day)</t>
      </text>
    </comment>
    <comment ref="C10" authorId="0" shapeId="0">
      <text>
        <t>model month in a 360-day calendar</t>
      </text>
    </comment>
    <comment ref="E10" authorId="0" shapeId="0">
      <text>
        <t>flux to mm/day</t>
      </text>
    </comment>
    <comment ref="F10" authorId="0" shapeId="0">
      <text>
        <t>rate times real days</t>
      </text>
    </comment>
    <comment ref="G10" authorId="0" shapeId="0">
      <text>
        <t>rate times 30 days</t>
      </text>
    </comment>
    <comment ref="I10" authorId="0" shapeId="0">
      <text>
        <t>K to degC</t>
      </text>
    </comment>
    <comment ref="J10" authorId="0" shapeId="0">
      <text>
        <t>b_T = T_m - T_o</t>
      </text>
    </comment>
    <comment ref="B11" authorId="0" shapeId="0">
      <text>
        <t>days of the real month (no leap day)</t>
      </text>
    </comment>
    <comment ref="C11" authorId="0" shapeId="0">
      <text>
        <t>model month in a 360-day calendar</t>
      </text>
    </comment>
    <comment ref="E11" authorId="0" shapeId="0">
      <text>
        <t>flux to mm/day</t>
      </text>
    </comment>
    <comment ref="F11" authorId="0" shapeId="0">
      <text>
        <t>rate times real days</t>
      </text>
    </comment>
    <comment ref="G11" authorId="0" shapeId="0">
      <text>
        <t>rate times 30 days</t>
      </text>
    </comment>
    <comment ref="I11" authorId="0" shapeId="0">
      <text>
        <t>K to degC</t>
      </text>
    </comment>
    <comment ref="J11" authorId="0" shapeId="0">
      <text>
        <t>b_T = T_m - T_o</t>
      </text>
    </comment>
    <comment ref="B12" authorId="0" shapeId="0">
      <text>
        <t>days of the real month (no leap day)</t>
      </text>
    </comment>
    <comment ref="C12" authorId="0" shapeId="0">
      <text>
        <t>model month in a 360-day calendar</t>
      </text>
    </comment>
    <comment ref="E12" authorId="0" shapeId="0">
      <text>
        <t>flux to mm/day</t>
      </text>
    </comment>
    <comment ref="F12" authorId="0" shapeId="0">
      <text>
        <t>rate times real days</t>
      </text>
    </comment>
    <comment ref="G12" authorId="0" shapeId="0">
      <text>
        <t>rate times 30 days</t>
      </text>
    </comment>
    <comment ref="I12" authorId="0" shapeId="0">
      <text>
        <t>K to degC</t>
      </text>
    </comment>
    <comment ref="J12" authorId="0" shapeId="0">
      <text>
        <t>b_T = T_m - T_o</t>
      </text>
    </comment>
    <comment ref="B13" authorId="0" shapeId="0">
      <text>
        <t>days of the real month (no leap day)</t>
      </text>
    </comment>
    <comment ref="C13" authorId="0" shapeId="0">
      <text>
        <t>model month in a 360-day calendar</t>
      </text>
    </comment>
    <comment ref="E13" authorId="0" shapeId="0">
      <text>
        <t>flux to mm/day</t>
      </text>
    </comment>
    <comment ref="F13" authorId="0" shapeId="0">
      <text>
        <t>rate times real days</t>
      </text>
    </comment>
    <comment ref="G13" authorId="0" shapeId="0">
      <text>
        <t>rate times 30 days</t>
      </text>
    </comment>
    <comment ref="I13" authorId="0" shapeId="0">
      <text>
        <t>K to degC</t>
      </text>
    </comment>
    <comment ref="J13" authorId="0" shapeId="0">
      <text>
        <t>b_T = T_m - T_o</t>
      </text>
    </comment>
    <comment ref="B14" authorId="0" shapeId="0">
      <text>
        <t>days of the real month (no leap day)</t>
      </text>
    </comment>
    <comment ref="C14" authorId="0" shapeId="0">
      <text>
        <t>model month in a 360-day calendar</t>
      </text>
    </comment>
    <comment ref="E14" authorId="0" shapeId="0">
      <text>
        <t>flux to mm/day</t>
      </text>
    </comment>
    <comment ref="F14" authorId="0" shapeId="0">
      <text>
        <t>rate times real days</t>
      </text>
    </comment>
    <comment ref="G14" authorId="0" shapeId="0">
      <text>
        <t>rate times 30 days</t>
      </text>
    </comment>
    <comment ref="I14" authorId="0" shapeId="0">
      <text>
        <t>K to degC</t>
      </text>
    </comment>
    <comment ref="J14" authorId="0" shapeId="0">
      <text>
        <t>b_T = T_m - T_o</t>
      </text>
    </comment>
    <comment ref="B15" authorId="0" shapeId="0">
      <text>
        <t>days of the real month (no leap day)</t>
      </text>
    </comment>
    <comment ref="C15" authorId="0" shapeId="0">
      <text>
        <t>model month in a 360-day calendar</t>
      </text>
    </comment>
    <comment ref="E15" authorId="0" shapeId="0">
      <text>
        <t>flux to mm/day</t>
      </text>
    </comment>
    <comment ref="F15" authorId="0" shapeId="0">
      <text>
        <t>rate times real days</t>
      </text>
    </comment>
    <comment ref="G15" authorId="0" shapeId="0">
      <text>
        <t>rate times 30 days</t>
      </text>
    </comment>
    <comment ref="I15" authorId="0" shapeId="0">
      <text>
        <t>K to degC</t>
      </text>
    </comment>
    <comment ref="J15" authorId="0" shapeId="0">
      <text>
        <t>b_T = T_m - T_o</t>
      </text>
    </comment>
    <comment ref="B19" authorId="0" shapeId="0">
      <text>
        <t>mean monthly rate times 365: wrong calendar</t>
      </text>
    </comment>
    <comment ref="B20" authorId="0" shapeId="0">
      <text>
        <t>rain bias as a ratio</t>
      </text>
    </comment>
  </commentList>
</comments>
</file>

<file path=xl/comments/comment3.xml><?xml version="1.0" encoding="utf-8"?>
<comments xmlns="http://schemas.openxmlformats.org/spreadsheetml/2006/main">
  <authors>
    <author>CE524</author>
  </authors>
  <commentList>
    <comment ref="G4" authorId="0" shapeId="0">
      <text>
        <t>same order as choose_scheme() in the notebook</t>
      </text>
    </comment>
    <comment ref="G5" authorId="0" shapeId="0">
      <text>
        <t>same order as choose_scheme() in the notebook</t>
      </text>
    </comment>
    <comment ref="G6" authorId="0" shapeId="0">
      <text>
        <t>same order as choose_scheme() in the notebook</t>
      </text>
    </comment>
    <comment ref="G7" authorId="0" shapeId="0">
      <text>
        <t>same order as choose_scheme() in the notebook</t>
      </text>
    </comment>
    <comment ref="G8" authorId="0" shapeId="0">
      <text>
        <t>same order as choose_scheme() in the notebook</t>
      </text>
    </comment>
    <comment ref="G9" authorId="0" shapeId="0">
      <text>
        <t>same order as choose_scheme() in the notebook</t>
      </text>
    </comment>
    <comment ref="G10" authorId="0" shapeId="0">
      <text>
        <t>same order as choose_scheme() in the notebook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CE524 Lecture 16: Downscaling, the problem, the data and choosing a method</t>
        </is>
      </c>
    </row>
    <row r="2">
      <c r="A2" t="inlineStr">
        <is>
          <t>Companion to lecture-16-downscaling-problem-data-and-methods.ipynb (Lee &amp; Singh 2019, Chapters 1 and 3). All numbers are synthetic.</t>
        </is>
      </c>
    </row>
    <row r="3">
      <c r="A3" t="inlineStr">
        <is>
          <t>Colour code: blue = input you may change, black = formula. Hover over a formula cell for a note.</t>
        </is>
      </c>
    </row>
    <row r="4">
      <c r="A4" t="inlineStr">
        <is>
          <t>Hand_example : the by-hand example of the lecture (effective temperature Eq. 1.2, flux to mm/day, totals, biases).</t>
        </is>
      </c>
    </row>
    <row r="5">
      <c r="A5" t="inlineStr">
        <is>
          <t>Data         : monthly means of a synthetic gauge (P_o, T_o) and GCM cell (pr_f_m, T_m_K), as printed by the notebook.</t>
        </is>
      </c>
    </row>
    <row r="6">
      <c r="A6" t="inlineStr">
        <is>
          <t>Bias_check   : unit conversion, calendar-aware totals and biases b_P and b_T from the Data sheet.</t>
        </is>
      </c>
    </row>
    <row r="7">
      <c r="A7" t="inlineStr">
        <is>
          <t>Method_guide : the decision logic of Section 1.4; answer Yes/No (Y/N) in the blue cells and read the scheme.</t>
        </is>
      </c>
    </row>
    <row r="8">
      <c r="A8" t="inlineStr">
        <is>
          <t>Symbols: pr_f flux [kg m-2 s-1]; P rain [mm/day]; T temperature; _o observed, _m model; b_T = T_m - T_o; b_P = P_m / P_o.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Worked example by hand (Lecture 16)</t>
        </is>
      </c>
    </row>
    <row r="2">
      <c r="A2" s="3" t="inlineStr">
        <is>
          <t>Step 1 (Eq. 1.2): effective temperature</t>
        </is>
      </c>
    </row>
    <row r="3">
      <c r="A3" t="inlineStr">
        <is>
          <t>S0 [W/m2]</t>
        </is>
      </c>
      <c r="B3" s="4" t="n">
        <v>1370</v>
      </c>
    </row>
    <row r="4">
      <c r="A4" t="inlineStr">
        <is>
          <t>alpha_p [-]</t>
        </is>
      </c>
      <c r="B4" s="4" t="n">
        <v>0.25</v>
      </c>
    </row>
    <row r="5">
      <c r="A5" t="inlineStr">
        <is>
          <t>sigma [W/m2/K4]</t>
        </is>
      </c>
      <c r="B5" s="4" t="n">
        <v>5.67e-08</v>
      </c>
    </row>
    <row r="6">
      <c r="A6" t="inlineStr">
        <is>
          <t>T_e [K]</t>
        </is>
      </c>
      <c r="B6" s="5">
        <f>((1-B4)*B3/(4*B5))^(1/4)</f>
        <v/>
      </c>
    </row>
    <row r="7">
      <c r="A7" t="inlineStr">
        <is>
          <t>T_e [degC]</t>
        </is>
      </c>
      <c r="B7" s="5">
        <f>B6-273.15</f>
        <v/>
      </c>
    </row>
    <row r="9">
      <c r="A9" s="3" t="inlineStr">
        <is>
          <t>Steps 2-4: rain, 360-day calendar</t>
        </is>
      </c>
    </row>
    <row r="10">
      <c r="A10" s="6" t="inlineStr">
        <is>
          <t>Month</t>
        </is>
      </c>
      <c r="B10" s="6" t="inlineStr">
        <is>
          <t>pr_f_m [kg m-2 s-1]</t>
        </is>
      </c>
      <c r="C10" s="6" t="inlineStr">
        <is>
          <t>days</t>
        </is>
      </c>
      <c r="D10" s="6" t="inlineStr">
        <is>
          <t>P_m [mm/day]</t>
        </is>
      </c>
      <c r="E10" s="6" t="inlineStr">
        <is>
          <t>total_m [mm]</t>
        </is>
      </c>
      <c r="F10" s="6" t="inlineStr">
        <is>
          <t>P_o [mm/day]</t>
        </is>
      </c>
      <c r="G10" s="6" t="inlineStr">
        <is>
          <t>total_o [mm]</t>
        </is>
      </c>
      <c r="H10" s="6" t="inlineStr">
        <is>
          <t>P_m / P_o</t>
        </is>
      </c>
    </row>
    <row r="11">
      <c r="A11" t="inlineStr">
        <is>
          <t>Jun</t>
        </is>
      </c>
      <c r="B11" s="4" t="n">
        <v>3e-05</v>
      </c>
      <c r="C11" s="4" t="n">
        <v>30</v>
      </c>
      <c r="D11" s="5">
        <f>B11*86400</f>
        <v/>
      </c>
      <c r="E11" s="5">
        <f>D11*C11</f>
        <v/>
      </c>
      <c r="F11" s="4" t="n">
        <v>3.4</v>
      </c>
      <c r="G11" s="5">
        <f>F11*C11</f>
        <v/>
      </c>
      <c r="H11" s="5">
        <f>D11/F11</f>
        <v/>
      </c>
    </row>
    <row r="12">
      <c r="A12" t="inlineStr">
        <is>
          <t>Jul</t>
        </is>
      </c>
      <c r="B12" s="4" t="n">
        <v>0.00011</v>
      </c>
      <c r="C12" s="4" t="n">
        <v>30</v>
      </c>
      <c r="D12" s="5">
        <f>B12*86400</f>
        <v/>
      </c>
      <c r="E12" s="5">
        <f>D12*C12</f>
        <v/>
      </c>
      <c r="F12" s="4" t="n">
        <v>8.1</v>
      </c>
      <c r="G12" s="5">
        <f>F12*C12</f>
        <v/>
      </c>
      <c r="H12" s="5">
        <f>D12/F12</f>
        <v/>
      </c>
    </row>
    <row r="13">
      <c r="A13" t="inlineStr">
        <is>
          <t>Aug</t>
        </is>
      </c>
      <c r="B13" s="4" t="n">
        <v>9.000000000000001e-05</v>
      </c>
      <c r="C13" s="4" t="n">
        <v>30</v>
      </c>
      <c r="D13" s="5">
        <f>B13*86400</f>
        <v/>
      </c>
      <c r="E13" s="5">
        <f>D13*C13</f>
        <v/>
      </c>
      <c r="F13" s="4" t="n">
        <v>7.5</v>
      </c>
      <c r="G13" s="5">
        <f>F13*C13</f>
        <v/>
      </c>
      <c r="H13" s="5">
        <f>D13/F13</f>
        <v/>
      </c>
    </row>
    <row r="14">
      <c r="A14" t="inlineStr">
        <is>
          <t>Season</t>
        </is>
      </c>
      <c r="E14" s="5">
        <f>SUM(E11:E13)</f>
        <v/>
      </c>
      <c r="G14" s="5">
        <f>SUM(G11:G13)</f>
        <v/>
      </c>
    </row>
    <row r="15">
      <c r="A15" t="inlineStr">
        <is>
          <t>b_P = model total / gauge total</t>
        </is>
      </c>
      <c r="B15" s="5">
        <f>E14/G14</f>
        <v/>
      </c>
    </row>
    <row r="16">
      <c r="A16" t="inlineStr">
        <is>
          <t>difference [mm]</t>
        </is>
      </c>
      <c r="B16" s="5">
        <f>E14-G14</f>
        <v/>
      </c>
    </row>
    <row r="18">
      <c r="A18" s="3" t="inlineStr">
        <is>
          <t>Step 4: temperature</t>
        </is>
      </c>
    </row>
    <row r="19">
      <c r="A19" t="inlineStr">
        <is>
          <t>T_m [K]</t>
        </is>
      </c>
      <c r="B19" s="4" t="n">
        <v>301.4</v>
      </c>
    </row>
    <row r="20">
      <c r="A20" t="inlineStr">
        <is>
          <t>T_m [degC]</t>
        </is>
      </c>
      <c r="B20" s="5">
        <f>B19-273.15</f>
        <v/>
      </c>
    </row>
    <row r="21">
      <c r="A21" t="inlineStr">
        <is>
          <t>T_o [degC]</t>
        </is>
      </c>
      <c r="B21" s="4" t="n">
        <v>26.9</v>
      </c>
    </row>
    <row r="22">
      <c r="A22" t="inlineStr">
        <is>
          <t>b_T = T_m - T_o [K]</t>
        </is>
      </c>
      <c r="B22" s="5">
        <f>B20-B21</f>
        <v/>
      </c>
    </row>
    <row r="24">
      <c r="A24" t="inlineStr">
        <is>
          <t>Step 5: scheme (r = 0.9, daily series needed): see Method_guide, row 'by-hand case'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Monthly means, synthetic catchment (GCM cell nearest to 31.75 N, 77.0 E)</t>
        </is>
      </c>
    </row>
    <row r="3">
      <c r="A3" s="6" t="inlineStr">
        <is>
          <t>month</t>
        </is>
      </c>
      <c r="B3" s="6" t="inlineStr">
        <is>
          <t>P_o [mm/day]</t>
        </is>
      </c>
      <c r="C3" s="6" t="inlineStr">
        <is>
          <t>pr_f_m [kg m-2 s-1]</t>
        </is>
      </c>
      <c r="D3" s="6" t="inlineStr">
        <is>
          <t>T_o [degC]</t>
        </is>
      </c>
      <c r="E3" s="6" t="inlineStr">
        <is>
          <t>T_m_K [K]</t>
        </is>
      </c>
    </row>
    <row r="4">
      <c r="A4" t="n">
        <v>1</v>
      </c>
      <c r="B4" s="4" t="n">
        <v>0.128</v>
      </c>
      <c r="C4" s="7" t="n">
        <v>6.721e-06</v>
      </c>
      <c r="D4" s="4" t="n">
        <v>9.050000000000001</v>
      </c>
      <c r="E4" s="4" t="n">
        <v>286.11</v>
      </c>
    </row>
    <row r="5">
      <c r="A5" t="n">
        <v>2</v>
      </c>
      <c r="B5" s="4" t="n">
        <v>0.297</v>
      </c>
      <c r="C5" s="7" t="n">
        <v>3.477e-06</v>
      </c>
      <c r="D5" s="4" t="n">
        <v>10.48</v>
      </c>
      <c r="E5" s="4" t="n">
        <v>287.38</v>
      </c>
    </row>
    <row r="6">
      <c r="A6" t="n">
        <v>3</v>
      </c>
      <c r="B6" s="4" t="n">
        <v>0.256</v>
      </c>
      <c r="C6" s="7" t="n">
        <v>5.771e-06</v>
      </c>
      <c r="D6" s="4" t="n">
        <v>14.44</v>
      </c>
      <c r="E6" s="4" t="n">
        <v>290.57</v>
      </c>
    </row>
    <row r="7">
      <c r="A7" t="n">
        <v>4</v>
      </c>
      <c r="B7" s="4" t="n">
        <v>0.333</v>
      </c>
      <c r="C7" s="7" t="n">
        <v>5.534e-06</v>
      </c>
      <c r="D7" s="4" t="n">
        <v>18.99</v>
      </c>
      <c r="E7" s="4" t="n">
        <v>293.62</v>
      </c>
    </row>
    <row r="8">
      <c r="A8" t="n">
        <v>5</v>
      </c>
      <c r="B8" s="4" t="n">
        <v>0.8159999999999999</v>
      </c>
      <c r="C8" s="7" t="n">
        <v>1.463e-05</v>
      </c>
      <c r="D8" s="4" t="n">
        <v>23.64</v>
      </c>
      <c r="E8" s="4" t="n">
        <v>297.88</v>
      </c>
    </row>
    <row r="9">
      <c r="A9" t="n">
        <v>6</v>
      </c>
      <c r="B9" s="4" t="n">
        <v>3.463</v>
      </c>
      <c r="C9" s="7" t="n">
        <v>3.082e-05</v>
      </c>
      <c r="D9" s="4" t="n">
        <v>26.11</v>
      </c>
      <c r="E9" s="4" t="n">
        <v>299.82</v>
      </c>
    </row>
    <row r="10">
      <c r="A10" t="n">
        <v>7</v>
      </c>
      <c r="B10" s="4" t="n">
        <v>7.269</v>
      </c>
      <c r="C10" s="7" t="n">
        <v>6.261e-05</v>
      </c>
      <c r="D10" s="4" t="n">
        <v>26.86</v>
      </c>
      <c r="E10" s="4" t="n">
        <v>300.66</v>
      </c>
    </row>
    <row r="11">
      <c r="A11" t="n">
        <v>8</v>
      </c>
      <c r="B11" s="4" t="n">
        <v>4.29</v>
      </c>
      <c r="C11" s="7" t="n">
        <v>6.283000000000001e-05</v>
      </c>
      <c r="D11" s="4" t="n">
        <v>25.05</v>
      </c>
      <c r="E11" s="4" t="n">
        <v>299.03</v>
      </c>
    </row>
    <row r="12">
      <c r="A12" t="n">
        <v>9</v>
      </c>
      <c r="B12" s="4" t="n">
        <v>1.145</v>
      </c>
      <c r="C12" s="7" t="n">
        <v>4.091e-05</v>
      </c>
      <c r="D12" s="4" t="n">
        <v>21.18</v>
      </c>
      <c r="E12" s="4" t="n">
        <v>295.8</v>
      </c>
    </row>
    <row r="13">
      <c r="A13" t="n">
        <v>10</v>
      </c>
      <c r="B13" s="4" t="n">
        <v>0.404</v>
      </c>
      <c r="C13" s="7" t="n">
        <v>9.806999999999999e-06</v>
      </c>
      <c r="D13" s="4" t="n">
        <v>16.6</v>
      </c>
      <c r="E13" s="4" t="n">
        <v>292.07</v>
      </c>
    </row>
    <row r="14">
      <c r="A14" t="n">
        <v>11</v>
      </c>
      <c r="B14" s="4" t="n">
        <v>0.202</v>
      </c>
      <c r="C14" s="7" t="n">
        <v>7.461e-06</v>
      </c>
      <c r="D14" s="4" t="n">
        <v>12.45</v>
      </c>
      <c r="E14" s="4" t="n">
        <v>288.54</v>
      </c>
    </row>
    <row r="15">
      <c r="A15" t="n">
        <v>12</v>
      </c>
      <c r="B15" s="4" t="n">
        <v>0.282</v>
      </c>
      <c r="C15" s="7" t="n">
        <v>4.847e-06</v>
      </c>
      <c r="D15" s="4" t="n">
        <v>10.04</v>
      </c>
      <c r="E15" s="4" t="n">
        <v>286.38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Units, calendar and bias from the Data sheet</t>
        </is>
      </c>
    </row>
    <row r="3">
      <c r="A3" s="6" t="inlineStr">
        <is>
          <t>month</t>
        </is>
      </c>
      <c r="B3" s="6" t="inlineStr">
        <is>
          <t>days_o (real)</t>
        </is>
      </c>
      <c r="C3" s="6" t="inlineStr">
        <is>
          <t>days_m (360-day)</t>
        </is>
      </c>
      <c r="D3" s="6" t="inlineStr">
        <is>
          <t>P_o [mm/day]</t>
        </is>
      </c>
      <c r="E3" s="6" t="inlineStr">
        <is>
          <t>P_m [mm/day]</t>
        </is>
      </c>
      <c r="F3" s="6" t="inlineStr">
        <is>
          <t>total_o [mm]</t>
        </is>
      </c>
      <c r="G3" s="6" t="inlineStr">
        <is>
          <t>total_m [mm]</t>
        </is>
      </c>
      <c r="H3" s="6" t="inlineStr">
        <is>
          <t>T_o [degC]</t>
        </is>
      </c>
      <c r="I3" s="6" t="inlineStr">
        <is>
          <t>T_m [degC]</t>
        </is>
      </c>
      <c r="J3" s="6" t="inlineStr">
        <is>
          <t>b_T [K]</t>
        </is>
      </c>
    </row>
    <row r="4">
      <c r="A4" s="5">
        <f>Data!A4</f>
        <v/>
      </c>
      <c r="B4" s="4" t="n">
        <v>31</v>
      </c>
      <c r="C4" s="4" t="n">
        <v>30</v>
      </c>
      <c r="D4" s="5">
        <f>Data!B4</f>
        <v/>
      </c>
      <c r="E4" s="5">
        <f>Data!C4*86400</f>
        <v/>
      </c>
      <c r="F4" s="5">
        <f>D4*B4</f>
        <v/>
      </c>
      <c r="G4" s="5">
        <f>E4*C4</f>
        <v/>
      </c>
      <c r="H4" s="5">
        <f>Data!D4</f>
        <v/>
      </c>
      <c r="I4" s="5">
        <f>Data!E4-273.15</f>
        <v/>
      </c>
      <c r="J4" s="5">
        <f>I4-H4</f>
        <v/>
      </c>
    </row>
    <row r="5">
      <c r="A5" s="5">
        <f>Data!A5</f>
        <v/>
      </c>
      <c r="B5" s="4" t="n">
        <v>28</v>
      </c>
      <c r="C5" s="4" t="n">
        <v>30</v>
      </c>
      <c r="D5" s="5">
        <f>Data!B5</f>
        <v/>
      </c>
      <c r="E5" s="5">
        <f>Data!C5*86400</f>
        <v/>
      </c>
      <c r="F5" s="5">
        <f>D5*B5</f>
        <v/>
      </c>
      <c r="G5" s="5">
        <f>E5*C5</f>
        <v/>
      </c>
      <c r="H5" s="5">
        <f>Data!D5</f>
        <v/>
      </c>
      <c r="I5" s="5">
        <f>Data!E5-273.15</f>
        <v/>
      </c>
      <c r="J5" s="5">
        <f>I5-H5</f>
        <v/>
      </c>
    </row>
    <row r="6">
      <c r="A6" s="5">
        <f>Data!A6</f>
        <v/>
      </c>
      <c r="B6" s="4" t="n">
        <v>31</v>
      </c>
      <c r="C6" s="4" t="n">
        <v>30</v>
      </c>
      <c r="D6" s="5">
        <f>Data!B6</f>
        <v/>
      </c>
      <c r="E6" s="5">
        <f>Data!C6*86400</f>
        <v/>
      </c>
      <c r="F6" s="5">
        <f>D6*B6</f>
        <v/>
      </c>
      <c r="G6" s="5">
        <f>E6*C6</f>
        <v/>
      </c>
      <c r="H6" s="5">
        <f>Data!D6</f>
        <v/>
      </c>
      <c r="I6" s="5">
        <f>Data!E6-273.15</f>
        <v/>
      </c>
      <c r="J6" s="5">
        <f>I6-H6</f>
        <v/>
      </c>
    </row>
    <row r="7">
      <c r="A7" s="5">
        <f>Data!A7</f>
        <v/>
      </c>
      <c r="B7" s="4" t="n">
        <v>30</v>
      </c>
      <c r="C7" s="4" t="n">
        <v>30</v>
      </c>
      <c r="D7" s="5">
        <f>Data!B7</f>
        <v/>
      </c>
      <c r="E7" s="5">
        <f>Data!C7*86400</f>
        <v/>
      </c>
      <c r="F7" s="5">
        <f>D7*B7</f>
        <v/>
      </c>
      <c r="G7" s="5">
        <f>E7*C7</f>
        <v/>
      </c>
      <c r="H7" s="5">
        <f>Data!D7</f>
        <v/>
      </c>
      <c r="I7" s="5">
        <f>Data!E7-273.15</f>
        <v/>
      </c>
      <c r="J7" s="5">
        <f>I7-H7</f>
        <v/>
      </c>
    </row>
    <row r="8">
      <c r="A8" s="5">
        <f>Data!A8</f>
        <v/>
      </c>
      <c r="B8" s="4" t="n">
        <v>31</v>
      </c>
      <c r="C8" s="4" t="n">
        <v>30</v>
      </c>
      <c r="D8" s="5">
        <f>Data!B8</f>
        <v/>
      </c>
      <c r="E8" s="5">
        <f>Data!C8*86400</f>
        <v/>
      </c>
      <c r="F8" s="5">
        <f>D8*B8</f>
        <v/>
      </c>
      <c r="G8" s="5">
        <f>E8*C8</f>
        <v/>
      </c>
      <c r="H8" s="5">
        <f>Data!D8</f>
        <v/>
      </c>
      <c r="I8" s="5">
        <f>Data!E8-273.15</f>
        <v/>
      </c>
      <c r="J8" s="5">
        <f>I8-H8</f>
        <v/>
      </c>
    </row>
    <row r="9">
      <c r="A9" s="5">
        <f>Data!A9</f>
        <v/>
      </c>
      <c r="B9" s="4" t="n">
        <v>30</v>
      </c>
      <c r="C9" s="4" t="n">
        <v>30</v>
      </c>
      <c r="D9" s="5">
        <f>Data!B9</f>
        <v/>
      </c>
      <c r="E9" s="5">
        <f>Data!C9*86400</f>
        <v/>
      </c>
      <c r="F9" s="5">
        <f>D9*B9</f>
        <v/>
      </c>
      <c r="G9" s="5">
        <f>E9*C9</f>
        <v/>
      </c>
      <c r="H9" s="5">
        <f>Data!D9</f>
        <v/>
      </c>
      <c r="I9" s="5">
        <f>Data!E9-273.15</f>
        <v/>
      </c>
      <c r="J9" s="5">
        <f>I9-H9</f>
        <v/>
      </c>
    </row>
    <row r="10">
      <c r="A10" s="5">
        <f>Data!A10</f>
        <v/>
      </c>
      <c r="B10" s="4" t="n">
        <v>31</v>
      </c>
      <c r="C10" s="4" t="n">
        <v>30</v>
      </c>
      <c r="D10" s="5">
        <f>Data!B10</f>
        <v/>
      </c>
      <c r="E10" s="5">
        <f>Data!C10*86400</f>
        <v/>
      </c>
      <c r="F10" s="5">
        <f>D10*B10</f>
        <v/>
      </c>
      <c r="G10" s="5">
        <f>E10*C10</f>
        <v/>
      </c>
      <c r="H10" s="5">
        <f>Data!D10</f>
        <v/>
      </c>
      <c r="I10" s="5">
        <f>Data!E10-273.15</f>
        <v/>
      </c>
      <c r="J10" s="5">
        <f>I10-H10</f>
        <v/>
      </c>
    </row>
    <row r="11">
      <c r="A11" s="5">
        <f>Data!A11</f>
        <v/>
      </c>
      <c r="B11" s="4" t="n">
        <v>31</v>
      </c>
      <c r="C11" s="4" t="n">
        <v>30</v>
      </c>
      <c r="D11" s="5">
        <f>Data!B11</f>
        <v/>
      </c>
      <c r="E11" s="5">
        <f>Data!C11*86400</f>
        <v/>
      </c>
      <c r="F11" s="5">
        <f>D11*B11</f>
        <v/>
      </c>
      <c r="G11" s="5">
        <f>E11*C11</f>
        <v/>
      </c>
      <c r="H11" s="5">
        <f>Data!D11</f>
        <v/>
      </c>
      <c r="I11" s="5">
        <f>Data!E11-273.15</f>
        <v/>
      </c>
      <c r="J11" s="5">
        <f>I11-H11</f>
        <v/>
      </c>
    </row>
    <row r="12">
      <c r="A12" s="5">
        <f>Data!A12</f>
        <v/>
      </c>
      <c r="B12" s="4" t="n">
        <v>30</v>
      </c>
      <c r="C12" s="4" t="n">
        <v>30</v>
      </c>
      <c r="D12" s="5">
        <f>Data!B12</f>
        <v/>
      </c>
      <c r="E12" s="5">
        <f>Data!C12*86400</f>
        <v/>
      </c>
      <c r="F12" s="5">
        <f>D12*B12</f>
        <v/>
      </c>
      <c r="G12" s="5">
        <f>E12*C12</f>
        <v/>
      </c>
      <c r="H12" s="5">
        <f>Data!D12</f>
        <v/>
      </c>
      <c r="I12" s="5">
        <f>Data!E12-273.15</f>
        <v/>
      </c>
      <c r="J12" s="5">
        <f>I12-H12</f>
        <v/>
      </c>
    </row>
    <row r="13">
      <c r="A13" s="5">
        <f>Data!A13</f>
        <v/>
      </c>
      <c r="B13" s="4" t="n">
        <v>31</v>
      </c>
      <c r="C13" s="4" t="n">
        <v>30</v>
      </c>
      <c r="D13" s="5">
        <f>Data!B13</f>
        <v/>
      </c>
      <c r="E13" s="5">
        <f>Data!C13*86400</f>
        <v/>
      </c>
      <c r="F13" s="5">
        <f>D13*B13</f>
        <v/>
      </c>
      <c r="G13" s="5">
        <f>E13*C13</f>
        <v/>
      </c>
      <c r="H13" s="5">
        <f>Data!D13</f>
        <v/>
      </c>
      <c r="I13" s="5">
        <f>Data!E13-273.15</f>
        <v/>
      </c>
      <c r="J13" s="5">
        <f>I13-H13</f>
        <v/>
      </c>
    </row>
    <row r="14">
      <c r="A14" s="5">
        <f>Data!A14</f>
        <v/>
      </c>
      <c r="B14" s="4" t="n">
        <v>30</v>
      </c>
      <c r="C14" s="4" t="n">
        <v>30</v>
      </c>
      <c r="D14" s="5">
        <f>Data!B14</f>
        <v/>
      </c>
      <c r="E14" s="5">
        <f>Data!C14*86400</f>
        <v/>
      </c>
      <c r="F14" s="5">
        <f>D14*B14</f>
        <v/>
      </c>
      <c r="G14" s="5">
        <f>E14*C14</f>
        <v/>
      </c>
      <c r="H14" s="5">
        <f>Data!D14</f>
        <v/>
      </c>
      <c r="I14" s="5">
        <f>Data!E14-273.15</f>
        <v/>
      </c>
      <c r="J14" s="5">
        <f>I14-H14</f>
        <v/>
      </c>
    </row>
    <row r="15">
      <c r="A15" s="5">
        <f>Data!A15</f>
        <v/>
      </c>
      <c r="B15" s="4" t="n">
        <v>31</v>
      </c>
      <c r="C15" s="4" t="n">
        <v>30</v>
      </c>
      <c r="D15" s="5">
        <f>Data!B15</f>
        <v/>
      </c>
      <c r="E15" s="5">
        <f>Data!C15*86400</f>
        <v/>
      </c>
      <c r="F15" s="5">
        <f>D15*B15</f>
        <v/>
      </c>
      <c r="G15" s="5">
        <f>E15*C15</f>
        <v/>
      </c>
      <c r="H15" s="5">
        <f>Data!D15</f>
        <v/>
      </c>
      <c r="I15" s="5">
        <f>Data!E15-273.15</f>
        <v/>
      </c>
      <c r="J15" s="5">
        <f>I15-H15</f>
        <v/>
      </c>
    </row>
    <row r="17">
      <c r="A17" t="inlineStr">
        <is>
          <t>annual total, gauge [mm]</t>
        </is>
      </c>
      <c r="B17" s="5">
        <f>SUM(F4:F15)</f>
        <v/>
      </c>
    </row>
    <row r="18">
      <c r="A18" t="inlineStr">
        <is>
          <t>annual total, GCM, 360 days [mm]</t>
        </is>
      </c>
      <c r="B18" s="5">
        <f>SUM(G4:G15)</f>
        <v/>
      </c>
    </row>
    <row r="19">
      <c r="A19" t="inlineStr">
        <is>
          <t>GCM if 365 days wrongly used [mm]</t>
        </is>
      </c>
      <c r="B19" s="5">
        <f>AVERAGE(E4:E15)*365</f>
        <v/>
      </c>
    </row>
    <row r="20">
      <c r="A20" t="inlineStr">
        <is>
          <t>b_P = sum P_m / sum P_o</t>
        </is>
      </c>
      <c r="B20" s="5">
        <f>SUM(E4:E15)/SUM(D4:D15)</f>
        <v/>
      </c>
    </row>
    <row r="21">
      <c r="A21" t="inlineStr">
        <is>
          <t>mean b_T [K]</t>
        </is>
      </c>
      <c r="B21" s="5">
        <f>AVERAGE(J4:J15)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34" customWidth="1" min="7" max="7"/>
    <col width="30" customWidth="1" min="8" max="8"/>
  </cols>
  <sheetData>
    <row r="1">
      <c r="A1" s="3" t="inlineStr">
        <is>
          <t>Decision logic of Section 1.4 (Y or N in the blue cells)</t>
        </is>
      </c>
    </row>
    <row r="3">
      <c r="A3" s="6" t="inlineStr">
        <is>
          <t>project</t>
        </is>
      </c>
      <c r="B3" s="6" t="inlineStr">
        <is>
          <t>Q1 only future change at a site?</t>
        </is>
      </c>
      <c r="C3" s="6" t="inlineStr">
        <is>
          <t>Q2 follows climate variables (predictors)?</t>
        </is>
      </c>
      <c r="D3" s="6" t="inlineStr">
        <is>
          <t>Q3 rain tied to circulation types?</t>
        </is>
      </c>
      <c r="E3" s="6" t="inlineStr">
        <is>
          <t>Q4 hourly output needed?</t>
        </is>
      </c>
      <c r="F3" s="6" t="inlineStr">
        <is>
          <t>Q5 fine grid needed?</t>
        </is>
      </c>
      <c r="G3" s="6" t="inlineStr">
        <is>
          <t>core scheme</t>
        </is>
      </c>
      <c r="H3" s="6" t="inlineStr">
        <is>
          <t>add-ons</t>
        </is>
      </c>
    </row>
    <row r="4">
      <c r="A4" t="inlineStr">
        <is>
          <t>Change in mean seasonal reservoir inflow</t>
        </is>
      </c>
      <c r="B4" s="4" t="inlineStr">
        <is>
          <t>Y</t>
        </is>
      </c>
      <c r="C4" s="4" t="inlineStr">
        <is>
          <t>N</t>
        </is>
      </c>
      <c r="D4" s="4" t="inlineStr">
        <is>
          <t>N</t>
        </is>
      </c>
      <c r="E4" s="4" t="inlineStr">
        <is>
          <t>N</t>
        </is>
      </c>
      <c r="F4" s="4" t="inlineStr">
        <is>
          <t>N</t>
        </is>
      </c>
      <c r="G4" s="5">
        <f>IF(B4="Y","Bias correction",IF(C4="Y","Regression downscaling",IF(D4="Y","Weather typing + stochastic model","Weather generator")))</f>
        <v/>
      </c>
      <c r="H4" s="5">
        <f>IF(AND(E4&lt;&gt;"Y",F4&lt;&gt;"Y"),"none",TRIM(IF(E4="Y","temporal downscaling ","")&amp;IF(F4="Y","spatial downscaling","")))</f>
        <v/>
      </c>
    </row>
    <row r="5">
      <c r="A5" t="inlineStr">
        <is>
          <t>Daily station temperature for a crop model (by-hand case)</t>
        </is>
      </c>
      <c r="B5" s="4" t="inlineStr">
        <is>
          <t>N</t>
        </is>
      </c>
      <c r="C5" s="4" t="inlineStr">
        <is>
          <t>Y</t>
        </is>
      </c>
      <c r="D5" s="4" t="inlineStr">
        <is>
          <t>N</t>
        </is>
      </c>
      <c r="E5" s="4" t="inlineStr">
        <is>
          <t>N</t>
        </is>
      </c>
      <c r="F5" s="4" t="inlineStr">
        <is>
          <t>N</t>
        </is>
      </c>
      <c r="G5" s="5">
        <f>IF(B5="Y","Bias correction",IF(C5="Y","Regression downscaling",IF(D5="Y","Weather typing + stochastic model","Weather generator")))</f>
        <v/>
      </c>
      <c r="H5" s="5">
        <f>IF(AND(E5&lt;&gt;"Y",F5&lt;&gt;"Y"),"none",TRIM(IF(E5="Y","temporal downscaling ","")&amp;IF(F5="Y","spatial downscaling","")))</f>
        <v/>
      </c>
    </row>
    <row r="6">
      <c r="A6" t="inlineStr">
        <is>
          <t>Rain at a hill station tied to circulation patterns</t>
        </is>
      </c>
      <c r="B6" s="4" t="inlineStr">
        <is>
          <t>N</t>
        </is>
      </c>
      <c r="C6" s="4" t="inlineStr">
        <is>
          <t>N</t>
        </is>
      </c>
      <c r="D6" s="4" t="inlineStr">
        <is>
          <t>Y</t>
        </is>
      </c>
      <c r="E6" s="4" t="inlineStr">
        <is>
          <t>N</t>
        </is>
      </c>
      <c r="F6" s="4" t="inlineStr">
        <is>
          <t>N</t>
        </is>
      </c>
      <c r="G6" s="5">
        <f>IF(B6="Y","Bias correction",IF(C6="Y","Regression downscaling",IF(D6="Y","Weather typing + stochastic model","Weather generator")))</f>
        <v/>
      </c>
      <c r="H6" s="5">
        <f>IF(AND(E6&lt;&gt;"Y",F6&lt;&gt;"Y"),"none",TRIM(IF(E6="Y","temporal downscaling ","")&amp;IF(F6="Y","spatial downscaling","")))</f>
        <v/>
      </c>
    </row>
    <row r="7">
      <c r="A7" t="inlineStr">
        <is>
          <t>Drought risk, many random series</t>
        </is>
      </c>
      <c r="B7" s="4" t="inlineStr">
        <is>
          <t>N</t>
        </is>
      </c>
      <c r="C7" s="4" t="inlineStr">
        <is>
          <t>N</t>
        </is>
      </c>
      <c r="D7" s="4" t="inlineStr">
        <is>
          <t>N</t>
        </is>
      </c>
      <c r="E7" s="4" t="inlineStr">
        <is>
          <t>N</t>
        </is>
      </c>
      <c r="F7" s="4" t="inlineStr">
        <is>
          <t>N</t>
        </is>
      </c>
      <c r="G7" s="5">
        <f>IF(B7="Y","Bias correction",IF(C7="Y","Regression downscaling",IF(D7="Y","Weather typing + stochastic model","Weather generator")))</f>
        <v/>
      </c>
      <c r="H7" s="5">
        <f>IF(AND(E7&lt;&gt;"Y",F7&lt;&gt;"Y"),"none",TRIM(IF(E7="Y","temporal downscaling ","")&amp;IF(F7="Y","spatial downscaling","")))</f>
        <v/>
      </c>
    </row>
    <row r="8">
      <c r="A8" t="inlineStr">
        <is>
          <t>Hourly design storms, urban catchment</t>
        </is>
      </c>
      <c r="B8" s="4" t="inlineStr">
        <is>
          <t>Y</t>
        </is>
      </c>
      <c r="C8" s="4" t="inlineStr">
        <is>
          <t>N</t>
        </is>
      </c>
      <c r="D8" s="4" t="inlineStr">
        <is>
          <t>N</t>
        </is>
      </c>
      <c r="E8" s="4" t="inlineStr">
        <is>
          <t>Y</t>
        </is>
      </c>
      <c r="F8" s="4" t="inlineStr">
        <is>
          <t>N</t>
        </is>
      </c>
      <c r="G8" s="5">
        <f>IF(B8="Y","Bias correction",IF(C8="Y","Regression downscaling",IF(D8="Y","Weather typing + stochastic model","Weather generator")))</f>
        <v/>
      </c>
      <c r="H8" s="5">
        <f>IF(AND(E8&lt;&gt;"Y",F8&lt;&gt;"Y"),"none",TRIM(IF(E8="Y","temporal downscaling ","")&amp;IF(F8="Y","spatial downscaling","")))</f>
        <v/>
      </c>
    </row>
    <row r="9">
      <c r="A9" t="inlineStr">
        <is>
          <t>Distributed model on a 1 km grid</t>
        </is>
      </c>
      <c r="B9" s="4" t="inlineStr">
        <is>
          <t>Y</t>
        </is>
      </c>
      <c r="C9" s="4" t="inlineStr">
        <is>
          <t>N</t>
        </is>
      </c>
      <c r="D9" s="4" t="inlineStr">
        <is>
          <t>N</t>
        </is>
      </c>
      <c r="E9" s="4" t="inlineStr">
        <is>
          <t>N</t>
        </is>
      </c>
      <c r="F9" s="4" t="inlineStr">
        <is>
          <t>Y</t>
        </is>
      </c>
      <c r="G9" s="5">
        <f>IF(B9="Y","Bias correction",IF(C9="Y","Regression downscaling",IF(D9="Y","Weather typing + stochastic model","Weather generator")))</f>
        <v/>
      </c>
      <c r="H9" s="5">
        <f>IF(AND(E9&lt;&gt;"Y",F9&lt;&gt;"Y"),"none",TRIM(IF(E9="Y","temporal downscaling ","")&amp;IF(F9="Y","spatial downscaling","")))</f>
        <v/>
      </c>
    </row>
    <row r="10">
      <c r="A10" t="inlineStr">
        <is>
          <t>your own project</t>
        </is>
      </c>
      <c r="B10" s="4" t="inlineStr">
        <is>
          <t>N</t>
        </is>
      </c>
      <c r="C10" s="4" t="inlineStr">
        <is>
          <t>N</t>
        </is>
      </c>
      <c r="D10" s="4" t="inlineStr">
        <is>
          <t>N</t>
        </is>
      </c>
      <c r="E10" s="4" t="inlineStr">
        <is>
          <t>N</t>
        </is>
      </c>
      <c r="F10" s="4" t="inlineStr">
        <is>
          <t>N</t>
        </is>
      </c>
      <c r="G10" s="5">
        <f>IF(B10="Y","Bias correction",IF(C10="Y","Regression downscaling",IF(D10="Y","Weather typing + stochastic model","Weather generator")))</f>
        <v/>
      </c>
      <c r="H10" s="5">
        <f>IF(AND(E10&lt;&gt;"Y",F10&lt;&gt;"Y"),"none",TRIM(IF(E10="Y","temporal downscaling ","")&amp;IF(F10="Y","spatial downscaling","")))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2026-10-23T07:26:20Z</dcterms:created>
  <dcterms:modified xsi:type="dcterms:W3CDTF">2026-10-23T07:26:20Z</dcterms:modified>
</cp:coreProperties>
</file>