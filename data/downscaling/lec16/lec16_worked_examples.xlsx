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Units" sheetId="3" state="visible" r:id="rId3"/>
    <sheet xmlns:r="http://schemas.openxmlformats.org/officeDocument/2006/relationships" name="Compare" sheetId="4" state="visible" r:id="rId4"/>
    <sheet xmlns:r="http://schemas.openxmlformats.org/officeDocument/2006/relationships" name="Method_guide" sheetId="5" state="visible" r:id="rId5"/>
  </sheets>
  <definedNames/>
  <calcPr calcId="124519" fullCalcOnLoad="1"/>
</workbook>
</file>

<file path=xl/styles.xml><?xml version="1.0" encoding="utf-8"?>
<styleSheet xmlns="http://schemas.openxmlformats.org/spreadsheetml/2006/main">
  <numFmts count="8">
    <numFmt numFmtId="164" formatCode="yyyy-mm-dd h:mm:ss"/>
    <numFmt numFmtId="165" formatCode="yyyy-mm-dd"/>
    <numFmt numFmtId="166" formatCode="0.000"/>
    <numFmt numFmtId="167" formatCode="0.000000"/>
    <numFmt numFmtId="168" formatCode="0.000E+00"/>
    <numFmt numFmtId="169" formatCode="0.0E+00"/>
    <numFmt numFmtId="170" formatCode="0.0"/>
    <numFmt numFmtId="171" formatCode="#,##0.0"/>
  </numFmts>
  <fonts count="6">
    <font>
      <name val="Calibri"/>
      <family val="2"/>
      <color theme="1"/>
      <sz val="11"/>
      <scheme val="minor"/>
    </font>
    <font>
      <name val="Calibri"/>
      <b val="1"/>
      <sz val="14"/>
    </font>
    <font>
      <name val="Calibri"/>
    </font>
    <font>
      <name val="Calibri"/>
      <b val="1"/>
    </font>
    <font>
      <name val="Calibri"/>
      <color rgb="000000FF"/>
    </font>
    <font>
      <name val="Calibri"/>
      <color rgb="00000000"/>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5" fillId="0" borderId="0" pivotButton="0" quotePrefix="0" xfId="0"/>
    <xf numFmtId="0" fontId="3" fillId="2" borderId="0" applyAlignment="1" pivotButton="0" quotePrefix="0" xfId="0">
      <alignment horizontal="center" vertical="center" wrapText="1"/>
    </xf>
    <xf numFmtId="165" fontId="4" fillId="0" borderId="0" pivotButton="0" quotePrefix="0" xfId="0"/>
    <xf numFmtId="166" fontId="4" fillId="0" borderId="0" pivotButton="0" quotePrefix="0" xfId="0"/>
    <xf numFmtId="2" fontId="4" fillId="0" borderId="0" pivotButton="0" quotePrefix="0" xfId="0"/>
    <xf numFmtId="167" fontId="4" fillId="0" borderId="0" pivotButton="0" quotePrefix="0" xfId="0"/>
    <xf numFmtId="166" fontId="5" fillId="0" borderId="0" pivotButton="0" quotePrefix="0" xfId="0"/>
    <xf numFmtId="2" fontId="5" fillId="0" borderId="0" pivotButton="0" quotePrefix="0" xfId="0"/>
    <xf numFmtId="1" fontId="4" fillId="0" borderId="0" pivotButton="0" quotePrefix="0" xfId="0"/>
    <xf numFmtId="168" fontId="4" fillId="0" borderId="0" pivotButton="0" quotePrefix="0" xfId="0"/>
    <xf numFmtId="0" fontId="3" fillId="0" borderId="0" pivotButton="0" quotePrefix="0" xfId="0"/>
    <xf numFmtId="11" fontId="4" fillId="0" borderId="0" pivotButton="0" quotePrefix="0" xfId="0"/>
    <xf numFmtId="168" fontId="5" fillId="0" borderId="0" pivotButton="0" quotePrefix="0" xfId="0"/>
    <xf numFmtId="169" fontId="5" fillId="0" borderId="0" pivotButton="0" quotePrefix="0" xfId="0"/>
    <xf numFmtId="11" fontId="5" fillId="0" borderId="0" pivotButton="0" quotePrefix="0" xfId="0"/>
    <xf numFmtId="0" fontId="5" fillId="3" borderId="0" applyAlignment="1" pivotButton="0" quotePrefix="0" xfId="0">
      <alignment vertical="top" wrapText="1"/>
    </xf>
    <xf numFmtId="167" fontId="5" fillId="0" borderId="0" pivotButton="0" quotePrefix="0" xfId="0"/>
    <xf numFmtId="3" fontId="4" fillId="0" borderId="0" pivotButton="0" quotePrefix="0" xfId="0"/>
    <xf numFmtId="3" fontId="5" fillId="0" borderId="0" pivotButton="0" quotePrefix="0" xfId="0"/>
    <xf numFmtId="170" fontId="5" fillId="0" borderId="0" pivotButton="0" quotePrefix="0" xfId="0"/>
    <xf numFmtId="1" fontId="5" fillId="0" borderId="0" pivotButton="0" quotePrefix="0" xfId="0"/>
    <xf numFmtId="170" fontId="4" fillId="0" borderId="0" pivotButton="0" quotePrefix="0" xfId="0"/>
    <xf numFmtId="170" fontId="3" fillId="0" borderId="0" pivotButton="0" quotePrefix="0" xfId="0"/>
    <xf numFmtId="171" fontId="4"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Monthly climatology of rainfall (synthetic)</a:t>
            </a:r>
          </a:p>
        </rich>
      </tx>
    </title>
    <plotArea>
      <lineChart>
        <grouping val="standard"/>
        <ser>
          <idx val="0"/>
          <order val="0"/>
          <tx>
            <strRef>
              <f>'Compare'!B7</f>
            </strRef>
          </tx>
          <spPr>
            <a:ln xmlns:a="http://schemas.openxmlformats.org/drawingml/2006/main">
              <a:prstDash val="solid"/>
            </a:ln>
          </spPr>
          <marker>
            <symbol val="none"/>
            <spPr>
              <a:ln xmlns:a="http://schemas.openxmlformats.org/drawingml/2006/main">
                <a:prstDash val="solid"/>
              </a:ln>
            </spPr>
          </marker>
          <cat>
            <numRef>
              <f>'Compare'!$A$8:$A$19</f>
            </numRef>
          </cat>
          <val>
            <numRef>
              <f>'Compare'!$B$8:$B$19</f>
            </numRef>
          </val>
        </ser>
        <ser>
          <idx val="1"/>
          <order val="1"/>
          <tx>
            <strRef>
              <f>'Compare'!C7</f>
            </strRef>
          </tx>
          <spPr>
            <a:ln xmlns:a="http://schemas.openxmlformats.org/drawingml/2006/main">
              <a:prstDash val="solid"/>
            </a:ln>
          </spPr>
          <marker>
            <symbol val="none"/>
            <spPr>
              <a:ln xmlns:a="http://schemas.openxmlformats.org/drawingml/2006/main">
                <a:prstDash val="solid"/>
              </a:ln>
            </spPr>
          </marker>
          <cat>
            <numRef>
              <f>'Compare'!$A$8:$A$19</f>
            </numRef>
          </cat>
          <val>
            <numRef>
              <f>'Compare'!$C$8:$C$19</f>
            </numRef>
          </val>
        </ser>
        <ser>
          <idx val="2"/>
          <order val="2"/>
          <tx>
            <strRef>
              <f>'Compare'!D7</f>
            </strRef>
          </tx>
          <spPr>
            <a:ln xmlns:a="http://schemas.openxmlformats.org/drawingml/2006/main">
              <a:prstDash val="solid"/>
            </a:ln>
          </spPr>
          <marker>
            <symbol val="none"/>
            <spPr>
              <a:ln xmlns:a="http://schemas.openxmlformats.org/drawingml/2006/main">
                <a:prstDash val="solid"/>
              </a:ln>
            </spPr>
          </marker>
          <cat>
            <numRef>
              <f>'Compare'!$A$8:$A$19</f>
            </numRef>
          </cat>
          <val>
            <numRef>
              <f>'Compare'!$D$8:$D$19</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mm/day</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Annual totals in each series' own calendar [mm]: obs, reanalysis, GCM</a:t>
            </a:r>
          </a:p>
        </rich>
      </tx>
    </title>
    <plotArea>
      <barChart>
        <barDir val="col"/>
        <grouping val="clustered"/>
        <ser>
          <idx val="0"/>
          <order val="0"/>
          <spPr>
            <a:ln xmlns:a="http://schemas.openxmlformats.org/drawingml/2006/main">
              <a:prstDash val="solid"/>
            </a:ln>
          </spPr>
          <cat>
            <numRef>
              <f>'Compare'!$G$7:$I$7</f>
            </numRef>
          </cat>
          <val>
            <numRef>
              <f>'Compare'!$G$20:$I$20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Lecture 16</author>
  </authors>
  <commentList>
    <comment ref="H4" authorId="0" shapeId="0">
      <text>
        <t>= F x 1000. Daily total precipitation in metres of water (ERA5 style) times 1000 mm per m.</t>
      </text>
    </comment>
    <comment ref="I4" authorId="0" shapeId="0">
      <text>
        <t>= G - 273.15 (kelvin to degrees Celsius).</t>
      </text>
    </comment>
    <comment ref="P4" authorId="0" shapeId="0">
      <text>
        <t>= N x 86400. 1 kg of water per m2 is a layer 1 mm deep; the flux is per second and a day has 86400 s.</t>
      </text>
    </comment>
  </commentList>
</comments>
</file>

<file path=xl/comments/comment2.xml><?xml version="1.0" encoding="utf-8"?>
<comments xmlns="http://schemas.openxmlformats.org/spreadsheetml/2006/main">
  <authors>
    <author>Lecture 16</author>
  </authors>
  <commentList>
    <comment ref="A14" authorId="0" shapeId="0">
      <text>
        <t>First GCM day taken from the Data sheet.</t>
      </text>
    </comment>
    <comment ref="F39" authorId="0" shapeId="0">
      <text>
        <t>Exact area of a latitude-longitude cell on a sphere: R^2 x delta-lambda x (sin phi2 - sin phi1).</t>
      </text>
    </comment>
  </commentList>
</comments>
</file>

<file path=xl/comments/comment3.xml><?xml version="1.0" encoding="utf-8"?>
<comments xmlns="http://schemas.openxmlformats.org/spreadsheetml/2006/main">
  <authors>
    <author>Lecture 16</author>
  </authors>
  <commentList>
    <comment ref="E7" authorId="0" shapeId="0">
      <text>
        <t>Days per month averaged over the years (28.2 for February because of leap days). A monthly total is mean mm/day x number of days IN THAT CALENDAR.</t>
      </text>
    </comment>
    <comment ref="F7" authorId="0" shapeId="0">
      <text>
        <t>Always 30 in a 360-day calendar.</t>
      </text>
    </comment>
    <comment ref="K20" authorId="0" shapeId="0">
      <text>
        <t>Annual GCM total over annual observed total.</t>
      </text>
    </comment>
    <comment ref="B31" authorId="0" shapeId="0">
      <text>
        <t>Counts days with rain &gt;= the threshold in B3 and divides by the number of days. A model with many drizzle days has a larger wet-day fraction and a smaller wet-day intensity.</t>
      </text>
    </comment>
    <comment ref="B33" authorId="0" shapeId="0">
      <text>
        <t>PERCENTILE.INC with k = 0.95: the value exceeded on 5 % of days. Heavy-rain tails are where GCMs are most biased.</t>
      </text>
    </comment>
    <comment ref="B49" authorId="0" shapeId="0">
      <text>
        <t>From the notebook (fine terrain averaged over the catchment).</t>
      </text>
    </comment>
    <comment ref="B50" authorId="0" shapeId="0">
      <text>
        <t>orog field of the synthetic GCM, interpolated to the catchment.</t>
      </text>
    </comment>
  </commentList>
</comments>
</file>

<file path=xl/comments/comment4.xml><?xml version="1.0" encoding="utf-8"?>
<comments xmlns="http://schemas.openxmlformats.org/spreadsheetml/2006/main">
  <authors>
    <author>Lecture 16</author>
  </authors>
  <commentList>
    <comment ref="B3" authorId="0" shapeId="0">
      <text>
        <t>Rule of thumb used here: regression downscaling is worth trying only if the local variable has at least this correlation with predictors in the reanalysis period.</t>
      </text>
    </comment>
    <comment ref="I6" authorId="0" shapeId="0">
      <text>
        <t>Nested IF in the same order as the flow chart of the notebook: Q1, then Q2, then predictor skill D &gt;= B3, then Q4, then Q5; anything left falls through to RCM output plus bias correction.</t>
      </text>
    </comment>
    <comment ref="K6" authorId="0" shapeId="0">
      <text>
        <t>INDEX/MATCH looks the chosen method up in the table below.</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13</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22</row>
      <rowOff>0</rowOff>
    </from>
    <ext cx="43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30" customWidth="1" min="1" max="1"/>
  </cols>
  <sheetData>
    <row r="1">
      <c r="A1" s="1" t="inlineStr">
        <is>
          <t>CE524 Applied Hydroclimatology - Lecture 16 worked examples: downscaling, the problem, the data and choosing a method</t>
        </is>
      </c>
    </row>
    <row r="2">
      <c r="A2" s="2" t="inlineStr"/>
    </row>
    <row r="3">
      <c r="A3" s="3" t="inlineStr">
        <is>
          <t>Purpose</t>
        </is>
      </c>
    </row>
    <row r="4">
      <c r="A4" s="2" t="inlineStr">
        <is>
          <t>Companion to the notebook lecture-16-downscaling-problem-data-and-methods.ipynb. The sheets reproduce, with live formulas, the numbers of the notebook's hands-on section.</t>
        </is>
      </c>
    </row>
    <row r="5">
      <c r="A5" s="2" t="inlineStr"/>
    </row>
    <row r="6" ht="48" customHeight="1">
      <c r="A6" s="3" t="inlineStr">
        <is>
          <t>ALL DATA ARE SYNTHETIC. They were generated by the notebook (fixed random seed) to mimic a coarse GCM, a reanalysis and a catchment observation series for 2001-2010. They are NOT measurements and NOT output of a real model.</t>
        </is>
      </c>
    </row>
    <row r="7" ht="48" customHeight="1">
      <c r="A7" s="2" t="inlineStr">
        <is>
          <t>To use real data: paste IMD gridded rainfall or station data (mm/day) into Data columns D:E, a reanalysis (for example ERA5 daily total precipitation in m, temperature in K) into F:G, and a CMIP6 or NEX-GDDP-CMIP6 series (pr in kg m-2 s-1, tas in K) into N:O with its year, month, day in K:M. Extend or shorten the formula ranges if the number of rows changes.</t>
        </is>
      </c>
    </row>
    <row r="8">
      <c r="A8" s="2" t="inlineStr"/>
    </row>
    <row r="9">
      <c r="A9" s="3" t="inlineStr">
        <is>
          <t>Colour code</t>
        </is>
      </c>
    </row>
    <row r="10">
      <c r="A10" s="4" t="inlineStr">
        <is>
          <t>Blue font = input (data or an assumption you may change).</t>
        </is>
      </c>
    </row>
    <row r="11">
      <c r="A11" s="5" t="inlineStr">
        <is>
          <t>Black font = formula (do not overwrite).</t>
        </is>
      </c>
    </row>
    <row r="12">
      <c r="A12" s="2" t="inlineStr">
        <is>
          <t>Yellow fill = explanation to read. Cell notes (red triangles) explain the key formulas.</t>
        </is>
      </c>
    </row>
    <row r="13">
      <c r="A13" s="2" t="inlineStr"/>
    </row>
    <row r="14">
      <c r="A14" s="3" t="inlineStr">
        <is>
          <t>Sheets</t>
        </is>
      </c>
    </row>
    <row r="15">
      <c r="A15" s="2" t="inlineStr">
        <is>
          <t>Data - daily series: observation + reanalysis (real calendar, 3652 days) and GCM (360-day calendar, 3600 days); unit conversions in columns H, I, P, Q.</t>
        </is>
      </c>
    </row>
    <row r="16">
      <c r="A16" s="2" t="inlineStr">
        <is>
          <t>Units - kg m-2 s-1 to mm/day, m to mm, K to degC, mm/day to discharge, and the area of a grid cell compared with a catchment.</t>
        </is>
      </c>
    </row>
    <row r="17">
      <c r="A17" s="2" t="inlineStr">
        <is>
          <t>Compare - monthly climatology, calendar-aware totals, daily statistics, correlation and the lapse-rate check for obs vs reanalysis vs GCM (with charts).</t>
        </is>
      </c>
    </row>
    <row r="18">
      <c r="A18" s="2" t="inlineStr">
        <is>
          <t>Method_guide - decision checklist: answers (Y/N) lead to a recommended downscaling scheme; seven example projects plus a blank row for your own case.</t>
        </is>
      </c>
    </row>
    <row r="19">
      <c r="A19" s="2" t="inlineStr"/>
    </row>
    <row r="20">
      <c r="A20" s="2" t="inlineStr">
        <is>
          <t>Compatibility: only AVERAGE, STDEV.S, PERCENTILE.INC, COUNT, COUNTIF, AVERAGEIF(S), CORREL, RSQ, INDEX/MATCH, IF, AND, SUM, MAX, MIN, YEAR, MONTH, RADIANS, SIN, TRIM are used. No dynamic arrays, LET or LAMBDA.</t>
        </is>
      </c>
    </row>
    <row r="21" ht="48" customHeight="1">
      <c r="A21" s="2" t="inlineStr">
        <is>
          <t>Note: the workbook was built with Python (openpyxl). Its formulas were checked against an independent Python calculation; they were not recalculated in desktop Excel while building it. Excel computes them when the file is opened.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56"/>
  <sheetViews>
    <sheetView workbookViewId="0">
      <pane ySplit="4" topLeftCell="A5" activePane="bottomLeft" state="frozen"/>
      <selection pane="bottomLeft" activeCell="A1" sqref="A1"/>
    </sheetView>
  </sheetViews>
  <sheetFormatPr baseColWidth="8" defaultRowHeight="15"/>
  <cols>
    <col width="12" customWidth="1" min="1" max="1"/>
    <col width="7" customWidth="1" min="2" max="2"/>
    <col width="7" customWidth="1" min="3" max="3"/>
    <col width="12" customWidth="1" min="4" max="4"/>
    <col width="12" customWidth="1" min="5" max="5"/>
    <col width="14" customWidth="1" min="6" max="6"/>
    <col width="14" customWidth="1" min="7" max="7"/>
    <col width="14" customWidth="1" min="8" max="8"/>
    <col width="14" customWidth="1" min="9" max="9"/>
    <col width="3" customWidth="1" min="10" max="10"/>
    <col width="7" customWidth="1" min="11" max="11"/>
    <col width="7" customWidth="1" min="12" max="12"/>
    <col width="6" customWidth="1" min="13" max="13"/>
    <col width="16" customWidth="1" min="14" max="14"/>
    <col width="12" customWidth="1" min="15" max="15"/>
    <col width="14" customWidth="1" min="16" max="16"/>
    <col width="12" customWidth="1" min="17" max="17"/>
  </cols>
  <sheetData>
    <row r="1">
      <c r="A1" s="6" t="inlineStr">
        <is>
          <t>Daily synthetic series for one catchment (blue = input data, black = formula)</t>
        </is>
      </c>
    </row>
    <row r="2">
      <c r="A2" s="7" t="inlineStr">
        <is>
          <t>Obs/reanalysis: real calendar (leap years included). GCM: 360-day calendar (12 months of 30 days; no day 31, February has 30 days). Data rows: obs block 5 to 3656, GCM block 5 to 3604.</t>
        </is>
      </c>
    </row>
    <row r="3">
      <c r="A3" s="8" t="inlineStr">
        <is>
          <t>Observation and reanalysis (real calendar)</t>
        </is>
      </c>
      <c r="K3" s="8" t="inlineStr">
        <is>
          <t>GCM (360-day calendar)</t>
        </is>
      </c>
    </row>
    <row r="4" ht="45" customHeight="1">
      <c r="A4" s="8" t="inlineStr">
        <is>
          <t>date</t>
        </is>
      </c>
      <c r="B4" s="8" t="inlineStr">
        <is>
          <t>year</t>
        </is>
      </c>
      <c r="C4" s="8" t="inlineStr">
        <is>
          <t>month</t>
        </is>
      </c>
      <c r="D4" s="8" t="inlineStr">
        <is>
          <t>obs rain [mm/day]</t>
        </is>
      </c>
      <c r="E4" s="8" t="inlineStr">
        <is>
          <t>obs temp [degC]</t>
        </is>
      </c>
      <c r="F4" s="8" t="inlineStr">
        <is>
          <t>reanalysis tp [m/day]</t>
        </is>
      </c>
      <c r="G4" s="8" t="inlineStr">
        <is>
          <t>reanalysis t2m [K]</t>
        </is>
      </c>
      <c r="H4" s="8" t="inlineStr">
        <is>
          <t>reanalysis rain [mm/day]</t>
        </is>
      </c>
      <c r="I4" s="8" t="inlineStr">
        <is>
          <t>reanalysis temp [degC]</t>
        </is>
      </c>
      <c r="K4" s="8" t="inlineStr">
        <is>
          <t>year</t>
        </is>
      </c>
      <c r="L4" s="8" t="inlineStr">
        <is>
          <t>month</t>
        </is>
      </c>
      <c r="M4" s="8" t="inlineStr">
        <is>
          <t>day</t>
        </is>
      </c>
      <c r="N4" s="8" t="inlineStr">
        <is>
          <t>GCM pr [kg m-2 s-1]</t>
        </is>
      </c>
      <c r="O4" s="8" t="inlineStr">
        <is>
          <t>GCM tas [K]</t>
        </is>
      </c>
      <c r="P4" s="8" t="inlineStr">
        <is>
          <t>GCM rain [mm/day]</t>
        </is>
      </c>
      <c r="Q4" s="8" t="inlineStr">
        <is>
          <t>GCM temp [degC]</t>
        </is>
      </c>
    </row>
    <row r="5">
      <c r="A5" s="9" t="n">
        <v>36892</v>
      </c>
      <c r="B5" s="7">
        <f>YEAR(A5)</f>
        <v/>
      </c>
      <c r="C5" s="7">
        <f>MONTH(A5)</f>
        <v/>
      </c>
      <c r="D5" s="10" t="n">
        <v>0</v>
      </c>
      <c r="E5" s="11" t="n">
        <v>3.724626257</v>
      </c>
      <c r="F5" s="12" t="n">
        <v>0</v>
      </c>
      <c r="G5" s="11" t="n">
        <v>279.0592227</v>
      </c>
      <c r="H5" s="13">
        <f>F5*1000</f>
        <v/>
      </c>
      <c r="I5" s="14">
        <f>G5-273.15</f>
        <v/>
      </c>
      <c r="K5" s="15" t="n">
        <v>2001</v>
      </c>
      <c r="L5" s="15" t="n">
        <v>1</v>
      </c>
      <c r="M5" s="15" t="n">
        <v>1</v>
      </c>
      <c r="N5" s="16" t="n">
        <v>1.789531018e-05</v>
      </c>
      <c r="O5" s="11" t="n">
        <v>277.6067734</v>
      </c>
      <c r="P5" s="13">
        <f>N5*86400</f>
        <v/>
      </c>
      <c r="Q5" s="14">
        <f>O5-273.15</f>
        <v/>
      </c>
    </row>
    <row r="6">
      <c r="A6" s="9" t="n">
        <v>36893</v>
      </c>
      <c r="B6" s="7">
        <f>YEAR(A6)</f>
        <v/>
      </c>
      <c r="C6" s="7">
        <f>MONTH(A6)</f>
        <v/>
      </c>
      <c r="D6" s="10" t="n">
        <v>0</v>
      </c>
      <c r="E6" s="11" t="n">
        <v>4.251183257</v>
      </c>
      <c r="F6" s="12" t="n">
        <v>0</v>
      </c>
      <c r="G6" s="11" t="n">
        <v>278.8777056</v>
      </c>
      <c r="H6" s="13">
        <f>F6*1000</f>
        <v/>
      </c>
      <c r="I6" s="14">
        <f>G6-273.15</f>
        <v/>
      </c>
      <c r="K6" s="15" t="n">
        <v>2001</v>
      </c>
      <c r="L6" s="15" t="n">
        <v>1</v>
      </c>
      <c r="M6" s="15" t="n">
        <v>2</v>
      </c>
      <c r="N6" s="16" t="n">
        <v>0</v>
      </c>
      <c r="O6" s="11" t="n">
        <v>277.0763562</v>
      </c>
      <c r="P6" s="13">
        <f>N6*86400</f>
        <v/>
      </c>
      <c r="Q6" s="14">
        <f>O6-273.15</f>
        <v/>
      </c>
    </row>
    <row r="7">
      <c r="A7" s="9" t="n">
        <v>36894</v>
      </c>
      <c r="B7" s="7">
        <f>YEAR(A7)</f>
        <v/>
      </c>
      <c r="C7" s="7">
        <f>MONTH(A7)</f>
        <v/>
      </c>
      <c r="D7" s="10" t="n">
        <v>0</v>
      </c>
      <c r="E7" s="11" t="n">
        <v>1.681645984</v>
      </c>
      <c r="F7" s="12" t="n">
        <v>0</v>
      </c>
      <c r="G7" s="11" t="n">
        <v>276.7039661</v>
      </c>
      <c r="H7" s="13">
        <f>F7*1000</f>
        <v/>
      </c>
      <c r="I7" s="14">
        <f>G7-273.15</f>
        <v/>
      </c>
      <c r="K7" s="15" t="n">
        <v>2001</v>
      </c>
      <c r="L7" s="15" t="n">
        <v>1</v>
      </c>
      <c r="M7" s="15" t="n">
        <v>3</v>
      </c>
      <c r="N7" s="16" t="n">
        <v>5.680328775e-06</v>
      </c>
      <c r="O7" s="11" t="n">
        <v>278.2513972</v>
      </c>
      <c r="P7" s="13">
        <f>N7*86400</f>
        <v/>
      </c>
      <c r="Q7" s="14">
        <f>O7-273.15</f>
        <v/>
      </c>
    </row>
    <row r="8">
      <c r="A8" s="9" t="n">
        <v>36895</v>
      </c>
      <c r="B8" s="7">
        <f>YEAR(A8)</f>
        <v/>
      </c>
      <c r="C8" s="7">
        <f>MONTH(A8)</f>
        <v/>
      </c>
      <c r="D8" s="10" t="n">
        <v>0</v>
      </c>
      <c r="E8" s="11" t="n">
        <v>2.847885157</v>
      </c>
      <c r="F8" s="12" t="n">
        <v>0</v>
      </c>
      <c r="G8" s="11" t="n">
        <v>277.3819583</v>
      </c>
      <c r="H8" s="13">
        <f>F8*1000</f>
        <v/>
      </c>
      <c r="I8" s="14">
        <f>G8-273.15</f>
        <v/>
      </c>
      <c r="K8" s="15" t="n">
        <v>2001</v>
      </c>
      <c r="L8" s="15" t="n">
        <v>1</v>
      </c>
      <c r="M8" s="15" t="n">
        <v>4</v>
      </c>
      <c r="N8" s="16" t="n">
        <v>6.2471051e-05</v>
      </c>
      <c r="O8" s="11" t="n">
        <v>277.9494866</v>
      </c>
      <c r="P8" s="13">
        <f>N8*86400</f>
        <v/>
      </c>
      <c r="Q8" s="14">
        <f>O8-273.15</f>
        <v/>
      </c>
    </row>
    <row r="9">
      <c r="A9" s="9" t="n">
        <v>36896</v>
      </c>
      <c r="B9" s="7">
        <f>YEAR(A9)</f>
        <v/>
      </c>
      <c r="C9" s="7">
        <f>MONTH(A9)</f>
        <v/>
      </c>
      <c r="D9" s="10" t="n">
        <v>0</v>
      </c>
      <c r="E9" s="11" t="n">
        <v>1.613542363</v>
      </c>
      <c r="F9" s="12" t="n">
        <v>0</v>
      </c>
      <c r="G9" s="11" t="n">
        <v>276.9739793</v>
      </c>
      <c r="H9" s="13">
        <f>F9*1000</f>
        <v/>
      </c>
      <c r="I9" s="14">
        <f>G9-273.15</f>
        <v/>
      </c>
      <c r="K9" s="15" t="n">
        <v>2001</v>
      </c>
      <c r="L9" s="15" t="n">
        <v>1</v>
      </c>
      <c r="M9" s="15" t="n">
        <v>5</v>
      </c>
      <c r="N9" s="16" t="n">
        <v>4.268885306e-06</v>
      </c>
      <c r="O9" s="11" t="n">
        <v>278.2422518</v>
      </c>
      <c r="P9" s="13">
        <f>N9*86400</f>
        <v/>
      </c>
      <c r="Q9" s="14">
        <f>O9-273.15</f>
        <v/>
      </c>
    </row>
    <row r="10">
      <c r="A10" s="9" t="n">
        <v>36897</v>
      </c>
      <c r="B10" s="7">
        <f>YEAR(A10)</f>
        <v/>
      </c>
      <c r="C10" s="7">
        <f>MONTH(A10)</f>
        <v/>
      </c>
      <c r="D10" s="10" t="n">
        <v>0</v>
      </c>
      <c r="E10" s="11" t="n">
        <v>-1.244860709</v>
      </c>
      <c r="F10" s="12" t="n">
        <v>0</v>
      </c>
      <c r="G10" s="11" t="n">
        <v>273.8452111</v>
      </c>
      <c r="H10" s="13">
        <f>F10*1000</f>
        <v/>
      </c>
      <c r="I10" s="14">
        <f>G10-273.15</f>
        <v/>
      </c>
      <c r="K10" s="15" t="n">
        <v>2001</v>
      </c>
      <c r="L10" s="15" t="n">
        <v>1</v>
      </c>
      <c r="M10" s="15" t="n">
        <v>6</v>
      </c>
      <c r="N10" s="16" t="n">
        <v>6.515606353e-07</v>
      </c>
      <c r="O10" s="11" t="n">
        <v>276.383488</v>
      </c>
      <c r="P10" s="13">
        <f>N10*86400</f>
        <v/>
      </c>
      <c r="Q10" s="14">
        <f>O10-273.15</f>
        <v/>
      </c>
    </row>
    <row r="11">
      <c r="A11" s="9" t="n">
        <v>36898</v>
      </c>
      <c r="B11" s="7">
        <f>YEAR(A11)</f>
        <v/>
      </c>
      <c r="C11" s="7">
        <f>MONTH(A11)</f>
        <v/>
      </c>
      <c r="D11" s="10" t="n">
        <v>0</v>
      </c>
      <c r="E11" s="11" t="n">
        <v>1.453741956</v>
      </c>
      <c r="F11" s="12" t="n">
        <v>0</v>
      </c>
      <c r="G11" s="11" t="n">
        <v>276.2217949</v>
      </c>
      <c r="H11" s="13">
        <f>F11*1000</f>
        <v/>
      </c>
      <c r="I11" s="14">
        <f>G11-273.15</f>
        <v/>
      </c>
      <c r="K11" s="15" t="n">
        <v>2001</v>
      </c>
      <c r="L11" s="15" t="n">
        <v>1</v>
      </c>
      <c r="M11" s="15" t="n">
        <v>7</v>
      </c>
      <c r="N11" s="16" t="n">
        <v>0</v>
      </c>
      <c r="O11" s="11" t="n">
        <v>276.7421593</v>
      </c>
      <c r="P11" s="13">
        <f>N11*86400</f>
        <v/>
      </c>
      <c r="Q11" s="14">
        <f>O11-273.15</f>
        <v/>
      </c>
    </row>
    <row r="12">
      <c r="A12" s="9" t="n">
        <v>36899</v>
      </c>
      <c r="B12" s="7">
        <f>YEAR(A12)</f>
        <v/>
      </c>
      <c r="C12" s="7">
        <f>MONTH(A12)</f>
        <v/>
      </c>
      <c r="D12" s="10" t="n">
        <v>0</v>
      </c>
      <c r="E12" s="11" t="n">
        <v>1.148329687</v>
      </c>
      <c r="F12" s="12" t="n">
        <v>0</v>
      </c>
      <c r="G12" s="11" t="n">
        <v>275.6536198</v>
      </c>
      <c r="H12" s="13">
        <f>F12*1000</f>
        <v/>
      </c>
      <c r="I12" s="14">
        <f>G12-273.15</f>
        <v/>
      </c>
      <c r="K12" s="15" t="n">
        <v>2001</v>
      </c>
      <c r="L12" s="15" t="n">
        <v>1</v>
      </c>
      <c r="M12" s="15" t="n">
        <v>8</v>
      </c>
      <c r="N12" s="16" t="n">
        <v>7.099463948e-07</v>
      </c>
      <c r="O12" s="11" t="n">
        <v>275.8666679</v>
      </c>
      <c r="P12" s="13">
        <f>N12*86400</f>
        <v/>
      </c>
      <c r="Q12" s="14">
        <f>O12-273.15</f>
        <v/>
      </c>
    </row>
    <row r="13">
      <c r="A13" s="9" t="n">
        <v>36900</v>
      </c>
      <c r="B13" s="7">
        <f>YEAR(A13)</f>
        <v/>
      </c>
      <c r="C13" s="7">
        <f>MONTH(A13)</f>
        <v/>
      </c>
      <c r="D13" s="10" t="n">
        <v>0</v>
      </c>
      <c r="E13" s="11" t="n">
        <v>2.972889937</v>
      </c>
      <c r="F13" s="12" t="n">
        <v>0</v>
      </c>
      <c r="G13" s="11" t="n">
        <v>277.1461651</v>
      </c>
      <c r="H13" s="13">
        <f>F13*1000</f>
        <v/>
      </c>
      <c r="I13" s="14">
        <f>G13-273.15</f>
        <v/>
      </c>
      <c r="K13" s="15" t="n">
        <v>2001</v>
      </c>
      <c r="L13" s="15" t="n">
        <v>1</v>
      </c>
      <c r="M13" s="15" t="n">
        <v>9</v>
      </c>
      <c r="N13" s="16" t="n">
        <v>4.459735097e-06</v>
      </c>
      <c r="O13" s="11" t="n">
        <v>274.9099815</v>
      </c>
      <c r="P13" s="13">
        <f>N13*86400</f>
        <v/>
      </c>
      <c r="Q13" s="14">
        <f>O13-273.15</f>
        <v/>
      </c>
    </row>
    <row r="14">
      <c r="A14" s="9" t="n">
        <v>36901</v>
      </c>
      <c r="B14" s="7">
        <f>YEAR(A14)</f>
        <v/>
      </c>
      <c r="C14" s="7">
        <f>MONTH(A14)</f>
        <v/>
      </c>
      <c r="D14" s="10" t="n">
        <v>0</v>
      </c>
      <c r="E14" s="11" t="n">
        <v>1.45176439</v>
      </c>
      <c r="F14" s="12" t="n">
        <v>0</v>
      </c>
      <c r="G14" s="11" t="n">
        <v>277.3211287</v>
      </c>
      <c r="H14" s="13">
        <f>F14*1000</f>
        <v/>
      </c>
      <c r="I14" s="14">
        <f>G14-273.15</f>
        <v/>
      </c>
      <c r="K14" s="15" t="n">
        <v>2001</v>
      </c>
      <c r="L14" s="15" t="n">
        <v>1</v>
      </c>
      <c r="M14" s="15" t="n">
        <v>10</v>
      </c>
      <c r="N14" s="16" t="n">
        <v>1.899445925e-06</v>
      </c>
      <c r="O14" s="11" t="n">
        <v>277.0920157</v>
      </c>
      <c r="P14" s="13">
        <f>N14*86400</f>
        <v/>
      </c>
      <c r="Q14" s="14">
        <f>O14-273.15</f>
        <v/>
      </c>
    </row>
    <row r="15">
      <c r="A15" s="9" t="n">
        <v>36902</v>
      </c>
      <c r="B15" s="7">
        <f>YEAR(A15)</f>
        <v/>
      </c>
      <c r="C15" s="7">
        <f>MONTH(A15)</f>
        <v/>
      </c>
      <c r="D15" s="10" t="n">
        <v>0</v>
      </c>
      <c r="E15" s="11" t="n">
        <v>1.662226377</v>
      </c>
      <c r="F15" s="12" t="n">
        <v>0</v>
      </c>
      <c r="G15" s="11" t="n">
        <v>277.9399192</v>
      </c>
      <c r="H15" s="13">
        <f>F15*1000</f>
        <v/>
      </c>
      <c r="I15" s="14">
        <f>G15-273.15</f>
        <v/>
      </c>
      <c r="K15" s="15" t="n">
        <v>2001</v>
      </c>
      <c r="L15" s="15" t="n">
        <v>1</v>
      </c>
      <c r="M15" s="15" t="n">
        <v>11</v>
      </c>
      <c r="N15" s="16" t="n">
        <v>0</v>
      </c>
      <c r="O15" s="11" t="n">
        <v>278.1833701</v>
      </c>
      <c r="P15" s="13">
        <f>N15*86400</f>
        <v/>
      </c>
      <c r="Q15" s="14">
        <f>O15-273.15</f>
        <v/>
      </c>
    </row>
    <row r="16">
      <c r="A16" s="9" t="n">
        <v>36903</v>
      </c>
      <c r="B16" s="7">
        <f>YEAR(A16)</f>
        <v/>
      </c>
      <c r="C16" s="7">
        <f>MONTH(A16)</f>
        <v/>
      </c>
      <c r="D16" s="10" t="n">
        <v>0</v>
      </c>
      <c r="E16" s="11" t="n">
        <v>1.139246078</v>
      </c>
      <c r="F16" s="12" t="n">
        <v>0</v>
      </c>
      <c r="G16" s="11" t="n">
        <v>276.1870358</v>
      </c>
      <c r="H16" s="13">
        <f>F16*1000</f>
        <v/>
      </c>
      <c r="I16" s="14">
        <f>G16-273.15</f>
        <v/>
      </c>
      <c r="K16" s="15" t="n">
        <v>2001</v>
      </c>
      <c r="L16" s="15" t="n">
        <v>1</v>
      </c>
      <c r="M16" s="15" t="n">
        <v>12</v>
      </c>
      <c r="N16" s="16" t="n">
        <v>0</v>
      </c>
      <c r="O16" s="11" t="n">
        <v>276.5254617</v>
      </c>
      <c r="P16" s="13">
        <f>N16*86400</f>
        <v/>
      </c>
      <c r="Q16" s="14">
        <f>O16-273.15</f>
        <v/>
      </c>
    </row>
    <row r="17">
      <c r="A17" s="9" t="n">
        <v>36904</v>
      </c>
      <c r="B17" s="7">
        <f>YEAR(A17)</f>
        <v/>
      </c>
      <c r="C17" s="7">
        <f>MONTH(A17)</f>
        <v/>
      </c>
      <c r="D17" s="10" t="n">
        <v>0</v>
      </c>
      <c r="E17" s="11" t="n">
        <v>1.849979575</v>
      </c>
      <c r="F17" s="12" t="n">
        <v>0</v>
      </c>
      <c r="G17" s="11" t="n">
        <v>277.2084535</v>
      </c>
      <c r="H17" s="13">
        <f>F17*1000</f>
        <v/>
      </c>
      <c r="I17" s="14">
        <f>G17-273.15</f>
        <v/>
      </c>
      <c r="K17" s="15" t="n">
        <v>2001</v>
      </c>
      <c r="L17" s="15" t="n">
        <v>1</v>
      </c>
      <c r="M17" s="15" t="n">
        <v>13</v>
      </c>
      <c r="N17" s="16" t="n">
        <v>6.872676133e-06</v>
      </c>
      <c r="O17" s="11" t="n">
        <v>277.9118525</v>
      </c>
      <c r="P17" s="13">
        <f>N17*86400</f>
        <v/>
      </c>
      <c r="Q17" s="14">
        <f>O17-273.15</f>
        <v/>
      </c>
    </row>
    <row r="18">
      <c r="A18" s="9" t="n">
        <v>36905</v>
      </c>
      <c r="B18" s="7">
        <f>YEAR(A18)</f>
        <v/>
      </c>
      <c r="C18" s="7">
        <f>MONTH(A18)</f>
        <v/>
      </c>
      <c r="D18" s="10" t="n">
        <v>1.589626666</v>
      </c>
      <c r="E18" s="11" t="n">
        <v>2.839273038</v>
      </c>
      <c r="F18" s="12" t="n">
        <v>0</v>
      </c>
      <c r="G18" s="11" t="n">
        <v>276.6654655</v>
      </c>
      <c r="H18" s="13">
        <f>F18*1000</f>
        <v/>
      </c>
      <c r="I18" s="14">
        <f>G18-273.15</f>
        <v/>
      </c>
      <c r="K18" s="15" t="n">
        <v>2001</v>
      </c>
      <c r="L18" s="15" t="n">
        <v>1</v>
      </c>
      <c r="M18" s="15" t="n">
        <v>14</v>
      </c>
      <c r="N18" s="16" t="n">
        <v>0</v>
      </c>
      <c r="O18" s="11" t="n">
        <v>279.5343165</v>
      </c>
      <c r="P18" s="13">
        <f>N18*86400</f>
        <v/>
      </c>
      <c r="Q18" s="14">
        <f>O18-273.15</f>
        <v/>
      </c>
    </row>
    <row r="19">
      <c r="A19" s="9" t="n">
        <v>36906</v>
      </c>
      <c r="B19" s="7">
        <f>YEAR(A19)</f>
        <v/>
      </c>
      <c r="C19" s="7">
        <f>MONTH(A19)</f>
        <v/>
      </c>
      <c r="D19" s="10" t="n">
        <v>0</v>
      </c>
      <c r="E19" s="11" t="n">
        <v>2.386747142</v>
      </c>
      <c r="F19" s="12" t="n">
        <v>0</v>
      </c>
      <c r="G19" s="11" t="n">
        <v>277.2994979</v>
      </c>
      <c r="H19" s="13">
        <f>F19*1000</f>
        <v/>
      </c>
      <c r="I19" s="14">
        <f>G19-273.15</f>
        <v/>
      </c>
      <c r="K19" s="15" t="n">
        <v>2001</v>
      </c>
      <c r="L19" s="15" t="n">
        <v>1</v>
      </c>
      <c r="M19" s="15" t="n">
        <v>15</v>
      </c>
      <c r="N19" s="16" t="n">
        <v>8.044934315000001e-06</v>
      </c>
      <c r="O19" s="11" t="n">
        <v>281.0629476</v>
      </c>
      <c r="P19" s="13">
        <f>N19*86400</f>
        <v/>
      </c>
      <c r="Q19" s="14">
        <f>O19-273.15</f>
        <v/>
      </c>
    </row>
    <row r="20">
      <c r="A20" s="9" t="n">
        <v>36907</v>
      </c>
      <c r="B20" s="7">
        <f>YEAR(A20)</f>
        <v/>
      </c>
      <c r="C20" s="7">
        <f>MONTH(A20)</f>
        <v/>
      </c>
      <c r="D20" s="10" t="n">
        <v>0</v>
      </c>
      <c r="E20" s="11" t="n">
        <v>1.160512928</v>
      </c>
      <c r="F20" s="12" t="n">
        <v>0</v>
      </c>
      <c r="G20" s="11" t="n">
        <v>276.4659895</v>
      </c>
      <c r="H20" s="13">
        <f>F20*1000</f>
        <v/>
      </c>
      <c r="I20" s="14">
        <f>G20-273.15</f>
        <v/>
      </c>
      <c r="K20" s="15" t="n">
        <v>2001</v>
      </c>
      <c r="L20" s="15" t="n">
        <v>1</v>
      </c>
      <c r="M20" s="15" t="n">
        <v>16</v>
      </c>
      <c r="N20" s="16" t="n">
        <v>4.721516108e-05</v>
      </c>
      <c r="O20" s="11" t="n">
        <v>280.4683667</v>
      </c>
      <c r="P20" s="13">
        <f>N20*86400</f>
        <v/>
      </c>
      <c r="Q20" s="14">
        <f>O20-273.15</f>
        <v/>
      </c>
    </row>
    <row r="21">
      <c r="A21" s="9" t="n">
        <v>36908</v>
      </c>
      <c r="B21" s="7">
        <f>YEAR(A21)</f>
        <v/>
      </c>
      <c r="C21" s="7">
        <f>MONTH(A21)</f>
        <v/>
      </c>
      <c r="D21" s="10" t="n">
        <v>0</v>
      </c>
      <c r="E21" s="11" t="n">
        <v>0.02673268293</v>
      </c>
      <c r="F21" s="12" t="n">
        <v>0</v>
      </c>
      <c r="G21" s="11" t="n">
        <v>276.2976384</v>
      </c>
      <c r="H21" s="13">
        <f>F21*1000</f>
        <v/>
      </c>
      <c r="I21" s="14">
        <f>G21-273.15</f>
        <v/>
      </c>
      <c r="K21" s="15" t="n">
        <v>2001</v>
      </c>
      <c r="L21" s="15" t="n">
        <v>1</v>
      </c>
      <c r="M21" s="15" t="n">
        <v>17</v>
      </c>
      <c r="N21" s="16" t="n">
        <v>0</v>
      </c>
      <c r="O21" s="11" t="n">
        <v>279.8822194</v>
      </c>
      <c r="P21" s="13">
        <f>N21*86400</f>
        <v/>
      </c>
      <c r="Q21" s="14">
        <f>O21-273.15</f>
        <v/>
      </c>
    </row>
    <row r="22">
      <c r="A22" s="9" t="n">
        <v>36909</v>
      </c>
      <c r="B22" s="7">
        <f>YEAR(A22)</f>
        <v/>
      </c>
      <c r="C22" s="7">
        <f>MONTH(A22)</f>
        <v/>
      </c>
      <c r="D22" s="10" t="n">
        <v>0</v>
      </c>
      <c r="E22" s="11" t="n">
        <v>2.191268239</v>
      </c>
      <c r="F22" s="12" t="n">
        <v>0.0004293077698</v>
      </c>
      <c r="G22" s="11" t="n">
        <v>278.06692</v>
      </c>
      <c r="H22" s="13">
        <f>F22*1000</f>
        <v/>
      </c>
      <c r="I22" s="14">
        <f>G22-273.15</f>
        <v/>
      </c>
      <c r="K22" s="15" t="n">
        <v>2001</v>
      </c>
      <c r="L22" s="15" t="n">
        <v>1</v>
      </c>
      <c r="M22" s="15" t="n">
        <v>18</v>
      </c>
      <c r="N22" s="16" t="n">
        <v>0</v>
      </c>
      <c r="O22" s="11" t="n">
        <v>279.7745584</v>
      </c>
      <c r="P22" s="13">
        <f>N22*86400</f>
        <v/>
      </c>
      <c r="Q22" s="14">
        <f>O22-273.15</f>
        <v/>
      </c>
    </row>
    <row r="23">
      <c r="A23" s="9" t="n">
        <v>36910</v>
      </c>
      <c r="B23" s="7">
        <f>YEAR(A23)</f>
        <v/>
      </c>
      <c r="C23" s="7">
        <f>MONTH(A23)</f>
        <v/>
      </c>
      <c r="D23" s="10" t="n">
        <v>2.461851863</v>
      </c>
      <c r="E23" s="11" t="n">
        <v>2.234712576</v>
      </c>
      <c r="F23" s="12" t="n">
        <v>0.0004558916855</v>
      </c>
      <c r="G23" s="11" t="n">
        <v>277.9357363</v>
      </c>
      <c r="H23" s="13">
        <f>F23*1000</f>
        <v/>
      </c>
      <c r="I23" s="14">
        <f>G23-273.15</f>
        <v/>
      </c>
      <c r="K23" s="15" t="n">
        <v>2001</v>
      </c>
      <c r="L23" s="15" t="n">
        <v>1</v>
      </c>
      <c r="M23" s="15" t="n">
        <v>19</v>
      </c>
      <c r="N23" s="16" t="n">
        <v>0</v>
      </c>
      <c r="O23" s="11" t="n">
        <v>278.5633797</v>
      </c>
      <c r="P23" s="13">
        <f>N23*86400</f>
        <v/>
      </c>
      <c r="Q23" s="14">
        <f>O23-273.15</f>
        <v/>
      </c>
    </row>
    <row r="24">
      <c r="A24" s="9" t="n">
        <v>36911</v>
      </c>
      <c r="B24" s="7">
        <f>YEAR(A24)</f>
        <v/>
      </c>
      <c r="C24" s="7">
        <f>MONTH(A24)</f>
        <v/>
      </c>
      <c r="D24" s="10" t="n">
        <v>0.06261461101</v>
      </c>
      <c r="E24" s="11" t="n">
        <v>7.314113358</v>
      </c>
      <c r="F24" s="12" t="n">
        <v>3.366380734e-05</v>
      </c>
      <c r="G24" s="11" t="n">
        <v>282.511011</v>
      </c>
      <c r="H24" s="13">
        <f>F24*1000</f>
        <v/>
      </c>
      <c r="I24" s="14">
        <f>G24-273.15</f>
        <v/>
      </c>
      <c r="K24" s="15" t="n">
        <v>2001</v>
      </c>
      <c r="L24" s="15" t="n">
        <v>1</v>
      </c>
      <c r="M24" s="15" t="n">
        <v>20</v>
      </c>
      <c r="N24" s="16" t="n">
        <v>0</v>
      </c>
      <c r="O24" s="11" t="n">
        <v>279.888677</v>
      </c>
      <c r="P24" s="13">
        <f>N24*86400</f>
        <v/>
      </c>
      <c r="Q24" s="14">
        <f>O24-273.15</f>
        <v/>
      </c>
    </row>
    <row r="25">
      <c r="A25" s="9" t="n">
        <v>36912</v>
      </c>
      <c r="B25" s="7">
        <f>YEAR(A25)</f>
        <v/>
      </c>
      <c r="C25" s="7">
        <f>MONTH(A25)</f>
        <v/>
      </c>
      <c r="D25" s="10" t="n">
        <v>0</v>
      </c>
      <c r="E25" s="11" t="n">
        <v>6.247341611</v>
      </c>
      <c r="F25" s="12" t="n">
        <v>0</v>
      </c>
      <c r="G25" s="11" t="n">
        <v>281.5186434</v>
      </c>
      <c r="H25" s="13">
        <f>F25*1000</f>
        <v/>
      </c>
      <c r="I25" s="14">
        <f>G25-273.15</f>
        <v/>
      </c>
      <c r="K25" s="15" t="n">
        <v>2001</v>
      </c>
      <c r="L25" s="15" t="n">
        <v>1</v>
      </c>
      <c r="M25" s="15" t="n">
        <v>21</v>
      </c>
      <c r="N25" s="16" t="n">
        <v>0</v>
      </c>
      <c r="O25" s="11" t="n">
        <v>282.7018481</v>
      </c>
      <c r="P25" s="13">
        <f>N25*86400</f>
        <v/>
      </c>
      <c r="Q25" s="14">
        <f>O25-273.15</f>
        <v/>
      </c>
    </row>
    <row r="26">
      <c r="A26" s="9" t="n">
        <v>36913</v>
      </c>
      <c r="B26" s="7">
        <f>YEAR(A26)</f>
        <v/>
      </c>
      <c r="C26" s="7">
        <f>MONTH(A26)</f>
        <v/>
      </c>
      <c r="D26" s="10" t="n">
        <v>0</v>
      </c>
      <c r="E26" s="11" t="n">
        <v>3.187898434</v>
      </c>
      <c r="F26" s="12" t="n">
        <v>0</v>
      </c>
      <c r="G26" s="11" t="n">
        <v>280.0459022</v>
      </c>
      <c r="H26" s="13">
        <f>F26*1000</f>
        <v/>
      </c>
      <c r="I26" s="14">
        <f>G26-273.15</f>
        <v/>
      </c>
      <c r="K26" s="15" t="n">
        <v>2001</v>
      </c>
      <c r="L26" s="15" t="n">
        <v>1</v>
      </c>
      <c r="M26" s="15" t="n">
        <v>22</v>
      </c>
      <c r="N26" s="16" t="n">
        <v>0</v>
      </c>
      <c r="O26" s="11" t="n">
        <v>281.0572467</v>
      </c>
      <c r="P26" s="13">
        <f>N26*86400</f>
        <v/>
      </c>
      <c r="Q26" s="14">
        <f>O26-273.15</f>
        <v/>
      </c>
    </row>
    <row r="27">
      <c r="A27" s="9" t="n">
        <v>36914</v>
      </c>
      <c r="B27" s="7">
        <f>YEAR(A27)</f>
        <v/>
      </c>
      <c r="C27" s="7">
        <f>MONTH(A27)</f>
        <v/>
      </c>
      <c r="D27" s="10" t="n">
        <v>0</v>
      </c>
      <c r="E27" s="11" t="n">
        <v>6.779116266</v>
      </c>
      <c r="F27" s="12" t="n">
        <v>0</v>
      </c>
      <c r="G27" s="11" t="n">
        <v>282.4853795</v>
      </c>
      <c r="H27" s="13">
        <f>F27*1000</f>
        <v/>
      </c>
      <c r="I27" s="14">
        <f>G27-273.15</f>
        <v/>
      </c>
      <c r="K27" s="15" t="n">
        <v>2001</v>
      </c>
      <c r="L27" s="15" t="n">
        <v>1</v>
      </c>
      <c r="M27" s="15" t="n">
        <v>23</v>
      </c>
      <c r="N27" s="16" t="n">
        <v>0</v>
      </c>
      <c r="O27" s="11" t="n">
        <v>280.9650001</v>
      </c>
      <c r="P27" s="13">
        <f>N27*86400</f>
        <v/>
      </c>
      <c r="Q27" s="14">
        <f>O27-273.15</f>
        <v/>
      </c>
    </row>
    <row r="28">
      <c r="A28" s="9" t="n">
        <v>36915</v>
      </c>
      <c r="B28" s="7">
        <f>YEAR(A28)</f>
        <v/>
      </c>
      <c r="C28" s="7">
        <f>MONTH(A28)</f>
        <v/>
      </c>
      <c r="D28" s="10" t="n">
        <v>0</v>
      </c>
      <c r="E28" s="11" t="n">
        <v>6.115070184</v>
      </c>
      <c r="F28" s="12" t="n">
        <v>2.18965467e-05</v>
      </c>
      <c r="G28" s="11" t="n">
        <v>282.1220434</v>
      </c>
      <c r="H28" s="13">
        <f>F28*1000</f>
        <v/>
      </c>
      <c r="I28" s="14">
        <f>G28-273.15</f>
        <v/>
      </c>
      <c r="K28" s="15" t="n">
        <v>2001</v>
      </c>
      <c r="L28" s="15" t="n">
        <v>1</v>
      </c>
      <c r="M28" s="15" t="n">
        <v>24</v>
      </c>
      <c r="N28" s="16" t="n">
        <v>0</v>
      </c>
      <c r="O28" s="11" t="n">
        <v>281.0105904</v>
      </c>
      <c r="P28" s="13">
        <f>N28*86400</f>
        <v/>
      </c>
      <c r="Q28" s="14">
        <f>O28-273.15</f>
        <v/>
      </c>
    </row>
    <row r="29">
      <c r="A29" s="9" t="n">
        <v>36916</v>
      </c>
      <c r="B29" s="7">
        <f>YEAR(A29)</f>
        <v/>
      </c>
      <c r="C29" s="7">
        <f>MONTH(A29)</f>
        <v/>
      </c>
      <c r="D29" s="10" t="n">
        <v>0</v>
      </c>
      <c r="E29" s="11" t="n">
        <v>6.798881827</v>
      </c>
      <c r="F29" s="12" t="n">
        <v>0.003192606311</v>
      </c>
      <c r="G29" s="11" t="n">
        <v>282.6720995</v>
      </c>
      <c r="H29" s="13">
        <f>F29*1000</f>
        <v/>
      </c>
      <c r="I29" s="14">
        <f>G29-273.15</f>
        <v/>
      </c>
      <c r="K29" s="15" t="n">
        <v>2001</v>
      </c>
      <c r="L29" s="15" t="n">
        <v>1</v>
      </c>
      <c r="M29" s="15" t="n">
        <v>25</v>
      </c>
      <c r="N29" s="16" t="n">
        <v>6.130647133e-06</v>
      </c>
      <c r="O29" s="11" t="n">
        <v>279.7958274</v>
      </c>
      <c r="P29" s="13">
        <f>N29*86400</f>
        <v/>
      </c>
      <c r="Q29" s="14">
        <f>O29-273.15</f>
        <v/>
      </c>
    </row>
    <row r="30">
      <c r="A30" s="9" t="n">
        <v>36917</v>
      </c>
      <c r="B30" s="7">
        <f>YEAR(A30)</f>
        <v/>
      </c>
      <c r="C30" s="7">
        <f>MONTH(A30)</f>
        <v/>
      </c>
      <c r="D30" s="10" t="n">
        <v>0</v>
      </c>
      <c r="E30" s="11" t="n">
        <v>6.419550401</v>
      </c>
      <c r="F30" s="12" t="n">
        <v>0</v>
      </c>
      <c r="G30" s="11" t="n">
        <v>281.5711431</v>
      </c>
      <c r="H30" s="13">
        <f>F30*1000</f>
        <v/>
      </c>
      <c r="I30" s="14">
        <f>G30-273.15</f>
        <v/>
      </c>
      <c r="K30" s="15" t="n">
        <v>2001</v>
      </c>
      <c r="L30" s="15" t="n">
        <v>1</v>
      </c>
      <c r="M30" s="15" t="n">
        <v>26</v>
      </c>
      <c r="N30" s="16" t="n">
        <v>3.153102015e-06</v>
      </c>
      <c r="O30" s="11" t="n">
        <v>278.2386886</v>
      </c>
      <c r="P30" s="13">
        <f>N30*86400</f>
        <v/>
      </c>
      <c r="Q30" s="14">
        <f>O30-273.15</f>
        <v/>
      </c>
    </row>
    <row r="31">
      <c r="A31" s="9" t="n">
        <v>36918</v>
      </c>
      <c r="B31" s="7">
        <f>YEAR(A31)</f>
        <v/>
      </c>
      <c r="C31" s="7">
        <f>MONTH(A31)</f>
        <v/>
      </c>
      <c r="D31" s="10" t="n">
        <v>0</v>
      </c>
      <c r="E31" s="11" t="n">
        <v>5.546876824</v>
      </c>
      <c r="F31" s="12" t="n">
        <v>0</v>
      </c>
      <c r="G31" s="11" t="n">
        <v>280.7137226</v>
      </c>
      <c r="H31" s="13">
        <f>F31*1000</f>
        <v/>
      </c>
      <c r="I31" s="14">
        <f>G31-273.15</f>
        <v/>
      </c>
      <c r="K31" s="15" t="n">
        <v>2001</v>
      </c>
      <c r="L31" s="15" t="n">
        <v>1</v>
      </c>
      <c r="M31" s="15" t="n">
        <v>27</v>
      </c>
      <c r="N31" s="16" t="n">
        <v>2.683752899e-07</v>
      </c>
      <c r="O31" s="11" t="n">
        <v>280.274274</v>
      </c>
      <c r="P31" s="13">
        <f>N31*86400</f>
        <v/>
      </c>
      <c r="Q31" s="14">
        <f>O31-273.15</f>
        <v/>
      </c>
    </row>
    <row r="32">
      <c r="A32" s="9" t="n">
        <v>36919</v>
      </c>
      <c r="B32" s="7">
        <f>YEAR(A32)</f>
        <v/>
      </c>
      <c r="C32" s="7">
        <f>MONTH(A32)</f>
        <v/>
      </c>
      <c r="D32" s="10" t="n">
        <v>4.08752194</v>
      </c>
      <c r="E32" s="11" t="n">
        <v>3.842927282</v>
      </c>
      <c r="F32" s="12" t="n">
        <v>0.000306174034</v>
      </c>
      <c r="G32" s="11" t="n">
        <v>279.782022</v>
      </c>
      <c r="H32" s="13">
        <f>F32*1000</f>
        <v/>
      </c>
      <c r="I32" s="14">
        <f>G32-273.15</f>
        <v/>
      </c>
      <c r="K32" s="15" t="n">
        <v>2001</v>
      </c>
      <c r="L32" s="15" t="n">
        <v>1</v>
      </c>
      <c r="M32" s="15" t="n">
        <v>28</v>
      </c>
      <c r="N32" s="16" t="n">
        <v>0</v>
      </c>
      <c r="O32" s="11" t="n">
        <v>280.2732455</v>
      </c>
      <c r="P32" s="13">
        <f>N32*86400</f>
        <v/>
      </c>
      <c r="Q32" s="14">
        <f>O32-273.15</f>
        <v/>
      </c>
    </row>
    <row r="33">
      <c r="A33" s="9" t="n">
        <v>36920</v>
      </c>
      <c r="B33" s="7">
        <f>YEAR(A33)</f>
        <v/>
      </c>
      <c r="C33" s="7">
        <f>MONTH(A33)</f>
        <v/>
      </c>
      <c r="D33" s="10" t="n">
        <v>3.956422192</v>
      </c>
      <c r="E33" s="11" t="n">
        <v>2.299848593</v>
      </c>
      <c r="F33" s="12" t="n">
        <v>0</v>
      </c>
      <c r="G33" s="11" t="n">
        <v>278.3912823</v>
      </c>
      <c r="H33" s="13">
        <f>F33*1000</f>
        <v/>
      </c>
      <c r="I33" s="14">
        <f>G33-273.15</f>
        <v/>
      </c>
      <c r="K33" s="15" t="n">
        <v>2001</v>
      </c>
      <c r="L33" s="15" t="n">
        <v>1</v>
      </c>
      <c r="M33" s="15" t="n">
        <v>29</v>
      </c>
      <c r="N33" s="16" t="n">
        <v>0</v>
      </c>
      <c r="O33" s="11" t="n">
        <v>282.7415378</v>
      </c>
      <c r="P33" s="13">
        <f>N33*86400</f>
        <v/>
      </c>
      <c r="Q33" s="14">
        <f>O33-273.15</f>
        <v/>
      </c>
    </row>
    <row r="34">
      <c r="A34" s="9" t="n">
        <v>36921</v>
      </c>
      <c r="B34" s="7">
        <f>YEAR(A34)</f>
        <v/>
      </c>
      <c r="C34" s="7">
        <f>MONTH(A34)</f>
        <v/>
      </c>
      <c r="D34" s="10" t="n">
        <v>0</v>
      </c>
      <c r="E34" s="11" t="n">
        <v>0.8072319736</v>
      </c>
      <c r="F34" s="12" t="n">
        <v>0</v>
      </c>
      <c r="G34" s="11" t="n">
        <v>277.3444833</v>
      </c>
      <c r="H34" s="13">
        <f>F34*1000</f>
        <v/>
      </c>
      <c r="I34" s="14">
        <f>G34-273.15</f>
        <v/>
      </c>
      <c r="K34" s="15" t="n">
        <v>2001</v>
      </c>
      <c r="L34" s="15" t="n">
        <v>1</v>
      </c>
      <c r="M34" s="15" t="n">
        <v>30</v>
      </c>
      <c r="N34" s="16" t="n">
        <v>4.603420885e-05</v>
      </c>
      <c r="O34" s="11" t="n">
        <v>280.8268198</v>
      </c>
      <c r="P34" s="13">
        <f>N34*86400</f>
        <v/>
      </c>
      <c r="Q34" s="14">
        <f>O34-273.15</f>
        <v/>
      </c>
    </row>
    <row r="35">
      <c r="A35" s="9" t="n">
        <v>36922</v>
      </c>
      <c r="B35" s="7">
        <f>YEAR(A35)</f>
        <v/>
      </c>
      <c r="C35" s="7">
        <f>MONTH(A35)</f>
        <v/>
      </c>
      <c r="D35" s="10" t="n">
        <v>0</v>
      </c>
      <c r="E35" s="11" t="n">
        <v>0.7583954677</v>
      </c>
      <c r="F35" s="12" t="n">
        <v>0</v>
      </c>
      <c r="G35" s="11" t="n">
        <v>277.5770116</v>
      </c>
      <c r="H35" s="13">
        <f>F35*1000</f>
        <v/>
      </c>
      <c r="I35" s="14">
        <f>G35-273.15</f>
        <v/>
      </c>
      <c r="K35" s="15" t="n">
        <v>2001</v>
      </c>
      <c r="L35" s="15" t="n">
        <v>2</v>
      </c>
      <c r="M35" s="15" t="n">
        <v>1</v>
      </c>
      <c r="N35" s="16" t="n">
        <v>3.064879336e-05</v>
      </c>
      <c r="O35" s="11" t="n">
        <v>281.010109</v>
      </c>
      <c r="P35" s="13">
        <f>N35*86400</f>
        <v/>
      </c>
      <c r="Q35" s="14">
        <f>O35-273.15</f>
        <v/>
      </c>
    </row>
    <row r="36">
      <c r="A36" s="9" t="n">
        <v>36923</v>
      </c>
      <c r="B36" s="7">
        <f>YEAR(A36)</f>
        <v/>
      </c>
      <c r="C36" s="7">
        <f>MONTH(A36)</f>
        <v/>
      </c>
      <c r="D36" s="10" t="n">
        <v>0</v>
      </c>
      <c r="E36" s="11" t="n">
        <v>2.394999703</v>
      </c>
      <c r="F36" s="12" t="n">
        <v>0</v>
      </c>
      <c r="G36" s="11" t="n">
        <v>278.0489804</v>
      </c>
      <c r="H36" s="13">
        <f>F36*1000</f>
        <v/>
      </c>
      <c r="I36" s="14">
        <f>G36-273.15</f>
        <v/>
      </c>
      <c r="K36" s="15" t="n">
        <v>2001</v>
      </c>
      <c r="L36" s="15" t="n">
        <v>2</v>
      </c>
      <c r="M36" s="15" t="n">
        <v>2</v>
      </c>
      <c r="N36" s="16" t="n">
        <v>4.450211999e-07</v>
      </c>
      <c r="O36" s="11" t="n">
        <v>279.9267983</v>
      </c>
      <c r="P36" s="13">
        <f>N36*86400</f>
        <v/>
      </c>
      <c r="Q36" s="14">
        <f>O36-273.15</f>
        <v/>
      </c>
    </row>
    <row r="37">
      <c r="A37" s="9" t="n">
        <v>36924</v>
      </c>
      <c r="B37" s="7">
        <f>YEAR(A37)</f>
        <v/>
      </c>
      <c r="C37" s="7">
        <f>MONTH(A37)</f>
        <v/>
      </c>
      <c r="D37" s="10" t="n">
        <v>0</v>
      </c>
      <c r="E37" s="11" t="n">
        <v>5.523616214</v>
      </c>
      <c r="F37" s="12" t="n">
        <v>0</v>
      </c>
      <c r="G37" s="11" t="n">
        <v>280.1862454</v>
      </c>
      <c r="H37" s="13">
        <f>F37*1000</f>
        <v/>
      </c>
      <c r="I37" s="14">
        <f>G37-273.15</f>
        <v/>
      </c>
      <c r="K37" s="15" t="n">
        <v>2001</v>
      </c>
      <c r="L37" s="15" t="n">
        <v>2</v>
      </c>
      <c r="M37" s="15" t="n">
        <v>3</v>
      </c>
      <c r="N37" s="16" t="n">
        <v>6.919077334e-05</v>
      </c>
      <c r="O37" s="11" t="n">
        <v>279.8642031</v>
      </c>
      <c r="P37" s="13">
        <f>N37*86400</f>
        <v/>
      </c>
      <c r="Q37" s="14">
        <f>O37-273.15</f>
        <v/>
      </c>
    </row>
    <row r="38">
      <c r="A38" s="9" t="n">
        <v>36925</v>
      </c>
      <c r="B38" s="7">
        <f>YEAR(A38)</f>
        <v/>
      </c>
      <c r="C38" s="7">
        <f>MONTH(A38)</f>
        <v/>
      </c>
      <c r="D38" s="10" t="n">
        <v>0</v>
      </c>
      <c r="E38" s="11" t="n">
        <v>6.110674205</v>
      </c>
      <c r="F38" s="12" t="n">
        <v>0</v>
      </c>
      <c r="G38" s="11" t="n">
        <v>280.6501577</v>
      </c>
      <c r="H38" s="13">
        <f>F38*1000</f>
        <v/>
      </c>
      <c r="I38" s="14">
        <f>G38-273.15</f>
        <v/>
      </c>
      <c r="K38" s="15" t="n">
        <v>2001</v>
      </c>
      <c r="L38" s="15" t="n">
        <v>2</v>
      </c>
      <c r="M38" s="15" t="n">
        <v>4</v>
      </c>
      <c r="N38" s="16" t="n">
        <v>3.267771948e-05</v>
      </c>
      <c r="O38" s="11" t="n">
        <v>280.3779821</v>
      </c>
      <c r="P38" s="13">
        <f>N38*86400</f>
        <v/>
      </c>
      <c r="Q38" s="14">
        <f>O38-273.15</f>
        <v/>
      </c>
    </row>
    <row r="39">
      <c r="A39" s="9" t="n">
        <v>36926</v>
      </c>
      <c r="B39" s="7">
        <f>YEAR(A39)</f>
        <v/>
      </c>
      <c r="C39" s="7">
        <f>MONTH(A39)</f>
        <v/>
      </c>
      <c r="D39" s="10" t="n">
        <v>0</v>
      </c>
      <c r="E39" s="11" t="n">
        <v>7.988341754</v>
      </c>
      <c r="F39" s="12" t="n">
        <v>0</v>
      </c>
      <c r="G39" s="11" t="n">
        <v>281.9683926</v>
      </c>
      <c r="H39" s="13">
        <f>F39*1000</f>
        <v/>
      </c>
      <c r="I39" s="14">
        <f>G39-273.15</f>
        <v/>
      </c>
      <c r="K39" s="15" t="n">
        <v>2001</v>
      </c>
      <c r="L39" s="15" t="n">
        <v>2</v>
      </c>
      <c r="M39" s="15" t="n">
        <v>5</v>
      </c>
      <c r="N39" s="16" t="n">
        <v>0</v>
      </c>
      <c r="O39" s="11" t="n">
        <v>281.0461455</v>
      </c>
      <c r="P39" s="13">
        <f>N39*86400</f>
        <v/>
      </c>
      <c r="Q39" s="14">
        <f>O39-273.15</f>
        <v/>
      </c>
    </row>
    <row r="40">
      <c r="A40" s="9" t="n">
        <v>36927</v>
      </c>
      <c r="B40" s="7">
        <f>YEAR(A40)</f>
        <v/>
      </c>
      <c r="C40" s="7">
        <f>MONTH(A40)</f>
        <v/>
      </c>
      <c r="D40" s="10" t="n">
        <v>0</v>
      </c>
      <c r="E40" s="11" t="n">
        <v>7.641241704</v>
      </c>
      <c r="F40" s="12" t="n">
        <v>0</v>
      </c>
      <c r="G40" s="11" t="n">
        <v>282.0097341</v>
      </c>
      <c r="H40" s="13">
        <f>F40*1000</f>
        <v/>
      </c>
      <c r="I40" s="14">
        <f>G40-273.15</f>
        <v/>
      </c>
      <c r="K40" s="15" t="n">
        <v>2001</v>
      </c>
      <c r="L40" s="15" t="n">
        <v>2</v>
      </c>
      <c r="M40" s="15" t="n">
        <v>6</v>
      </c>
      <c r="N40" s="16" t="n">
        <v>1.38380974e-05</v>
      </c>
      <c r="O40" s="11" t="n">
        <v>282.7821148</v>
      </c>
      <c r="P40" s="13">
        <f>N40*86400</f>
        <v/>
      </c>
      <c r="Q40" s="14">
        <f>O40-273.15</f>
        <v/>
      </c>
    </row>
    <row r="41">
      <c r="A41" s="9" t="n">
        <v>36928</v>
      </c>
      <c r="B41" s="7">
        <f>YEAR(A41)</f>
        <v/>
      </c>
      <c r="C41" s="7">
        <f>MONTH(A41)</f>
        <v/>
      </c>
      <c r="D41" s="10" t="n">
        <v>0</v>
      </c>
      <c r="E41" s="11" t="n">
        <v>8.55227681</v>
      </c>
      <c r="F41" s="12" t="n">
        <v>0</v>
      </c>
      <c r="G41" s="11" t="n">
        <v>283.0516441</v>
      </c>
      <c r="H41" s="13">
        <f>F41*1000</f>
        <v/>
      </c>
      <c r="I41" s="14">
        <f>G41-273.15</f>
        <v/>
      </c>
      <c r="K41" s="15" t="n">
        <v>2001</v>
      </c>
      <c r="L41" s="15" t="n">
        <v>2</v>
      </c>
      <c r="M41" s="15" t="n">
        <v>7</v>
      </c>
      <c r="N41" s="16" t="n">
        <v>4.766282472e-06</v>
      </c>
      <c r="O41" s="11" t="n">
        <v>282.1826679</v>
      </c>
      <c r="P41" s="13">
        <f>N41*86400</f>
        <v/>
      </c>
      <c r="Q41" s="14">
        <f>O41-273.15</f>
        <v/>
      </c>
    </row>
    <row r="42">
      <c r="A42" s="9" t="n">
        <v>36929</v>
      </c>
      <c r="B42" s="7">
        <f>YEAR(A42)</f>
        <v/>
      </c>
      <c r="C42" s="7">
        <f>MONTH(A42)</f>
        <v/>
      </c>
      <c r="D42" s="10" t="n">
        <v>0</v>
      </c>
      <c r="E42" s="11" t="n">
        <v>7.219409677</v>
      </c>
      <c r="F42" s="12" t="n">
        <v>0</v>
      </c>
      <c r="G42" s="11" t="n">
        <v>282.145829</v>
      </c>
      <c r="H42" s="13">
        <f>F42*1000</f>
        <v/>
      </c>
      <c r="I42" s="14">
        <f>G42-273.15</f>
        <v/>
      </c>
      <c r="K42" s="15" t="n">
        <v>2001</v>
      </c>
      <c r="L42" s="15" t="n">
        <v>2</v>
      </c>
      <c r="M42" s="15" t="n">
        <v>8</v>
      </c>
      <c r="N42" s="16" t="n">
        <v>0</v>
      </c>
      <c r="O42" s="11" t="n">
        <v>284.1353615</v>
      </c>
      <c r="P42" s="13">
        <f>N42*86400</f>
        <v/>
      </c>
      <c r="Q42" s="14">
        <f>O42-273.15</f>
        <v/>
      </c>
    </row>
    <row r="43">
      <c r="A43" s="9" t="n">
        <v>36930</v>
      </c>
      <c r="B43" s="7">
        <f>YEAR(A43)</f>
        <v/>
      </c>
      <c r="C43" s="7">
        <f>MONTH(A43)</f>
        <v/>
      </c>
      <c r="D43" s="10" t="n">
        <v>0</v>
      </c>
      <c r="E43" s="11" t="n">
        <v>7.014990831</v>
      </c>
      <c r="F43" s="12" t="n">
        <v>6.354375655e-05</v>
      </c>
      <c r="G43" s="11" t="n">
        <v>281.781458</v>
      </c>
      <c r="H43" s="13">
        <f>F43*1000</f>
        <v/>
      </c>
      <c r="I43" s="14">
        <f>G43-273.15</f>
        <v/>
      </c>
      <c r="K43" s="15" t="n">
        <v>2001</v>
      </c>
      <c r="L43" s="15" t="n">
        <v>2</v>
      </c>
      <c r="M43" s="15" t="n">
        <v>9</v>
      </c>
      <c r="N43" s="16" t="n">
        <v>0</v>
      </c>
      <c r="O43" s="11" t="n">
        <v>284.065981</v>
      </c>
      <c r="P43" s="13">
        <f>N43*86400</f>
        <v/>
      </c>
      <c r="Q43" s="14">
        <f>O43-273.15</f>
        <v/>
      </c>
    </row>
    <row r="44">
      <c r="A44" s="9" t="n">
        <v>36931</v>
      </c>
      <c r="B44" s="7">
        <f>YEAR(A44)</f>
        <v/>
      </c>
      <c r="C44" s="7">
        <f>MONTH(A44)</f>
        <v/>
      </c>
      <c r="D44" s="10" t="n">
        <v>0</v>
      </c>
      <c r="E44" s="11" t="n">
        <v>5.255291607</v>
      </c>
      <c r="F44" s="12" t="n">
        <v>0</v>
      </c>
      <c r="G44" s="11" t="n">
        <v>279.8703078</v>
      </c>
      <c r="H44" s="13">
        <f>F44*1000</f>
        <v/>
      </c>
      <c r="I44" s="14">
        <f>G44-273.15</f>
        <v/>
      </c>
      <c r="K44" s="15" t="n">
        <v>2001</v>
      </c>
      <c r="L44" s="15" t="n">
        <v>2</v>
      </c>
      <c r="M44" s="15" t="n">
        <v>10</v>
      </c>
      <c r="N44" s="16" t="n">
        <v>0</v>
      </c>
      <c r="O44" s="11" t="n">
        <v>282.8868155</v>
      </c>
      <c r="P44" s="13">
        <f>N44*86400</f>
        <v/>
      </c>
      <c r="Q44" s="14">
        <f>O44-273.15</f>
        <v/>
      </c>
    </row>
    <row r="45">
      <c r="A45" s="9" t="n">
        <v>36932</v>
      </c>
      <c r="B45" s="7">
        <f>YEAR(A45)</f>
        <v/>
      </c>
      <c r="C45" s="7">
        <f>MONTH(A45)</f>
        <v/>
      </c>
      <c r="D45" s="10" t="n">
        <v>3.744095491</v>
      </c>
      <c r="E45" s="11" t="n">
        <v>4.205766402</v>
      </c>
      <c r="F45" s="12" t="n">
        <v>0.0002184214348</v>
      </c>
      <c r="G45" s="11" t="n">
        <v>279.2525279</v>
      </c>
      <c r="H45" s="13">
        <f>F45*1000</f>
        <v/>
      </c>
      <c r="I45" s="14">
        <f>G45-273.15</f>
        <v/>
      </c>
      <c r="K45" s="15" t="n">
        <v>2001</v>
      </c>
      <c r="L45" s="15" t="n">
        <v>2</v>
      </c>
      <c r="M45" s="15" t="n">
        <v>11</v>
      </c>
      <c r="N45" s="16" t="n">
        <v>3.475900133e-07</v>
      </c>
      <c r="O45" s="11" t="n">
        <v>284.2150529</v>
      </c>
      <c r="P45" s="13">
        <f>N45*86400</f>
        <v/>
      </c>
      <c r="Q45" s="14">
        <f>O45-273.15</f>
        <v/>
      </c>
    </row>
    <row r="46">
      <c r="A46" s="9" t="n">
        <v>36933</v>
      </c>
      <c r="B46" s="7">
        <f>YEAR(A46)</f>
        <v/>
      </c>
      <c r="C46" s="7">
        <f>MONTH(A46)</f>
        <v/>
      </c>
      <c r="D46" s="10" t="n">
        <v>0</v>
      </c>
      <c r="E46" s="11" t="n">
        <v>3.81729371</v>
      </c>
      <c r="F46" s="12" t="n">
        <v>0</v>
      </c>
      <c r="G46" s="11" t="n">
        <v>279.0174518</v>
      </c>
      <c r="H46" s="13">
        <f>F46*1000</f>
        <v/>
      </c>
      <c r="I46" s="14">
        <f>G46-273.15</f>
        <v/>
      </c>
      <c r="K46" s="15" t="n">
        <v>2001</v>
      </c>
      <c r="L46" s="15" t="n">
        <v>2</v>
      </c>
      <c r="M46" s="15" t="n">
        <v>12</v>
      </c>
      <c r="N46" s="16" t="n">
        <v>0</v>
      </c>
      <c r="O46" s="11" t="n">
        <v>282.3636004</v>
      </c>
      <c r="P46" s="13">
        <f>N46*86400</f>
        <v/>
      </c>
      <c r="Q46" s="14">
        <f>O46-273.15</f>
        <v/>
      </c>
    </row>
    <row r="47">
      <c r="A47" s="9" t="n">
        <v>36934</v>
      </c>
      <c r="B47" s="7">
        <f>YEAR(A47)</f>
        <v/>
      </c>
      <c r="C47" s="7">
        <f>MONTH(A47)</f>
        <v/>
      </c>
      <c r="D47" s="10" t="n">
        <v>0</v>
      </c>
      <c r="E47" s="11" t="n">
        <v>6.778744557</v>
      </c>
      <c r="F47" s="12" t="n">
        <v>0</v>
      </c>
      <c r="G47" s="11" t="n">
        <v>280.6803661</v>
      </c>
      <c r="H47" s="13">
        <f>F47*1000</f>
        <v/>
      </c>
      <c r="I47" s="14">
        <f>G47-273.15</f>
        <v/>
      </c>
      <c r="K47" s="15" t="n">
        <v>2001</v>
      </c>
      <c r="L47" s="15" t="n">
        <v>2</v>
      </c>
      <c r="M47" s="15" t="n">
        <v>13</v>
      </c>
      <c r="N47" s="16" t="n">
        <v>0</v>
      </c>
      <c r="O47" s="11" t="n">
        <v>282.0195684</v>
      </c>
      <c r="P47" s="13">
        <f>N47*86400</f>
        <v/>
      </c>
      <c r="Q47" s="14">
        <f>O47-273.15</f>
        <v/>
      </c>
    </row>
    <row r="48">
      <c r="A48" s="9" t="n">
        <v>36935</v>
      </c>
      <c r="B48" s="7">
        <f>YEAR(A48)</f>
        <v/>
      </c>
      <c r="C48" s="7">
        <f>MONTH(A48)</f>
        <v/>
      </c>
      <c r="D48" s="10" t="n">
        <v>4.514090488</v>
      </c>
      <c r="E48" s="11" t="n">
        <v>6.48576269</v>
      </c>
      <c r="F48" s="12" t="n">
        <v>0.005194983386</v>
      </c>
      <c r="G48" s="11" t="n">
        <v>281.004353</v>
      </c>
      <c r="H48" s="13">
        <f>F48*1000</f>
        <v/>
      </c>
      <c r="I48" s="14">
        <f>G48-273.15</f>
        <v/>
      </c>
      <c r="K48" s="15" t="n">
        <v>2001</v>
      </c>
      <c r="L48" s="15" t="n">
        <v>2</v>
      </c>
      <c r="M48" s="15" t="n">
        <v>14</v>
      </c>
      <c r="N48" s="16" t="n">
        <v>0</v>
      </c>
      <c r="O48" s="11" t="n">
        <v>280.4811086</v>
      </c>
      <c r="P48" s="13">
        <f>N48*86400</f>
        <v/>
      </c>
      <c r="Q48" s="14">
        <f>O48-273.15</f>
        <v/>
      </c>
    </row>
    <row r="49">
      <c r="A49" s="9" t="n">
        <v>36936</v>
      </c>
      <c r="B49" s="7">
        <f>YEAR(A49)</f>
        <v/>
      </c>
      <c r="C49" s="7">
        <f>MONTH(A49)</f>
        <v/>
      </c>
      <c r="D49" s="10" t="n">
        <v>0</v>
      </c>
      <c r="E49" s="11" t="n">
        <v>7.865311863</v>
      </c>
      <c r="F49" s="12" t="n">
        <v>0</v>
      </c>
      <c r="G49" s="11" t="n">
        <v>282.573128</v>
      </c>
      <c r="H49" s="13">
        <f>F49*1000</f>
        <v/>
      </c>
      <c r="I49" s="14">
        <f>G49-273.15</f>
        <v/>
      </c>
      <c r="K49" s="15" t="n">
        <v>2001</v>
      </c>
      <c r="L49" s="15" t="n">
        <v>2</v>
      </c>
      <c r="M49" s="15" t="n">
        <v>15</v>
      </c>
      <c r="N49" s="16" t="n">
        <v>0</v>
      </c>
      <c r="O49" s="11" t="n">
        <v>280.2463251</v>
      </c>
      <c r="P49" s="13">
        <f>N49*86400</f>
        <v/>
      </c>
      <c r="Q49" s="14">
        <f>O49-273.15</f>
        <v/>
      </c>
    </row>
    <row r="50">
      <c r="A50" s="9" t="n">
        <v>36937</v>
      </c>
      <c r="B50" s="7">
        <f>YEAR(A50)</f>
        <v/>
      </c>
      <c r="C50" s="7">
        <f>MONTH(A50)</f>
        <v/>
      </c>
      <c r="D50" s="10" t="n">
        <v>0</v>
      </c>
      <c r="E50" s="11" t="n">
        <v>7.47505109</v>
      </c>
      <c r="F50" s="12" t="n">
        <v>0</v>
      </c>
      <c r="G50" s="11" t="n">
        <v>282.4223532</v>
      </c>
      <c r="H50" s="13">
        <f>F50*1000</f>
        <v/>
      </c>
      <c r="I50" s="14">
        <f>G50-273.15</f>
        <v/>
      </c>
      <c r="K50" s="15" t="n">
        <v>2001</v>
      </c>
      <c r="L50" s="15" t="n">
        <v>2</v>
      </c>
      <c r="M50" s="15" t="n">
        <v>16</v>
      </c>
      <c r="N50" s="16" t="n">
        <v>5.116752363e-06</v>
      </c>
      <c r="O50" s="11" t="n">
        <v>279.8939026</v>
      </c>
      <c r="P50" s="13">
        <f>N50*86400</f>
        <v/>
      </c>
      <c r="Q50" s="14">
        <f>O50-273.15</f>
        <v/>
      </c>
    </row>
    <row r="51">
      <c r="A51" s="9" t="n">
        <v>36938</v>
      </c>
      <c r="B51" s="7">
        <f>YEAR(A51)</f>
        <v/>
      </c>
      <c r="C51" s="7">
        <f>MONTH(A51)</f>
        <v/>
      </c>
      <c r="D51" s="10" t="n">
        <v>0</v>
      </c>
      <c r="E51" s="11" t="n">
        <v>6.366524781</v>
      </c>
      <c r="F51" s="12" t="n">
        <v>0.0001495596091</v>
      </c>
      <c r="G51" s="11" t="n">
        <v>280.1267982</v>
      </c>
      <c r="H51" s="13">
        <f>F51*1000</f>
        <v/>
      </c>
      <c r="I51" s="14">
        <f>G51-273.15</f>
        <v/>
      </c>
      <c r="K51" s="15" t="n">
        <v>2001</v>
      </c>
      <c r="L51" s="15" t="n">
        <v>2</v>
      </c>
      <c r="M51" s="15" t="n">
        <v>17</v>
      </c>
      <c r="N51" s="16" t="n">
        <v>0</v>
      </c>
      <c r="O51" s="11" t="n">
        <v>281.5987658</v>
      </c>
      <c r="P51" s="13">
        <f>N51*86400</f>
        <v/>
      </c>
      <c r="Q51" s="14">
        <f>O51-273.15</f>
        <v/>
      </c>
    </row>
    <row r="52">
      <c r="A52" s="9" t="n">
        <v>36939</v>
      </c>
      <c r="B52" s="7">
        <f>YEAR(A52)</f>
        <v/>
      </c>
      <c r="C52" s="7">
        <f>MONTH(A52)</f>
        <v/>
      </c>
      <c r="D52" s="10" t="n">
        <v>0</v>
      </c>
      <c r="E52" s="11" t="n">
        <v>9.562096837</v>
      </c>
      <c r="F52" s="12" t="n">
        <v>0</v>
      </c>
      <c r="G52" s="11" t="n">
        <v>283.9944247</v>
      </c>
      <c r="H52" s="13">
        <f>F52*1000</f>
        <v/>
      </c>
      <c r="I52" s="14">
        <f>G52-273.15</f>
        <v/>
      </c>
      <c r="K52" s="15" t="n">
        <v>2001</v>
      </c>
      <c r="L52" s="15" t="n">
        <v>2</v>
      </c>
      <c r="M52" s="15" t="n">
        <v>18</v>
      </c>
      <c r="N52" s="16" t="n">
        <v>1.746262697e-06</v>
      </c>
      <c r="O52" s="11" t="n">
        <v>281.2447831</v>
      </c>
      <c r="P52" s="13">
        <f>N52*86400</f>
        <v/>
      </c>
      <c r="Q52" s="14">
        <f>O52-273.15</f>
        <v/>
      </c>
    </row>
    <row r="53">
      <c r="A53" s="9" t="n">
        <v>36940</v>
      </c>
      <c r="B53" s="7">
        <f>YEAR(A53)</f>
        <v/>
      </c>
      <c r="C53" s="7">
        <f>MONTH(A53)</f>
        <v/>
      </c>
      <c r="D53" s="10" t="n">
        <v>0</v>
      </c>
      <c r="E53" s="11" t="n">
        <v>6.004475972</v>
      </c>
      <c r="F53" s="12" t="n">
        <v>0</v>
      </c>
      <c r="G53" s="11" t="n">
        <v>281.9395488</v>
      </c>
      <c r="H53" s="13">
        <f>F53*1000</f>
        <v/>
      </c>
      <c r="I53" s="14">
        <f>G53-273.15</f>
        <v/>
      </c>
      <c r="K53" s="15" t="n">
        <v>2001</v>
      </c>
      <c r="L53" s="15" t="n">
        <v>2</v>
      </c>
      <c r="M53" s="15" t="n">
        <v>19</v>
      </c>
      <c r="N53" s="16" t="n">
        <v>6.099812961e-07</v>
      </c>
      <c r="O53" s="11" t="n">
        <v>281.1325784</v>
      </c>
      <c r="P53" s="13">
        <f>N53*86400</f>
        <v/>
      </c>
      <c r="Q53" s="14">
        <f>O53-273.15</f>
        <v/>
      </c>
    </row>
    <row r="54">
      <c r="A54" s="9" t="n">
        <v>36941</v>
      </c>
      <c r="B54" s="7">
        <f>YEAR(A54)</f>
        <v/>
      </c>
      <c r="C54" s="7">
        <f>MONTH(A54)</f>
        <v/>
      </c>
      <c r="D54" s="10" t="n">
        <v>0</v>
      </c>
      <c r="E54" s="11" t="n">
        <v>5.395799455</v>
      </c>
      <c r="F54" s="12" t="n">
        <v>0</v>
      </c>
      <c r="G54" s="11" t="n">
        <v>280.9669144</v>
      </c>
      <c r="H54" s="13">
        <f>F54*1000</f>
        <v/>
      </c>
      <c r="I54" s="14">
        <f>G54-273.15</f>
        <v/>
      </c>
      <c r="K54" s="15" t="n">
        <v>2001</v>
      </c>
      <c r="L54" s="15" t="n">
        <v>2</v>
      </c>
      <c r="M54" s="15" t="n">
        <v>20</v>
      </c>
      <c r="N54" s="16" t="n">
        <v>0</v>
      </c>
      <c r="O54" s="11" t="n">
        <v>280.8852325</v>
      </c>
      <c r="P54" s="13">
        <f>N54*86400</f>
        <v/>
      </c>
      <c r="Q54" s="14">
        <f>O54-273.15</f>
        <v/>
      </c>
    </row>
    <row r="55">
      <c r="A55" s="9" t="n">
        <v>36942</v>
      </c>
      <c r="B55" s="7">
        <f>YEAR(A55)</f>
        <v/>
      </c>
      <c r="C55" s="7">
        <f>MONTH(A55)</f>
        <v/>
      </c>
      <c r="D55" s="10" t="n">
        <v>0</v>
      </c>
      <c r="E55" s="11" t="n">
        <v>7.022613652</v>
      </c>
      <c r="F55" s="12" t="n">
        <v>0</v>
      </c>
      <c r="G55" s="11" t="n">
        <v>280.8702035</v>
      </c>
      <c r="H55" s="13">
        <f>F55*1000</f>
        <v/>
      </c>
      <c r="I55" s="14">
        <f>G55-273.15</f>
        <v/>
      </c>
      <c r="K55" s="15" t="n">
        <v>2001</v>
      </c>
      <c r="L55" s="15" t="n">
        <v>2</v>
      </c>
      <c r="M55" s="15" t="n">
        <v>21</v>
      </c>
      <c r="N55" s="16" t="n">
        <v>0</v>
      </c>
      <c r="O55" s="11" t="n">
        <v>282.5788596</v>
      </c>
      <c r="P55" s="13">
        <f>N55*86400</f>
        <v/>
      </c>
      <c r="Q55" s="14">
        <f>O55-273.15</f>
        <v/>
      </c>
    </row>
    <row r="56">
      <c r="A56" s="9" t="n">
        <v>36943</v>
      </c>
      <c r="B56" s="7">
        <f>YEAR(A56)</f>
        <v/>
      </c>
      <c r="C56" s="7">
        <f>MONTH(A56)</f>
        <v/>
      </c>
      <c r="D56" s="10" t="n">
        <v>0</v>
      </c>
      <c r="E56" s="11" t="n">
        <v>8.241216257</v>
      </c>
      <c r="F56" s="12" t="n">
        <v>0</v>
      </c>
      <c r="G56" s="11" t="n">
        <v>282.6940612</v>
      </c>
      <c r="H56" s="13">
        <f>F56*1000</f>
        <v/>
      </c>
      <c r="I56" s="14">
        <f>G56-273.15</f>
        <v/>
      </c>
      <c r="K56" s="15" t="n">
        <v>2001</v>
      </c>
      <c r="L56" s="15" t="n">
        <v>2</v>
      </c>
      <c r="M56" s="15" t="n">
        <v>22</v>
      </c>
      <c r="N56" s="16" t="n">
        <v>1.550763376e-05</v>
      </c>
      <c r="O56" s="11" t="n">
        <v>285.7440151</v>
      </c>
      <c r="P56" s="13">
        <f>N56*86400</f>
        <v/>
      </c>
      <c r="Q56" s="14">
        <f>O56-273.15</f>
        <v/>
      </c>
    </row>
    <row r="57">
      <c r="A57" s="9" t="n">
        <v>36944</v>
      </c>
      <c r="B57" s="7">
        <f>YEAR(A57)</f>
        <v/>
      </c>
      <c r="C57" s="7">
        <f>MONTH(A57)</f>
        <v/>
      </c>
      <c r="D57" s="10" t="n">
        <v>0</v>
      </c>
      <c r="E57" s="11" t="n">
        <v>10.09629057</v>
      </c>
      <c r="F57" s="12" t="n">
        <v>5.468086625e-06</v>
      </c>
      <c r="G57" s="11" t="n">
        <v>284.5547272</v>
      </c>
      <c r="H57" s="13">
        <f>F57*1000</f>
        <v/>
      </c>
      <c r="I57" s="14">
        <f>G57-273.15</f>
        <v/>
      </c>
      <c r="K57" s="15" t="n">
        <v>2001</v>
      </c>
      <c r="L57" s="15" t="n">
        <v>2</v>
      </c>
      <c r="M57" s="15" t="n">
        <v>23</v>
      </c>
      <c r="N57" s="16" t="n">
        <v>0</v>
      </c>
      <c r="O57" s="11" t="n">
        <v>284.1575339</v>
      </c>
      <c r="P57" s="13">
        <f>N57*86400</f>
        <v/>
      </c>
      <c r="Q57" s="14">
        <f>O57-273.15</f>
        <v/>
      </c>
    </row>
    <row r="58">
      <c r="A58" s="9" t="n">
        <v>36945</v>
      </c>
      <c r="B58" s="7">
        <f>YEAR(A58)</f>
        <v/>
      </c>
      <c r="C58" s="7">
        <f>MONTH(A58)</f>
        <v/>
      </c>
      <c r="D58" s="10" t="n">
        <v>6.641737213</v>
      </c>
      <c r="E58" s="11" t="n">
        <v>12.47374649</v>
      </c>
      <c r="F58" s="12" t="n">
        <v>0.001631438943</v>
      </c>
      <c r="G58" s="11" t="n">
        <v>286.4362956</v>
      </c>
      <c r="H58" s="13">
        <f>F58*1000</f>
        <v/>
      </c>
      <c r="I58" s="14">
        <f>G58-273.15</f>
        <v/>
      </c>
      <c r="K58" s="15" t="n">
        <v>2001</v>
      </c>
      <c r="L58" s="15" t="n">
        <v>2</v>
      </c>
      <c r="M58" s="15" t="n">
        <v>24</v>
      </c>
      <c r="N58" s="16" t="n">
        <v>0</v>
      </c>
      <c r="O58" s="11" t="n">
        <v>281.8291508</v>
      </c>
      <c r="P58" s="13">
        <f>N58*86400</f>
        <v/>
      </c>
      <c r="Q58" s="14">
        <f>O58-273.15</f>
        <v/>
      </c>
    </row>
    <row r="59">
      <c r="A59" s="9" t="n">
        <v>36946</v>
      </c>
      <c r="B59" s="7">
        <f>YEAR(A59)</f>
        <v/>
      </c>
      <c r="C59" s="7">
        <f>MONTH(A59)</f>
        <v/>
      </c>
      <c r="D59" s="10" t="n">
        <v>8.349283796</v>
      </c>
      <c r="E59" s="11" t="n">
        <v>11.62951436</v>
      </c>
      <c r="F59" s="12" t="n">
        <v>0.003829434925</v>
      </c>
      <c r="G59" s="11" t="n">
        <v>285.5048455</v>
      </c>
      <c r="H59" s="13">
        <f>F59*1000</f>
        <v/>
      </c>
      <c r="I59" s="14">
        <f>G59-273.15</f>
        <v/>
      </c>
      <c r="K59" s="15" t="n">
        <v>2001</v>
      </c>
      <c r="L59" s="15" t="n">
        <v>2</v>
      </c>
      <c r="M59" s="15" t="n">
        <v>25</v>
      </c>
      <c r="N59" s="16" t="n">
        <v>1.844539903e-05</v>
      </c>
      <c r="O59" s="11" t="n">
        <v>282.098465</v>
      </c>
      <c r="P59" s="13">
        <f>N59*86400</f>
        <v/>
      </c>
      <c r="Q59" s="14">
        <f>O59-273.15</f>
        <v/>
      </c>
    </row>
    <row r="60">
      <c r="A60" s="9" t="n">
        <v>36947</v>
      </c>
      <c r="B60" s="7">
        <f>YEAR(A60)</f>
        <v/>
      </c>
      <c r="C60" s="7">
        <f>MONTH(A60)</f>
        <v/>
      </c>
      <c r="D60" s="10" t="n">
        <v>0</v>
      </c>
      <c r="E60" s="11" t="n">
        <v>9.752162061</v>
      </c>
      <c r="F60" s="12" t="n">
        <v>0</v>
      </c>
      <c r="G60" s="11" t="n">
        <v>284.0047878</v>
      </c>
      <c r="H60" s="13">
        <f>F60*1000</f>
        <v/>
      </c>
      <c r="I60" s="14">
        <f>G60-273.15</f>
        <v/>
      </c>
      <c r="K60" s="15" t="n">
        <v>2001</v>
      </c>
      <c r="L60" s="15" t="n">
        <v>2</v>
      </c>
      <c r="M60" s="15" t="n">
        <v>26</v>
      </c>
      <c r="N60" s="16" t="n">
        <v>0</v>
      </c>
      <c r="O60" s="11" t="n">
        <v>279.8451092</v>
      </c>
      <c r="P60" s="13">
        <f>N60*86400</f>
        <v/>
      </c>
      <c r="Q60" s="14">
        <f>O60-273.15</f>
        <v/>
      </c>
    </row>
    <row r="61">
      <c r="A61" s="9" t="n">
        <v>36948</v>
      </c>
      <c r="B61" s="7">
        <f>YEAR(A61)</f>
        <v/>
      </c>
      <c r="C61" s="7">
        <f>MONTH(A61)</f>
        <v/>
      </c>
      <c r="D61" s="10" t="n">
        <v>0</v>
      </c>
      <c r="E61" s="11" t="n">
        <v>9.071473363999999</v>
      </c>
      <c r="F61" s="12" t="n">
        <v>0.0006703107103</v>
      </c>
      <c r="G61" s="11" t="n">
        <v>283.2377508</v>
      </c>
      <c r="H61" s="13">
        <f>F61*1000</f>
        <v/>
      </c>
      <c r="I61" s="14">
        <f>G61-273.15</f>
        <v/>
      </c>
      <c r="K61" s="15" t="n">
        <v>2001</v>
      </c>
      <c r="L61" s="15" t="n">
        <v>2</v>
      </c>
      <c r="M61" s="15" t="n">
        <v>27</v>
      </c>
      <c r="N61" s="16" t="n">
        <v>0</v>
      </c>
      <c r="O61" s="11" t="n">
        <v>278.9873379</v>
      </c>
      <c r="P61" s="13">
        <f>N61*86400</f>
        <v/>
      </c>
      <c r="Q61" s="14">
        <f>O61-273.15</f>
        <v/>
      </c>
    </row>
    <row r="62">
      <c r="A62" s="9" t="n">
        <v>36949</v>
      </c>
      <c r="B62" s="7">
        <f>YEAR(A62)</f>
        <v/>
      </c>
      <c r="C62" s="7">
        <f>MONTH(A62)</f>
        <v/>
      </c>
      <c r="D62" s="10" t="n">
        <v>0</v>
      </c>
      <c r="E62" s="11" t="n">
        <v>5.991070596</v>
      </c>
      <c r="F62" s="12" t="n">
        <v>0</v>
      </c>
      <c r="G62" s="11" t="n">
        <v>280.5942922</v>
      </c>
      <c r="H62" s="13">
        <f>F62*1000</f>
        <v/>
      </c>
      <c r="I62" s="14">
        <f>G62-273.15</f>
        <v/>
      </c>
      <c r="K62" s="15" t="n">
        <v>2001</v>
      </c>
      <c r="L62" s="15" t="n">
        <v>2</v>
      </c>
      <c r="M62" s="15" t="n">
        <v>28</v>
      </c>
      <c r="N62" s="16" t="n">
        <v>0</v>
      </c>
      <c r="O62" s="11" t="n">
        <v>280.4942119</v>
      </c>
      <c r="P62" s="13">
        <f>N62*86400</f>
        <v/>
      </c>
      <c r="Q62" s="14">
        <f>O62-273.15</f>
        <v/>
      </c>
    </row>
    <row r="63">
      <c r="A63" s="9" t="n">
        <v>36950</v>
      </c>
      <c r="B63" s="7">
        <f>YEAR(A63)</f>
        <v/>
      </c>
      <c r="C63" s="7">
        <f>MONTH(A63)</f>
        <v/>
      </c>
      <c r="D63" s="10" t="n">
        <v>0</v>
      </c>
      <c r="E63" s="11" t="n">
        <v>5.468045339</v>
      </c>
      <c r="F63" s="12" t="n">
        <v>6.333321131e-05</v>
      </c>
      <c r="G63" s="11" t="n">
        <v>280.4573531</v>
      </c>
      <c r="H63" s="13">
        <f>F63*1000</f>
        <v/>
      </c>
      <c r="I63" s="14">
        <f>G63-273.15</f>
        <v/>
      </c>
      <c r="K63" s="15" t="n">
        <v>2001</v>
      </c>
      <c r="L63" s="15" t="n">
        <v>2</v>
      </c>
      <c r="M63" s="15" t="n">
        <v>29</v>
      </c>
      <c r="N63" s="16" t="n">
        <v>0</v>
      </c>
      <c r="O63" s="11" t="n">
        <v>281.573286</v>
      </c>
      <c r="P63" s="13">
        <f>N63*86400</f>
        <v/>
      </c>
      <c r="Q63" s="14">
        <f>O63-273.15</f>
        <v/>
      </c>
    </row>
    <row r="64">
      <c r="A64" s="9" t="n">
        <v>36951</v>
      </c>
      <c r="B64" s="7">
        <f>YEAR(A64)</f>
        <v/>
      </c>
      <c r="C64" s="7">
        <f>MONTH(A64)</f>
        <v/>
      </c>
      <c r="D64" s="10" t="n">
        <v>0</v>
      </c>
      <c r="E64" s="11" t="n">
        <v>6.199293518</v>
      </c>
      <c r="F64" s="12" t="n">
        <v>0</v>
      </c>
      <c r="G64" s="11" t="n">
        <v>281.0858505</v>
      </c>
      <c r="H64" s="13">
        <f>F64*1000</f>
        <v/>
      </c>
      <c r="I64" s="14">
        <f>G64-273.15</f>
        <v/>
      </c>
      <c r="K64" s="15" t="n">
        <v>2001</v>
      </c>
      <c r="L64" s="15" t="n">
        <v>2</v>
      </c>
      <c r="M64" s="15" t="n">
        <v>30</v>
      </c>
      <c r="N64" s="16" t="n">
        <v>3.009319826e-06</v>
      </c>
      <c r="O64" s="11" t="n">
        <v>281.9050607</v>
      </c>
      <c r="P64" s="13">
        <f>N64*86400</f>
        <v/>
      </c>
      <c r="Q64" s="14">
        <f>O64-273.15</f>
        <v/>
      </c>
    </row>
    <row r="65">
      <c r="A65" s="9" t="n">
        <v>36952</v>
      </c>
      <c r="B65" s="7">
        <f>YEAR(A65)</f>
        <v/>
      </c>
      <c r="C65" s="7">
        <f>MONTH(A65)</f>
        <v/>
      </c>
      <c r="D65" s="10" t="n">
        <v>0</v>
      </c>
      <c r="E65" s="11" t="n">
        <v>6.377016562</v>
      </c>
      <c r="F65" s="12" t="n">
        <v>0</v>
      </c>
      <c r="G65" s="11" t="n">
        <v>281.7400935</v>
      </c>
      <c r="H65" s="13">
        <f>F65*1000</f>
        <v/>
      </c>
      <c r="I65" s="14">
        <f>G65-273.15</f>
        <v/>
      </c>
      <c r="K65" s="15" t="n">
        <v>2001</v>
      </c>
      <c r="L65" s="15" t="n">
        <v>3</v>
      </c>
      <c r="M65" s="15" t="n">
        <v>1</v>
      </c>
      <c r="N65" s="16" t="n">
        <v>4.692654085e-05</v>
      </c>
      <c r="O65" s="11" t="n">
        <v>280.7892069</v>
      </c>
      <c r="P65" s="13">
        <f>N65*86400</f>
        <v/>
      </c>
      <c r="Q65" s="14">
        <f>O65-273.15</f>
        <v/>
      </c>
    </row>
    <row r="66">
      <c r="A66" s="9" t="n">
        <v>36953</v>
      </c>
      <c r="B66" s="7">
        <f>YEAR(A66)</f>
        <v/>
      </c>
      <c r="C66" s="7">
        <f>MONTH(A66)</f>
        <v/>
      </c>
      <c r="D66" s="10" t="n">
        <v>0</v>
      </c>
      <c r="E66" s="11" t="n">
        <v>7.566147436</v>
      </c>
      <c r="F66" s="12" t="n">
        <v>0</v>
      </c>
      <c r="G66" s="11" t="n">
        <v>282.9201343</v>
      </c>
      <c r="H66" s="13">
        <f>F66*1000</f>
        <v/>
      </c>
      <c r="I66" s="14">
        <f>G66-273.15</f>
        <v/>
      </c>
      <c r="K66" s="15" t="n">
        <v>2001</v>
      </c>
      <c r="L66" s="15" t="n">
        <v>3</v>
      </c>
      <c r="M66" s="15" t="n">
        <v>2</v>
      </c>
      <c r="N66" s="16" t="n">
        <v>3.193204093e-06</v>
      </c>
      <c r="O66" s="11" t="n">
        <v>281.4052931</v>
      </c>
      <c r="P66" s="13">
        <f>N66*86400</f>
        <v/>
      </c>
      <c r="Q66" s="14">
        <f>O66-273.15</f>
        <v/>
      </c>
    </row>
    <row r="67">
      <c r="A67" s="9" t="n">
        <v>36954</v>
      </c>
      <c r="B67" s="7">
        <f>YEAR(A67)</f>
        <v/>
      </c>
      <c r="C67" s="7">
        <f>MONTH(A67)</f>
        <v/>
      </c>
      <c r="D67" s="10" t="n">
        <v>0</v>
      </c>
      <c r="E67" s="11" t="n">
        <v>6.947143049</v>
      </c>
      <c r="F67" s="12" t="n">
        <v>0</v>
      </c>
      <c r="G67" s="11" t="n">
        <v>282.6816527</v>
      </c>
      <c r="H67" s="13">
        <f>F67*1000</f>
        <v/>
      </c>
      <c r="I67" s="14">
        <f>G67-273.15</f>
        <v/>
      </c>
      <c r="K67" s="15" t="n">
        <v>2001</v>
      </c>
      <c r="L67" s="15" t="n">
        <v>3</v>
      </c>
      <c r="M67" s="15" t="n">
        <v>3</v>
      </c>
      <c r="N67" s="16" t="n">
        <v>1.162773373e-07</v>
      </c>
      <c r="O67" s="11" t="n">
        <v>282.3754122</v>
      </c>
      <c r="P67" s="13">
        <f>N67*86400</f>
        <v/>
      </c>
      <c r="Q67" s="14">
        <f>O67-273.15</f>
        <v/>
      </c>
    </row>
    <row r="68">
      <c r="A68" s="9" t="n">
        <v>36955</v>
      </c>
      <c r="B68" s="7">
        <f>YEAR(A68)</f>
        <v/>
      </c>
      <c r="C68" s="7">
        <f>MONTH(A68)</f>
        <v/>
      </c>
      <c r="D68" s="10" t="n">
        <v>0</v>
      </c>
      <c r="E68" s="11" t="n">
        <v>5.122711244</v>
      </c>
      <c r="F68" s="12" t="n">
        <v>0</v>
      </c>
      <c r="G68" s="11" t="n">
        <v>280.7061948</v>
      </c>
      <c r="H68" s="13">
        <f>F68*1000</f>
        <v/>
      </c>
      <c r="I68" s="14">
        <f>G68-273.15</f>
        <v/>
      </c>
      <c r="K68" s="15" t="n">
        <v>2001</v>
      </c>
      <c r="L68" s="15" t="n">
        <v>3</v>
      </c>
      <c r="M68" s="15" t="n">
        <v>4</v>
      </c>
      <c r="N68" s="16" t="n">
        <v>7.065972916e-07</v>
      </c>
      <c r="O68" s="11" t="n">
        <v>281.1992506</v>
      </c>
      <c r="P68" s="13">
        <f>N68*86400</f>
        <v/>
      </c>
      <c r="Q68" s="14">
        <f>O68-273.15</f>
        <v/>
      </c>
    </row>
    <row r="69">
      <c r="A69" s="9" t="n">
        <v>36956</v>
      </c>
      <c r="B69" s="7">
        <f>YEAR(A69)</f>
        <v/>
      </c>
      <c r="C69" s="7">
        <f>MONTH(A69)</f>
        <v/>
      </c>
      <c r="D69" s="10" t="n">
        <v>0</v>
      </c>
      <c r="E69" s="11" t="n">
        <v>5.6150591</v>
      </c>
      <c r="F69" s="12" t="n">
        <v>4.186681835e-08</v>
      </c>
      <c r="G69" s="11" t="n">
        <v>280.3948865</v>
      </c>
      <c r="H69" s="13">
        <f>F69*1000</f>
        <v/>
      </c>
      <c r="I69" s="14">
        <f>G69-273.15</f>
        <v/>
      </c>
      <c r="K69" s="15" t="n">
        <v>2001</v>
      </c>
      <c r="L69" s="15" t="n">
        <v>3</v>
      </c>
      <c r="M69" s="15" t="n">
        <v>5</v>
      </c>
      <c r="N69" s="16" t="n">
        <v>0</v>
      </c>
      <c r="O69" s="11" t="n">
        <v>284.3480168</v>
      </c>
      <c r="P69" s="13">
        <f>N69*86400</f>
        <v/>
      </c>
      <c r="Q69" s="14">
        <f>O69-273.15</f>
        <v/>
      </c>
    </row>
    <row r="70">
      <c r="A70" s="9" t="n">
        <v>36957</v>
      </c>
      <c r="B70" s="7">
        <f>YEAR(A70)</f>
        <v/>
      </c>
      <c r="C70" s="7">
        <f>MONTH(A70)</f>
        <v/>
      </c>
      <c r="D70" s="10" t="n">
        <v>0</v>
      </c>
      <c r="E70" s="11" t="n">
        <v>4.641982322</v>
      </c>
      <c r="F70" s="12" t="n">
        <v>0</v>
      </c>
      <c r="G70" s="11" t="n">
        <v>280.1333172</v>
      </c>
      <c r="H70" s="13">
        <f>F70*1000</f>
        <v/>
      </c>
      <c r="I70" s="14">
        <f>G70-273.15</f>
        <v/>
      </c>
      <c r="K70" s="15" t="n">
        <v>2001</v>
      </c>
      <c r="L70" s="15" t="n">
        <v>3</v>
      </c>
      <c r="M70" s="15" t="n">
        <v>6</v>
      </c>
      <c r="N70" s="16" t="n">
        <v>5.10575867e-06</v>
      </c>
      <c r="O70" s="11" t="n">
        <v>285.3449163</v>
      </c>
      <c r="P70" s="13">
        <f>N70*86400</f>
        <v/>
      </c>
      <c r="Q70" s="14">
        <f>O70-273.15</f>
        <v/>
      </c>
    </row>
    <row r="71">
      <c r="A71" s="9" t="n">
        <v>36958</v>
      </c>
      <c r="B71" s="7">
        <f>YEAR(A71)</f>
        <v/>
      </c>
      <c r="C71" s="7">
        <f>MONTH(A71)</f>
        <v/>
      </c>
      <c r="D71" s="10" t="n">
        <v>0</v>
      </c>
      <c r="E71" s="11" t="n">
        <v>6.709630356</v>
      </c>
      <c r="F71" s="12" t="n">
        <v>0</v>
      </c>
      <c r="G71" s="11" t="n">
        <v>281.8031435</v>
      </c>
      <c r="H71" s="13">
        <f>F71*1000</f>
        <v/>
      </c>
      <c r="I71" s="14">
        <f>G71-273.15</f>
        <v/>
      </c>
      <c r="K71" s="15" t="n">
        <v>2001</v>
      </c>
      <c r="L71" s="15" t="n">
        <v>3</v>
      </c>
      <c r="M71" s="15" t="n">
        <v>7</v>
      </c>
      <c r="N71" s="16" t="n">
        <v>4.248974442e-06</v>
      </c>
      <c r="O71" s="11" t="n">
        <v>284.7985961</v>
      </c>
      <c r="P71" s="13">
        <f>N71*86400</f>
        <v/>
      </c>
      <c r="Q71" s="14">
        <f>O71-273.15</f>
        <v/>
      </c>
    </row>
    <row r="72">
      <c r="A72" s="9" t="n">
        <v>36959</v>
      </c>
      <c r="B72" s="7">
        <f>YEAR(A72)</f>
        <v/>
      </c>
      <c r="C72" s="7">
        <f>MONTH(A72)</f>
        <v/>
      </c>
      <c r="D72" s="10" t="n">
        <v>0</v>
      </c>
      <c r="E72" s="11" t="n">
        <v>7.17314667</v>
      </c>
      <c r="F72" s="12" t="n">
        <v>0.0007652668887</v>
      </c>
      <c r="G72" s="11" t="n">
        <v>281.2113173</v>
      </c>
      <c r="H72" s="13">
        <f>F72*1000</f>
        <v/>
      </c>
      <c r="I72" s="14">
        <f>G72-273.15</f>
        <v/>
      </c>
      <c r="K72" s="15" t="n">
        <v>2001</v>
      </c>
      <c r="L72" s="15" t="n">
        <v>3</v>
      </c>
      <c r="M72" s="15" t="n">
        <v>8</v>
      </c>
      <c r="N72" s="16" t="n">
        <v>9.722548085e-06</v>
      </c>
      <c r="O72" s="11" t="n">
        <v>286.1807705</v>
      </c>
      <c r="P72" s="13">
        <f>N72*86400</f>
        <v/>
      </c>
      <c r="Q72" s="14">
        <f>O72-273.15</f>
        <v/>
      </c>
    </row>
    <row r="73">
      <c r="A73" s="9" t="n">
        <v>36960</v>
      </c>
      <c r="B73" s="7">
        <f>YEAR(A73)</f>
        <v/>
      </c>
      <c r="C73" s="7">
        <f>MONTH(A73)</f>
        <v/>
      </c>
      <c r="D73" s="10" t="n">
        <v>0</v>
      </c>
      <c r="E73" s="11" t="n">
        <v>8.039986658</v>
      </c>
      <c r="F73" s="12" t="n">
        <v>0</v>
      </c>
      <c r="G73" s="11" t="n">
        <v>282.4149541</v>
      </c>
      <c r="H73" s="13">
        <f>F73*1000</f>
        <v/>
      </c>
      <c r="I73" s="14">
        <f>G73-273.15</f>
        <v/>
      </c>
      <c r="K73" s="15" t="n">
        <v>2001</v>
      </c>
      <c r="L73" s="15" t="n">
        <v>3</v>
      </c>
      <c r="M73" s="15" t="n">
        <v>9</v>
      </c>
      <c r="N73" s="16" t="n">
        <v>0</v>
      </c>
      <c r="O73" s="11" t="n">
        <v>286.1466218</v>
      </c>
      <c r="P73" s="13">
        <f>N73*86400</f>
        <v/>
      </c>
      <c r="Q73" s="14">
        <f>O73-273.15</f>
        <v/>
      </c>
    </row>
    <row r="74">
      <c r="A74" s="9" t="n">
        <v>36961</v>
      </c>
      <c r="B74" s="7">
        <f>YEAR(A74)</f>
        <v/>
      </c>
      <c r="C74" s="7">
        <f>MONTH(A74)</f>
        <v/>
      </c>
      <c r="D74" s="10" t="n">
        <v>0.8884154373000001</v>
      </c>
      <c r="E74" s="11" t="n">
        <v>6.526617417</v>
      </c>
      <c r="F74" s="12" t="n">
        <v>0.00134428778</v>
      </c>
      <c r="G74" s="11" t="n">
        <v>280.8982081</v>
      </c>
      <c r="H74" s="13">
        <f>F74*1000</f>
        <v/>
      </c>
      <c r="I74" s="14">
        <f>G74-273.15</f>
        <v/>
      </c>
      <c r="K74" s="15" t="n">
        <v>2001</v>
      </c>
      <c r="L74" s="15" t="n">
        <v>3</v>
      </c>
      <c r="M74" s="15" t="n">
        <v>10</v>
      </c>
      <c r="N74" s="16" t="n">
        <v>0</v>
      </c>
      <c r="O74" s="11" t="n">
        <v>287.111739</v>
      </c>
      <c r="P74" s="13">
        <f>N74*86400</f>
        <v/>
      </c>
      <c r="Q74" s="14">
        <f>O74-273.15</f>
        <v/>
      </c>
    </row>
    <row r="75">
      <c r="A75" s="9" t="n">
        <v>36962</v>
      </c>
      <c r="B75" s="7">
        <f>YEAR(A75)</f>
        <v/>
      </c>
      <c r="C75" s="7">
        <f>MONTH(A75)</f>
        <v/>
      </c>
      <c r="D75" s="10" t="n">
        <v>0</v>
      </c>
      <c r="E75" s="11" t="n">
        <v>7.283042823</v>
      </c>
      <c r="F75" s="12" t="n">
        <v>0.0004118961589</v>
      </c>
      <c r="G75" s="11" t="n">
        <v>281.9084755</v>
      </c>
      <c r="H75" s="13">
        <f>F75*1000</f>
        <v/>
      </c>
      <c r="I75" s="14">
        <f>G75-273.15</f>
        <v/>
      </c>
      <c r="K75" s="15" t="n">
        <v>2001</v>
      </c>
      <c r="L75" s="15" t="n">
        <v>3</v>
      </c>
      <c r="M75" s="15" t="n">
        <v>11</v>
      </c>
      <c r="N75" s="16" t="n">
        <v>0</v>
      </c>
      <c r="O75" s="11" t="n">
        <v>286.2061387</v>
      </c>
      <c r="P75" s="13">
        <f>N75*86400</f>
        <v/>
      </c>
      <c r="Q75" s="14">
        <f>O75-273.15</f>
        <v/>
      </c>
    </row>
    <row r="76">
      <c r="A76" s="9" t="n">
        <v>36963</v>
      </c>
      <c r="B76" s="7">
        <f>YEAR(A76)</f>
        <v/>
      </c>
      <c r="C76" s="7">
        <f>MONTH(A76)</f>
        <v/>
      </c>
      <c r="D76" s="10" t="n">
        <v>8.270250647999999</v>
      </c>
      <c r="E76" s="11" t="n">
        <v>8.513914197</v>
      </c>
      <c r="F76" s="12" t="n">
        <v>0.01022974096</v>
      </c>
      <c r="G76" s="11" t="n">
        <v>282.9164145</v>
      </c>
      <c r="H76" s="13">
        <f>F76*1000</f>
        <v/>
      </c>
      <c r="I76" s="14">
        <f>G76-273.15</f>
        <v/>
      </c>
      <c r="K76" s="15" t="n">
        <v>2001</v>
      </c>
      <c r="L76" s="15" t="n">
        <v>3</v>
      </c>
      <c r="M76" s="15" t="n">
        <v>12</v>
      </c>
      <c r="N76" s="16" t="n">
        <v>0</v>
      </c>
      <c r="O76" s="11" t="n">
        <v>286.3893704</v>
      </c>
      <c r="P76" s="13">
        <f>N76*86400</f>
        <v/>
      </c>
      <c r="Q76" s="14">
        <f>O76-273.15</f>
        <v/>
      </c>
    </row>
    <row r="77">
      <c r="A77" s="9" t="n">
        <v>36964</v>
      </c>
      <c r="B77" s="7">
        <f>YEAR(A77)</f>
        <v/>
      </c>
      <c r="C77" s="7">
        <f>MONTH(A77)</f>
        <v/>
      </c>
      <c r="D77" s="10" t="n">
        <v>0</v>
      </c>
      <c r="E77" s="11" t="n">
        <v>9.119292604</v>
      </c>
      <c r="F77" s="12" t="n">
        <v>1.858344775e-05</v>
      </c>
      <c r="G77" s="11" t="n">
        <v>284.0031295</v>
      </c>
      <c r="H77" s="13">
        <f>F77*1000</f>
        <v/>
      </c>
      <c r="I77" s="14">
        <f>G77-273.15</f>
        <v/>
      </c>
      <c r="K77" s="15" t="n">
        <v>2001</v>
      </c>
      <c r="L77" s="15" t="n">
        <v>3</v>
      </c>
      <c r="M77" s="15" t="n">
        <v>13</v>
      </c>
      <c r="N77" s="16" t="n">
        <v>0</v>
      </c>
      <c r="O77" s="11" t="n">
        <v>287.1557192</v>
      </c>
      <c r="P77" s="13">
        <f>N77*86400</f>
        <v/>
      </c>
      <c r="Q77" s="14">
        <f>O77-273.15</f>
        <v/>
      </c>
    </row>
    <row r="78">
      <c r="A78" s="9" t="n">
        <v>36965</v>
      </c>
      <c r="B78" s="7">
        <f>YEAR(A78)</f>
        <v/>
      </c>
      <c r="C78" s="7">
        <f>MONTH(A78)</f>
        <v/>
      </c>
      <c r="D78" s="10" t="n">
        <v>6.71994456</v>
      </c>
      <c r="E78" s="11" t="n">
        <v>10.68446248</v>
      </c>
      <c r="F78" s="12" t="n">
        <v>0.003587105933</v>
      </c>
      <c r="G78" s="11" t="n">
        <v>286.1942828</v>
      </c>
      <c r="H78" s="13">
        <f>F78*1000</f>
        <v/>
      </c>
      <c r="I78" s="14">
        <f>G78-273.15</f>
        <v/>
      </c>
      <c r="K78" s="15" t="n">
        <v>2001</v>
      </c>
      <c r="L78" s="15" t="n">
        <v>3</v>
      </c>
      <c r="M78" s="15" t="n">
        <v>14</v>
      </c>
      <c r="N78" s="16" t="n">
        <v>4.468952925e-05</v>
      </c>
      <c r="O78" s="11" t="n">
        <v>288.3352844</v>
      </c>
      <c r="P78" s="13">
        <f>N78*86400</f>
        <v/>
      </c>
      <c r="Q78" s="14">
        <f>O78-273.15</f>
        <v/>
      </c>
    </row>
    <row r="79">
      <c r="A79" s="9" t="n">
        <v>36966</v>
      </c>
      <c r="B79" s="7">
        <f>YEAR(A79)</f>
        <v/>
      </c>
      <c r="C79" s="7">
        <f>MONTH(A79)</f>
        <v/>
      </c>
      <c r="D79" s="10" t="n">
        <v>0</v>
      </c>
      <c r="E79" s="11" t="n">
        <v>10.60358865</v>
      </c>
      <c r="F79" s="12" t="n">
        <v>0</v>
      </c>
      <c r="G79" s="11" t="n">
        <v>285.8522094</v>
      </c>
      <c r="H79" s="13">
        <f>F79*1000</f>
        <v/>
      </c>
      <c r="I79" s="14">
        <f>G79-273.15</f>
        <v/>
      </c>
      <c r="K79" s="15" t="n">
        <v>2001</v>
      </c>
      <c r="L79" s="15" t="n">
        <v>3</v>
      </c>
      <c r="M79" s="15" t="n">
        <v>15</v>
      </c>
      <c r="N79" s="16" t="n">
        <v>4.593472995e-08</v>
      </c>
      <c r="O79" s="11" t="n">
        <v>287.4032843</v>
      </c>
      <c r="P79" s="13">
        <f>N79*86400</f>
        <v/>
      </c>
      <c r="Q79" s="14">
        <f>O79-273.15</f>
        <v/>
      </c>
    </row>
    <row r="80">
      <c r="A80" s="9" t="n">
        <v>36967</v>
      </c>
      <c r="B80" s="7">
        <f>YEAR(A80)</f>
        <v/>
      </c>
      <c r="C80" s="7">
        <f>MONTH(A80)</f>
        <v/>
      </c>
      <c r="D80" s="10" t="n">
        <v>0</v>
      </c>
      <c r="E80" s="11" t="n">
        <v>9.49680843</v>
      </c>
      <c r="F80" s="12" t="n">
        <v>0</v>
      </c>
      <c r="G80" s="11" t="n">
        <v>285.4741269</v>
      </c>
      <c r="H80" s="13">
        <f>F80*1000</f>
        <v/>
      </c>
      <c r="I80" s="14">
        <f>G80-273.15</f>
        <v/>
      </c>
      <c r="K80" s="15" t="n">
        <v>2001</v>
      </c>
      <c r="L80" s="15" t="n">
        <v>3</v>
      </c>
      <c r="M80" s="15" t="n">
        <v>16</v>
      </c>
      <c r="N80" s="16" t="n">
        <v>0</v>
      </c>
      <c r="O80" s="11" t="n">
        <v>286.8467595</v>
      </c>
      <c r="P80" s="13">
        <f>N80*86400</f>
        <v/>
      </c>
      <c r="Q80" s="14">
        <f>O80-273.15</f>
        <v/>
      </c>
    </row>
    <row r="81">
      <c r="A81" s="9" t="n">
        <v>36968</v>
      </c>
      <c r="B81" s="7">
        <f>YEAR(A81)</f>
        <v/>
      </c>
      <c r="C81" s="7">
        <f>MONTH(A81)</f>
        <v/>
      </c>
      <c r="D81" s="10" t="n">
        <v>0</v>
      </c>
      <c r="E81" s="11" t="n">
        <v>9.020483626000001</v>
      </c>
      <c r="F81" s="12" t="n">
        <v>7.275775166e-05</v>
      </c>
      <c r="G81" s="11" t="n">
        <v>283.9808912</v>
      </c>
      <c r="H81" s="13">
        <f>F81*1000</f>
        <v/>
      </c>
      <c r="I81" s="14">
        <f>G81-273.15</f>
        <v/>
      </c>
      <c r="K81" s="15" t="n">
        <v>2001</v>
      </c>
      <c r="L81" s="15" t="n">
        <v>3</v>
      </c>
      <c r="M81" s="15" t="n">
        <v>17</v>
      </c>
      <c r="N81" s="16" t="n">
        <v>0</v>
      </c>
      <c r="O81" s="11" t="n">
        <v>288.6040618</v>
      </c>
      <c r="P81" s="13">
        <f>N81*86400</f>
        <v/>
      </c>
      <c r="Q81" s="14">
        <f>O81-273.15</f>
        <v/>
      </c>
    </row>
    <row r="82">
      <c r="A82" s="9" t="n">
        <v>36969</v>
      </c>
      <c r="B82" s="7">
        <f>YEAR(A82)</f>
        <v/>
      </c>
      <c r="C82" s="7">
        <f>MONTH(A82)</f>
        <v/>
      </c>
      <c r="D82" s="10" t="n">
        <v>0</v>
      </c>
      <c r="E82" s="11" t="n">
        <v>11.90175657</v>
      </c>
      <c r="F82" s="12" t="n">
        <v>0</v>
      </c>
      <c r="G82" s="11" t="n">
        <v>286.2939843</v>
      </c>
      <c r="H82" s="13">
        <f>F82*1000</f>
        <v/>
      </c>
      <c r="I82" s="14">
        <f>G82-273.15</f>
        <v/>
      </c>
      <c r="K82" s="15" t="n">
        <v>2001</v>
      </c>
      <c r="L82" s="15" t="n">
        <v>3</v>
      </c>
      <c r="M82" s="15" t="n">
        <v>18</v>
      </c>
      <c r="N82" s="16" t="n">
        <v>0</v>
      </c>
      <c r="O82" s="11" t="n">
        <v>289.1878608</v>
      </c>
      <c r="P82" s="13">
        <f>N82*86400</f>
        <v/>
      </c>
      <c r="Q82" s="14">
        <f>O82-273.15</f>
        <v/>
      </c>
    </row>
    <row r="83">
      <c r="A83" s="9" t="n">
        <v>36970</v>
      </c>
      <c r="B83" s="7">
        <f>YEAR(A83)</f>
        <v/>
      </c>
      <c r="C83" s="7">
        <f>MONTH(A83)</f>
        <v/>
      </c>
      <c r="D83" s="10" t="n">
        <v>0</v>
      </c>
      <c r="E83" s="11" t="n">
        <v>13.84929236</v>
      </c>
      <c r="F83" s="12" t="n">
        <v>0</v>
      </c>
      <c r="G83" s="11" t="n">
        <v>288.734179</v>
      </c>
      <c r="H83" s="13">
        <f>F83*1000</f>
        <v/>
      </c>
      <c r="I83" s="14">
        <f>G83-273.15</f>
        <v/>
      </c>
      <c r="K83" s="15" t="n">
        <v>2001</v>
      </c>
      <c r="L83" s="15" t="n">
        <v>3</v>
      </c>
      <c r="M83" s="15" t="n">
        <v>19</v>
      </c>
      <c r="N83" s="16" t="n">
        <v>0</v>
      </c>
      <c r="O83" s="11" t="n">
        <v>289.3985988</v>
      </c>
      <c r="P83" s="13">
        <f>N83*86400</f>
        <v/>
      </c>
      <c r="Q83" s="14">
        <f>O83-273.15</f>
        <v/>
      </c>
    </row>
    <row r="84">
      <c r="A84" s="9" t="n">
        <v>36971</v>
      </c>
      <c r="B84" s="7">
        <f>YEAR(A84)</f>
        <v/>
      </c>
      <c r="C84" s="7">
        <f>MONTH(A84)</f>
        <v/>
      </c>
      <c r="D84" s="10" t="n">
        <v>0</v>
      </c>
      <c r="E84" s="11" t="n">
        <v>12.7381682</v>
      </c>
      <c r="F84" s="12" t="n">
        <v>0</v>
      </c>
      <c r="G84" s="11" t="n">
        <v>287.9748028</v>
      </c>
      <c r="H84" s="13">
        <f>F84*1000</f>
        <v/>
      </c>
      <c r="I84" s="14">
        <f>G84-273.15</f>
        <v/>
      </c>
      <c r="K84" s="15" t="n">
        <v>2001</v>
      </c>
      <c r="L84" s="15" t="n">
        <v>3</v>
      </c>
      <c r="M84" s="15" t="n">
        <v>20</v>
      </c>
      <c r="N84" s="16" t="n">
        <v>0</v>
      </c>
      <c r="O84" s="11" t="n">
        <v>288.2184435</v>
      </c>
      <c r="P84" s="13">
        <f>N84*86400</f>
        <v/>
      </c>
      <c r="Q84" s="14">
        <f>O84-273.15</f>
        <v/>
      </c>
    </row>
    <row r="85">
      <c r="A85" s="9" t="n">
        <v>36972</v>
      </c>
      <c r="B85" s="7">
        <f>YEAR(A85)</f>
        <v/>
      </c>
      <c r="C85" s="7">
        <f>MONTH(A85)</f>
        <v/>
      </c>
      <c r="D85" s="10" t="n">
        <v>0</v>
      </c>
      <c r="E85" s="11" t="n">
        <v>10.88966552</v>
      </c>
      <c r="F85" s="12" t="n">
        <v>0</v>
      </c>
      <c r="G85" s="11" t="n">
        <v>287.3055923</v>
      </c>
      <c r="H85" s="13">
        <f>F85*1000</f>
        <v/>
      </c>
      <c r="I85" s="14">
        <f>G85-273.15</f>
        <v/>
      </c>
      <c r="K85" s="15" t="n">
        <v>2001</v>
      </c>
      <c r="L85" s="15" t="n">
        <v>3</v>
      </c>
      <c r="M85" s="15" t="n">
        <v>21</v>
      </c>
      <c r="N85" s="16" t="n">
        <v>3.873264156e-06</v>
      </c>
      <c r="O85" s="11" t="n">
        <v>288.9380142</v>
      </c>
      <c r="P85" s="13">
        <f>N85*86400</f>
        <v/>
      </c>
      <c r="Q85" s="14">
        <f>O85-273.15</f>
        <v/>
      </c>
    </row>
    <row r="86">
      <c r="A86" s="9" t="n">
        <v>36973</v>
      </c>
      <c r="B86" s="7">
        <f>YEAR(A86)</f>
        <v/>
      </c>
      <c r="C86" s="7">
        <f>MONTH(A86)</f>
        <v/>
      </c>
      <c r="D86" s="10" t="n">
        <v>0</v>
      </c>
      <c r="E86" s="11" t="n">
        <v>11.27896696</v>
      </c>
      <c r="F86" s="12" t="n">
        <v>0</v>
      </c>
      <c r="G86" s="11" t="n">
        <v>287.5204297</v>
      </c>
      <c r="H86" s="13">
        <f>F86*1000</f>
        <v/>
      </c>
      <c r="I86" s="14">
        <f>G86-273.15</f>
        <v/>
      </c>
      <c r="K86" s="15" t="n">
        <v>2001</v>
      </c>
      <c r="L86" s="15" t="n">
        <v>3</v>
      </c>
      <c r="M86" s="15" t="n">
        <v>22</v>
      </c>
      <c r="N86" s="16" t="n">
        <v>0</v>
      </c>
      <c r="O86" s="11" t="n">
        <v>287.6304132</v>
      </c>
      <c r="P86" s="13">
        <f>N86*86400</f>
        <v/>
      </c>
      <c r="Q86" s="14">
        <f>O86-273.15</f>
        <v/>
      </c>
    </row>
    <row r="87">
      <c r="A87" s="9" t="n">
        <v>36974</v>
      </c>
      <c r="B87" s="7">
        <f>YEAR(A87)</f>
        <v/>
      </c>
      <c r="C87" s="7">
        <f>MONTH(A87)</f>
        <v/>
      </c>
      <c r="D87" s="10" t="n">
        <v>0</v>
      </c>
      <c r="E87" s="11" t="n">
        <v>9.283058499999999</v>
      </c>
      <c r="F87" s="12" t="n">
        <v>0</v>
      </c>
      <c r="G87" s="11" t="n">
        <v>285.8174039</v>
      </c>
      <c r="H87" s="13">
        <f>F87*1000</f>
        <v/>
      </c>
      <c r="I87" s="14">
        <f>G87-273.15</f>
        <v/>
      </c>
      <c r="K87" s="15" t="n">
        <v>2001</v>
      </c>
      <c r="L87" s="15" t="n">
        <v>3</v>
      </c>
      <c r="M87" s="15" t="n">
        <v>23</v>
      </c>
      <c r="N87" s="16" t="n">
        <v>0</v>
      </c>
      <c r="O87" s="11" t="n">
        <v>286.1496232</v>
      </c>
      <c r="P87" s="13">
        <f>N87*86400</f>
        <v/>
      </c>
      <c r="Q87" s="14">
        <f>O87-273.15</f>
        <v/>
      </c>
    </row>
    <row r="88">
      <c r="A88" s="9" t="n">
        <v>36975</v>
      </c>
      <c r="B88" s="7">
        <f>YEAR(A88)</f>
        <v/>
      </c>
      <c r="C88" s="7">
        <f>MONTH(A88)</f>
        <v/>
      </c>
      <c r="D88" s="10" t="n">
        <v>0</v>
      </c>
      <c r="E88" s="11" t="n">
        <v>6.420161166</v>
      </c>
      <c r="F88" s="12" t="n">
        <v>0</v>
      </c>
      <c r="G88" s="11" t="n">
        <v>283.014758</v>
      </c>
      <c r="H88" s="13">
        <f>F88*1000</f>
        <v/>
      </c>
      <c r="I88" s="14">
        <f>G88-273.15</f>
        <v/>
      </c>
      <c r="K88" s="15" t="n">
        <v>2001</v>
      </c>
      <c r="L88" s="15" t="n">
        <v>3</v>
      </c>
      <c r="M88" s="15" t="n">
        <v>24</v>
      </c>
      <c r="N88" s="16" t="n">
        <v>5.175107637e-06</v>
      </c>
      <c r="O88" s="11" t="n">
        <v>286.4326863</v>
      </c>
      <c r="P88" s="13">
        <f>N88*86400</f>
        <v/>
      </c>
      <c r="Q88" s="14">
        <f>O88-273.15</f>
        <v/>
      </c>
    </row>
    <row r="89">
      <c r="A89" s="9" t="n">
        <v>36976</v>
      </c>
      <c r="B89" s="7">
        <f>YEAR(A89)</f>
        <v/>
      </c>
      <c r="C89" s="7">
        <f>MONTH(A89)</f>
        <v/>
      </c>
      <c r="D89" s="10" t="n">
        <v>0</v>
      </c>
      <c r="E89" s="11" t="n">
        <v>6.399341843</v>
      </c>
      <c r="F89" s="12" t="n">
        <v>4.599281524e-05</v>
      </c>
      <c r="G89" s="11" t="n">
        <v>282.3733143</v>
      </c>
      <c r="H89" s="13">
        <f>F89*1000</f>
        <v/>
      </c>
      <c r="I89" s="14">
        <f>G89-273.15</f>
        <v/>
      </c>
      <c r="K89" s="15" t="n">
        <v>2001</v>
      </c>
      <c r="L89" s="15" t="n">
        <v>3</v>
      </c>
      <c r="M89" s="15" t="n">
        <v>25</v>
      </c>
      <c r="N89" s="16" t="n">
        <v>0</v>
      </c>
      <c r="O89" s="11" t="n">
        <v>287.8050504</v>
      </c>
      <c r="P89" s="13">
        <f>N89*86400</f>
        <v/>
      </c>
      <c r="Q89" s="14">
        <f>O89-273.15</f>
        <v/>
      </c>
    </row>
    <row r="90">
      <c r="A90" s="9" t="n">
        <v>36977</v>
      </c>
      <c r="B90" s="7">
        <f>YEAR(A90)</f>
        <v/>
      </c>
      <c r="C90" s="7">
        <f>MONTH(A90)</f>
        <v/>
      </c>
      <c r="D90" s="10" t="n">
        <v>0</v>
      </c>
      <c r="E90" s="11" t="n">
        <v>5.714169158</v>
      </c>
      <c r="F90" s="12" t="n">
        <v>0.0003608982075</v>
      </c>
      <c r="G90" s="11" t="n">
        <v>282.2539717</v>
      </c>
      <c r="H90" s="13">
        <f>F90*1000</f>
        <v/>
      </c>
      <c r="I90" s="14">
        <f>G90-273.15</f>
        <v/>
      </c>
      <c r="K90" s="15" t="n">
        <v>2001</v>
      </c>
      <c r="L90" s="15" t="n">
        <v>3</v>
      </c>
      <c r="M90" s="15" t="n">
        <v>26</v>
      </c>
      <c r="N90" s="16" t="n">
        <v>4.834055702e-06</v>
      </c>
      <c r="O90" s="11" t="n">
        <v>288.7140673</v>
      </c>
      <c r="P90" s="13">
        <f>N90*86400</f>
        <v/>
      </c>
      <c r="Q90" s="14">
        <f>O90-273.15</f>
        <v/>
      </c>
    </row>
    <row r="91">
      <c r="A91" s="9" t="n">
        <v>36978</v>
      </c>
      <c r="B91" s="7">
        <f>YEAR(A91)</f>
        <v/>
      </c>
      <c r="C91" s="7">
        <f>MONTH(A91)</f>
        <v/>
      </c>
      <c r="D91" s="10" t="n">
        <v>0</v>
      </c>
      <c r="E91" s="11" t="n">
        <v>8.224274066</v>
      </c>
      <c r="F91" s="12" t="n">
        <v>0</v>
      </c>
      <c r="G91" s="11" t="n">
        <v>284.4446898</v>
      </c>
      <c r="H91" s="13">
        <f>F91*1000</f>
        <v/>
      </c>
      <c r="I91" s="14">
        <f>G91-273.15</f>
        <v/>
      </c>
      <c r="K91" s="15" t="n">
        <v>2001</v>
      </c>
      <c r="L91" s="15" t="n">
        <v>3</v>
      </c>
      <c r="M91" s="15" t="n">
        <v>27</v>
      </c>
      <c r="N91" s="16" t="n">
        <v>5.501831549e-05</v>
      </c>
      <c r="O91" s="11" t="n">
        <v>287.1286211</v>
      </c>
      <c r="P91" s="13">
        <f>N91*86400</f>
        <v/>
      </c>
      <c r="Q91" s="14">
        <f>O91-273.15</f>
        <v/>
      </c>
    </row>
    <row r="92">
      <c r="A92" s="9" t="n">
        <v>36979</v>
      </c>
      <c r="B92" s="7">
        <f>YEAR(A92)</f>
        <v/>
      </c>
      <c r="C92" s="7">
        <f>MONTH(A92)</f>
        <v/>
      </c>
      <c r="D92" s="10" t="n">
        <v>0</v>
      </c>
      <c r="E92" s="11" t="n">
        <v>8.787736956</v>
      </c>
      <c r="F92" s="12" t="n">
        <v>0</v>
      </c>
      <c r="G92" s="11" t="n">
        <v>285.3330295</v>
      </c>
      <c r="H92" s="13">
        <f>F92*1000</f>
        <v/>
      </c>
      <c r="I92" s="14">
        <f>G92-273.15</f>
        <v/>
      </c>
      <c r="K92" s="15" t="n">
        <v>2001</v>
      </c>
      <c r="L92" s="15" t="n">
        <v>3</v>
      </c>
      <c r="M92" s="15" t="n">
        <v>28</v>
      </c>
      <c r="N92" s="16" t="n">
        <v>1.828677789e-05</v>
      </c>
      <c r="O92" s="11" t="n">
        <v>287.2286718</v>
      </c>
      <c r="P92" s="13">
        <f>N92*86400</f>
        <v/>
      </c>
      <c r="Q92" s="14">
        <f>O92-273.15</f>
        <v/>
      </c>
    </row>
    <row r="93">
      <c r="A93" s="9" t="n">
        <v>36980</v>
      </c>
      <c r="B93" s="7">
        <f>YEAR(A93)</f>
        <v/>
      </c>
      <c r="C93" s="7">
        <f>MONTH(A93)</f>
        <v/>
      </c>
      <c r="D93" s="10" t="n">
        <v>0.4541467959</v>
      </c>
      <c r="E93" s="11" t="n">
        <v>7.897868401</v>
      </c>
      <c r="F93" s="12" t="n">
        <v>0</v>
      </c>
      <c r="G93" s="11" t="n">
        <v>283.6006175</v>
      </c>
      <c r="H93" s="13">
        <f>F93*1000</f>
        <v/>
      </c>
      <c r="I93" s="14">
        <f>G93-273.15</f>
        <v/>
      </c>
      <c r="K93" s="15" t="n">
        <v>2001</v>
      </c>
      <c r="L93" s="15" t="n">
        <v>3</v>
      </c>
      <c r="M93" s="15" t="n">
        <v>29</v>
      </c>
      <c r="N93" s="16" t="n">
        <v>5.394653137e-05</v>
      </c>
      <c r="O93" s="11" t="n">
        <v>286.7643867</v>
      </c>
      <c r="P93" s="13">
        <f>N93*86400</f>
        <v/>
      </c>
      <c r="Q93" s="14">
        <f>O93-273.15</f>
        <v/>
      </c>
    </row>
    <row r="94">
      <c r="A94" s="9" t="n">
        <v>36981</v>
      </c>
      <c r="B94" s="7">
        <f>YEAR(A94)</f>
        <v/>
      </c>
      <c r="C94" s="7">
        <f>MONTH(A94)</f>
        <v/>
      </c>
      <c r="D94" s="10" t="n">
        <v>0</v>
      </c>
      <c r="E94" s="11" t="n">
        <v>9.916916452000001</v>
      </c>
      <c r="F94" s="12" t="n">
        <v>0</v>
      </c>
      <c r="G94" s="11" t="n">
        <v>285.9034853</v>
      </c>
      <c r="H94" s="13">
        <f>F94*1000</f>
        <v/>
      </c>
      <c r="I94" s="14">
        <f>G94-273.15</f>
        <v/>
      </c>
      <c r="K94" s="15" t="n">
        <v>2001</v>
      </c>
      <c r="L94" s="15" t="n">
        <v>3</v>
      </c>
      <c r="M94" s="15" t="n">
        <v>30</v>
      </c>
      <c r="N94" s="16" t="n">
        <v>1.26933713e-07</v>
      </c>
      <c r="O94" s="11" t="n">
        <v>286.5452879</v>
      </c>
      <c r="P94" s="13">
        <f>N94*86400</f>
        <v/>
      </c>
      <c r="Q94" s="14">
        <f>O94-273.15</f>
        <v/>
      </c>
    </row>
    <row r="95">
      <c r="A95" s="9" t="n">
        <v>36982</v>
      </c>
      <c r="B95" s="7">
        <f>YEAR(A95)</f>
        <v/>
      </c>
      <c r="C95" s="7">
        <f>MONTH(A95)</f>
        <v/>
      </c>
      <c r="D95" s="10" t="n">
        <v>0</v>
      </c>
      <c r="E95" s="11" t="n">
        <v>11.2452494</v>
      </c>
      <c r="F95" s="12" t="n">
        <v>0</v>
      </c>
      <c r="G95" s="11" t="n">
        <v>287.0789741</v>
      </c>
      <c r="H95" s="13">
        <f>F95*1000</f>
        <v/>
      </c>
      <c r="I95" s="14">
        <f>G95-273.15</f>
        <v/>
      </c>
      <c r="K95" s="15" t="n">
        <v>2001</v>
      </c>
      <c r="L95" s="15" t="n">
        <v>4</v>
      </c>
      <c r="M95" s="15" t="n">
        <v>1</v>
      </c>
      <c r="N95" s="16" t="n">
        <v>0</v>
      </c>
      <c r="O95" s="11" t="n">
        <v>285.5156079</v>
      </c>
      <c r="P95" s="13">
        <f>N95*86400</f>
        <v/>
      </c>
      <c r="Q95" s="14">
        <f>O95-273.15</f>
        <v/>
      </c>
    </row>
    <row r="96">
      <c r="A96" s="9" t="n">
        <v>36983</v>
      </c>
      <c r="B96" s="7">
        <f>YEAR(A96)</f>
        <v/>
      </c>
      <c r="C96" s="7">
        <f>MONTH(A96)</f>
        <v/>
      </c>
      <c r="D96" s="10" t="n">
        <v>0</v>
      </c>
      <c r="E96" s="11" t="n">
        <v>11.89051827</v>
      </c>
      <c r="F96" s="12" t="n">
        <v>0</v>
      </c>
      <c r="G96" s="11" t="n">
        <v>287.8411392</v>
      </c>
      <c r="H96" s="13">
        <f>F96*1000</f>
        <v/>
      </c>
      <c r="I96" s="14">
        <f>G96-273.15</f>
        <v/>
      </c>
      <c r="K96" s="15" t="n">
        <v>2001</v>
      </c>
      <c r="L96" s="15" t="n">
        <v>4</v>
      </c>
      <c r="M96" s="15" t="n">
        <v>2</v>
      </c>
      <c r="N96" s="16" t="n">
        <v>0</v>
      </c>
      <c r="O96" s="11" t="n">
        <v>286.9286569</v>
      </c>
      <c r="P96" s="13">
        <f>N96*86400</f>
        <v/>
      </c>
      <c r="Q96" s="14">
        <f>O96-273.15</f>
        <v/>
      </c>
    </row>
    <row r="97">
      <c r="A97" s="9" t="n">
        <v>36984</v>
      </c>
      <c r="B97" s="7">
        <f>YEAR(A97)</f>
        <v/>
      </c>
      <c r="C97" s="7">
        <f>MONTH(A97)</f>
        <v/>
      </c>
      <c r="D97" s="10" t="n">
        <v>0</v>
      </c>
      <c r="E97" s="11" t="n">
        <v>11.13656388</v>
      </c>
      <c r="F97" s="12" t="n">
        <v>0</v>
      </c>
      <c r="G97" s="11" t="n">
        <v>286.6865132</v>
      </c>
      <c r="H97" s="13">
        <f>F97*1000</f>
        <v/>
      </c>
      <c r="I97" s="14">
        <f>G97-273.15</f>
        <v/>
      </c>
      <c r="K97" s="15" t="n">
        <v>2001</v>
      </c>
      <c r="L97" s="15" t="n">
        <v>4</v>
      </c>
      <c r="M97" s="15" t="n">
        <v>3</v>
      </c>
      <c r="N97" s="16" t="n">
        <v>0</v>
      </c>
      <c r="O97" s="11" t="n">
        <v>287.5879118</v>
      </c>
      <c r="P97" s="13">
        <f>N97*86400</f>
        <v/>
      </c>
      <c r="Q97" s="14">
        <f>O97-273.15</f>
        <v/>
      </c>
    </row>
    <row r="98">
      <c r="A98" s="9" t="n">
        <v>36985</v>
      </c>
      <c r="B98" s="7">
        <f>YEAR(A98)</f>
        <v/>
      </c>
      <c r="C98" s="7">
        <f>MONTH(A98)</f>
        <v/>
      </c>
      <c r="D98" s="10" t="n">
        <v>0</v>
      </c>
      <c r="E98" s="11" t="n">
        <v>14.80274421</v>
      </c>
      <c r="F98" s="12" t="n">
        <v>0</v>
      </c>
      <c r="G98" s="11" t="n">
        <v>289.4227466</v>
      </c>
      <c r="H98" s="13">
        <f>F98*1000</f>
        <v/>
      </c>
      <c r="I98" s="14">
        <f>G98-273.15</f>
        <v/>
      </c>
      <c r="K98" s="15" t="n">
        <v>2001</v>
      </c>
      <c r="L98" s="15" t="n">
        <v>4</v>
      </c>
      <c r="M98" s="15" t="n">
        <v>4</v>
      </c>
      <c r="N98" s="16" t="n">
        <v>0</v>
      </c>
      <c r="O98" s="11" t="n">
        <v>286.1345577</v>
      </c>
      <c r="P98" s="13">
        <f>N98*86400</f>
        <v/>
      </c>
      <c r="Q98" s="14">
        <f>O98-273.15</f>
        <v/>
      </c>
    </row>
    <row r="99">
      <c r="A99" s="9" t="n">
        <v>36986</v>
      </c>
      <c r="B99" s="7">
        <f>YEAR(A99)</f>
        <v/>
      </c>
      <c r="C99" s="7">
        <f>MONTH(A99)</f>
        <v/>
      </c>
      <c r="D99" s="10" t="n">
        <v>0</v>
      </c>
      <c r="E99" s="11" t="n">
        <v>14.64491471</v>
      </c>
      <c r="F99" s="12" t="n">
        <v>0</v>
      </c>
      <c r="G99" s="11" t="n">
        <v>289.7676599</v>
      </c>
      <c r="H99" s="13">
        <f>F99*1000</f>
        <v/>
      </c>
      <c r="I99" s="14">
        <f>G99-273.15</f>
        <v/>
      </c>
      <c r="K99" s="15" t="n">
        <v>2001</v>
      </c>
      <c r="L99" s="15" t="n">
        <v>4</v>
      </c>
      <c r="M99" s="15" t="n">
        <v>5</v>
      </c>
      <c r="N99" s="16" t="n">
        <v>2.952132778e-05</v>
      </c>
      <c r="O99" s="11" t="n">
        <v>290.8753191</v>
      </c>
      <c r="P99" s="13">
        <f>N99*86400</f>
        <v/>
      </c>
      <c r="Q99" s="14">
        <f>O99-273.15</f>
        <v/>
      </c>
    </row>
    <row r="100">
      <c r="A100" s="9" t="n">
        <v>36987</v>
      </c>
      <c r="B100" s="7">
        <f>YEAR(A100)</f>
        <v/>
      </c>
      <c r="C100" s="7">
        <f>MONTH(A100)</f>
        <v/>
      </c>
      <c r="D100" s="10" t="n">
        <v>0</v>
      </c>
      <c r="E100" s="11" t="n">
        <v>12.93494867</v>
      </c>
      <c r="F100" s="12" t="n">
        <v>0.0001650885665</v>
      </c>
      <c r="G100" s="11" t="n">
        <v>289.1322115</v>
      </c>
      <c r="H100" s="13">
        <f>F100*1000</f>
        <v/>
      </c>
      <c r="I100" s="14">
        <f>G100-273.15</f>
        <v/>
      </c>
      <c r="K100" s="15" t="n">
        <v>2001</v>
      </c>
      <c r="L100" s="15" t="n">
        <v>4</v>
      </c>
      <c r="M100" s="15" t="n">
        <v>6</v>
      </c>
      <c r="N100" s="16" t="n">
        <v>0.000105737952</v>
      </c>
      <c r="O100" s="11" t="n">
        <v>290.9885928</v>
      </c>
      <c r="P100" s="13">
        <f>N100*86400</f>
        <v/>
      </c>
      <c r="Q100" s="14">
        <f>O100-273.15</f>
        <v/>
      </c>
    </row>
    <row r="101">
      <c r="A101" s="9" t="n">
        <v>36988</v>
      </c>
      <c r="B101" s="7">
        <f>YEAR(A101)</f>
        <v/>
      </c>
      <c r="C101" s="7">
        <f>MONTH(A101)</f>
        <v/>
      </c>
      <c r="D101" s="10" t="n">
        <v>0</v>
      </c>
      <c r="E101" s="11" t="n">
        <v>11.83530607</v>
      </c>
      <c r="F101" s="12" t="n">
        <v>0.0003484337838</v>
      </c>
      <c r="G101" s="11" t="n">
        <v>288.7590094</v>
      </c>
      <c r="H101" s="13">
        <f>F101*1000</f>
        <v/>
      </c>
      <c r="I101" s="14">
        <f>G101-273.15</f>
        <v/>
      </c>
      <c r="K101" s="15" t="n">
        <v>2001</v>
      </c>
      <c r="L101" s="15" t="n">
        <v>4</v>
      </c>
      <c r="M101" s="15" t="n">
        <v>7</v>
      </c>
      <c r="N101" s="16" t="n">
        <v>3.165445115e-06</v>
      </c>
      <c r="O101" s="11" t="n">
        <v>294.2732808</v>
      </c>
      <c r="P101" s="13">
        <f>N101*86400</f>
        <v/>
      </c>
      <c r="Q101" s="14">
        <f>O101-273.15</f>
        <v/>
      </c>
    </row>
    <row r="102">
      <c r="A102" s="9" t="n">
        <v>36989</v>
      </c>
      <c r="B102" s="7">
        <f>YEAR(A102)</f>
        <v/>
      </c>
      <c r="C102" s="7">
        <f>MONTH(A102)</f>
        <v/>
      </c>
      <c r="D102" s="10" t="n">
        <v>0</v>
      </c>
      <c r="E102" s="11" t="n">
        <v>12.40172756</v>
      </c>
      <c r="F102" s="12" t="n">
        <v>0.0009159808068</v>
      </c>
      <c r="G102" s="11" t="n">
        <v>289.1509949</v>
      </c>
      <c r="H102" s="13">
        <f>F102*1000</f>
        <v/>
      </c>
      <c r="I102" s="14">
        <f>G102-273.15</f>
        <v/>
      </c>
      <c r="K102" s="15" t="n">
        <v>2001</v>
      </c>
      <c r="L102" s="15" t="n">
        <v>4</v>
      </c>
      <c r="M102" s="15" t="n">
        <v>8</v>
      </c>
      <c r="N102" s="16" t="n">
        <v>2.895964141e-05</v>
      </c>
      <c r="O102" s="11" t="n">
        <v>293.2485113</v>
      </c>
      <c r="P102" s="13">
        <f>N102*86400</f>
        <v/>
      </c>
      <c r="Q102" s="14">
        <f>O102-273.15</f>
        <v/>
      </c>
    </row>
    <row r="103">
      <c r="A103" s="9" t="n">
        <v>36990</v>
      </c>
      <c r="B103" s="7">
        <f>YEAR(A103)</f>
        <v/>
      </c>
      <c r="C103" s="7">
        <f>MONTH(A103)</f>
        <v/>
      </c>
      <c r="D103" s="10" t="n">
        <v>0</v>
      </c>
      <c r="E103" s="11" t="n">
        <v>13.574902</v>
      </c>
      <c r="F103" s="12" t="n">
        <v>0.0002532726755</v>
      </c>
      <c r="G103" s="11" t="n">
        <v>289.8537634</v>
      </c>
      <c r="H103" s="13">
        <f>F103*1000</f>
        <v/>
      </c>
      <c r="I103" s="14">
        <f>G103-273.15</f>
        <v/>
      </c>
      <c r="K103" s="15" t="n">
        <v>2001</v>
      </c>
      <c r="L103" s="15" t="n">
        <v>4</v>
      </c>
      <c r="M103" s="15" t="n">
        <v>9</v>
      </c>
      <c r="N103" s="16" t="n">
        <v>0.0001101651659</v>
      </c>
      <c r="O103" s="11" t="n">
        <v>290.5104725</v>
      </c>
      <c r="P103" s="13">
        <f>N103*86400</f>
        <v/>
      </c>
      <c r="Q103" s="14">
        <f>O103-273.15</f>
        <v/>
      </c>
    </row>
    <row r="104">
      <c r="A104" s="9" t="n">
        <v>36991</v>
      </c>
      <c r="B104" s="7">
        <f>YEAR(A104)</f>
        <v/>
      </c>
      <c r="C104" s="7">
        <f>MONTH(A104)</f>
        <v/>
      </c>
      <c r="D104" s="10" t="n">
        <v>0</v>
      </c>
      <c r="E104" s="11" t="n">
        <v>13.67444762</v>
      </c>
      <c r="F104" s="12" t="n">
        <v>0</v>
      </c>
      <c r="G104" s="11" t="n">
        <v>289.1385869</v>
      </c>
      <c r="H104" s="13">
        <f>F104*1000</f>
        <v/>
      </c>
      <c r="I104" s="14">
        <f>G104-273.15</f>
        <v/>
      </c>
      <c r="K104" s="15" t="n">
        <v>2001</v>
      </c>
      <c r="L104" s="15" t="n">
        <v>4</v>
      </c>
      <c r="M104" s="15" t="n">
        <v>10</v>
      </c>
      <c r="N104" s="16" t="n">
        <v>1.076890659e-05</v>
      </c>
      <c r="O104" s="11" t="n">
        <v>289.2831403</v>
      </c>
      <c r="P104" s="13">
        <f>N104*86400</f>
        <v/>
      </c>
      <c r="Q104" s="14">
        <f>O104-273.15</f>
        <v/>
      </c>
    </row>
    <row r="105">
      <c r="A105" s="9" t="n">
        <v>36992</v>
      </c>
      <c r="B105" s="7">
        <f>YEAR(A105)</f>
        <v/>
      </c>
      <c r="C105" s="7">
        <f>MONTH(A105)</f>
        <v/>
      </c>
      <c r="D105" s="10" t="n">
        <v>0</v>
      </c>
      <c r="E105" s="11" t="n">
        <v>13.32058892</v>
      </c>
      <c r="F105" s="12" t="n">
        <v>7.017050746000001e-05</v>
      </c>
      <c r="G105" s="11" t="n">
        <v>289.2816521</v>
      </c>
      <c r="H105" s="13">
        <f>F105*1000</f>
        <v/>
      </c>
      <c r="I105" s="14">
        <f>G105-273.15</f>
        <v/>
      </c>
      <c r="K105" s="15" t="n">
        <v>2001</v>
      </c>
      <c r="L105" s="15" t="n">
        <v>4</v>
      </c>
      <c r="M105" s="15" t="n">
        <v>11</v>
      </c>
      <c r="N105" s="16" t="n">
        <v>0</v>
      </c>
      <c r="O105" s="11" t="n">
        <v>288.9746958</v>
      </c>
      <c r="P105" s="13">
        <f>N105*86400</f>
        <v/>
      </c>
      <c r="Q105" s="14">
        <f>O105-273.15</f>
        <v/>
      </c>
    </row>
    <row r="106">
      <c r="A106" s="9" t="n">
        <v>36993</v>
      </c>
      <c r="B106" s="7">
        <f>YEAR(A106)</f>
        <v/>
      </c>
      <c r="C106" s="7">
        <f>MONTH(A106)</f>
        <v/>
      </c>
      <c r="D106" s="10" t="n">
        <v>0</v>
      </c>
      <c r="E106" s="11" t="n">
        <v>12.62851744</v>
      </c>
      <c r="F106" s="12" t="n">
        <v>0.0003903260022</v>
      </c>
      <c r="G106" s="11" t="n">
        <v>288.6651905</v>
      </c>
      <c r="H106" s="13">
        <f>F106*1000</f>
        <v/>
      </c>
      <c r="I106" s="14">
        <f>G106-273.15</f>
        <v/>
      </c>
      <c r="K106" s="15" t="n">
        <v>2001</v>
      </c>
      <c r="L106" s="15" t="n">
        <v>4</v>
      </c>
      <c r="M106" s="15" t="n">
        <v>12</v>
      </c>
      <c r="N106" s="16" t="n">
        <v>0</v>
      </c>
      <c r="O106" s="11" t="n">
        <v>289.7256838</v>
      </c>
      <c r="P106" s="13">
        <f>N106*86400</f>
        <v/>
      </c>
      <c r="Q106" s="14">
        <f>O106-273.15</f>
        <v/>
      </c>
    </row>
    <row r="107">
      <c r="A107" s="9" t="n">
        <v>36994</v>
      </c>
      <c r="B107" s="7">
        <f>YEAR(A107)</f>
        <v/>
      </c>
      <c r="C107" s="7">
        <f>MONTH(A107)</f>
        <v/>
      </c>
      <c r="D107" s="10" t="n">
        <v>0</v>
      </c>
      <c r="E107" s="11" t="n">
        <v>12.02173652</v>
      </c>
      <c r="F107" s="12" t="n">
        <v>0</v>
      </c>
      <c r="G107" s="11" t="n">
        <v>287.672207</v>
      </c>
      <c r="H107" s="13">
        <f>F107*1000</f>
        <v/>
      </c>
      <c r="I107" s="14">
        <f>G107-273.15</f>
        <v/>
      </c>
      <c r="K107" s="15" t="n">
        <v>2001</v>
      </c>
      <c r="L107" s="15" t="n">
        <v>4</v>
      </c>
      <c r="M107" s="15" t="n">
        <v>13</v>
      </c>
      <c r="N107" s="16" t="n">
        <v>0</v>
      </c>
      <c r="O107" s="11" t="n">
        <v>289.026333</v>
      </c>
      <c r="P107" s="13">
        <f>N107*86400</f>
        <v/>
      </c>
      <c r="Q107" s="14">
        <f>O107-273.15</f>
        <v/>
      </c>
    </row>
    <row r="108">
      <c r="A108" s="9" t="n">
        <v>36995</v>
      </c>
      <c r="B108" s="7">
        <f>YEAR(A108)</f>
        <v/>
      </c>
      <c r="C108" s="7">
        <f>MONTH(A108)</f>
        <v/>
      </c>
      <c r="D108" s="10" t="n">
        <v>0</v>
      </c>
      <c r="E108" s="11" t="n">
        <v>13.83286041</v>
      </c>
      <c r="F108" s="12" t="n">
        <v>0</v>
      </c>
      <c r="G108" s="11" t="n">
        <v>289.8798603</v>
      </c>
      <c r="H108" s="13">
        <f>F108*1000</f>
        <v/>
      </c>
      <c r="I108" s="14">
        <f>G108-273.15</f>
        <v/>
      </c>
      <c r="K108" s="15" t="n">
        <v>2001</v>
      </c>
      <c r="L108" s="15" t="n">
        <v>4</v>
      </c>
      <c r="M108" s="15" t="n">
        <v>14</v>
      </c>
      <c r="N108" s="16" t="n">
        <v>4.060400305e-05</v>
      </c>
      <c r="O108" s="11" t="n">
        <v>288.378729</v>
      </c>
      <c r="P108" s="13">
        <f>N108*86400</f>
        <v/>
      </c>
      <c r="Q108" s="14">
        <f>O108-273.15</f>
        <v/>
      </c>
    </row>
    <row r="109">
      <c r="A109" s="9" t="n">
        <v>36996</v>
      </c>
      <c r="B109" s="7">
        <f>YEAR(A109)</f>
        <v/>
      </c>
      <c r="C109" s="7">
        <f>MONTH(A109)</f>
        <v/>
      </c>
      <c r="D109" s="10" t="n">
        <v>0</v>
      </c>
      <c r="E109" s="11" t="n">
        <v>14.45049565</v>
      </c>
      <c r="F109" s="12" t="n">
        <v>0</v>
      </c>
      <c r="G109" s="11" t="n">
        <v>289.8992417</v>
      </c>
      <c r="H109" s="13">
        <f>F109*1000</f>
        <v/>
      </c>
      <c r="I109" s="14">
        <f>G109-273.15</f>
        <v/>
      </c>
      <c r="K109" s="15" t="n">
        <v>2001</v>
      </c>
      <c r="L109" s="15" t="n">
        <v>4</v>
      </c>
      <c r="M109" s="15" t="n">
        <v>15</v>
      </c>
      <c r="N109" s="16" t="n">
        <v>5.234803594e-07</v>
      </c>
      <c r="O109" s="11" t="n">
        <v>286.192366</v>
      </c>
      <c r="P109" s="13">
        <f>N109*86400</f>
        <v/>
      </c>
      <c r="Q109" s="14">
        <f>O109-273.15</f>
        <v/>
      </c>
    </row>
    <row r="110">
      <c r="A110" s="9" t="n">
        <v>36997</v>
      </c>
      <c r="B110" s="7">
        <f>YEAR(A110)</f>
        <v/>
      </c>
      <c r="C110" s="7">
        <f>MONTH(A110)</f>
        <v/>
      </c>
      <c r="D110" s="10" t="n">
        <v>0</v>
      </c>
      <c r="E110" s="11" t="n">
        <v>14.52562927</v>
      </c>
      <c r="F110" s="12" t="n">
        <v>0</v>
      </c>
      <c r="G110" s="11" t="n">
        <v>288.5350175</v>
      </c>
      <c r="H110" s="13">
        <f>F110*1000</f>
        <v/>
      </c>
      <c r="I110" s="14">
        <f>G110-273.15</f>
        <v/>
      </c>
      <c r="K110" s="15" t="n">
        <v>2001</v>
      </c>
      <c r="L110" s="15" t="n">
        <v>4</v>
      </c>
      <c r="M110" s="15" t="n">
        <v>16</v>
      </c>
      <c r="N110" s="16" t="n">
        <v>3.475581512e-05</v>
      </c>
      <c r="O110" s="11" t="n">
        <v>286.8461536</v>
      </c>
      <c r="P110" s="13">
        <f>N110*86400</f>
        <v/>
      </c>
      <c r="Q110" s="14">
        <f>O110-273.15</f>
        <v/>
      </c>
    </row>
    <row r="111">
      <c r="A111" s="9" t="n">
        <v>36998</v>
      </c>
      <c r="B111" s="7">
        <f>YEAR(A111)</f>
        <v/>
      </c>
      <c r="C111" s="7">
        <f>MONTH(A111)</f>
        <v/>
      </c>
      <c r="D111" s="10" t="n">
        <v>0</v>
      </c>
      <c r="E111" s="11" t="n">
        <v>16.46700736</v>
      </c>
      <c r="F111" s="12" t="n">
        <v>0</v>
      </c>
      <c r="G111" s="11" t="n">
        <v>289.7605143</v>
      </c>
      <c r="H111" s="13">
        <f>F111*1000</f>
        <v/>
      </c>
      <c r="I111" s="14">
        <f>G111-273.15</f>
        <v/>
      </c>
      <c r="K111" s="15" t="n">
        <v>2001</v>
      </c>
      <c r="L111" s="15" t="n">
        <v>4</v>
      </c>
      <c r="M111" s="15" t="n">
        <v>17</v>
      </c>
      <c r="N111" s="16" t="n">
        <v>1.641240372e-05</v>
      </c>
      <c r="O111" s="11" t="n">
        <v>288.3639665</v>
      </c>
      <c r="P111" s="13">
        <f>N111*86400</f>
        <v/>
      </c>
      <c r="Q111" s="14">
        <f>O111-273.15</f>
        <v/>
      </c>
    </row>
    <row r="112">
      <c r="A112" s="9" t="n">
        <v>36999</v>
      </c>
      <c r="B112" s="7">
        <f>YEAR(A112)</f>
        <v/>
      </c>
      <c r="C112" s="7">
        <f>MONTH(A112)</f>
        <v/>
      </c>
      <c r="D112" s="10" t="n">
        <v>0</v>
      </c>
      <c r="E112" s="11" t="n">
        <v>15.64504867</v>
      </c>
      <c r="F112" s="12" t="n">
        <v>0</v>
      </c>
      <c r="G112" s="11" t="n">
        <v>290.2390758</v>
      </c>
      <c r="H112" s="13">
        <f>F112*1000</f>
        <v/>
      </c>
      <c r="I112" s="14">
        <f>G112-273.15</f>
        <v/>
      </c>
      <c r="K112" s="15" t="n">
        <v>2001</v>
      </c>
      <c r="L112" s="15" t="n">
        <v>4</v>
      </c>
      <c r="M112" s="15" t="n">
        <v>18</v>
      </c>
      <c r="N112" s="16" t="n">
        <v>0</v>
      </c>
      <c r="O112" s="11" t="n">
        <v>287.4485721</v>
      </c>
      <c r="P112" s="13">
        <f>N112*86400</f>
        <v/>
      </c>
      <c r="Q112" s="14">
        <f>O112-273.15</f>
        <v/>
      </c>
    </row>
    <row r="113">
      <c r="A113" s="9" t="n">
        <v>37000</v>
      </c>
      <c r="B113" s="7">
        <f>YEAR(A113)</f>
        <v/>
      </c>
      <c r="C113" s="7">
        <f>MONTH(A113)</f>
        <v/>
      </c>
      <c r="D113" s="10" t="n">
        <v>0</v>
      </c>
      <c r="E113" s="11" t="n">
        <v>15.8353642</v>
      </c>
      <c r="F113" s="12" t="n">
        <v>0</v>
      </c>
      <c r="G113" s="11" t="n">
        <v>289.0473492</v>
      </c>
      <c r="H113" s="13">
        <f>F113*1000</f>
        <v/>
      </c>
      <c r="I113" s="14">
        <f>G113-273.15</f>
        <v/>
      </c>
      <c r="K113" s="15" t="n">
        <v>2001</v>
      </c>
      <c r="L113" s="15" t="n">
        <v>4</v>
      </c>
      <c r="M113" s="15" t="n">
        <v>19</v>
      </c>
      <c r="N113" s="16" t="n">
        <v>0</v>
      </c>
      <c r="O113" s="11" t="n">
        <v>289.0057417</v>
      </c>
      <c r="P113" s="13">
        <f>N113*86400</f>
        <v/>
      </c>
      <c r="Q113" s="14">
        <f>O113-273.15</f>
        <v/>
      </c>
    </row>
    <row r="114">
      <c r="A114" s="9" t="n">
        <v>37001</v>
      </c>
      <c r="B114" s="7">
        <f>YEAR(A114)</f>
        <v/>
      </c>
      <c r="C114" s="7">
        <f>MONTH(A114)</f>
        <v/>
      </c>
      <c r="D114" s="10" t="n">
        <v>0</v>
      </c>
      <c r="E114" s="11" t="n">
        <v>15.09129796</v>
      </c>
      <c r="F114" s="12" t="n">
        <v>0</v>
      </c>
      <c r="G114" s="11" t="n">
        <v>288.4567397</v>
      </c>
      <c r="H114" s="13">
        <f>F114*1000</f>
        <v/>
      </c>
      <c r="I114" s="14">
        <f>G114-273.15</f>
        <v/>
      </c>
      <c r="K114" s="15" t="n">
        <v>2001</v>
      </c>
      <c r="L114" s="15" t="n">
        <v>4</v>
      </c>
      <c r="M114" s="15" t="n">
        <v>20</v>
      </c>
      <c r="N114" s="16" t="n">
        <v>5.42482622e-07</v>
      </c>
      <c r="O114" s="11" t="n">
        <v>286.9821498</v>
      </c>
      <c r="P114" s="13">
        <f>N114*86400</f>
        <v/>
      </c>
      <c r="Q114" s="14">
        <f>O114-273.15</f>
        <v/>
      </c>
    </row>
    <row r="115">
      <c r="A115" s="9" t="n">
        <v>37002</v>
      </c>
      <c r="B115" s="7">
        <f>YEAR(A115)</f>
        <v/>
      </c>
      <c r="C115" s="7">
        <f>MONTH(A115)</f>
        <v/>
      </c>
      <c r="D115" s="10" t="n">
        <v>0</v>
      </c>
      <c r="E115" s="11" t="n">
        <v>16.2167507</v>
      </c>
      <c r="F115" s="12" t="n">
        <v>0</v>
      </c>
      <c r="G115" s="11" t="n">
        <v>289.9195983</v>
      </c>
      <c r="H115" s="13">
        <f>F115*1000</f>
        <v/>
      </c>
      <c r="I115" s="14">
        <f>G115-273.15</f>
        <v/>
      </c>
      <c r="K115" s="15" t="n">
        <v>2001</v>
      </c>
      <c r="L115" s="15" t="n">
        <v>4</v>
      </c>
      <c r="M115" s="15" t="n">
        <v>21</v>
      </c>
      <c r="N115" s="16" t="n">
        <v>0</v>
      </c>
      <c r="O115" s="11" t="n">
        <v>287.0925511</v>
      </c>
      <c r="P115" s="13">
        <f>N115*86400</f>
        <v/>
      </c>
      <c r="Q115" s="14">
        <f>O115-273.15</f>
        <v/>
      </c>
    </row>
    <row r="116">
      <c r="A116" s="9" t="n">
        <v>37003</v>
      </c>
      <c r="B116" s="7">
        <f>YEAR(A116)</f>
        <v/>
      </c>
      <c r="C116" s="7">
        <f>MONTH(A116)</f>
        <v/>
      </c>
      <c r="D116" s="10" t="n">
        <v>0.4343098824</v>
      </c>
      <c r="E116" s="11" t="n">
        <v>16.23371856</v>
      </c>
      <c r="F116" s="12" t="n">
        <v>0.002746843375</v>
      </c>
      <c r="G116" s="11" t="n">
        <v>289.9708378</v>
      </c>
      <c r="H116" s="13">
        <f>F116*1000</f>
        <v/>
      </c>
      <c r="I116" s="14">
        <f>G116-273.15</f>
        <v/>
      </c>
      <c r="K116" s="15" t="n">
        <v>2001</v>
      </c>
      <c r="L116" s="15" t="n">
        <v>4</v>
      </c>
      <c r="M116" s="15" t="n">
        <v>22</v>
      </c>
      <c r="N116" s="16" t="n">
        <v>0</v>
      </c>
      <c r="O116" s="11" t="n">
        <v>288.977482</v>
      </c>
      <c r="P116" s="13">
        <f>N116*86400</f>
        <v/>
      </c>
      <c r="Q116" s="14">
        <f>O116-273.15</f>
        <v/>
      </c>
    </row>
    <row r="117">
      <c r="A117" s="9" t="n">
        <v>37004</v>
      </c>
      <c r="B117" s="7">
        <f>YEAR(A117)</f>
        <v/>
      </c>
      <c r="C117" s="7">
        <f>MONTH(A117)</f>
        <v/>
      </c>
      <c r="D117" s="10" t="n">
        <v>14.02817462</v>
      </c>
      <c r="E117" s="11" t="n">
        <v>15.61167047</v>
      </c>
      <c r="F117" s="12" t="n">
        <v>0.009014563910999999</v>
      </c>
      <c r="G117" s="11" t="n">
        <v>290.694004</v>
      </c>
      <c r="H117" s="13">
        <f>F117*1000</f>
        <v/>
      </c>
      <c r="I117" s="14">
        <f>G117-273.15</f>
        <v/>
      </c>
      <c r="K117" s="15" t="n">
        <v>2001</v>
      </c>
      <c r="L117" s="15" t="n">
        <v>4</v>
      </c>
      <c r="M117" s="15" t="n">
        <v>23</v>
      </c>
      <c r="N117" s="16" t="n">
        <v>0</v>
      </c>
      <c r="O117" s="11" t="n">
        <v>289.0758206</v>
      </c>
      <c r="P117" s="13">
        <f>N117*86400</f>
        <v/>
      </c>
      <c r="Q117" s="14">
        <f>O117-273.15</f>
        <v/>
      </c>
    </row>
    <row r="118">
      <c r="A118" s="9" t="n">
        <v>37005</v>
      </c>
      <c r="B118" s="7">
        <f>YEAR(A118)</f>
        <v/>
      </c>
      <c r="C118" s="7">
        <f>MONTH(A118)</f>
        <v/>
      </c>
      <c r="D118" s="10" t="n">
        <v>0</v>
      </c>
      <c r="E118" s="11" t="n">
        <v>17.54369086</v>
      </c>
      <c r="F118" s="12" t="n">
        <v>0</v>
      </c>
      <c r="G118" s="11" t="n">
        <v>291.1126408</v>
      </c>
      <c r="H118" s="13">
        <f>F118*1000</f>
        <v/>
      </c>
      <c r="I118" s="14">
        <f>G118-273.15</f>
        <v/>
      </c>
      <c r="K118" s="15" t="n">
        <v>2001</v>
      </c>
      <c r="L118" s="15" t="n">
        <v>4</v>
      </c>
      <c r="M118" s="15" t="n">
        <v>24</v>
      </c>
      <c r="N118" s="16" t="n">
        <v>0</v>
      </c>
      <c r="O118" s="11" t="n">
        <v>289.8607154</v>
      </c>
      <c r="P118" s="13">
        <f>N118*86400</f>
        <v/>
      </c>
      <c r="Q118" s="14">
        <f>O118-273.15</f>
        <v/>
      </c>
    </row>
    <row r="119">
      <c r="A119" s="9" t="n">
        <v>37006</v>
      </c>
      <c r="B119" s="7">
        <f>YEAR(A119)</f>
        <v/>
      </c>
      <c r="C119" s="7">
        <f>MONTH(A119)</f>
        <v/>
      </c>
      <c r="D119" s="10" t="n">
        <v>0</v>
      </c>
      <c r="E119" s="11" t="n">
        <v>17.01396014</v>
      </c>
      <c r="F119" s="12" t="n">
        <v>0</v>
      </c>
      <c r="G119" s="11" t="n">
        <v>290.4654244</v>
      </c>
      <c r="H119" s="13">
        <f>F119*1000</f>
        <v/>
      </c>
      <c r="I119" s="14">
        <f>G119-273.15</f>
        <v/>
      </c>
      <c r="K119" s="15" t="n">
        <v>2001</v>
      </c>
      <c r="L119" s="15" t="n">
        <v>4</v>
      </c>
      <c r="M119" s="15" t="n">
        <v>25</v>
      </c>
      <c r="N119" s="16" t="n">
        <v>4.236454507e-06</v>
      </c>
      <c r="O119" s="11" t="n">
        <v>289.981306</v>
      </c>
      <c r="P119" s="13">
        <f>N119*86400</f>
        <v/>
      </c>
      <c r="Q119" s="14">
        <f>O119-273.15</f>
        <v/>
      </c>
    </row>
    <row r="120">
      <c r="A120" s="9" t="n">
        <v>37007</v>
      </c>
      <c r="B120" s="7">
        <f>YEAR(A120)</f>
        <v/>
      </c>
      <c r="C120" s="7">
        <f>MONTH(A120)</f>
        <v/>
      </c>
      <c r="D120" s="10" t="n">
        <v>0</v>
      </c>
      <c r="E120" s="11" t="n">
        <v>13.21165842</v>
      </c>
      <c r="F120" s="12" t="n">
        <v>0</v>
      </c>
      <c r="G120" s="11" t="n">
        <v>286.6569967</v>
      </c>
      <c r="H120" s="13">
        <f>F120*1000</f>
        <v/>
      </c>
      <c r="I120" s="14">
        <f>G120-273.15</f>
        <v/>
      </c>
      <c r="K120" s="15" t="n">
        <v>2001</v>
      </c>
      <c r="L120" s="15" t="n">
        <v>4</v>
      </c>
      <c r="M120" s="15" t="n">
        <v>26</v>
      </c>
      <c r="N120" s="16" t="n">
        <v>1.326355132e-06</v>
      </c>
      <c r="O120" s="11" t="n">
        <v>289.2492226</v>
      </c>
      <c r="P120" s="13">
        <f>N120*86400</f>
        <v/>
      </c>
      <c r="Q120" s="14">
        <f>O120-273.15</f>
        <v/>
      </c>
    </row>
    <row r="121">
      <c r="A121" s="9" t="n">
        <v>37008</v>
      </c>
      <c r="B121" s="7">
        <f>YEAR(A121)</f>
        <v/>
      </c>
      <c r="C121" s="7">
        <f>MONTH(A121)</f>
        <v/>
      </c>
      <c r="D121" s="10" t="n">
        <v>0</v>
      </c>
      <c r="E121" s="11" t="n">
        <v>11.70062911</v>
      </c>
      <c r="F121" s="12" t="n">
        <v>0</v>
      </c>
      <c r="G121" s="11" t="n">
        <v>285.8888993</v>
      </c>
      <c r="H121" s="13">
        <f>F121*1000</f>
        <v/>
      </c>
      <c r="I121" s="14">
        <f>G121-273.15</f>
        <v/>
      </c>
      <c r="K121" s="15" t="n">
        <v>2001</v>
      </c>
      <c r="L121" s="15" t="n">
        <v>4</v>
      </c>
      <c r="M121" s="15" t="n">
        <v>27</v>
      </c>
      <c r="N121" s="16" t="n">
        <v>0</v>
      </c>
      <c r="O121" s="11" t="n">
        <v>289.6551708</v>
      </c>
      <c r="P121" s="13">
        <f>N121*86400</f>
        <v/>
      </c>
      <c r="Q121" s="14">
        <f>O121-273.15</f>
        <v/>
      </c>
    </row>
    <row r="122">
      <c r="A122" s="9" t="n">
        <v>37009</v>
      </c>
      <c r="B122" s="7">
        <f>YEAR(A122)</f>
        <v/>
      </c>
      <c r="C122" s="7">
        <f>MONTH(A122)</f>
        <v/>
      </c>
      <c r="D122" s="10" t="n">
        <v>0</v>
      </c>
      <c r="E122" s="11" t="n">
        <v>12.20200889</v>
      </c>
      <c r="F122" s="12" t="n">
        <v>0</v>
      </c>
      <c r="G122" s="11" t="n">
        <v>287.473837</v>
      </c>
      <c r="H122" s="13">
        <f>F122*1000</f>
        <v/>
      </c>
      <c r="I122" s="14">
        <f>G122-273.15</f>
        <v/>
      </c>
      <c r="K122" s="15" t="n">
        <v>2001</v>
      </c>
      <c r="L122" s="15" t="n">
        <v>4</v>
      </c>
      <c r="M122" s="15" t="n">
        <v>28</v>
      </c>
      <c r="N122" s="16" t="n">
        <v>0</v>
      </c>
      <c r="O122" s="11" t="n">
        <v>290.8943338</v>
      </c>
      <c r="P122" s="13">
        <f>N122*86400</f>
        <v/>
      </c>
      <c r="Q122" s="14">
        <f>O122-273.15</f>
        <v/>
      </c>
    </row>
    <row r="123">
      <c r="A123" s="9" t="n">
        <v>37010</v>
      </c>
      <c r="B123" s="7">
        <f>YEAR(A123)</f>
        <v/>
      </c>
      <c r="C123" s="7">
        <f>MONTH(A123)</f>
        <v/>
      </c>
      <c r="D123" s="10" t="n">
        <v>0</v>
      </c>
      <c r="E123" s="11" t="n">
        <v>12.76390496</v>
      </c>
      <c r="F123" s="12" t="n">
        <v>0</v>
      </c>
      <c r="G123" s="11" t="n">
        <v>288.4903376</v>
      </c>
      <c r="H123" s="13">
        <f>F123*1000</f>
        <v/>
      </c>
      <c r="I123" s="14">
        <f>G123-273.15</f>
        <v/>
      </c>
      <c r="K123" s="15" t="n">
        <v>2001</v>
      </c>
      <c r="L123" s="15" t="n">
        <v>4</v>
      </c>
      <c r="M123" s="15" t="n">
        <v>29</v>
      </c>
      <c r="N123" s="16" t="n">
        <v>0</v>
      </c>
      <c r="O123" s="11" t="n">
        <v>292.1300082</v>
      </c>
      <c r="P123" s="13">
        <f>N123*86400</f>
        <v/>
      </c>
      <c r="Q123" s="14">
        <f>O123-273.15</f>
        <v/>
      </c>
    </row>
    <row r="124">
      <c r="A124" s="9" t="n">
        <v>37011</v>
      </c>
      <c r="B124" s="7">
        <f>YEAR(A124)</f>
        <v/>
      </c>
      <c r="C124" s="7">
        <f>MONTH(A124)</f>
        <v/>
      </c>
      <c r="D124" s="10" t="n">
        <v>0</v>
      </c>
      <c r="E124" s="11" t="n">
        <v>14.26550834</v>
      </c>
      <c r="F124" s="12" t="n">
        <v>0</v>
      </c>
      <c r="G124" s="11" t="n">
        <v>289.3040371</v>
      </c>
      <c r="H124" s="13">
        <f>F124*1000</f>
        <v/>
      </c>
      <c r="I124" s="14">
        <f>G124-273.15</f>
        <v/>
      </c>
      <c r="K124" s="15" t="n">
        <v>2001</v>
      </c>
      <c r="L124" s="15" t="n">
        <v>4</v>
      </c>
      <c r="M124" s="15" t="n">
        <v>30</v>
      </c>
      <c r="N124" s="16" t="n">
        <v>0</v>
      </c>
      <c r="O124" s="11" t="n">
        <v>292.0459879</v>
      </c>
      <c r="P124" s="13">
        <f>N124*86400</f>
        <v/>
      </c>
      <c r="Q124" s="14">
        <f>O124-273.15</f>
        <v/>
      </c>
    </row>
    <row r="125">
      <c r="A125" s="9" t="n">
        <v>37012</v>
      </c>
      <c r="B125" s="7">
        <f>YEAR(A125)</f>
        <v/>
      </c>
      <c r="C125" s="7">
        <f>MONTH(A125)</f>
        <v/>
      </c>
      <c r="D125" s="10" t="n">
        <v>0</v>
      </c>
      <c r="E125" s="11" t="n">
        <v>15.87140502</v>
      </c>
      <c r="F125" s="12" t="n">
        <v>0</v>
      </c>
      <c r="G125" s="11" t="n">
        <v>290.9732974</v>
      </c>
      <c r="H125" s="13">
        <f>F125*1000</f>
        <v/>
      </c>
      <c r="I125" s="14">
        <f>G125-273.15</f>
        <v/>
      </c>
      <c r="K125" s="15" t="n">
        <v>2001</v>
      </c>
      <c r="L125" s="15" t="n">
        <v>5</v>
      </c>
      <c r="M125" s="15" t="n">
        <v>1</v>
      </c>
      <c r="N125" s="16" t="n">
        <v>0</v>
      </c>
      <c r="O125" s="11" t="n">
        <v>291.303269</v>
      </c>
      <c r="P125" s="13">
        <f>N125*86400</f>
        <v/>
      </c>
      <c r="Q125" s="14">
        <f>O125-273.15</f>
        <v/>
      </c>
    </row>
    <row r="126">
      <c r="A126" s="9" t="n">
        <v>37013</v>
      </c>
      <c r="B126" s="7">
        <f>YEAR(A126)</f>
        <v/>
      </c>
      <c r="C126" s="7">
        <f>MONTH(A126)</f>
        <v/>
      </c>
      <c r="D126" s="10" t="n">
        <v>0</v>
      </c>
      <c r="E126" s="11" t="n">
        <v>15.64475683</v>
      </c>
      <c r="F126" s="12" t="n">
        <v>0</v>
      </c>
      <c r="G126" s="11" t="n">
        <v>290.9889967</v>
      </c>
      <c r="H126" s="13">
        <f>F126*1000</f>
        <v/>
      </c>
      <c r="I126" s="14">
        <f>G126-273.15</f>
        <v/>
      </c>
      <c r="K126" s="15" t="n">
        <v>2001</v>
      </c>
      <c r="L126" s="15" t="n">
        <v>5</v>
      </c>
      <c r="M126" s="15" t="n">
        <v>2</v>
      </c>
      <c r="N126" s="16" t="n">
        <v>3.056691499e-05</v>
      </c>
      <c r="O126" s="11" t="n">
        <v>291.1376673</v>
      </c>
      <c r="P126" s="13">
        <f>N126*86400</f>
        <v/>
      </c>
      <c r="Q126" s="14">
        <f>O126-273.15</f>
        <v/>
      </c>
    </row>
    <row r="127">
      <c r="A127" s="9" t="n">
        <v>37014</v>
      </c>
      <c r="B127" s="7">
        <f>YEAR(A127)</f>
        <v/>
      </c>
      <c r="C127" s="7">
        <f>MONTH(A127)</f>
        <v/>
      </c>
      <c r="D127" s="10" t="n">
        <v>0</v>
      </c>
      <c r="E127" s="11" t="n">
        <v>15.53838033</v>
      </c>
      <c r="F127" s="12" t="n">
        <v>0</v>
      </c>
      <c r="G127" s="11" t="n">
        <v>290.4770211</v>
      </c>
      <c r="H127" s="13">
        <f>F127*1000</f>
        <v/>
      </c>
      <c r="I127" s="14">
        <f>G127-273.15</f>
        <v/>
      </c>
      <c r="K127" s="15" t="n">
        <v>2001</v>
      </c>
      <c r="L127" s="15" t="n">
        <v>5</v>
      </c>
      <c r="M127" s="15" t="n">
        <v>3</v>
      </c>
      <c r="N127" s="16" t="n">
        <v>0</v>
      </c>
      <c r="O127" s="11" t="n">
        <v>289.6559384</v>
      </c>
      <c r="P127" s="13">
        <f>N127*86400</f>
        <v/>
      </c>
      <c r="Q127" s="14">
        <f>O127-273.15</f>
        <v/>
      </c>
    </row>
    <row r="128">
      <c r="A128" s="9" t="n">
        <v>37015</v>
      </c>
      <c r="B128" s="7">
        <f>YEAR(A128)</f>
        <v/>
      </c>
      <c r="C128" s="7">
        <f>MONTH(A128)</f>
        <v/>
      </c>
      <c r="D128" s="10" t="n">
        <v>0</v>
      </c>
      <c r="E128" s="11" t="n">
        <v>15.71551389</v>
      </c>
      <c r="F128" s="12" t="n">
        <v>0</v>
      </c>
      <c r="G128" s="11" t="n">
        <v>290.7688768</v>
      </c>
      <c r="H128" s="13">
        <f>F128*1000</f>
        <v/>
      </c>
      <c r="I128" s="14">
        <f>G128-273.15</f>
        <v/>
      </c>
      <c r="K128" s="15" t="n">
        <v>2001</v>
      </c>
      <c r="L128" s="15" t="n">
        <v>5</v>
      </c>
      <c r="M128" s="15" t="n">
        <v>4</v>
      </c>
      <c r="N128" s="16" t="n">
        <v>0</v>
      </c>
      <c r="O128" s="11" t="n">
        <v>292.0123558</v>
      </c>
      <c r="P128" s="13">
        <f>N128*86400</f>
        <v/>
      </c>
      <c r="Q128" s="14">
        <f>O128-273.15</f>
        <v/>
      </c>
    </row>
    <row r="129">
      <c r="A129" s="9" t="n">
        <v>37016</v>
      </c>
      <c r="B129" s="7">
        <f>YEAR(A129)</f>
        <v/>
      </c>
      <c r="C129" s="7">
        <f>MONTH(A129)</f>
        <v/>
      </c>
      <c r="D129" s="10" t="n">
        <v>0</v>
      </c>
      <c r="E129" s="11" t="n">
        <v>17.0721182</v>
      </c>
      <c r="F129" s="12" t="n">
        <v>0</v>
      </c>
      <c r="G129" s="11" t="n">
        <v>291.4368323</v>
      </c>
      <c r="H129" s="13">
        <f>F129*1000</f>
        <v/>
      </c>
      <c r="I129" s="14">
        <f>G129-273.15</f>
        <v/>
      </c>
      <c r="K129" s="15" t="n">
        <v>2001</v>
      </c>
      <c r="L129" s="15" t="n">
        <v>5</v>
      </c>
      <c r="M129" s="15" t="n">
        <v>5</v>
      </c>
      <c r="N129" s="16" t="n">
        <v>0</v>
      </c>
      <c r="O129" s="11" t="n">
        <v>290.4445024</v>
      </c>
      <c r="P129" s="13">
        <f>N129*86400</f>
        <v/>
      </c>
      <c r="Q129" s="14">
        <f>O129-273.15</f>
        <v/>
      </c>
    </row>
    <row r="130">
      <c r="A130" s="9" t="n">
        <v>37017</v>
      </c>
      <c r="B130" s="7">
        <f>YEAR(A130)</f>
        <v/>
      </c>
      <c r="C130" s="7">
        <f>MONTH(A130)</f>
        <v/>
      </c>
      <c r="D130" s="10" t="n">
        <v>6.480853869</v>
      </c>
      <c r="E130" s="11" t="n">
        <v>16.81634933</v>
      </c>
      <c r="F130" s="12" t="n">
        <v>0.008598180380000001</v>
      </c>
      <c r="G130" s="11" t="n">
        <v>291.1521067</v>
      </c>
      <c r="H130" s="13">
        <f>F130*1000</f>
        <v/>
      </c>
      <c r="I130" s="14">
        <f>G130-273.15</f>
        <v/>
      </c>
      <c r="K130" s="15" t="n">
        <v>2001</v>
      </c>
      <c r="L130" s="15" t="n">
        <v>5</v>
      </c>
      <c r="M130" s="15" t="n">
        <v>6</v>
      </c>
      <c r="N130" s="16" t="n">
        <v>5.052948544e-06</v>
      </c>
      <c r="O130" s="11" t="n">
        <v>292.1131937</v>
      </c>
      <c r="P130" s="13">
        <f>N130*86400</f>
        <v/>
      </c>
      <c r="Q130" s="14">
        <f>O130-273.15</f>
        <v/>
      </c>
    </row>
    <row r="131">
      <c r="A131" s="9" t="n">
        <v>37018</v>
      </c>
      <c r="B131" s="7">
        <f>YEAR(A131)</f>
        <v/>
      </c>
      <c r="C131" s="7">
        <f>MONTH(A131)</f>
        <v/>
      </c>
      <c r="D131" s="10" t="n">
        <v>0</v>
      </c>
      <c r="E131" s="11" t="n">
        <v>16.01966759</v>
      </c>
      <c r="F131" s="12" t="n">
        <v>0.003613495933</v>
      </c>
      <c r="G131" s="11" t="n">
        <v>290.6512929</v>
      </c>
      <c r="H131" s="13">
        <f>F131*1000</f>
        <v/>
      </c>
      <c r="I131" s="14">
        <f>G131-273.15</f>
        <v/>
      </c>
      <c r="K131" s="15" t="n">
        <v>2001</v>
      </c>
      <c r="L131" s="15" t="n">
        <v>5</v>
      </c>
      <c r="M131" s="15" t="n">
        <v>7</v>
      </c>
      <c r="N131" s="16" t="n">
        <v>1.236917065e-05</v>
      </c>
      <c r="O131" s="11" t="n">
        <v>292.781687</v>
      </c>
      <c r="P131" s="13">
        <f>N131*86400</f>
        <v/>
      </c>
      <c r="Q131" s="14">
        <f>O131-273.15</f>
        <v/>
      </c>
    </row>
    <row r="132">
      <c r="A132" s="9" t="n">
        <v>37019</v>
      </c>
      <c r="B132" s="7">
        <f>YEAR(A132)</f>
        <v/>
      </c>
      <c r="C132" s="7">
        <f>MONTH(A132)</f>
        <v/>
      </c>
      <c r="D132" s="10" t="n">
        <v>0</v>
      </c>
      <c r="E132" s="11" t="n">
        <v>15.59908608</v>
      </c>
      <c r="F132" s="12" t="n">
        <v>0.0009505278635</v>
      </c>
      <c r="G132" s="11" t="n">
        <v>291.1643654</v>
      </c>
      <c r="H132" s="13">
        <f>F132*1000</f>
        <v/>
      </c>
      <c r="I132" s="14">
        <f>G132-273.15</f>
        <v/>
      </c>
      <c r="K132" s="15" t="n">
        <v>2001</v>
      </c>
      <c r="L132" s="15" t="n">
        <v>5</v>
      </c>
      <c r="M132" s="15" t="n">
        <v>8</v>
      </c>
      <c r="N132" s="16" t="n">
        <v>2.944656291e-05</v>
      </c>
      <c r="O132" s="11" t="n">
        <v>294.0796348</v>
      </c>
      <c r="P132" s="13">
        <f>N132*86400</f>
        <v/>
      </c>
      <c r="Q132" s="14">
        <f>O132-273.15</f>
        <v/>
      </c>
    </row>
    <row r="133">
      <c r="A133" s="9" t="n">
        <v>37020</v>
      </c>
      <c r="B133" s="7">
        <f>YEAR(A133)</f>
        <v/>
      </c>
      <c r="C133" s="7">
        <f>MONTH(A133)</f>
        <v/>
      </c>
      <c r="D133" s="10" t="n">
        <v>0</v>
      </c>
      <c r="E133" s="11" t="n">
        <v>13.40887461</v>
      </c>
      <c r="F133" s="12" t="n">
        <v>0.001122418289</v>
      </c>
      <c r="G133" s="11" t="n">
        <v>290.1417649</v>
      </c>
      <c r="H133" s="13">
        <f>F133*1000</f>
        <v/>
      </c>
      <c r="I133" s="14">
        <f>G133-273.15</f>
        <v/>
      </c>
      <c r="K133" s="15" t="n">
        <v>2001</v>
      </c>
      <c r="L133" s="15" t="n">
        <v>5</v>
      </c>
      <c r="M133" s="15" t="n">
        <v>9</v>
      </c>
      <c r="N133" s="16" t="n">
        <v>0</v>
      </c>
      <c r="O133" s="11" t="n">
        <v>292.1924251</v>
      </c>
      <c r="P133" s="13">
        <f>N133*86400</f>
        <v/>
      </c>
      <c r="Q133" s="14">
        <f>O133-273.15</f>
        <v/>
      </c>
    </row>
    <row r="134">
      <c r="A134" s="9" t="n">
        <v>37021</v>
      </c>
      <c r="B134" s="7">
        <f>YEAR(A134)</f>
        <v/>
      </c>
      <c r="C134" s="7">
        <f>MONTH(A134)</f>
        <v/>
      </c>
      <c r="D134" s="10" t="n">
        <v>0</v>
      </c>
      <c r="E134" s="11" t="n">
        <v>15.88122422</v>
      </c>
      <c r="F134" s="12" t="n">
        <v>0.00674482076</v>
      </c>
      <c r="G134" s="11" t="n">
        <v>292.3514219</v>
      </c>
      <c r="H134" s="13">
        <f>F134*1000</f>
        <v/>
      </c>
      <c r="I134" s="14">
        <f>G134-273.15</f>
        <v/>
      </c>
      <c r="K134" s="15" t="n">
        <v>2001</v>
      </c>
      <c r="L134" s="15" t="n">
        <v>5</v>
      </c>
      <c r="M134" s="15" t="n">
        <v>10</v>
      </c>
      <c r="N134" s="16" t="n">
        <v>0</v>
      </c>
      <c r="O134" s="11" t="n">
        <v>288.9436295</v>
      </c>
      <c r="P134" s="13">
        <f>N134*86400</f>
        <v/>
      </c>
      <c r="Q134" s="14">
        <f>O134-273.15</f>
        <v/>
      </c>
    </row>
    <row r="135">
      <c r="A135" s="9" t="n">
        <v>37022</v>
      </c>
      <c r="B135" s="7">
        <f>YEAR(A135)</f>
        <v/>
      </c>
      <c r="C135" s="7">
        <f>MONTH(A135)</f>
        <v/>
      </c>
      <c r="D135" s="10" t="n">
        <v>9.615769607000001</v>
      </c>
      <c r="E135" s="11" t="n">
        <v>17.20264982</v>
      </c>
      <c r="F135" s="12" t="n">
        <v>0.008955307141000001</v>
      </c>
      <c r="G135" s="11" t="n">
        <v>293.4062054</v>
      </c>
      <c r="H135" s="13">
        <f>F135*1000</f>
        <v/>
      </c>
      <c r="I135" s="14">
        <f>G135-273.15</f>
        <v/>
      </c>
      <c r="K135" s="15" t="n">
        <v>2001</v>
      </c>
      <c r="L135" s="15" t="n">
        <v>5</v>
      </c>
      <c r="M135" s="15" t="n">
        <v>11</v>
      </c>
      <c r="N135" s="16" t="n">
        <v>0</v>
      </c>
      <c r="O135" s="11" t="n">
        <v>289.9708206</v>
      </c>
      <c r="P135" s="13">
        <f>N135*86400</f>
        <v/>
      </c>
      <c r="Q135" s="14">
        <f>O135-273.15</f>
        <v/>
      </c>
    </row>
    <row r="136">
      <c r="A136" s="9" t="n">
        <v>37023</v>
      </c>
      <c r="B136" s="7">
        <f>YEAR(A136)</f>
        <v/>
      </c>
      <c r="C136" s="7">
        <f>MONTH(A136)</f>
        <v/>
      </c>
      <c r="D136" s="10" t="n">
        <v>0</v>
      </c>
      <c r="E136" s="11" t="n">
        <v>16.06245088</v>
      </c>
      <c r="F136" s="12" t="n">
        <v>0</v>
      </c>
      <c r="G136" s="11" t="n">
        <v>292.4241914</v>
      </c>
      <c r="H136" s="13">
        <f>F136*1000</f>
        <v/>
      </c>
      <c r="I136" s="14">
        <f>G136-273.15</f>
        <v/>
      </c>
      <c r="K136" s="15" t="n">
        <v>2001</v>
      </c>
      <c r="L136" s="15" t="n">
        <v>5</v>
      </c>
      <c r="M136" s="15" t="n">
        <v>12</v>
      </c>
      <c r="N136" s="16" t="n">
        <v>0</v>
      </c>
      <c r="O136" s="11" t="n">
        <v>288.8209324</v>
      </c>
      <c r="P136" s="13">
        <f>N136*86400</f>
        <v/>
      </c>
      <c r="Q136" s="14">
        <f>O136-273.15</f>
        <v/>
      </c>
    </row>
    <row r="137">
      <c r="A137" s="9" t="n">
        <v>37024</v>
      </c>
      <c r="B137" s="7">
        <f>YEAR(A137)</f>
        <v/>
      </c>
      <c r="C137" s="7">
        <f>MONTH(A137)</f>
        <v/>
      </c>
      <c r="D137" s="10" t="n">
        <v>0</v>
      </c>
      <c r="E137" s="11" t="n">
        <v>17.36394907</v>
      </c>
      <c r="F137" s="12" t="n">
        <v>0</v>
      </c>
      <c r="G137" s="11" t="n">
        <v>293.6803274</v>
      </c>
      <c r="H137" s="13">
        <f>F137*1000</f>
        <v/>
      </c>
      <c r="I137" s="14">
        <f>G137-273.15</f>
        <v/>
      </c>
      <c r="K137" s="15" t="n">
        <v>2001</v>
      </c>
      <c r="L137" s="15" t="n">
        <v>5</v>
      </c>
      <c r="M137" s="15" t="n">
        <v>13</v>
      </c>
      <c r="N137" s="16" t="n">
        <v>0</v>
      </c>
      <c r="O137" s="11" t="n">
        <v>290.3681967</v>
      </c>
      <c r="P137" s="13">
        <f>N137*86400</f>
        <v/>
      </c>
      <c r="Q137" s="14">
        <f>O137-273.15</f>
        <v/>
      </c>
    </row>
    <row r="138">
      <c r="A138" s="9" t="n">
        <v>37025</v>
      </c>
      <c r="B138" s="7">
        <f>YEAR(A138)</f>
        <v/>
      </c>
      <c r="C138" s="7">
        <f>MONTH(A138)</f>
        <v/>
      </c>
      <c r="D138" s="10" t="n">
        <v>0</v>
      </c>
      <c r="E138" s="11" t="n">
        <v>16.93771746</v>
      </c>
      <c r="F138" s="12" t="n">
        <v>0</v>
      </c>
      <c r="G138" s="11" t="n">
        <v>293.0133909</v>
      </c>
      <c r="H138" s="13">
        <f>F138*1000</f>
        <v/>
      </c>
      <c r="I138" s="14">
        <f>G138-273.15</f>
        <v/>
      </c>
      <c r="K138" s="15" t="n">
        <v>2001</v>
      </c>
      <c r="L138" s="15" t="n">
        <v>5</v>
      </c>
      <c r="M138" s="15" t="n">
        <v>14</v>
      </c>
      <c r="N138" s="16" t="n">
        <v>0</v>
      </c>
      <c r="O138" s="11" t="n">
        <v>290.9243344</v>
      </c>
      <c r="P138" s="13">
        <f>N138*86400</f>
        <v/>
      </c>
      <c r="Q138" s="14">
        <f>O138-273.15</f>
        <v/>
      </c>
    </row>
    <row r="139">
      <c r="A139" s="9" t="n">
        <v>37026</v>
      </c>
      <c r="B139" s="7">
        <f>YEAR(A139)</f>
        <v/>
      </c>
      <c r="C139" s="7">
        <f>MONTH(A139)</f>
        <v/>
      </c>
      <c r="D139" s="10" t="n">
        <v>0</v>
      </c>
      <c r="E139" s="11" t="n">
        <v>16.90942518</v>
      </c>
      <c r="F139" s="12" t="n">
        <v>0</v>
      </c>
      <c r="G139" s="11" t="n">
        <v>292.6496663</v>
      </c>
      <c r="H139" s="13">
        <f>F139*1000</f>
        <v/>
      </c>
      <c r="I139" s="14">
        <f>G139-273.15</f>
        <v/>
      </c>
      <c r="K139" s="15" t="n">
        <v>2001</v>
      </c>
      <c r="L139" s="15" t="n">
        <v>5</v>
      </c>
      <c r="M139" s="15" t="n">
        <v>15</v>
      </c>
      <c r="N139" s="16" t="n">
        <v>0</v>
      </c>
      <c r="O139" s="11" t="n">
        <v>291.6963897</v>
      </c>
      <c r="P139" s="13">
        <f>N139*86400</f>
        <v/>
      </c>
      <c r="Q139" s="14">
        <f>O139-273.15</f>
        <v/>
      </c>
    </row>
    <row r="140">
      <c r="A140" s="9" t="n">
        <v>37027</v>
      </c>
      <c r="B140" s="7">
        <f>YEAR(A140)</f>
        <v/>
      </c>
      <c r="C140" s="7">
        <f>MONTH(A140)</f>
        <v/>
      </c>
      <c r="D140" s="10" t="n">
        <v>0.01995095176</v>
      </c>
      <c r="E140" s="11" t="n">
        <v>16.27030344</v>
      </c>
      <c r="F140" s="12" t="n">
        <v>0.000436523698</v>
      </c>
      <c r="G140" s="11" t="n">
        <v>292.7735819</v>
      </c>
      <c r="H140" s="13">
        <f>F140*1000</f>
        <v/>
      </c>
      <c r="I140" s="14">
        <f>G140-273.15</f>
        <v/>
      </c>
      <c r="K140" s="15" t="n">
        <v>2001</v>
      </c>
      <c r="L140" s="15" t="n">
        <v>5</v>
      </c>
      <c r="M140" s="15" t="n">
        <v>16</v>
      </c>
      <c r="N140" s="16" t="n">
        <v>0</v>
      </c>
      <c r="O140" s="11" t="n">
        <v>291.8594299</v>
      </c>
      <c r="P140" s="13">
        <f>N140*86400</f>
        <v/>
      </c>
      <c r="Q140" s="14">
        <f>O140-273.15</f>
        <v/>
      </c>
    </row>
    <row r="141">
      <c r="A141" s="9" t="n">
        <v>37028</v>
      </c>
      <c r="B141" s="7">
        <f>YEAR(A141)</f>
        <v/>
      </c>
      <c r="C141" s="7">
        <f>MONTH(A141)</f>
        <v/>
      </c>
      <c r="D141" s="10" t="n">
        <v>0</v>
      </c>
      <c r="E141" s="11" t="n">
        <v>16.30348303</v>
      </c>
      <c r="F141" s="12" t="n">
        <v>0</v>
      </c>
      <c r="G141" s="11" t="n">
        <v>292.8529007</v>
      </c>
      <c r="H141" s="13">
        <f>F141*1000</f>
        <v/>
      </c>
      <c r="I141" s="14">
        <f>G141-273.15</f>
        <v/>
      </c>
      <c r="K141" s="15" t="n">
        <v>2001</v>
      </c>
      <c r="L141" s="15" t="n">
        <v>5</v>
      </c>
      <c r="M141" s="15" t="n">
        <v>17</v>
      </c>
      <c r="N141" s="16" t="n">
        <v>8.865027795e-05</v>
      </c>
      <c r="O141" s="11" t="n">
        <v>292.6582929</v>
      </c>
      <c r="P141" s="13">
        <f>N141*86400</f>
        <v/>
      </c>
      <c r="Q141" s="14">
        <f>O141-273.15</f>
        <v/>
      </c>
    </row>
    <row r="142">
      <c r="A142" s="9" t="n">
        <v>37029</v>
      </c>
      <c r="B142" s="7">
        <f>YEAR(A142)</f>
        <v/>
      </c>
      <c r="C142" s="7">
        <f>MONTH(A142)</f>
        <v/>
      </c>
      <c r="D142" s="10" t="n">
        <v>0</v>
      </c>
      <c r="E142" s="11" t="n">
        <v>17.12502922</v>
      </c>
      <c r="F142" s="12" t="n">
        <v>0</v>
      </c>
      <c r="G142" s="11" t="n">
        <v>293.2442243</v>
      </c>
      <c r="H142" s="13">
        <f>F142*1000</f>
        <v/>
      </c>
      <c r="I142" s="14">
        <f>G142-273.15</f>
        <v/>
      </c>
      <c r="K142" s="15" t="n">
        <v>2001</v>
      </c>
      <c r="L142" s="15" t="n">
        <v>5</v>
      </c>
      <c r="M142" s="15" t="n">
        <v>18</v>
      </c>
      <c r="N142" s="16" t="n">
        <v>1.291541103e-05</v>
      </c>
      <c r="O142" s="11" t="n">
        <v>292.2898146</v>
      </c>
      <c r="P142" s="13">
        <f>N142*86400</f>
        <v/>
      </c>
      <c r="Q142" s="14">
        <f>O142-273.15</f>
        <v/>
      </c>
    </row>
    <row r="143">
      <c r="A143" s="9" t="n">
        <v>37030</v>
      </c>
      <c r="B143" s="7">
        <f>YEAR(A143)</f>
        <v/>
      </c>
      <c r="C143" s="7">
        <f>MONTH(A143)</f>
        <v/>
      </c>
      <c r="D143" s="10" t="n">
        <v>0</v>
      </c>
      <c r="E143" s="11" t="n">
        <v>16.9386039</v>
      </c>
      <c r="F143" s="12" t="n">
        <v>0</v>
      </c>
      <c r="G143" s="11" t="n">
        <v>291.6668116</v>
      </c>
      <c r="H143" s="13">
        <f>F143*1000</f>
        <v/>
      </c>
      <c r="I143" s="14">
        <f>G143-273.15</f>
        <v/>
      </c>
      <c r="K143" s="15" t="n">
        <v>2001</v>
      </c>
      <c r="L143" s="15" t="n">
        <v>5</v>
      </c>
      <c r="M143" s="15" t="n">
        <v>19</v>
      </c>
      <c r="N143" s="16" t="n">
        <v>0</v>
      </c>
      <c r="O143" s="11" t="n">
        <v>292.3298173</v>
      </c>
      <c r="P143" s="13">
        <f>N143*86400</f>
        <v/>
      </c>
      <c r="Q143" s="14">
        <f>O143-273.15</f>
        <v/>
      </c>
    </row>
    <row r="144">
      <c r="A144" s="9" t="n">
        <v>37031</v>
      </c>
      <c r="B144" s="7">
        <f>YEAR(A144)</f>
        <v/>
      </c>
      <c r="C144" s="7">
        <f>MONTH(A144)</f>
        <v/>
      </c>
      <c r="D144" s="10" t="n">
        <v>0</v>
      </c>
      <c r="E144" s="11" t="n">
        <v>16.21539251</v>
      </c>
      <c r="F144" s="12" t="n">
        <v>0</v>
      </c>
      <c r="G144" s="11" t="n">
        <v>290.3322371</v>
      </c>
      <c r="H144" s="13">
        <f>F144*1000</f>
        <v/>
      </c>
      <c r="I144" s="14">
        <f>G144-273.15</f>
        <v/>
      </c>
      <c r="K144" s="15" t="n">
        <v>2001</v>
      </c>
      <c r="L144" s="15" t="n">
        <v>5</v>
      </c>
      <c r="M144" s="15" t="n">
        <v>20</v>
      </c>
      <c r="N144" s="16" t="n">
        <v>3.499416658e-05</v>
      </c>
      <c r="O144" s="11" t="n">
        <v>291.1996272</v>
      </c>
      <c r="P144" s="13">
        <f>N144*86400</f>
        <v/>
      </c>
      <c r="Q144" s="14">
        <f>O144-273.15</f>
        <v/>
      </c>
    </row>
    <row r="145">
      <c r="A145" s="9" t="n">
        <v>37032</v>
      </c>
      <c r="B145" s="7">
        <f>YEAR(A145)</f>
        <v/>
      </c>
      <c r="C145" s="7">
        <f>MONTH(A145)</f>
        <v/>
      </c>
      <c r="D145" s="10" t="n">
        <v>0</v>
      </c>
      <c r="E145" s="11" t="n">
        <v>16.86110627</v>
      </c>
      <c r="F145" s="12" t="n">
        <v>0.0002153319443</v>
      </c>
      <c r="G145" s="11" t="n">
        <v>291.1357986</v>
      </c>
      <c r="H145" s="13">
        <f>F145*1000</f>
        <v/>
      </c>
      <c r="I145" s="14">
        <f>G145-273.15</f>
        <v/>
      </c>
      <c r="K145" s="15" t="n">
        <v>2001</v>
      </c>
      <c r="L145" s="15" t="n">
        <v>5</v>
      </c>
      <c r="M145" s="15" t="n">
        <v>21</v>
      </c>
      <c r="N145" s="16" t="n">
        <v>2.758717282e-05</v>
      </c>
      <c r="O145" s="11" t="n">
        <v>291.4280848</v>
      </c>
      <c r="P145" s="13">
        <f>N145*86400</f>
        <v/>
      </c>
      <c r="Q145" s="14">
        <f>O145-273.15</f>
        <v/>
      </c>
    </row>
    <row r="146">
      <c r="A146" s="9" t="n">
        <v>37033</v>
      </c>
      <c r="B146" s="7">
        <f>YEAR(A146)</f>
        <v/>
      </c>
      <c r="C146" s="7">
        <f>MONTH(A146)</f>
        <v/>
      </c>
      <c r="D146" s="10" t="n">
        <v>0</v>
      </c>
      <c r="E146" s="11" t="n">
        <v>15.78400148</v>
      </c>
      <c r="F146" s="12" t="n">
        <v>0</v>
      </c>
      <c r="G146" s="11" t="n">
        <v>290.3219586</v>
      </c>
      <c r="H146" s="13">
        <f>F146*1000</f>
        <v/>
      </c>
      <c r="I146" s="14">
        <f>G146-273.15</f>
        <v/>
      </c>
      <c r="K146" s="15" t="n">
        <v>2001</v>
      </c>
      <c r="L146" s="15" t="n">
        <v>5</v>
      </c>
      <c r="M146" s="15" t="n">
        <v>22</v>
      </c>
      <c r="N146" s="16" t="n">
        <v>0.0001563704051</v>
      </c>
      <c r="O146" s="11" t="n">
        <v>294.0217478</v>
      </c>
      <c r="P146" s="13">
        <f>N146*86400</f>
        <v/>
      </c>
      <c r="Q146" s="14">
        <f>O146-273.15</f>
        <v/>
      </c>
    </row>
    <row r="147">
      <c r="A147" s="9" t="n">
        <v>37034</v>
      </c>
      <c r="B147" s="7">
        <f>YEAR(A147)</f>
        <v/>
      </c>
      <c r="C147" s="7">
        <f>MONTH(A147)</f>
        <v/>
      </c>
      <c r="D147" s="10" t="n">
        <v>18.03214101</v>
      </c>
      <c r="E147" s="11" t="n">
        <v>17.11125703</v>
      </c>
      <c r="F147" s="12" t="n">
        <v>0.007297343779</v>
      </c>
      <c r="G147" s="11" t="n">
        <v>292.2070252</v>
      </c>
      <c r="H147" s="13">
        <f>F147*1000</f>
        <v/>
      </c>
      <c r="I147" s="14">
        <f>G147-273.15</f>
        <v/>
      </c>
      <c r="K147" s="15" t="n">
        <v>2001</v>
      </c>
      <c r="L147" s="15" t="n">
        <v>5</v>
      </c>
      <c r="M147" s="15" t="n">
        <v>23</v>
      </c>
      <c r="N147" s="16" t="n">
        <v>9.231086487e-05</v>
      </c>
      <c r="O147" s="11" t="n">
        <v>291.92394</v>
      </c>
      <c r="P147" s="13">
        <f>N147*86400</f>
        <v/>
      </c>
      <c r="Q147" s="14">
        <f>O147-273.15</f>
        <v/>
      </c>
    </row>
    <row r="148">
      <c r="A148" s="9" t="n">
        <v>37035</v>
      </c>
      <c r="B148" s="7">
        <f>YEAR(A148)</f>
        <v/>
      </c>
      <c r="C148" s="7">
        <f>MONTH(A148)</f>
        <v/>
      </c>
      <c r="D148" s="10" t="n">
        <v>7.437985076</v>
      </c>
      <c r="E148" s="11" t="n">
        <v>15.792297</v>
      </c>
      <c r="F148" s="12" t="n">
        <v>0.001424967197</v>
      </c>
      <c r="G148" s="11" t="n">
        <v>291.090494</v>
      </c>
      <c r="H148" s="13">
        <f>F148*1000</f>
        <v/>
      </c>
      <c r="I148" s="14">
        <f>G148-273.15</f>
        <v/>
      </c>
      <c r="K148" s="15" t="n">
        <v>2001</v>
      </c>
      <c r="L148" s="15" t="n">
        <v>5</v>
      </c>
      <c r="M148" s="15" t="n">
        <v>24</v>
      </c>
      <c r="N148" s="16" t="n">
        <v>6.510282831e-05</v>
      </c>
      <c r="O148" s="11" t="n">
        <v>290.8790945</v>
      </c>
      <c r="P148" s="13">
        <f>N148*86400</f>
        <v/>
      </c>
      <c r="Q148" s="14">
        <f>O148-273.15</f>
        <v/>
      </c>
    </row>
    <row r="149">
      <c r="A149" s="9" t="n">
        <v>37036</v>
      </c>
      <c r="B149" s="7">
        <f>YEAR(A149)</f>
        <v/>
      </c>
      <c r="C149" s="7">
        <f>MONTH(A149)</f>
        <v/>
      </c>
      <c r="D149" s="10" t="n">
        <v>0</v>
      </c>
      <c r="E149" s="11" t="n">
        <v>16.4920892</v>
      </c>
      <c r="F149" s="12" t="n">
        <v>0</v>
      </c>
      <c r="G149" s="11" t="n">
        <v>292.4846892</v>
      </c>
      <c r="H149" s="13">
        <f>F149*1000</f>
        <v/>
      </c>
      <c r="I149" s="14">
        <f>G149-273.15</f>
        <v/>
      </c>
      <c r="K149" s="15" t="n">
        <v>2001</v>
      </c>
      <c r="L149" s="15" t="n">
        <v>5</v>
      </c>
      <c r="M149" s="15" t="n">
        <v>25</v>
      </c>
      <c r="N149" s="16" t="n">
        <v>6.831803780000001e-05</v>
      </c>
      <c r="O149" s="11" t="n">
        <v>289.5619616</v>
      </c>
      <c r="P149" s="13">
        <f>N149*86400</f>
        <v/>
      </c>
      <c r="Q149" s="14">
        <f>O149-273.15</f>
        <v/>
      </c>
    </row>
    <row r="150">
      <c r="A150" s="9" t="n">
        <v>37037</v>
      </c>
      <c r="B150" s="7">
        <f>YEAR(A150)</f>
        <v/>
      </c>
      <c r="C150" s="7">
        <f>MONTH(A150)</f>
        <v/>
      </c>
      <c r="D150" s="10" t="n">
        <v>0</v>
      </c>
      <c r="E150" s="11" t="n">
        <v>17.89994481</v>
      </c>
      <c r="F150" s="12" t="n">
        <v>0.0006114782048</v>
      </c>
      <c r="G150" s="11" t="n">
        <v>292.3971254</v>
      </c>
      <c r="H150" s="13">
        <f>F150*1000</f>
        <v/>
      </c>
      <c r="I150" s="14">
        <f>G150-273.15</f>
        <v/>
      </c>
      <c r="K150" s="15" t="n">
        <v>2001</v>
      </c>
      <c r="L150" s="15" t="n">
        <v>5</v>
      </c>
      <c r="M150" s="15" t="n">
        <v>26</v>
      </c>
      <c r="N150" s="16" t="n">
        <v>2.493705493e-07</v>
      </c>
      <c r="O150" s="11" t="n">
        <v>290.5071992</v>
      </c>
      <c r="P150" s="13">
        <f>N150*86400</f>
        <v/>
      </c>
      <c r="Q150" s="14">
        <f>O150-273.15</f>
        <v/>
      </c>
    </row>
    <row r="151">
      <c r="A151" s="9" t="n">
        <v>37038</v>
      </c>
      <c r="B151" s="7">
        <f>YEAR(A151)</f>
        <v/>
      </c>
      <c r="C151" s="7">
        <f>MONTH(A151)</f>
        <v/>
      </c>
      <c r="D151" s="10" t="n">
        <v>5.675943339</v>
      </c>
      <c r="E151" s="11" t="n">
        <v>18.57198374</v>
      </c>
      <c r="F151" s="12" t="n">
        <v>0.002974761563</v>
      </c>
      <c r="G151" s="11" t="n">
        <v>293.3625285</v>
      </c>
      <c r="H151" s="13">
        <f>F151*1000</f>
        <v/>
      </c>
      <c r="I151" s="14">
        <f>G151-273.15</f>
        <v/>
      </c>
      <c r="K151" s="15" t="n">
        <v>2001</v>
      </c>
      <c r="L151" s="15" t="n">
        <v>5</v>
      </c>
      <c r="M151" s="15" t="n">
        <v>27</v>
      </c>
      <c r="N151" s="16" t="n">
        <v>2.555342847e-05</v>
      </c>
      <c r="O151" s="11" t="n">
        <v>291.2238561</v>
      </c>
      <c r="P151" s="13">
        <f>N151*86400</f>
        <v/>
      </c>
      <c r="Q151" s="14">
        <f>O151-273.15</f>
        <v/>
      </c>
    </row>
    <row r="152">
      <c r="A152" s="9" t="n">
        <v>37039</v>
      </c>
      <c r="B152" s="7">
        <f>YEAR(A152)</f>
        <v/>
      </c>
      <c r="C152" s="7">
        <f>MONTH(A152)</f>
        <v/>
      </c>
      <c r="D152" s="10" t="n">
        <v>0.5273912247</v>
      </c>
      <c r="E152" s="11" t="n">
        <v>15.29867621</v>
      </c>
      <c r="F152" s="12" t="n">
        <v>0.004608743691</v>
      </c>
      <c r="G152" s="11" t="n">
        <v>291.1231419</v>
      </c>
      <c r="H152" s="13">
        <f>F152*1000</f>
        <v/>
      </c>
      <c r="I152" s="14">
        <f>G152-273.15</f>
        <v/>
      </c>
      <c r="K152" s="15" t="n">
        <v>2001</v>
      </c>
      <c r="L152" s="15" t="n">
        <v>5</v>
      </c>
      <c r="M152" s="15" t="n">
        <v>28</v>
      </c>
      <c r="N152" s="16" t="n">
        <v>5.163757961e-05</v>
      </c>
      <c r="O152" s="11" t="n">
        <v>292.2273756</v>
      </c>
      <c r="P152" s="13">
        <f>N152*86400</f>
        <v/>
      </c>
      <c r="Q152" s="14">
        <f>O152-273.15</f>
        <v/>
      </c>
    </row>
    <row r="153">
      <c r="A153" s="9" t="n">
        <v>37040</v>
      </c>
      <c r="B153" s="7">
        <f>YEAR(A153)</f>
        <v/>
      </c>
      <c r="C153" s="7">
        <f>MONTH(A153)</f>
        <v/>
      </c>
      <c r="D153" s="10" t="n">
        <v>0</v>
      </c>
      <c r="E153" s="11" t="n">
        <v>16.07109025</v>
      </c>
      <c r="F153" s="12" t="n">
        <v>0.002071384173</v>
      </c>
      <c r="G153" s="11" t="n">
        <v>290.6943838</v>
      </c>
      <c r="H153" s="13">
        <f>F153*1000</f>
        <v/>
      </c>
      <c r="I153" s="14">
        <f>G153-273.15</f>
        <v/>
      </c>
      <c r="K153" s="15" t="n">
        <v>2001</v>
      </c>
      <c r="L153" s="15" t="n">
        <v>5</v>
      </c>
      <c r="M153" s="15" t="n">
        <v>29</v>
      </c>
      <c r="N153" s="16" t="n">
        <v>7.909001374e-07</v>
      </c>
      <c r="O153" s="11" t="n">
        <v>293.502058</v>
      </c>
      <c r="P153" s="13">
        <f>N153*86400</f>
        <v/>
      </c>
      <c r="Q153" s="14">
        <f>O153-273.15</f>
        <v/>
      </c>
    </row>
    <row r="154">
      <c r="A154" s="9" t="n">
        <v>37041</v>
      </c>
      <c r="B154" s="7">
        <f>YEAR(A154)</f>
        <v/>
      </c>
      <c r="C154" s="7">
        <f>MONTH(A154)</f>
        <v/>
      </c>
      <c r="D154" s="10" t="n">
        <v>0</v>
      </c>
      <c r="E154" s="11" t="n">
        <v>15.35567319</v>
      </c>
      <c r="F154" s="12" t="n">
        <v>0</v>
      </c>
      <c r="G154" s="11" t="n">
        <v>289.8432678</v>
      </c>
      <c r="H154" s="13">
        <f>F154*1000</f>
        <v/>
      </c>
      <c r="I154" s="14">
        <f>G154-273.15</f>
        <v/>
      </c>
      <c r="K154" s="15" t="n">
        <v>2001</v>
      </c>
      <c r="L154" s="15" t="n">
        <v>5</v>
      </c>
      <c r="M154" s="15" t="n">
        <v>30</v>
      </c>
      <c r="N154" s="16" t="n">
        <v>2.915625731e-05</v>
      </c>
      <c r="O154" s="11" t="n">
        <v>291.8620823</v>
      </c>
      <c r="P154" s="13">
        <f>N154*86400</f>
        <v/>
      </c>
      <c r="Q154" s="14">
        <f>O154-273.15</f>
        <v/>
      </c>
    </row>
    <row r="155">
      <c r="A155" s="9" t="n">
        <v>37042</v>
      </c>
      <c r="B155" s="7">
        <f>YEAR(A155)</f>
        <v/>
      </c>
      <c r="C155" s="7">
        <f>MONTH(A155)</f>
        <v/>
      </c>
      <c r="D155" s="10" t="n">
        <v>0</v>
      </c>
      <c r="E155" s="11" t="n">
        <v>15.14569623</v>
      </c>
      <c r="F155" s="12" t="n">
        <v>0</v>
      </c>
      <c r="G155" s="11" t="n">
        <v>290.1258776</v>
      </c>
      <c r="H155" s="13">
        <f>F155*1000</f>
        <v/>
      </c>
      <c r="I155" s="14">
        <f>G155-273.15</f>
        <v/>
      </c>
      <c r="K155" s="15" t="n">
        <v>2001</v>
      </c>
      <c r="L155" s="15" t="n">
        <v>6</v>
      </c>
      <c r="M155" s="15" t="n">
        <v>1</v>
      </c>
      <c r="N155" s="16" t="n">
        <v>4.897029818e-06</v>
      </c>
      <c r="O155" s="11" t="n">
        <v>292.2509631</v>
      </c>
      <c r="P155" s="13">
        <f>N155*86400</f>
        <v/>
      </c>
      <c r="Q155" s="14">
        <f>O155-273.15</f>
        <v/>
      </c>
    </row>
    <row r="156">
      <c r="A156" s="9" t="n">
        <v>37043</v>
      </c>
      <c r="B156" s="7">
        <f>YEAR(A156)</f>
        <v/>
      </c>
      <c r="C156" s="7">
        <f>MONTH(A156)</f>
        <v/>
      </c>
      <c r="D156" s="10" t="n">
        <v>0</v>
      </c>
      <c r="E156" s="11" t="n">
        <v>17.26324332</v>
      </c>
      <c r="F156" s="12" t="n">
        <v>0</v>
      </c>
      <c r="G156" s="11" t="n">
        <v>291.872092</v>
      </c>
      <c r="H156" s="13">
        <f>F156*1000</f>
        <v/>
      </c>
      <c r="I156" s="14">
        <f>G156-273.15</f>
        <v/>
      </c>
      <c r="K156" s="15" t="n">
        <v>2001</v>
      </c>
      <c r="L156" s="15" t="n">
        <v>6</v>
      </c>
      <c r="M156" s="15" t="n">
        <v>2</v>
      </c>
      <c r="N156" s="16" t="n">
        <v>0</v>
      </c>
      <c r="O156" s="11" t="n">
        <v>292.5732255</v>
      </c>
      <c r="P156" s="13">
        <f>N156*86400</f>
        <v/>
      </c>
      <c r="Q156" s="14">
        <f>O156-273.15</f>
        <v/>
      </c>
    </row>
    <row r="157">
      <c r="A157" s="9" t="n">
        <v>37044</v>
      </c>
      <c r="B157" s="7">
        <f>YEAR(A157)</f>
        <v/>
      </c>
      <c r="C157" s="7">
        <f>MONTH(A157)</f>
        <v/>
      </c>
      <c r="D157" s="10" t="n">
        <v>3.382012225</v>
      </c>
      <c r="E157" s="11" t="n">
        <v>15.61251674</v>
      </c>
      <c r="F157" s="12" t="n">
        <v>0.0002693169345</v>
      </c>
      <c r="G157" s="11" t="n">
        <v>290.9486912</v>
      </c>
      <c r="H157" s="13">
        <f>F157*1000</f>
        <v/>
      </c>
      <c r="I157" s="14">
        <f>G157-273.15</f>
        <v/>
      </c>
      <c r="K157" s="15" t="n">
        <v>2001</v>
      </c>
      <c r="L157" s="15" t="n">
        <v>6</v>
      </c>
      <c r="M157" s="15" t="n">
        <v>3</v>
      </c>
      <c r="N157" s="16" t="n">
        <v>0</v>
      </c>
      <c r="O157" s="11" t="n">
        <v>291.7202058</v>
      </c>
      <c r="P157" s="13">
        <f>N157*86400</f>
        <v/>
      </c>
      <c r="Q157" s="14">
        <f>O157-273.15</f>
        <v/>
      </c>
    </row>
    <row r="158">
      <c r="A158" s="9" t="n">
        <v>37045</v>
      </c>
      <c r="B158" s="7">
        <f>YEAR(A158)</f>
        <v/>
      </c>
      <c r="C158" s="7">
        <f>MONTH(A158)</f>
        <v/>
      </c>
      <c r="D158" s="10" t="n">
        <v>3.117010718</v>
      </c>
      <c r="E158" s="11" t="n">
        <v>15.77540572</v>
      </c>
      <c r="F158" s="12" t="n">
        <v>0.0009511455794</v>
      </c>
      <c r="G158" s="11" t="n">
        <v>291.4958471</v>
      </c>
      <c r="H158" s="13">
        <f>F158*1000</f>
        <v/>
      </c>
      <c r="I158" s="14">
        <f>G158-273.15</f>
        <v/>
      </c>
      <c r="K158" s="15" t="n">
        <v>2001</v>
      </c>
      <c r="L158" s="15" t="n">
        <v>6</v>
      </c>
      <c r="M158" s="15" t="n">
        <v>4</v>
      </c>
      <c r="N158" s="16" t="n">
        <v>4.82545333e-05</v>
      </c>
      <c r="O158" s="11" t="n">
        <v>290.1209414</v>
      </c>
      <c r="P158" s="13">
        <f>N158*86400</f>
        <v/>
      </c>
      <c r="Q158" s="14">
        <f>O158-273.15</f>
        <v/>
      </c>
    </row>
    <row r="159">
      <c r="A159" s="9" t="n">
        <v>37046</v>
      </c>
      <c r="B159" s="7">
        <f>YEAR(A159)</f>
        <v/>
      </c>
      <c r="C159" s="7">
        <f>MONTH(A159)</f>
        <v/>
      </c>
      <c r="D159" s="10" t="n">
        <v>0</v>
      </c>
      <c r="E159" s="11" t="n">
        <v>15.32054454</v>
      </c>
      <c r="F159" s="12" t="n">
        <v>0.0002369187285</v>
      </c>
      <c r="G159" s="11" t="n">
        <v>291.2368502</v>
      </c>
      <c r="H159" s="13">
        <f>F159*1000</f>
        <v/>
      </c>
      <c r="I159" s="14">
        <f>G159-273.15</f>
        <v/>
      </c>
      <c r="K159" s="15" t="n">
        <v>2001</v>
      </c>
      <c r="L159" s="15" t="n">
        <v>6</v>
      </c>
      <c r="M159" s="15" t="n">
        <v>5</v>
      </c>
      <c r="N159" s="16" t="n">
        <v>0</v>
      </c>
      <c r="O159" s="11" t="n">
        <v>290.1991602</v>
      </c>
      <c r="P159" s="13">
        <f>N159*86400</f>
        <v/>
      </c>
      <c r="Q159" s="14">
        <f>O159-273.15</f>
        <v/>
      </c>
    </row>
    <row r="160">
      <c r="A160" s="9" t="n">
        <v>37047</v>
      </c>
      <c r="B160" s="7">
        <f>YEAR(A160)</f>
        <v/>
      </c>
      <c r="C160" s="7">
        <f>MONTH(A160)</f>
        <v/>
      </c>
      <c r="D160" s="10" t="n">
        <v>2.872595187</v>
      </c>
      <c r="E160" s="11" t="n">
        <v>15.377379</v>
      </c>
      <c r="F160" s="12" t="n">
        <v>0.005683354279</v>
      </c>
      <c r="G160" s="11" t="n">
        <v>291.141161</v>
      </c>
      <c r="H160" s="13">
        <f>F160*1000</f>
        <v/>
      </c>
      <c r="I160" s="14">
        <f>G160-273.15</f>
        <v/>
      </c>
      <c r="K160" s="15" t="n">
        <v>2001</v>
      </c>
      <c r="L160" s="15" t="n">
        <v>6</v>
      </c>
      <c r="M160" s="15" t="n">
        <v>6</v>
      </c>
      <c r="N160" s="16" t="n">
        <v>0</v>
      </c>
      <c r="O160" s="11" t="n">
        <v>289.9240066</v>
      </c>
      <c r="P160" s="13">
        <f>N160*86400</f>
        <v/>
      </c>
      <c r="Q160" s="14">
        <f>O160-273.15</f>
        <v/>
      </c>
    </row>
    <row r="161">
      <c r="A161" s="9" t="n">
        <v>37048</v>
      </c>
      <c r="B161" s="7">
        <f>YEAR(A161)</f>
        <v/>
      </c>
      <c r="C161" s="7">
        <f>MONTH(A161)</f>
        <v/>
      </c>
      <c r="D161" s="10" t="n">
        <v>0.4640042146</v>
      </c>
      <c r="E161" s="11" t="n">
        <v>15.823961</v>
      </c>
      <c r="F161" s="12" t="n">
        <v>0.0009371603011</v>
      </c>
      <c r="G161" s="11" t="n">
        <v>292.3289898</v>
      </c>
      <c r="H161" s="13">
        <f>F161*1000</f>
        <v/>
      </c>
      <c r="I161" s="14">
        <f>G161-273.15</f>
        <v/>
      </c>
      <c r="K161" s="15" t="n">
        <v>2001</v>
      </c>
      <c r="L161" s="15" t="n">
        <v>6</v>
      </c>
      <c r="M161" s="15" t="n">
        <v>7</v>
      </c>
      <c r="N161" s="16" t="n">
        <v>2.295403716e-05</v>
      </c>
      <c r="O161" s="11" t="n">
        <v>288.7088193</v>
      </c>
      <c r="P161" s="13">
        <f>N161*86400</f>
        <v/>
      </c>
      <c r="Q161" s="14">
        <f>O161-273.15</f>
        <v/>
      </c>
    </row>
    <row r="162">
      <c r="A162" s="9" t="n">
        <v>37049</v>
      </c>
      <c r="B162" s="7">
        <f>YEAR(A162)</f>
        <v/>
      </c>
      <c r="C162" s="7">
        <f>MONTH(A162)</f>
        <v/>
      </c>
      <c r="D162" s="10" t="n">
        <v>1.089114524</v>
      </c>
      <c r="E162" s="11" t="n">
        <v>14.63629971</v>
      </c>
      <c r="F162" s="12" t="n">
        <v>0.005362864561</v>
      </c>
      <c r="G162" s="11" t="n">
        <v>290.4409377</v>
      </c>
      <c r="H162" s="13">
        <f>F162*1000</f>
        <v/>
      </c>
      <c r="I162" s="14">
        <f>G162-273.15</f>
        <v/>
      </c>
      <c r="K162" s="15" t="n">
        <v>2001</v>
      </c>
      <c r="L162" s="15" t="n">
        <v>6</v>
      </c>
      <c r="M162" s="15" t="n">
        <v>8</v>
      </c>
      <c r="N162" s="16" t="n">
        <v>9.906813315e-06</v>
      </c>
      <c r="O162" s="11" t="n">
        <v>288.8895228</v>
      </c>
      <c r="P162" s="13">
        <f>N162*86400</f>
        <v/>
      </c>
      <c r="Q162" s="14">
        <f>O162-273.15</f>
        <v/>
      </c>
    </row>
    <row r="163">
      <c r="A163" s="9" t="n">
        <v>37050</v>
      </c>
      <c r="B163" s="7">
        <f>YEAR(A163)</f>
        <v/>
      </c>
      <c r="C163" s="7">
        <f>MONTH(A163)</f>
        <v/>
      </c>
      <c r="D163" s="10" t="n">
        <v>0.9868590505</v>
      </c>
      <c r="E163" s="11" t="n">
        <v>17.6031591</v>
      </c>
      <c r="F163" s="12" t="n">
        <v>0.003814647087</v>
      </c>
      <c r="G163" s="11" t="n">
        <v>293.6766532</v>
      </c>
      <c r="H163" s="13">
        <f>F163*1000</f>
        <v/>
      </c>
      <c r="I163" s="14">
        <f>G163-273.15</f>
        <v/>
      </c>
      <c r="K163" s="15" t="n">
        <v>2001</v>
      </c>
      <c r="L163" s="15" t="n">
        <v>6</v>
      </c>
      <c r="M163" s="15" t="n">
        <v>9</v>
      </c>
      <c r="N163" s="16" t="n">
        <v>0</v>
      </c>
      <c r="O163" s="11" t="n">
        <v>288.0384062</v>
      </c>
      <c r="P163" s="13">
        <f>N163*86400</f>
        <v/>
      </c>
      <c r="Q163" s="14">
        <f>O163-273.15</f>
        <v/>
      </c>
    </row>
    <row r="164">
      <c r="A164" s="9" t="n">
        <v>37051</v>
      </c>
      <c r="B164" s="7">
        <f>YEAR(A164)</f>
        <v/>
      </c>
      <c r="C164" s="7">
        <f>MONTH(A164)</f>
        <v/>
      </c>
      <c r="D164" s="10" t="n">
        <v>13.34581859</v>
      </c>
      <c r="E164" s="11" t="n">
        <v>16.32916498</v>
      </c>
      <c r="F164" s="12" t="n">
        <v>0.007530060875</v>
      </c>
      <c r="G164" s="11" t="n">
        <v>292.0062886</v>
      </c>
      <c r="H164" s="13">
        <f>F164*1000</f>
        <v/>
      </c>
      <c r="I164" s="14">
        <f>G164-273.15</f>
        <v/>
      </c>
      <c r="K164" s="15" t="n">
        <v>2001</v>
      </c>
      <c r="L164" s="15" t="n">
        <v>6</v>
      </c>
      <c r="M164" s="15" t="n">
        <v>10</v>
      </c>
      <c r="N164" s="16" t="n">
        <v>1.870710912e-06</v>
      </c>
      <c r="O164" s="11" t="n">
        <v>287.6554283</v>
      </c>
      <c r="P164" s="13">
        <f>N164*86400</f>
        <v/>
      </c>
      <c r="Q164" s="14">
        <f>O164-273.15</f>
        <v/>
      </c>
    </row>
    <row r="165">
      <c r="A165" s="9" t="n">
        <v>37052</v>
      </c>
      <c r="B165" s="7">
        <f>YEAR(A165)</f>
        <v/>
      </c>
      <c r="C165" s="7">
        <f>MONTH(A165)</f>
        <v/>
      </c>
      <c r="D165" s="10" t="n">
        <v>0</v>
      </c>
      <c r="E165" s="11" t="n">
        <v>19.18453541</v>
      </c>
      <c r="F165" s="12" t="n">
        <v>0</v>
      </c>
      <c r="G165" s="11" t="n">
        <v>293.528044</v>
      </c>
      <c r="H165" s="13">
        <f>F165*1000</f>
        <v/>
      </c>
      <c r="I165" s="14">
        <f>G165-273.15</f>
        <v/>
      </c>
      <c r="K165" s="15" t="n">
        <v>2001</v>
      </c>
      <c r="L165" s="15" t="n">
        <v>6</v>
      </c>
      <c r="M165" s="15" t="n">
        <v>11</v>
      </c>
      <c r="N165" s="16" t="n">
        <v>0</v>
      </c>
      <c r="O165" s="11" t="n">
        <v>290.6310747</v>
      </c>
      <c r="P165" s="13">
        <f>N165*86400</f>
        <v/>
      </c>
      <c r="Q165" s="14">
        <f>O165-273.15</f>
        <v/>
      </c>
    </row>
    <row r="166">
      <c r="A166" s="9" t="n">
        <v>37053</v>
      </c>
      <c r="B166" s="7">
        <f>YEAR(A166)</f>
        <v/>
      </c>
      <c r="C166" s="7">
        <f>MONTH(A166)</f>
        <v/>
      </c>
      <c r="D166" s="10" t="n">
        <v>0</v>
      </c>
      <c r="E166" s="11" t="n">
        <v>19.3205835</v>
      </c>
      <c r="F166" s="12" t="n">
        <v>0</v>
      </c>
      <c r="G166" s="11" t="n">
        <v>292.8430957</v>
      </c>
      <c r="H166" s="13">
        <f>F166*1000</f>
        <v/>
      </c>
      <c r="I166" s="14">
        <f>G166-273.15</f>
        <v/>
      </c>
      <c r="K166" s="15" t="n">
        <v>2001</v>
      </c>
      <c r="L166" s="15" t="n">
        <v>6</v>
      </c>
      <c r="M166" s="15" t="n">
        <v>12</v>
      </c>
      <c r="N166" s="16" t="n">
        <v>2.859675585e-05</v>
      </c>
      <c r="O166" s="11" t="n">
        <v>293.1086685</v>
      </c>
      <c r="P166" s="13">
        <f>N166*86400</f>
        <v/>
      </c>
      <c r="Q166" s="14">
        <f>O166-273.15</f>
        <v/>
      </c>
    </row>
    <row r="167">
      <c r="A167" s="9" t="n">
        <v>37054</v>
      </c>
      <c r="B167" s="7">
        <f>YEAR(A167)</f>
        <v/>
      </c>
      <c r="C167" s="7">
        <f>MONTH(A167)</f>
        <v/>
      </c>
      <c r="D167" s="10" t="n">
        <v>1.81849395</v>
      </c>
      <c r="E167" s="11" t="n">
        <v>18.32826472</v>
      </c>
      <c r="F167" s="12" t="n">
        <v>0.0009597000915</v>
      </c>
      <c r="G167" s="11" t="n">
        <v>292.4207503</v>
      </c>
      <c r="H167" s="13">
        <f>F167*1000</f>
        <v/>
      </c>
      <c r="I167" s="14">
        <f>G167-273.15</f>
        <v/>
      </c>
      <c r="K167" s="15" t="n">
        <v>2001</v>
      </c>
      <c r="L167" s="15" t="n">
        <v>6</v>
      </c>
      <c r="M167" s="15" t="n">
        <v>13</v>
      </c>
      <c r="N167" s="16" t="n">
        <v>0.0001185476263</v>
      </c>
      <c r="O167" s="11" t="n">
        <v>292.7391473</v>
      </c>
      <c r="P167" s="13">
        <f>N167*86400</f>
        <v/>
      </c>
      <c r="Q167" s="14">
        <f>O167-273.15</f>
        <v/>
      </c>
    </row>
    <row r="168">
      <c r="A168" s="9" t="n">
        <v>37055</v>
      </c>
      <c r="B168" s="7">
        <f>YEAR(A168)</f>
        <v/>
      </c>
      <c r="C168" s="7">
        <f>MONTH(A168)</f>
        <v/>
      </c>
      <c r="D168" s="10" t="n">
        <v>0.1307361612</v>
      </c>
      <c r="E168" s="11" t="n">
        <v>17.58228659</v>
      </c>
      <c r="F168" s="12" t="n">
        <v>0.004702375648</v>
      </c>
      <c r="G168" s="11" t="n">
        <v>292.5174134</v>
      </c>
      <c r="H168" s="13">
        <f>F168*1000</f>
        <v/>
      </c>
      <c r="I168" s="14">
        <f>G168-273.15</f>
        <v/>
      </c>
      <c r="K168" s="15" t="n">
        <v>2001</v>
      </c>
      <c r="L168" s="15" t="n">
        <v>6</v>
      </c>
      <c r="M168" s="15" t="n">
        <v>14</v>
      </c>
      <c r="N168" s="16" t="n">
        <v>0.000102460596</v>
      </c>
      <c r="O168" s="11" t="n">
        <v>291.550837</v>
      </c>
      <c r="P168" s="13">
        <f>N168*86400</f>
        <v/>
      </c>
      <c r="Q168" s="14">
        <f>O168-273.15</f>
        <v/>
      </c>
    </row>
    <row r="169">
      <c r="A169" s="9" t="n">
        <v>37056</v>
      </c>
      <c r="B169" s="7">
        <f>YEAR(A169)</f>
        <v/>
      </c>
      <c r="C169" s="7">
        <f>MONTH(A169)</f>
        <v/>
      </c>
      <c r="D169" s="10" t="n">
        <v>0</v>
      </c>
      <c r="E169" s="11" t="n">
        <v>17.22009021</v>
      </c>
      <c r="F169" s="12" t="n">
        <v>0</v>
      </c>
      <c r="G169" s="11" t="n">
        <v>290.9929338</v>
      </c>
      <c r="H169" s="13">
        <f>F169*1000</f>
        <v/>
      </c>
      <c r="I169" s="14">
        <f>G169-273.15</f>
        <v/>
      </c>
      <c r="K169" s="15" t="n">
        <v>2001</v>
      </c>
      <c r="L169" s="15" t="n">
        <v>6</v>
      </c>
      <c r="M169" s="15" t="n">
        <v>15</v>
      </c>
      <c r="N169" s="16" t="n">
        <v>0</v>
      </c>
      <c r="O169" s="11" t="n">
        <v>291.2820031</v>
      </c>
      <c r="P169" s="13">
        <f>N169*86400</f>
        <v/>
      </c>
      <c r="Q169" s="14">
        <f>O169-273.15</f>
        <v/>
      </c>
    </row>
    <row r="170">
      <c r="A170" s="9" t="n">
        <v>37057</v>
      </c>
      <c r="B170" s="7">
        <f>YEAR(A170)</f>
        <v/>
      </c>
      <c r="C170" s="7">
        <f>MONTH(A170)</f>
        <v/>
      </c>
      <c r="D170" s="10" t="n">
        <v>0</v>
      </c>
      <c r="E170" s="11" t="n">
        <v>15.50365474</v>
      </c>
      <c r="F170" s="12" t="n">
        <v>0.0002439682773</v>
      </c>
      <c r="G170" s="11" t="n">
        <v>290.3962141</v>
      </c>
      <c r="H170" s="13">
        <f>F170*1000</f>
        <v/>
      </c>
      <c r="I170" s="14">
        <f>G170-273.15</f>
        <v/>
      </c>
      <c r="K170" s="15" t="n">
        <v>2001</v>
      </c>
      <c r="L170" s="15" t="n">
        <v>6</v>
      </c>
      <c r="M170" s="15" t="n">
        <v>16</v>
      </c>
      <c r="N170" s="16" t="n">
        <v>4.968665089e-07</v>
      </c>
      <c r="O170" s="11" t="n">
        <v>289.9975077</v>
      </c>
      <c r="P170" s="13">
        <f>N170*86400</f>
        <v/>
      </c>
      <c r="Q170" s="14">
        <f>O170-273.15</f>
        <v/>
      </c>
    </row>
    <row r="171">
      <c r="A171" s="9" t="n">
        <v>37058</v>
      </c>
      <c r="B171" s="7">
        <f>YEAR(A171)</f>
        <v/>
      </c>
      <c r="C171" s="7">
        <f>MONTH(A171)</f>
        <v/>
      </c>
      <c r="D171" s="10" t="n">
        <v>0</v>
      </c>
      <c r="E171" s="11" t="n">
        <v>14.4892845</v>
      </c>
      <c r="F171" s="12" t="n">
        <v>0</v>
      </c>
      <c r="G171" s="11" t="n">
        <v>289.9482631</v>
      </c>
      <c r="H171" s="13">
        <f>F171*1000</f>
        <v/>
      </c>
      <c r="I171" s="14">
        <f>G171-273.15</f>
        <v/>
      </c>
      <c r="K171" s="15" t="n">
        <v>2001</v>
      </c>
      <c r="L171" s="15" t="n">
        <v>6</v>
      </c>
      <c r="M171" s="15" t="n">
        <v>17</v>
      </c>
      <c r="N171" s="16" t="n">
        <v>2.131185632e-05</v>
      </c>
      <c r="O171" s="11" t="n">
        <v>289.3493577</v>
      </c>
      <c r="P171" s="13">
        <f>N171*86400</f>
        <v/>
      </c>
      <c r="Q171" s="14">
        <f>O171-273.15</f>
        <v/>
      </c>
    </row>
    <row r="172">
      <c r="A172" s="9" t="n">
        <v>37059</v>
      </c>
      <c r="B172" s="7">
        <f>YEAR(A172)</f>
        <v/>
      </c>
      <c r="C172" s="7">
        <f>MONTH(A172)</f>
        <v/>
      </c>
      <c r="D172" s="10" t="n">
        <v>16.02408685</v>
      </c>
      <c r="E172" s="11" t="n">
        <v>15.17861156</v>
      </c>
      <c r="F172" s="12" t="n">
        <v>0.007425308864</v>
      </c>
      <c r="G172" s="11" t="n">
        <v>290.296986</v>
      </c>
      <c r="H172" s="13">
        <f>F172*1000</f>
        <v/>
      </c>
      <c r="I172" s="14">
        <f>G172-273.15</f>
        <v/>
      </c>
      <c r="K172" s="15" t="n">
        <v>2001</v>
      </c>
      <c r="L172" s="15" t="n">
        <v>6</v>
      </c>
      <c r="M172" s="15" t="n">
        <v>18</v>
      </c>
      <c r="N172" s="16" t="n">
        <v>0.0002759291838</v>
      </c>
      <c r="O172" s="11" t="n">
        <v>290.2437251</v>
      </c>
      <c r="P172" s="13">
        <f>N172*86400</f>
        <v/>
      </c>
      <c r="Q172" s="14">
        <f>O172-273.15</f>
        <v/>
      </c>
    </row>
    <row r="173">
      <c r="A173" s="9" t="n">
        <v>37060</v>
      </c>
      <c r="B173" s="7">
        <f>YEAR(A173)</f>
        <v/>
      </c>
      <c r="C173" s="7">
        <f>MONTH(A173)</f>
        <v/>
      </c>
      <c r="D173" s="10" t="n">
        <v>0</v>
      </c>
      <c r="E173" s="11" t="n">
        <v>14.43170621</v>
      </c>
      <c r="F173" s="12" t="n">
        <v>0</v>
      </c>
      <c r="G173" s="11" t="n">
        <v>289.0678935</v>
      </c>
      <c r="H173" s="13">
        <f>F173*1000</f>
        <v/>
      </c>
      <c r="I173" s="14">
        <f>G173-273.15</f>
        <v/>
      </c>
      <c r="K173" s="15" t="n">
        <v>2001</v>
      </c>
      <c r="L173" s="15" t="n">
        <v>6</v>
      </c>
      <c r="M173" s="15" t="n">
        <v>19</v>
      </c>
      <c r="N173" s="16" t="n">
        <v>6.058360174e-05</v>
      </c>
      <c r="O173" s="11" t="n">
        <v>290.0921446</v>
      </c>
      <c r="P173" s="13">
        <f>N173*86400</f>
        <v/>
      </c>
      <c r="Q173" s="14">
        <f>O173-273.15</f>
        <v/>
      </c>
    </row>
    <row r="174">
      <c r="A174" s="9" t="n">
        <v>37061</v>
      </c>
      <c r="B174" s="7">
        <f>YEAR(A174)</f>
        <v/>
      </c>
      <c r="C174" s="7">
        <f>MONTH(A174)</f>
        <v/>
      </c>
      <c r="D174" s="10" t="n">
        <v>0</v>
      </c>
      <c r="E174" s="11" t="n">
        <v>16.1899764</v>
      </c>
      <c r="F174" s="12" t="n">
        <v>0</v>
      </c>
      <c r="G174" s="11" t="n">
        <v>290.7854433</v>
      </c>
      <c r="H174" s="13">
        <f>F174*1000</f>
        <v/>
      </c>
      <c r="I174" s="14">
        <f>G174-273.15</f>
        <v/>
      </c>
      <c r="K174" s="15" t="n">
        <v>2001</v>
      </c>
      <c r="L174" s="15" t="n">
        <v>6</v>
      </c>
      <c r="M174" s="15" t="n">
        <v>20</v>
      </c>
      <c r="N174" s="16" t="n">
        <v>0.0001743149114</v>
      </c>
      <c r="O174" s="11" t="n">
        <v>290.375543</v>
      </c>
      <c r="P174" s="13">
        <f>N174*86400</f>
        <v/>
      </c>
      <c r="Q174" s="14">
        <f>O174-273.15</f>
        <v/>
      </c>
    </row>
    <row r="175">
      <c r="A175" s="9" t="n">
        <v>37062</v>
      </c>
      <c r="B175" s="7">
        <f>YEAR(A175)</f>
        <v/>
      </c>
      <c r="C175" s="7">
        <f>MONTH(A175)</f>
        <v/>
      </c>
      <c r="D175" s="10" t="n">
        <v>0.6370824738</v>
      </c>
      <c r="E175" s="11" t="n">
        <v>17.41751264</v>
      </c>
      <c r="F175" s="12" t="n">
        <v>0.001102366775</v>
      </c>
      <c r="G175" s="11" t="n">
        <v>292.5830489</v>
      </c>
      <c r="H175" s="13">
        <f>F175*1000</f>
        <v/>
      </c>
      <c r="I175" s="14">
        <f>G175-273.15</f>
        <v/>
      </c>
      <c r="K175" s="15" t="n">
        <v>2001</v>
      </c>
      <c r="L175" s="15" t="n">
        <v>6</v>
      </c>
      <c r="M175" s="15" t="n">
        <v>21</v>
      </c>
      <c r="N175" s="16" t="n">
        <v>5.035942283e-07</v>
      </c>
      <c r="O175" s="11" t="n">
        <v>289.3850521</v>
      </c>
      <c r="P175" s="13">
        <f>N175*86400</f>
        <v/>
      </c>
      <c r="Q175" s="14">
        <f>O175-273.15</f>
        <v/>
      </c>
    </row>
    <row r="176">
      <c r="A176" s="9" t="n">
        <v>37063</v>
      </c>
      <c r="B176" s="7">
        <f>YEAR(A176)</f>
        <v/>
      </c>
      <c r="C176" s="7">
        <f>MONTH(A176)</f>
        <v/>
      </c>
      <c r="D176" s="10" t="n">
        <v>3.445610161</v>
      </c>
      <c r="E176" s="11" t="n">
        <v>19.80171481</v>
      </c>
      <c r="F176" s="12" t="n">
        <v>0.008247834242000001</v>
      </c>
      <c r="G176" s="11" t="n">
        <v>294.1753671</v>
      </c>
      <c r="H176" s="13">
        <f>F176*1000</f>
        <v/>
      </c>
      <c r="I176" s="14">
        <f>G176-273.15</f>
        <v/>
      </c>
      <c r="K176" s="15" t="n">
        <v>2001</v>
      </c>
      <c r="L176" s="15" t="n">
        <v>6</v>
      </c>
      <c r="M176" s="15" t="n">
        <v>22</v>
      </c>
      <c r="N176" s="16" t="n">
        <v>0</v>
      </c>
      <c r="O176" s="11" t="n">
        <v>290.4400558</v>
      </c>
      <c r="P176" s="13">
        <f>N176*86400</f>
        <v/>
      </c>
      <c r="Q176" s="14">
        <f>O176-273.15</f>
        <v/>
      </c>
    </row>
    <row r="177">
      <c r="A177" s="9" t="n">
        <v>37064</v>
      </c>
      <c r="B177" s="7">
        <f>YEAR(A177)</f>
        <v/>
      </c>
      <c r="C177" s="7">
        <f>MONTH(A177)</f>
        <v/>
      </c>
      <c r="D177" s="10" t="n">
        <v>9.030137321</v>
      </c>
      <c r="E177" s="11" t="n">
        <v>19.86448597</v>
      </c>
      <c r="F177" s="12" t="n">
        <v>0.01782743943</v>
      </c>
      <c r="G177" s="11" t="n">
        <v>294.0040945</v>
      </c>
      <c r="H177" s="13">
        <f>F177*1000</f>
        <v/>
      </c>
      <c r="I177" s="14">
        <f>G177-273.15</f>
        <v/>
      </c>
      <c r="K177" s="15" t="n">
        <v>2001</v>
      </c>
      <c r="L177" s="15" t="n">
        <v>6</v>
      </c>
      <c r="M177" s="15" t="n">
        <v>23</v>
      </c>
      <c r="N177" s="16" t="n">
        <v>6.741861835e-06</v>
      </c>
      <c r="O177" s="11" t="n">
        <v>293.9142098</v>
      </c>
      <c r="P177" s="13">
        <f>N177*86400</f>
        <v/>
      </c>
      <c r="Q177" s="14">
        <f>O177-273.15</f>
        <v/>
      </c>
    </row>
    <row r="178">
      <c r="A178" s="9" t="n">
        <v>37065</v>
      </c>
      <c r="B178" s="7">
        <f>YEAR(A178)</f>
        <v/>
      </c>
      <c r="C178" s="7">
        <f>MONTH(A178)</f>
        <v/>
      </c>
      <c r="D178" s="10" t="n">
        <v>24.3577998</v>
      </c>
      <c r="E178" s="11" t="n">
        <v>18.49229452</v>
      </c>
      <c r="F178" s="12" t="n">
        <v>0.02129171801</v>
      </c>
      <c r="G178" s="11" t="n">
        <v>293.548375</v>
      </c>
      <c r="H178" s="13">
        <f>F178*1000</f>
        <v/>
      </c>
      <c r="I178" s="14">
        <f>G178-273.15</f>
        <v/>
      </c>
      <c r="K178" s="15" t="n">
        <v>2001</v>
      </c>
      <c r="L178" s="15" t="n">
        <v>6</v>
      </c>
      <c r="M178" s="15" t="n">
        <v>24</v>
      </c>
      <c r="N178" s="16" t="n">
        <v>3.439390365e-05</v>
      </c>
      <c r="O178" s="11" t="n">
        <v>294.8764766</v>
      </c>
      <c r="P178" s="13">
        <f>N178*86400</f>
        <v/>
      </c>
      <c r="Q178" s="14">
        <f>O178-273.15</f>
        <v/>
      </c>
    </row>
    <row r="179">
      <c r="A179" s="9" t="n">
        <v>37066</v>
      </c>
      <c r="B179" s="7">
        <f>YEAR(A179)</f>
        <v/>
      </c>
      <c r="C179" s="7">
        <f>MONTH(A179)</f>
        <v/>
      </c>
      <c r="D179" s="10" t="n">
        <v>23.42476517</v>
      </c>
      <c r="E179" s="11" t="n">
        <v>18.52203827</v>
      </c>
      <c r="F179" s="12" t="n">
        <v>0.007836277932999999</v>
      </c>
      <c r="G179" s="11" t="n">
        <v>294.4757236</v>
      </c>
      <c r="H179" s="13">
        <f>F179*1000</f>
        <v/>
      </c>
      <c r="I179" s="14">
        <f>G179-273.15</f>
        <v/>
      </c>
      <c r="K179" s="15" t="n">
        <v>2001</v>
      </c>
      <c r="L179" s="15" t="n">
        <v>6</v>
      </c>
      <c r="M179" s="15" t="n">
        <v>25</v>
      </c>
      <c r="N179" s="16" t="n">
        <v>0</v>
      </c>
      <c r="O179" s="11" t="n">
        <v>294.9500997</v>
      </c>
      <c r="P179" s="13">
        <f>N179*86400</f>
        <v/>
      </c>
      <c r="Q179" s="14">
        <f>O179-273.15</f>
        <v/>
      </c>
    </row>
    <row r="180">
      <c r="A180" s="9" t="n">
        <v>37067</v>
      </c>
      <c r="B180" s="7">
        <f>YEAR(A180)</f>
        <v/>
      </c>
      <c r="C180" s="7">
        <f>MONTH(A180)</f>
        <v/>
      </c>
      <c r="D180" s="10" t="n">
        <v>0</v>
      </c>
      <c r="E180" s="11" t="n">
        <v>16.54692911</v>
      </c>
      <c r="F180" s="12" t="n">
        <v>0.002787456638</v>
      </c>
      <c r="G180" s="11" t="n">
        <v>292.5556809</v>
      </c>
      <c r="H180" s="13">
        <f>F180*1000</f>
        <v/>
      </c>
      <c r="I180" s="14">
        <f>G180-273.15</f>
        <v/>
      </c>
      <c r="K180" s="15" t="n">
        <v>2001</v>
      </c>
      <c r="L180" s="15" t="n">
        <v>6</v>
      </c>
      <c r="M180" s="15" t="n">
        <v>26</v>
      </c>
      <c r="N180" s="16" t="n">
        <v>1.476909403e-07</v>
      </c>
      <c r="O180" s="11" t="n">
        <v>294.7172667</v>
      </c>
      <c r="P180" s="13">
        <f>N180*86400</f>
        <v/>
      </c>
      <c r="Q180" s="14">
        <f>O180-273.15</f>
        <v/>
      </c>
    </row>
    <row r="181">
      <c r="A181" s="9" t="n">
        <v>37068</v>
      </c>
      <c r="B181" s="7">
        <f>YEAR(A181)</f>
        <v/>
      </c>
      <c r="C181" s="7">
        <f>MONTH(A181)</f>
        <v/>
      </c>
      <c r="D181" s="10" t="n">
        <v>0</v>
      </c>
      <c r="E181" s="11" t="n">
        <v>15.9876033</v>
      </c>
      <c r="F181" s="12" t="n">
        <v>0.005869582647</v>
      </c>
      <c r="G181" s="11" t="n">
        <v>291.640993</v>
      </c>
      <c r="H181" s="13">
        <f>F181*1000</f>
        <v/>
      </c>
      <c r="I181" s="14">
        <f>G181-273.15</f>
        <v/>
      </c>
      <c r="K181" s="15" t="n">
        <v>2001</v>
      </c>
      <c r="L181" s="15" t="n">
        <v>6</v>
      </c>
      <c r="M181" s="15" t="n">
        <v>27</v>
      </c>
      <c r="N181" s="16" t="n">
        <v>0</v>
      </c>
      <c r="O181" s="11" t="n">
        <v>293.7931029</v>
      </c>
      <c r="P181" s="13">
        <f>N181*86400</f>
        <v/>
      </c>
      <c r="Q181" s="14">
        <f>O181-273.15</f>
        <v/>
      </c>
    </row>
    <row r="182">
      <c r="A182" s="9" t="n">
        <v>37069</v>
      </c>
      <c r="B182" s="7">
        <f>YEAR(A182)</f>
        <v/>
      </c>
      <c r="C182" s="7">
        <f>MONTH(A182)</f>
        <v/>
      </c>
      <c r="D182" s="10" t="n">
        <v>0</v>
      </c>
      <c r="E182" s="11" t="n">
        <v>17.11678034</v>
      </c>
      <c r="F182" s="12" t="n">
        <v>0.001398244504</v>
      </c>
      <c r="G182" s="11" t="n">
        <v>293.1107503</v>
      </c>
      <c r="H182" s="13">
        <f>F182*1000</f>
        <v/>
      </c>
      <c r="I182" s="14">
        <f>G182-273.15</f>
        <v/>
      </c>
      <c r="K182" s="15" t="n">
        <v>2001</v>
      </c>
      <c r="L182" s="15" t="n">
        <v>6</v>
      </c>
      <c r="M182" s="15" t="n">
        <v>28</v>
      </c>
      <c r="N182" s="16" t="n">
        <v>0.0001484474795</v>
      </c>
      <c r="O182" s="11" t="n">
        <v>292.0829855</v>
      </c>
      <c r="P182" s="13">
        <f>N182*86400</f>
        <v/>
      </c>
      <c r="Q182" s="14">
        <f>O182-273.15</f>
        <v/>
      </c>
    </row>
    <row r="183">
      <c r="A183" s="9" t="n">
        <v>37070</v>
      </c>
      <c r="B183" s="7">
        <f>YEAR(A183)</f>
        <v/>
      </c>
      <c r="C183" s="7">
        <f>MONTH(A183)</f>
        <v/>
      </c>
      <c r="D183" s="10" t="n">
        <v>0.06545158268</v>
      </c>
      <c r="E183" s="11" t="n">
        <v>15.457413</v>
      </c>
      <c r="F183" s="12" t="n">
        <v>0.00684779289</v>
      </c>
      <c r="G183" s="11" t="n">
        <v>292.5056091</v>
      </c>
      <c r="H183" s="13">
        <f>F183*1000</f>
        <v/>
      </c>
      <c r="I183" s="14">
        <f>G183-273.15</f>
        <v/>
      </c>
      <c r="K183" s="15" t="n">
        <v>2001</v>
      </c>
      <c r="L183" s="15" t="n">
        <v>6</v>
      </c>
      <c r="M183" s="15" t="n">
        <v>29</v>
      </c>
      <c r="N183" s="16" t="n">
        <v>1.342402969e-05</v>
      </c>
      <c r="O183" s="11" t="n">
        <v>290.7110552</v>
      </c>
      <c r="P183" s="13">
        <f>N183*86400</f>
        <v/>
      </c>
      <c r="Q183" s="14">
        <f>O183-273.15</f>
        <v/>
      </c>
    </row>
    <row r="184">
      <c r="A184" s="9" t="n">
        <v>37071</v>
      </c>
      <c r="B184" s="7">
        <f>YEAR(A184)</f>
        <v/>
      </c>
      <c r="C184" s="7">
        <f>MONTH(A184)</f>
        <v/>
      </c>
      <c r="D184" s="10" t="n">
        <v>25.47026598</v>
      </c>
      <c r="E184" s="11" t="n">
        <v>16.06600219</v>
      </c>
      <c r="F184" s="12" t="n">
        <v>0.0101244002</v>
      </c>
      <c r="G184" s="11" t="n">
        <v>293.0452478</v>
      </c>
      <c r="H184" s="13">
        <f>F184*1000</f>
        <v/>
      </c>
      <c r="I184" s="14">
        <f>G184-273.15</f>
        <v/>
      </c>
      <c r="K184" s="15" t="n">
        <v>2001</v>
      </c>
      <c r="L184" s="15" t="n">
        <v>6</v>
      </c>
      <c r="M184" s="15" t="n">
        <v>30</v>
      </c>
      <c r="N184" s="16" t="n">
        <v>7.340636025000001e-05</v>
      </c>
      <c r="O184" s="11" t="n">
        <v>292.9390177</v>
      </c>
      <c r="P184" s="13">
        <f>N184*86400</f>
        <v/>
      </c>
      <c r="Q184" s="14">
        <f>O184-273.15</f>
        <v/>
      </c>
    </row>
    <row r="185">
      <c r="A185" s="9" t="n">
        <v>37072</v>
      </c>
      <c r="B185" s="7">
        <f>YEAR(A185)</f>
        <v/>
      </c>
      <c r="C185" s="7">
        <f>MONTH(A185)</f>
        <v/>
      </c>
      <c r="D185" s="10" t="n">
        <v>32.65883353</v>
      </c>
      <c r="E185" s="11" t="n">
        <v>15.54818906</v>
      </c>
      <c r="F185" s="12" t="n">
        <v>0.01935053897</v>
      </c>
      <c r="G185" s="11" t="n">
        <v>291.9026927</v>
      </c>
      <c r="H185" s="13">
        <f>F185*1000</f>
        <v/>
      </c>
      <c r="I185" s="14">
        <f>G185-273.15</f>
        <v/>
      </c>
      <c r="K185" s="15" t="n">
        <v>2001</v>
      </c>
      <c r="L185" s="15" t="n">
        <v>7</v>
      </c>
      <c r="M185" s="15" t="n">
        <v>1</v>
      </c>
      <c r="N185" s="16" t="n">
        <v>8.791111254e-05</v>
      </c>
      <c r="O185" s="11" t="n">
        <v>292.4056168</v>
      </c>
      <c r="P185" s="13">
        <f>N185*86400</f>
        <v/>
      </c>
      <c r="Q185" s="14">
        <f>O185-273.15</f>
        <v/>
      </c>
    </row>
    <row r="186">
      <c r="A186" s="9" t="n">
        <v>37073</v>
      </c>
      <c r="B186" s="7">
        <f>YEAR(A186)</f>
        <v/>
      </c>
      <c r="C186" s="7">
        <f>MONTH(A186)</f>
        <v/>
      </c>
      <c r="D186" s="10" t="n">
        <v>84.73602796999999</v>
      </c>
      <c r="E186" s="11" t="n">
        <v>16.22047343</v>
      </c>
      <c r="F186" s="12" t="n">
        <v>0.03576073416</v>
      </c>
      <c r="G186" s="11" t="n">
        <v>293.4949974</v>
      </c>
      <c r="H186" s="13">
        <f>F186*1000</f>
        <v/>
      </c>
      <c r="I186" s="14">
        <f>G186-273.15</f>
        <v/>
      </c>
      <c r="K186" s="15" t="n">
        <v>2001</v>
      </c>
      <c r="L186" s="15" t="n">
        <v>7</v>
      </c>
      <c r="M186" s="15" t="n">
        <v>2</v>
      </c>
      <c r="N186" s="16" t="n">
        <v>0.0004353192932</v>
      </c>
      <c r="O186" s="11" t="n">
        <v>290.2895778</v>
      </c>
      <c r="P186" s="13">
        <f>N186*86400</f>
        <v/>
      </c>
      <c r="Q186" s="14">
        <f>O186-273.15</f>
        <v/>
      </c>
    </row>
    <row r="187">
      <c r="A187" s="9" t="n">
        <v>37074</v>
      </c>
      <c r="B187" s="7">
        <f>YEAR(A187)</f>
        <v/>
      </c>
      <c r="C187" s="7">
        <f>MONTH(A187)</f>
        <v/>
      </c>
      <c r="D187" s="10" t="n">
        <v>69.27102300999999</v>
      </c>
      <c r="E187" s="11" t="n">
        <v>18.01478721</v>
      </c>
      <c r="F187" s="12" t="n">
        <v>0.02941798722</v>
      </c>
      <c r="G187" s="11" t="n">
        <v>293.7942375</v>
      </c>
      <c r="H187" s="13">
        <f>F187*1000</f>
        <v/>
      </c>
      <c r="I187" s="14">
        <f>G187-273.15</f>
        <v/>
      </c>
      <c r="K187" s="15" t="n">
        <v>2001</v>
      </c>
      <c r="L187" s="15" t="n">
        <v>7</v>
      </c>
      <c r="M187" s="15" t="n">
        <v>3</v>
      </c>
      <c r="N187" s="16" t="n">
        <v>0.0001113993364</v>
      </c>
      <c r="O187" s="11" t="n">
        <v>290.9754169</v>
      </c>
      <c r="P187" s="13">
        <f>N187*86400</f>
        <v/>
      </c>
      <c r="Q187" s="14">
        <f>O187-273.15</f>
        <v/>
      </c>
    </row>
    <row r="188">
      <c r="A188" s="9" t="n">
        <v>37075</v>
      </c>
      <c r="B188" s="7">
        <f>YEAR(A188)</f>
        <v/>
      </c>
      <c r="C188" s="7">
        <f>MONTH(A188)</f>
        <v/>
      </c>
      <c r="D188" s="10" t="n">
        <v>53.25787743</v>
      </c>
      <c r="E188" s="11" t="n">
        <v>18.72903445</v>
      </c>
      <c r="F188" s="12" t="n">
        <v>0.03339711883</v>
      </c>
      <c r="G188" s="11" t="n">
        <v>294.664735</v>
      </c>
      <c r="H188" s="13">
        <f>F188*1000</f>
        <v/>
      </c>
      <c r="I188" s="14">
        <f>G188-273.15</f>
        <v/>
      </c>
      <c r="K188" s="15" t="n">
        <v>2001</v>
      </c>
      <c r="L188" s="15" t="n">
        <v>7</v>
      </c>
      <c r="M188" s="15" t="n">
        <v>4</v>
      </c>
      <c r="N188" s="16" t="n">
        <v>0.0004018993241</v>
      </c>
      <c r="O188" s="11" t="n">
        <v>291.3447268</v>
      </c>
      <c r="P188" s="13">
        <f>N188*86400</f>
        <v/>
      </c>
      <c r="Q188" s="14">
        <f>O188-273.15</f>
        <v/>
      </c>
    </row>
    <row r="189">
      <c r="A189" s="9" t="n">
        <v>37076</v>
      </c>
      <c r="B189" s="7">
        <f>YEAR(A189)</f>
        <v/>
      </c>
      <c r="C189" s="7">
        <f>MONTH(A189)</f>
        <v/>
      </c>
      <c r="D189" s="10" t="n">
        <v>45.63807075</v>
      </c>
      <c r="E189" s="11" t="n">
        <v>14.56668013</v>
      </c>
      <c r="F189" s="12" t="n">
        <v>0.01211976007</v>
      </c>
      <c r="G189" s="11" t="n">
        <v>290.7874691</v>
      </c>
      <c r="H189" s="13">
        <f>F189*1000</f>
        <v/>
      </c>
      <c r="I189" s="14">
        <f>G189-273.15</f>
        <v/>
      </c>
      <c r="K189" s="15" t="n">
        <v>2001</v>
      </c>
      <c r="L189" s="15" t="n">
        <v>7</v>
      </c>
      <c r="M189" s="15" t="n">
        <v>5</v>
      </c>
      <c r="N189" s="16" t="n">
        <v>0.0005318735626</v>
      </c>
      <c r="O189" s="11" t="n">
        <v>292.6303333</v>
      </c>
      <c r="P189" s="13">
        <f>N189*86400</f>
        <v/>
      </c>
      <c r="Q189" s="14">
        <f>O189-273.15</f>
        <v/>
      </c>
    </row>
    <row r="190">
      <c r="A190" s="9" t="n">
        <v>37077</v>
      </c>
      <c r="B190" s="7">
        <f>YEAR(A190)</f>
        <v/>
      </c>
      <c r="C190" s="7">
        <f>MONTH(A190)</f>
        <v/>
      </c>
      <c r="D190" s="10" t="n">
        <v>6.373990073</v>
      </c>
      <c r="E190" s="11" t="n">
        <v>16.72937868</v>
      </c>
      <c r="F190" s="12" t="n">
        <v>0.007438413926</v>
      </c>
      <c r="G190" s="11" t="n">
        <v>293.3639308</v>
      </c>
      <c r="H190" s="13">
        <f>F190*1000</f>
        <v/>
      </c>
      <c r="I190" s="14">
        <f>G190-273.15</f>
        <v/>
      </c>
      <c r="K190" s="15" t="n">
        <v>2001</v>
      </c>
      <c r="L190" s="15" t="n">
        <v>7</v>
      </c>
      <c r="M190" s="15" t="n">
        <v>6</v>
      </c>
      <c r="N190" s="16" t="n">
        <v>0.0004969815841</v>
      </c>
      <c r="O190" s="11" t="n">
        <v>291.5519356</v>
      </c>
      <c r="P190" s="13">
        <f>N190*86400</f>
        <v/>
      </c>
      <c r="Q190" s="14">
        <f>O190-273.15</f>
        <v/>
      </c>
    </row>
    <row r="191">
      <c r="A191" s="9" t="n">
        <v>37078</v>
      </c>
      <c r="B191" s="7">
        <f>YEAR(A191)</f>
        <v/>
      </c>
      <c r="C191" s="7">
        <f>MONTH(A191)</f>
        <v/>
      </c>
      <c r="D191" s="10" t="n">
        <v>4.630383968</v>
      </c>
      <c r="E191" s="11" t="n">
        <v>17.39052903</v>
      </c>
      <c r="F191" s="12" t="n">
        <v>0.007241433059</v>
      </c>
      <c r="G191" s="11" t="n">
        <v>293.6765724</v>
      </c>
      <c r="H191" s="13">
        <f>F191*1000</f>
        <v/>
      </c>
      <c r="I191" s="14">
        <f>G191-273.15</f>
        <v/>
      </c>
      <c r="K191" s="15" t="n">
        <v>2001</v>
      </c>
      <c r="L191" s="15" t="n">
        <v>7</v>
      </c>
      <c r="M191" s="15" t="n">
        <v>7</v>
      </c>
      <c r="N191" s="16" t="n">
        <v>4.810823793e-06</v>
      </c>
      <c r="O191" s="11" t="n">
        <v>289.3225114</v>
      </c>
      <c r="P191" s="13">
        <f>N191*86400</f>
        <v/>
      </c>
      <c r="Q191" s="14">
        <f>O191-273.15</f>
        <v/>
      </c>
    </row>
    <row r="192">
      <c r="A192" s="9" t="n">
        <v>37079</v>
      </c>
      <c r="B192" s="7">
        <f>YEAR(A192)</f>
        <v/>
      </c>
      <c r="C192" s="7">
        <f>MONTH(A192)</f>
        <v/>
      </c>
      <c r="D192" s="10" t="n">
        <v>13.83725008</v>
      </c>
      <c r="E192" s="11" t="n">
        <v>18.60769244</v>
      </c>
      <c r="F192" s="12" t="n">
        <v>0.01800909212</v>
      </c>
      <c r="G192" s="11" t="n">
        <v>293.5696739</v>
      </c>
      <c r="H192" s="13">
        <f>F192*1000</f>
        <v/>
      </c>
      <c r="I192" s="14">
        <f>G192-273.15</f>
        <v/>
      </c>
      <c r="K192" s="15" t="n">
        <v>2001</v>
      </c>
      <c r="L192" s="15" t="n">
        <v>7</v>
      </c>
      <c r="M192" s="15" t="n">
        <v>8</v>
      </c>
      <c r="N192" s="16" t="n">
        <v>2.949272582e-05</v>
      </c>
      <c r="O192" s="11" t="n">
        <v>289.1763505</v>
      </c>
      <c r="P192" s="13">
        <f>N192*86400</f>
        <v/>
      </c>
      <c r="Q192" s="14">
        <f>O192-273.15</f>
        <v/>
      </c>
    </row>
    <row r="193">
      <c r="A193" s="9" t="n">
        <v>37080</v>
      </c>
      <c r="B193" s="7">
        <f>YEAR(A193)</f>
        <v/>
      </c>
      <c r="C193" s="7">
        <f>MONTH(A193)</f>
        <v/>
      </c>
      <c r="D193" s="10" t="n">
        <v>22.80655239</v>
      </c>
      <c r="E193" s="11" t="n">
        <v>17.88420489</v>
      </c>
      <c r="F193" s="12" t="n">
        <v>0.01513534869</v>
      </c>
      <c r="G193" s="11" t="n">
        <v>292.9953264</v>
      </c>
      <c r="H193" s="13">
        <f>F193*1000</f>
        <v/>
      </c>
      <c r="I193" s="14">
        <f>G193-273.15</f>
        <v/>
      </c>
      <c r="K193" s="15" t="n">
        <v>2001</v>
      </c>
      <c r="L193" s="15" t="n">
        <v>7</v>
      </c>
      <c r="M193" s="15" t="n">
        <v>9</v>
      </c>
      <c r="N193" s="16" t="n">
        <v>7.646788723e-05</v>
      </c>
      <c r="O193" s="11" t="n">
        <v>290.8286274</v>
      </c>
      <c r="P193" s="13">
        <f>N193*86400</f>
        <v/>
      </c>
      <c r="Q193" s="14">
        <f>O193-273.15</f>
        <v/>
      </c>
    </row>
    <row r="194">
      <c r="A194" s="9" t="n">
        <v>37081</v>
      </c>
      <c r="B194" s="7">
        <f>YEAR(A194)</f>
        <v/>
      </c>
      <c r="C194" s="7">
        <f>MONTH(A194)</f>
        <v/>
      </c>
      <c r="D194" s="10" t="n">
        <v>23.5068458</v>
      </c>
      <c r="E194" s="11" t="n">
        <v>18.25745256</v>
      </c>
      <c r="F194" s="12" t="n">
        <v>0.01344552476</v>
      </c>
      <c r="G194" s="11" t="n">
        <v>293.3792233</v>
      </c>
      <c r="H194" s="13">
        <f>F194*1000</f>
        <v/>
      </c>
      <c r="I194" s="14">
        <f>G194-273.15</f>
        <v/>
      </c>
      <c r="K194" s="15" t="n">
        <v>2001</v>
      </c>
      <c r="L194" s="15" t="n">
        <v>7</v>
      </c>
      <c r="M194" s="15" t="n">
        <v>10</v>
      </c>
      <c r="N194" s="16" t="n">
        <v>4.598653549e-05</v>
      </c>
      <c r="O194" s="11" t="n">
        <v>289.5762837</v>
      </c>
      <c r="P194" s="13">
        <f>N194*86400</f>
        <v/>
      </c>
      <c r="Q194" s="14">
        <f>O194-273.15</f>
        <v/>
      </c>
    </row>
    <row r="195">
      <c r="A195" s="9" t="n">
        <v>37082</v>
      </c>
      <c r="B195" s="7">
        <f>YEAR(A195)</f>
        <v/>
      </c>
      <c r="C195" s="7">
        <f>MONTH(A195)</f>
        <v/>
      </c>
      <c r="D195" s="10" t="n">
        <v>1.72051159</v>
      </c>
      <c r="E195" s="11" t="n">
        <v>15.86089897</v>
      </c>
      <c r="F195" s="12" t="n">
        <v>0.006942575473</v>
      </c>
      <c r="G195" s="11" t="n">
        <v>291.4684877</v>
      </c>
      <c r="H195" s="13">
        <f>F195*1000</f>
        <v/>
      </c>
      <c r="I195" s="14">
        <f>G195-273.15</f>
        <v/>
      </c>
      <c r="K195" s="15" t="n">
        <v>2001</v>
      </c>
      <c r="L195" s="15" t="n">
        <v>7</v>
      </c>
      <c r="M195" s="15" t="n">
        <v>11</v>
      </c>
      <c r="N195" s="16" t="n">
        <v>3.302684726e-05</v>
      </c>
      <c r="O195" s="11" t="n">
        <v>289.028242</v>
      </c>
      <c r="P195" s="13">
        <f>N195*86400</f>
        <v/>
      </c>
      <c r="Q195" s="14">
        <f>O195-273.15</f>
        <v/>
      </c>
    </row>
    <row r="196">
      <c r="A196" s="9" t="n">
        <v>37083</v>
      </c>
      <c r="B196" s="7">
        <f>YEAR(A196)</f>
        <v/>
      </c>
      <c r="C196" s="7">
        <f>MONTH(A196)</f>
        <v/>
      </c>
      <c r="D196" s="10" t="n">
        <v>0</v>
      </c>
      <c r="E196" s="11" t="n">
        <v>17.10266854</v>
      </c>
      <c r="F196" s="12" t="n">
        <v>0.001556299275</v>
      </c>
      <c r="G196" s="11" t="n">
        <v>292.3710797</v>
      </c>
      <c r="H196" s="13">
        <f>F196*1000</f>
        <v/>
      </c>
      <c r="I196" s="14">
        <f>G196-273.15</f>
        <v/>
      </c>
      <c r="K196" s="15" t="n">
        <v>2001</v>
      </c>
      <c r="L196" s="15" t="n">
        <v>7</v>
      </c>
      <c r="M196" s="15" t="n">
        <v>12</v>
      </c>
      <c r="N196" s="16" t="n">
        <v>6.899689544e-06</v>
      </c>
      <c r="O196" s="11" t="n">
        <v>289.7148275</v>
      </c>
      <c r="P196" s="13">
        <f>N196*86400</f>
        <v/>
      </c>
      <c r="Q196" s="14">
        <f>O196-273.15</f>
        <v/>
      </c>
    </row>
    <row r="197">
      <c r="A197" s="9" t="n">
        <v>37084</v>
      </c>
      <c r="B197" s="7">
        <f>YEAR(A197)</f>
        <v/>
      </c>
      <c r="C197" s="7">
        <f>MONTH(A197)</f>
        <v/>
      </c>
      <c r="D197" s="10" t="n">
        <v>0</v>
      </c>
      <c r="E197" s="11" t="n">
        <v>17.91142596</v>
      </c>
      <c r="F197" s="12" t="n">
        <v>0.0007745239112000001</v>
      </c>
      <c r="G197" s="11" t="n">
        <v>292.8384537</v>
      </c>
      <c r="H197" s="13">
        <f>F197*1000</f>
        <v/>
      </c>
      <c r="I197" s="14">
        <f>G197-273.15</f>
        <v/>
      </c>
      <c r="K197" s="15" t="n">
        <v>2001</v>
      </c>
      <c r="L197" s="15" t="n">
        <v>7</v>
      </c>
      <c r="M197" s="15" t="n">
        <v>13</v>
      </c>
      <c r="N197" s="16" t="n">
        <v>6.097189944e-08</v>
      </c>
      <c r="O197" s="11" t="n">
        <v>290.9534545</v>
      </c>
      <c r="P197" s="13">
        <f>N197*86400</f>
        <v/>
      </c>
      <c r="Q197" s="14">
        <f>O197-273.15</f>
        <v/>
      </c>
    </row>
    <row r="198">
      <c r="A198" s="9" t="n">
        <v>37085</v>
      </c>
      <c r="B198" s="7">
        <f>YEAR(A198)</f>
        <v/>
      </c>
      <c r="C198" s="7">
        <f>MONTH(A198)</f>
        <v/>
      </c>
      <c r="D198" s="10" t="n">
        <v>29.27149449</v>
      </c>
      <c r="E198" s="11" t="n">
        <v>20.01710921</v>
      </c>
      <c r="F198" s="12" t="n">
        <v>0.006883219268</v>
      </c>
      <c r="G198" s="11" t="n">
        <v>294.7355181</v>
      </c>
      <c r="H198" s="13">
        <f>F198*1000</f>
        <v/>
      </c>
      <c r="I198" s="14">
        <f>G198-273.15</f>
        <v/>
      </c>
      <c r="K198" s="15" t="n">
        <v>2001</v>
      </c>
      <c r="L198" s="15" t="n">
        <v>7</v>
      </c>
      <c r="M198" s="15" t="n">
        <v>14</v>
      </c>
      <c r="N198" s="16" t="n">
        <v>0.0002625149723</v>
      </c>
      <c r="O198" s="11" t="n">
        <v>291.5838315</v>
      </c>
      <c r="P198" s="13">
        <f>N198*86400</f>
        <v/>
      </c>
      <c r="Q198" s="14">
        <f>O198-273.15</f>
        <v/>
      </c>
    </row>
    <row r="199">
      <c r="A199" s="9" t="n">
        <v>37086</v>
      </c>
      <c r="B199" s="7">
        <f>YEAR(A199)</f>
        <v/>
      </c>
      <c r="C199" s="7">
        <f>MONTH(A199)</f>
        <v/>
      </c>
      <c r="D199" s="10" t="n">
        <v>12.04414994</v>
      </c>
      <c r="E199" s="11" t="n">
        <v>17.71477278</v>
      </c>
      <c r="F199" s="12" t="n">
        <v>0.01327719315</v>
      </c>
      <c r="G199" s="11" t="n">
        <v>293.0565402</v>
      </c>
      <c r="H199" s="13">
        <f>F199*1000</f>
        <v/>
      </c>
      <c r="I199" s="14">
        <f>G199-273.15</f>
        <v/>
      </c>
      <c r="K199" s="15" t="n">
        <v>2001</v>
      </c>
      <c r="L199" s="15" t="n">
        <v>7</v>
      </c>
      <c r="M199" s="15" t="n">
        <v>15</v>
      </c>
      <c r="N199" s="16" t="n">
        <v>0.0002275402961</v>
      </c>
      <c r="O199" s="11" t="n">
        <v>289.4729023</v>
      </c>
      <c r="P199" s="13">
        <f>N199*86400</f>
        <v/>
      </c>
      <c r="Q199" s="14">
        <f>O199-273.15</f>
        <v/>
      </c>
    </row>
    <row r="200">
      <c r="A200" s="9" t="n">
        <v>37087</v>
      </c>
      <c r="B200" s="7">
        <f>YEAR(A200)</f>
        <v/>
      </c>
      <c r="C200" s="7">
        <f>MONTH(A200)</f>
        <v/>
      </c>
      <c r="D200" s="10" t="n">
        <v>24.28478483</v>
      </c>
      <c r="E200" s="11" t="n">
        <v>18.78947321</v>
      </c>
      <c r="F200" s="12" t="n">
        <v>0.01146187668</v>
      </c>
      <c r="G200" s="11" t="n">
        <v>293.545881</v>
      </c>
      <c r="H200" s="13">
        <f>F200*1000</f>
        <v/>
      </c>
      <c r="I200" s="14">
        <f>G200-273.15</f>
        <v/>
      </c>
      <c r="K200" s="15" t="n">
        <v>2001</v>
      </c>
      <c r="L200" s="15" t="n">
        <v>7</v>
      </c>
      <c r="M200" s="15" t="n">
        <v>16</v>
      </c>
      <c r="N200" s="16" t="n">
        <v>3.357308122e-05</v>
      </c>
      <c r="O200" s="11" t="n">
        <v>289.2372422</v>
      </c>
      <c r="P200" s="13">
        <f>N200*86400</f>
        <v/>
      </c>
      <c r="Q200" s="14">
        <f>O200-273.15</f>
        <v/>
      </c>
    </row>
    <row r="201">
      <c r="A201" s="9" t="n">
        <v>37088</v>
      </c>
      <c r="B201" s="7">
        <f>YEAR(A201)</f>
        <v/>
      </c>
      <c r="C201" s="7">
        <f>MONTH(A201)</f>
        <v/>
      </c>
      <c r="D201" s="10" t="n">
        <v>11.71559203</v>
      </c>
      <c r="E201" s="11" t="n">
        <v>16.77617096</v>
      </c>
      <c r="F201" s="12" t="n">
        <v>0.007143435682</v>
      </c>
      <c r="G201" s="11" t="n">
        <v>292.2676317</v>
      </c>
      <c r="H201" s="13">
        <f>F201*1000</f>
        <v/>
      </c>
      <c r="I201" s="14">
        <f>G201-273.15</f>
        <v/>
      </c>
      <c r="K201" s="15" t="n">
        <v>2001</v>
      </c>
      <c r="L201" s="15" t="n">
        <v>7</v>
      </c>
      <c r="M201" s="15" t="n">
        <v>17</v>
      </c>
      <c r="N201" s="16" t="n">
        <v>0.0001210157622</v>
      </c>
      <c r="O201" s="11" t="n">
        <v>291.097212</v>
      </c>
      <c r="P201" s="13">
        <f>N201*86400</f>
        <v/>
      </c>
      <c r="Q201" s="14">
        <f>O201-273.15</f>
        <v/>
      </c>
    </row>
    <row r="202">
      <c r="A202" s="9" t="n">
        <v>37089</v>
      </c>
      <c r="B202" s="7">
        <f>YEAR(A202)</f>
        <v/>
      </c>
      <c r="C202" s="7">
        <f>MONTH(A202)</f>
        <v/>
      </c>
      <c r="D202" s="10" t="n">
        <v>6.700693057</v>
      </c>
      <c r="E202" s="11" t="n">
        <v>15.9501947</v>
      </c>
      <c r="F202" s="12" t="n">
        <v>0.008885958298000001</v>
      </c>
      <c r="G202" s="11" t="n">
        <v>291.5642597</v>
      </c>
      <c r="H202" s="13">
        <f>F202*1000</f>
        <v/>
      </c>
      <c r="I202" s="14">
        <f>G202-273.15</f>
        <v/>
      </c>
      <c r="K202" s="15" t="n">
        <v>2001</v>
      </c>
      <c r="L202" s="15" t="n">
        <v>7</v>
      </c>
      <c r="M202" s="15" t="n">
        <v>18</v>
      </c>
      <c r="N202" s="16" t="n">
        <v>0.0001666530011</v>
      </c>
      <c r="O202" s="11" t="n">
        <v>290.639371</v>
      </c>
      <c r="P202" s="13">
        <f>N202*86400</f>
        <v/>
      </c>
      <c r="Q202" s="14">
        <f>O202-273.15</f>
        <v/>
      </c>
    </row>
    <row r="203">
      <c r="A203" s="9" t="n">
        <v>37090</v>
      </c>
      <c r="B203" s="7">
        <f>YEAR(A203)</f>
        <v/>
      </c>
      <c r="C203" s="7">
        <f>MONTH(A203)</f>
        <v/>
      </c>
      <c r="D203" s="10" t="n">
        <v>4.456414585</v>
      </c>
      <c r="E203" s="11" t="n">
        <v>15.60280904</v>
      </c>
      <c r="F203" s="12" t="n">
        <v>0.003524728152</v>
      </c>
      <c r="G203" s="11" t="n">
        <v>291.7839161</v>
      </c>
      <c r="H203" s="13">
        <f>F203*1000</f>
        <v/>
      </c>
      <c r="I203" s="14">
        <f>G203-273.15</f>
        <v/>
      </c>
      <c r="K203" s="15" t="n">
        <v>2001</v>
      </c>
      <c r="L203" s="15" t="n">
        <v>7</v>
      </c>
      <c r="M203" s="15" t="n">
        <v>19</v>
      </c>
      <c r="N203" s="16" t="n">
        <v>0.0002450619068</v>
      </c>
      <c r="O203" s="11" t="n">
        <v>289.1702916</v>
      </c>
      <c r="P203" s="13">
        <f>N203*86400</f>
        <v/>
      </c>
      <c r="Q203" s="14">
        <f>O203-273.15</f>
        <v/>
      </c>
    </row>
    <row r="204">
      <c r="A204" s="9" t="n">
        <v>37091</v>
      </c>
      <c r="B204" s="7">
        <f>YEAR(A204)</f>
        <v/>
      </c>
      <c r="C204" s="7">
        <f>MONTH(A204)</f>
        <v/>
      </c>
      <c r="D204" s="10" t="n">
        <v>2.510144201</v>
      </c>
      <c r="E204" s="11" t="n">
        <v>15.54116948</v>
      </c>
      <c r="F204" s="12" t="n">
        <v>0.001967152596</v>
      </c>
      <c r="G204" s="11" t="n">
        <v>291.351988</v>
      </c>
      <c r="H204" s="13">
        <f>F204*1000</f>
        <v/>
      </c>
      <c r="I204" s="14">
        <f>G204-273.15</f>
        <v/>
      </c>
      <c r="K204" s="15" t="n">
        <v>2001</v>
      </c>
      <c r="L204" s="15" t="n">
        <v>7</v>
      </c>
      <c r="M204" s="15" t="n">
        <v>20</v>
      </c>
      <c r="N204" s="16" t="n">
        <v>7.691678723e-05</v>
      </c>
      <c r="O204" s="11" t="n">
        <v>290.1143518</v>
      </c>
      <c r="P204" s="13">
        <f>N204*86400</f>
        <v/>
      </c>
      <c r="Q204" s="14">
        <f>O204-273.15</f>
        <v/>
      </c>
    </row>
    <row r="205">
      <c r="A205" s="9" t="n">
        <v>37092</v>
      </c>
      <c r="B205" s="7">
        <f>YEAR(A205)</f>
        <v/>
      </c>
      <c r="C205" s="7">
        <f>MONTH(A205)</f>
        <v/>
      </c>
      <c r="D205" s="10" t="n">
        <v>5.714828492</v>
      </c>
      <c r="E205" s="11" t="n">
        <v>17.37199828</v>
      </c>
      <c r="F205" s="12" t="n">
        <v>0.004038522821</v>
      </c>
      <c r="G205" s="11" t="n">
        <v>291.9859612</v>
      </c>
      <c r="H205" s="13">
        <f>F205*1000</f>
        <v/>
      </c>
      <c r="I205" s="14">
        <f>G205-273.15</f>
        <v/>
      </c>
      <c r="K205" s="15" t="n">
        <v>2001</v>
      </c>
      <c r="L205" s="15" t="n">
        <v>7</v>
      </c>
      <c r="M205" s="15" t="n">
        <v>21</v>
      </c>
      <c r="N205" s="16" t="n">
        <v>5.235505222e-05</v>
      </c>
      <c r="O205" s="11" t="n">
        <v>290.1090826</v>
      </c>
      <c r="P205" s="13">
        <f>N205*86400</f>
        <v/>
      </c>
      <c r="Q205" s="14">
        <f>O205-273.15</f>
        <v/>
      </c>
    </row>
    <row r="206">
      <c r="A206" s="9" t="n">
        <v>37093</v>
      </c>
      <c r="B206" s="7">
        <f>YEAR(A206)</f>
        <v/>
      </c>
      <c r="C206" s="7">
        <f>MONTH(A206)</f>
        <v/>
      </c>
      <c r="D206" s="10" t="n">
        <v>19.36566179</v>
      </c>
      <c r="E206" s="11" t="n">
        <v>15.50052932</v>
      </c>
      <c r="F206" s="12" t="n">
        <v>0.01148926553</v>
      </c>
      <c r="G206" s="11" t="n">
        <v>290.9663026</v>
      </c>
      <c r="H206" s="13">
        <f>F206*1000</f>
        <v/>
      </c>
      <c r="I206" s="14">
        <f>G206-273.15</f>
        <v/>
      </c>
      <c r="K206" s="15" t="n">
        <v>2001</v>
      </c>
      <c r="L206" s="15" t="n">
        <v>7</v>
      </c>
      <c r="M206" s="15" t="n">
        <v>22</v>
      </c>
      <c r="N206" s="16" t="n">
        <v>1.036214356e-05</v>
      </c>
      <c r="O206" s="11" t="n">
        <v>291.4521558</v>
      </c>
      <c r="P206" s="13">
        <f>N206*86400</f>
        <v/>
      </c>
      <c r="Q206" s="14">
        <f>O206-273.15</f>
        <v/>
      </c>
    </row>
    <row r="207">
      <c r="A207" s="9" t="n">
        <v>37094</v>
      </c>
      <c r="B207" s="7">
        <f>YEAR(A207)</f>
        <v/>
      </c>
      <c r="C207" s="7">
        <f>MONTH(A207)</f>
        <v/>
      </c>
      <c r="D207" s="10" t="n">
        <v>0.03045583328</v>
      </c>
      <c r="E207" s="11" t="n">
        <v>15.90471891</v>
      </c>
      <c r="F207" s="12" t="n">
        <v>0</v>
      </c>
      <c r="G207" s="11" t="n">
        <v>291.1163055</v>
      </c>
      <c r="H207" s="13">
        <f>F207*1000</f>
        <v/>
      </c>
      <c r="I207" s="14">
        <f>G207-273.15</f>
        <v/>
      </c>
      <c r="K207" s="15" t="n">
        <v>2001</v>
      </c>
      <c r="L207" s="15" t="n">
        <v>7</v>
      </c>
      <c r="M207" s="15" t="n">
        <v>23</v>
      </c>
      <c r="N207" s="16" t="n">
        <v>0.0003170429508</v>
      </c>
      <c r="O207" s="11" t="n">
        <v>291.0349795</v>
      </c>
      <c r="P207" s="13">
        <f>N207*86400</f>
        <v/>
      </c>
      <c r="Q207" s="14">
        <f>O207-273.15</f>
        <v/>
      </c>
    </row>
    <row r="208">
      <c r="A208" s="9" t="n">
        <v>37095</v>
      </c>
      <c r="B208" s="7">
        <f>YEAR(A208)</f>
        <v/>
      </c>
      <c r="C208" s="7">
        <f>MONTH(A208)</f>
        <v/>
      </c>
      <c r="D208" s="10" t="n">
        <v>3.39855754</v>
      </c>
      <c r="E208" s="11" t="n">
        <v>17.05706668</v>
      </c>
      <c r="F208" s="12" t="n">
        <v>8.570142006000001e-05</v>
      </c>
      <c r="G208" s="11" t="n">
        <v>292.1823153</v>
      </c>
      <c r="H208" s="13">
        <f>F208*1000</f>
        <v/>
      </c>
      <c r="I208" s="14">
        <f>G208-273.15</f>
        <v/>
      </c>
      <c r="K208" s="15" t="n">
        <v>2001</v>
      </c>
      <c r="L208" s="15" t="n">
        <v>7</v>
      </c>
      <c r="M208" s="15" t="n">
        <v>24</v>
      </c>
      <c r="N208" s="16" t="n">
        <v>5.23754227e-05</v>
      </c>
      <c r="O208" s="11" t="n">
        <v>288.9820947</v>
      </c>
      <c r="P208" s="13">
        <f>N208*86400</f>
        <v/>
      </c>
      <c r="Q208" s="14">
        <f>O208-273.15</f>
        <v/>
      </c>
    </row>
    <row r="209">
      <c r="A209" s="9" t="n">
        <v>37096</v>
      </c>
      <c r="B209" s="7">
        <f>YEAR(A209)</f>
        <v/>
      </c>
      <c r="C209" s="7">
        <f>MONTH(A209)</f>
        <v/>
      </c>
      <c r="D209" s="10" t="n">
        <v>2.677858642</v>
      </c>
      <c r="E209" s="11" t="n">
        <v>16.14700898</v>
      </c>
      <c r="F209" s="12" t="n">
        <v>0.0023238745</v>
      </c>
      <c r="G209" s="11" t="n">
        <v>290.6454984</v>
      </c>
      <c r="H209" s="13">
        <f>F209*1000</f>
        <v/>
      </c>
      <c r="I209" s="14">
        <f>G209-273.15</f>
        <v/>
      </c>
      <c r="K209" s="15" t="n">
        <v>2001</v>
      </c>
      <c r="L209" s="15" t="n">
        <v>7</v>
      </c>
      <c r="M209" s="15" t="n">
        <v>25</v>
      </c>
      <c r="N209" s="16" t="n">
        <v>5.404144481e-05</v>
      </c>
      <c r="O209" s="11" t="n">
        <v>290.3813566</v>
      </c>
      <c r="P209" s="13">
        <f>N209*86400</f>
        <v/>
      </c>
      <c r="Q209" s="14">
        <f>O209-273.15</f>
        <v/>
      </c>
    </row>
    <row r="210">
      <c r="A210" s="9" t="n">
        <v>37097</v>
      </c>
      <c r="B210" s="7">
        <f>YEAR(A210)</f>
        <v/>
      </c>
      <c r="C210" s="7">
        <f>MONTH(A210)</f>
        <v/>
      </c>
      <c r="D210" s="10" t="n">
        <v>1.451108934</v>
      </c>
      <c r="E210" s="11" t="n">
        <v>16.32634554</v>
      </c>
      <c r="F210" s="12" t="n">
        <v>0.002102662661</v>
      </c>
      <c r="G210" s="11" t="n">
        <v>290.3421023</v>
      </c>
      <c r="H210" s="13">
        <f>F210*1000</f>
        <v/>
      </c>
      <c r="I210" s="14">
        <f>G210-273.15</f>
        <v/>
      </c>
      <c r="K210" s="15" t="n">
        <v>2001</v>
      </c>
      <c r="L210" s="15" t="n">
        <v>7</v>
      </c>
      <c r="M210" s="15" t="n">
        <v>26</v>
      </c>
      <c r="N210" s="16" t="n">
        <v>8.106545505e-05</v>
      </c>
      <c r="O210" s="11" t="n">
        <v>291.6156273</v>
      </c>
      <c r="P210" s="13">
        <f>N210*86400</f>
        <v/>
      </c>
      <c r="Q210" s="14">
        <f>O210-273.15</f>
        <v/>
      </c>
    </row>
    <row r="211">
      <c r="A211" s="9" t="n">
        <v>37098</v>
      </c>
      <c r="B211" s="7">
        <f>YEAR(A211)</f>
        <v/>
      </c>
      <c r="C211" s="7">
        <f>MONTH(A211)</f>
        <v/>
      </c>
      <c r="D211" s="10" t="n">
        <v>12.38825206</v>
      </c>
      <c r="E211" s="11" t="n">
        <v>16.84058463</v>
      </c>
      <c r="F211" s="12" t="n">
        <v>0.009241218411</v>
      </c>
      <c r="G211" s="11" t="n">
        <v>290.5457126</v>
      </c>
      <c r="H211" s="13">
        <f>F211*1000</f>
        <v/>
      </c>
      <c r="I211" s="14">
        <f>G211-273.15</f>
        <v/>
      </c>
      <c r="K211" s="15" t="n">
        <v>2001</v>
      </c>
      <c r="L211" s="15" t="n">
        <v>7</v>
      </c>
      <c r="M211" s="15" t="n">
        <v>27</v>
      </c>
      <c r="N211" s="16" t="n">
        <v>0.0001569789491</v>
      </c>
      <c r="O211" s="11" t="n">
        <v>292.3933814</v>
      </c>
      <c r="P211" s="13">
        <f>N211*86400</f>
        <v/>
      </c>
      <c r="Q211" s="14">
        <f>O211-273.15</f>
        <v/>
      </c>
    </row>
    <row r="212">
      <c r="A212" s="9" t="n">
        <v>37099</v>
      </c>
      <c r="B212" s="7">
        <f>YEAR(A212)</f>
        <v/>
      </c>
      <c r="C212" s="7">
        <f>MONTH(A212)</f>
        <v/>
      </c>
      <c r="D212" s="10" t="n">
        <v>45.40990418</v>
      </c>
      <c r="E212" s="11" t="n">
        <v>16.26403441</v>
      </c>
      <c r="F212" s="12" t="n">
        <v>0.05676819812</v>
      </c>
      <c r="G212" s="11" t="n">
        <v>290.4207092</v>
      </c>
      <c r="H212" s="13">
        <f>F212*1000</f>
        <v/>
      </c>
      <c r="I212" s="14">
        <f>G212-273.15</f>
        <v/>
      </c>
      <c r="K212" s="15" t="n">
        <v>2001</v>
      </c>
      <c r="L212" s="15" t="n">
        <v>7</v>
      </c>
      <c r="M212" s="15" t="n">
        <v>28</v>
      </c>
      <c r="N212" s="16" t="n">
        <v>3.051938603e-05</v>
      </c>
      <c r="O212" s="11" t="n">
        <v>289.4418531</v>
      </c>
      <c r="P212" s="13">
        <f>N212*86400</f>
        <v/>
      </c>
      <c r="Q212" s="14">
        <f>O212-273.15</f>
        <v/>
      </c>
    </row>
    <row r="213">
      <c r="A213" s="9" t="n">
        <v>37100</v>
      </c>
      <c r="B213" s="7">
        <f>YEAR(A213)</f>
        <v/>
      </c>
      <c r="C213" s="7">
        <f>MONTH(A213)</f>
        <v/>
      </c>
      <c r="D213" s="10" t="n">
        <v>1.043393403</v>
      </c>
      <c r="E213" s="11" t="n">
        <v>16.21283821</v>
      </c>
      <c r="F213" s="12" t="n">
        <v>0.004722092313</v>
      </c>
      <c r="G213" s="11" t="n">
        <v>289.5944375</v>
      </c>
      <c r="H213" s="13">
        <f>F213*1000</f>
        <v/>
      </c>
      <c r="I213" s="14">
        <f>G213-273.15</f>
        <v/>
      </c>
      <c r="K213" s="15" t="n">
        <v>2001</v>
      </c>
      <c r="L213" s="15" t="n">
        <v>7</v>
      </c>
      <c r="M213" s="15" t="n">
        <v>29</v>
      </c>
      <c r="N213" s="16" t="n">
        <v>4.426567861e-05</v>
      </c>
      <c r="O213" s="11" t="n">
        <v>290.3810867</v>
      </c>
      <c r="P213" s="13">
        <f>N213*86400</f>
        <v/>
      </c>
      <c r="Q213" s="14">
        <f>O213-273.15</f>
        <v/>
      </c>
    </row>
    <row r="214">
      <c r="A214" s="9" t="n">
        <v>37101</v>
      </c>
      <c r="B214" s="7">
        <f>YEAR(A214)</f>
        <v/>
      </c>
      <c r="C214" s="7">
        <f>MONTH(A214)</f>
        <v/>
      </c>
      <c r="D214" s="10" t="n">
        <v>5.104408103</v>
      </c>
      <c r="E214" s="11" t="n">
        <v>15.28678185</v>
      </c>
      <c r="F214" s="12" t="n">
        <v>0.007222026104</v>
      </c>
      <c r="G214" s="11" t="n">
        <v>288.8264931</v>
      </c>
      <c r="H214" s="13">
        <f>F214*1000</f>
        <v/>
      </c>
      <c r="I214" s="14">
        <f>G214-273.15</f>
        <v/>
      </c>
      <c r="K214" s="15" t="n">
        <v>2001</v>
      </c>
      <c r="L214" s="15" t="n">
        <v>7</v>
      </c>
      <c r="M214" s="15" t="n">
        <v>30</v>
      </c>
      <c r="N214" s="16" t="n">
        <v>8.814884694e-07</v>
      </c>
      <c r="O214" s="11" t="n">
        <v>289.5317616</v>
      </c>
      <c r="P214" s="13">
        <f>N214*86400</f>
        <v/>
      </c>
      <c r="Q214" s="14">
        <f>O214-273.15</f>
        <v/>
      </c>
    </row>
    <row r="215">
      <c r="A215" s="9" t="n">
        <v>37102</v>
      </c>
      <c r="B215" s="7">
        <f>YEAR(A215)</f>
        <v/>
      </c>
      <c r="C215" s="7">
        <f>MONTH(A215)</f>
        <v/>
      </c>
      <c r="D215" s="10" t="n">
        <v>23.82160827</v>
      </c>
      <c r="E215" s="11" t="n">
        <v>15.44810585</v>
      </c>
      <c r="F215" s="12" t="n">
        <v>0.014937981</v>
      </c>
      <c r="G215" s="11" t="n">
        <v>289.3171347</v>
      </c>
      <c r="H215" s="13">
        <f>F215*1000</f>
        <v/>
      </c>
      <c r="I215" s="14">
        <f>G215-273.15</f>
        <v/>
      </c>
      <c r="K215" s="15" t="n">
        <v>2001</v>
      </c>
      <c r="L215" s="15" t="n">
        <v>8</v>
      </c>
      <c r="M215" s="15" t="n">
        <v>1</v>
      </c>
      <c r="N215" s="16" t="n">
        <v>1.732726618e-05</v>
      </c>
      <c r="O215" s="11" t="n">
        <v>289.5363715</v>
      </c>
      <c r="P215" s="13">
        <f>N215*86400</f>
        <v/>
      </c>
      <c r="Q215" s="14">
        <f>O215-273.15</f>
        <v/>
      </c>
    </row>
    <row r="216">
      <c r="A216" s="9" t="n">
        <v>37103</v>
      </c>
      <c r="B216" s="7">
        <f>YEAR(A216)</f>
        <v/>
      </c>
      <c r="C216" s="7">
        <f>MONTH(A216)</f>
        <v/>
      </c>
      <c r="D216" s="10" t="n">
        <v>29.05669489</v>
      </c>
      <c r="E216" s="11" t="n">
        <v>16.71385124</v>
      </c>
      <c r="F216" s="12" t="n">
        <v>0.01620000142</v>
      </c>
      <c r="G216" s="11" t="n">
        <v>290.9422369</v>
      </c>
      <c r="H216" s="13">
        <f>F216*1000</f>
        <v/>
      </c>
      <c r="I216" s="14">
        <f>G216-273.15</f>
        <v/>
      </c>
      <c r="K216" s="15" t="n">
        <v>2001</v>
      </c>
      <c r="L216" s="15" t="n">
        <v>8</v>
      </c>
      <c r="M216" s="15" t="n">
        <v>2</v>
      </c>
      <c r="N216" s="16" t="n">
        <v>1.263383724e-06</v>
      </c>
      <c r="O216" s="11" t="n">
        <v>288.2356264</v>
      </c>
      <c r="P216" s="13">
        <f>N216*86400</f>
        <v/>
      </c>
      <c r="Q216" s="14">
        <f>O216-273.15</f>
        <v/>
      </c>
    </row>
    <row r="217">
      <c r="A217" s="9" t="n">
        <v>37104</v>
      </c>
      <c r="B217" s="7">
        <f>YEAR(A217)</f>
        <v/>
      </c>
      <c r="C217" s="7">
        <f>MONTH(A217)</f>
        <v/>
      </c>
      <c r="D217" s="10" t="n">
        <v>0</v>
      </c>
      <c r="E217" s="11" t="n">
        <v>16.54023637</v>
      </c>
      <c r="F217" s="12" t="n">
        <v>0.003781510121</v>
      </c>
      <c r="G217" s="11" t="n">
        <v>291.4590452</v>
      </c>
      <c r="H217" s="13">
        <f>F217*1000</f>
        <v/>
      </c>
      <c r="I217" s="14">
        <f>G217-273.15</f>
        <v/>
      </c>
      <c r="K217" s="15" t="n">
        <v>2001</v>
      </c>
      <c r="L217" s="15" t="n">
        <v>8</v>
      </c>
      <c r="M217" s="15" t="n">
        <v>3</v>
      </c>
      <c r="N217" s="16" t="n">
        <v>4.545065196e-06</v>
      </c>
      <c r="O217" s="11" t="n">
        <v>288.9529514</v>
      </c>
      <c r="P217" s="13">
        <f>N217*86400</f>
        <v/>
      </c>
      <c r="Q217" s="14">
        <f>O217-273.15</f>
        <v/>
      </c>
    </row>
    <row r="218">
      <c r="A218" s="9" t="n">
        <v>37105</v>
      </c>
      <c r="B218" s="7">
        <f>YEAR(A218)</f>
        <v/>
      </c>
      <c r="C218" s="7">
        <f>MONTH(A218)</f>
        <v/>
      </c>
      <c r="D218" s="10" t="n">
        <v>6.117991537</v>
      </c>
      <c r="E218" s="11" t="n">
        <v>15.70502622</v>
      </c>
      <c r="F218" s="12" t="n">
        <v>0.00942368247</v>
      </c>
      <c r="G218" s="11" t="n">
        <v>291.2338833</v>
      </c>
      <c r="H218" s="13">
        <f>F218*1000</f>
        <v/>
      </c>
      <c r="I218" s="14">
        <f>G218-273.15</f>
        <v/>
      </c>
      <c r="K218" s="15" t="n">
        <v>2001</v>
      </c>
      <c r="L218" s="15" t="n">
        <v>8</v>
      </c>
      <c r="M218" s="15" t="n">
        <v>4</v>
      </c>
      <c r="N218" s="16" t="n">
        <v>5.876562133e-07</v>
      </c>
      <c r="O218" s="11" t="n">
        <v>288.8414664</v>
      </c>
      <c r="P218" s="13">
        <f>N218*86400</f>
        <v/>
      </c>
      <c r="Q218" s="14">
        <f>O218-273.15</f>
        <v/>
      </c>
    </row>
    <row r="219">
      <c r="A219" s="9" t="n">
        <v>37106</v>
      </c>
      <c r="B219" s="7">
        <f>YEAR(A219)</f>
        <v/>
      </c>
      <c r="C219" s="7">
        <f>MONTH(A219)</f>
        <v/>
      </c>
      <c r="D219" s="10" t="n">
        <v>1.965320867</v>
      </c>
      <c r="E219" s="11" t="n">
        <v>15.83734222</v>
      </c>
      <c r="F219" s="12" t="n">
        <v>0.001446955565</v>
      </c>
      <c r="G219" s="11" t="n">
        <v>290.6554399</v>
      </c>
      <c r="H219" s="13">
        <f>F219*1000</f>
        <v/>
      </c>
      <c r="I219" s="14">
        <f>G219-273.15</f>
        <v/>
      </c>
      <c r="K219" s="15" t="n">
        <v>2001</v>
      </c>
      <c r="L219" s="15" t="n">
        <v>8</v>
      </c>
      <c r="M219" s="15" t="n">
        <v>5</v>
      </c>
      <c r="N219" s="16" t="n">
        <v>0.0001917813331</v>
      </c>
      <c r="O219" s="11" t="n">
        <v>290.5481399</v>
      </c>
      <c r="P219" s="13">
        <f>N219*86400</f>
        <v/>
      </c>
      <c r="Q219" s="14">
        <f>O219-273.15</f>
        <v/>
      </c>
    </row>
    <row r="220">
      <c r="A220" s="9" t="n">
        <v>37107</v>
      </c>
      <c r="B220" s="7">
        <f>YEAR(A220)</f>
        <v/>
      </c>
      <c r="C220" s="7">
        <f>MONTH(A220)</f>
        <v/>
      </c>
      <c r="D220" s="10" t="n">
        <v>0.5739138863</v>
      </c>
      <c r="E220" s="11" t="n">
        <v>16.40321814</v>
      </c>
      <c r="F220" s="12" t="n">
        <v>0.006876632099</v>
      </c>
      <c r="G220" s="11" t="n">
        <v>290.3871144</v>
      </c>
      <c r="H220" s="13">
        <f>F220*1000</f>
        <v/>
      </c>
      <c r="I220" s="14">
        <f>G220-273.15</f>
        <v/>
      </c>
      <c r="K220" s="15" t="n">
        <v>2001</v>
      </c>
      <c r="L220" s="15" t="n">
        <v>8</v>
      </c>
      <c r="M220" s="15" t="n">
        <v>6</v>
      </c>
      <c r="N220" s="16" t="n">
        <v>4.041187218e-05</v>
      </c>
      <c r="O220" s="11" t="n">
        <v>291.7982855</v>
      </c>
      <c r="P220" s="13">
        <f>N220*86400</f>
        <v/>
      </c>
      <c r="Q220" s="14">
        <f>O220-273.15</f>
        <v/>
      </c>
    </row>
    <row r="221">
      <c r="A221" s="9" t="n">
        <v>37108</v>
      </c>
      <c r="B221" s="7">
        <f>YEAR(A221)</f>
        <v/>
      </c>
      <c r="C221" s="7">
        <f>MONTH(A221)</f>
        <v/>
      </c>
      <c r="D221" s="10" t="n">
        <v>11.70179754</v>
      </c>
      <c r="E221" s="11" t="n">
        <v>15.79040019</v>
      </c>
      <c r="F221" s="12" t="n">
        <v>0.006199264361</v>
      </c>
      <c r="G221" s="11" t="n">
        <v>290.7640303</v>
      </c>
      <c r="H221" s="13">
        <f>F221*1000</f>
        <v/>
      </c>
      <c r="I221" s="14">
        <f>G221-273.15</f>
        <v/>
      </c>
      <c r="K221" s="15" t="n">
        <v>2001</v>
      </c>
      <c r="L221" s="15" t="n">
        <v>8</v>
      </c>
      <c r="M221" s="15" t="n">
        <v>7</v>
      </c>
      <c r="N221" s="16" t="n">
        <v>0.0001570268825</v>
      </c>
      <c r="O221" s="11" t="n">
        <v>289.2787777</v>
      </c>
      <c r="P221" s="13">
        <f>N221*86400</f>
        <v/>
      </c>
      <c r="Q221" s="14">
        <f>O221-273.15</f>
        <v/>
      </c>
    </row>
    <row r="222">
      <c r="A222" s="9" t="n">
        <v>37109</v>
      </c>
      <c r="B222" s="7">
        <f>YEAR(A222)</f>
        <v/>
      </c>
      <c r="C222" s="7">
        <f>MONTH(A222)</f>
        <v/>
      </c>
      <c r="D222" s="10" t="n">
        <v>0</v>
      </c>
      <c r="E222" s="11" t="n">
        <v>14.41662569</v>
      </c>
      <c r="F222" s="12" t="n">
        <v>0.002668456267</v>
      </c>
      <c r="G222" s="11" t="n">
        <v>290.2483202</v>
      </c>
      <c r="H222" s="13">
        <f>F222*1000</f>
        <v/>
      </c>
      <c r="I222" s="14">
        <f>G222-273.15</f>
        <v/>
      </c>
      <c r="K222" s="15" t="n">
        <v>2001</v>
      </c>
      <c r="L222" s="15" t="n">
        <v>8</v>
      </c>
      <c r="M222" s="15" t="n">
        <v>8</v>
      </c>
      <c r="N222" s="16" t="n">
        <v>0.0001931790905</v>
      </c>
      <c r="O222" s="11" t="n">
        <v>289.4441851</v>
      </c>
      <c r="P222" s="13">
        <f>N222*86400</f>
        <v/>
      </c>
      <c r="Q222" s="14">
        <f>O222-273.15</f>
        <v/>
      </c>
    </row>
    <row r="223">
      <c r="A223" s="9" t="n">
        <v>37110</v>
      </c>
      <c r="B223" s="7">
        <f>YEAR(A223)</f>
        <v/>
      </c>
      <c r="C223" s="7">
        <f>MONTH(A223)</f>
        <v/>
      </c>
      <c r="D223" s="10" t="n">
        <v>3.590171745</v>
      </c>
      <c r="E223" s="11" t="n">
        <v>13.46620209</v>
      </c>
      <c r="F223" s="12" t="n">
        <v>0.00104946752</v>
      </c>
      <c r="G223" s="11" t="n">
        <v>290.4565475</v>
      </c>
      <c r="H223" s="13">
        <f>F223*1000</f>
        <v/>
      </c>
      <c r="I223" s="14">
        <f>G223-273.15</f>
        <v/>
      </c>
      <c r="K223" s="15" t="n">
        <v>2001</v>
      </c>
      <c r="L223" s="15" t="n">
        <v>8</v>
      </c>
      <c r="M223" s="15" t="n">
        <v>9</v>
      </c>
      <c r="N223" s="16" t="n">
        <v>0.0001032634521</v>
      </c>
      <c r="O223" s="11" t="n">
        <v>288.6649091</v>
      </c>
      <c r="P223" s="13">
        <f>N223*86400</f>
        <v/>
      </c>
      <c r="Q223" s="14">
        <f>O223-273.15</f>
        <v/>
      </c>
    </row>
    <row r="224">
      <c r="A224" s="9" t="n">
        <v>37111</v>
      </c>
      <c r="B224" s="7">
        <f>YEAR(A224)</f>
        <v/>
      </c>
      <c r="C224" s="7">
        <f>MONTH(A224)</f>
        <v/>
      </c>
      <c r="D224" s="10" t="n">
        <v>15.86960663</v>
      </c>
      <c r="E224" s="11" t="n">
        <v>12.06227156</v>
      </c>
      <c r="F224" s="12" t="n">
        <v>0.001264189771</v>
      </c>
      <c r="G224" s="11" t="n">
        <v>289.1809659</v>
      </c>
      <c r="H224" s="13">
        <f>F224*1000</f>
        <v/>
      </c>
      <c r="I224" s="14">
        <f>G224-273.15</f>
        <v/>
      </c>
      <c r="K224" s="15" t="n">
        <v>2001</v>
      </c>
      <c r="L224" s="15" t="n">
        <v>8</v>
      </c>
      <c r="M224" s="15" t="n">
        <v>10</v>
      </c>
      <c r="N224" s="16" t="n">
        <v>2.52689446e-05</v>
      </c>
      <c r="O224" s="11" t="n">
        <v>289.0983417</v>
      </c>
      <c r="P224" s="13">
        <f>N224*86400</f>
        <v/>
      </c>
      <c r="Q224" s="14">
        <f>O224-273.15</f>
        <v/>
      </c>
    </row>
    <row r="225">
      <c r="A225" s="9" t="n">
        <v>37112</v>
      </c>
      <c r="B225" s="7">
        <f>YEAR(A225)</f>
        <v/>
      </c>
      <c r="C225" s="7">
        <f>MONTH(A225)</f>
        <v/>
      </c>
      <c r="D225" s="10" t="n">
        <v>1.407241373</v>
      </c>
      <c r="E225" s="11" t="n">
        <v>12.16323495</v>
      </c>
      <c r="F225" s="12" t="n">
        <v>0.004718799825</v>
      </c>
      <c r="G225" s="11" t="n">
        <v>288.6571997</v>
      </c>
      <c r="H225" s="13">
        <f>F225*1000</f>
        <v/>
      </c>
      <c r="I225" s="14">
        <f>G225-273.15</f>
        <v/>
      </c>
      <c r="K225" s="15" t="n">
        <v>2001</v>
      </c>
      <c r="L225" s="15" t="n">
        <v>8</v>
      </c>
      <c r="M225" s="15" t="n">
        <v>11</v>
      </c>
      <c r="N225" s="16" t="n">
        <v>7.385851468e-05</v>
      </c>
      <c r="O225" s="11" t="n">
        <v>288.6345216</v>
      </c>
      <c r="P225" s="13">
        <f>N225*86400</f>
        <v/>
      </c>
      <c r="Q225" s="14">
        <f>O225-273.15</f>
        <v/>
      </c>
    </row>
    <row r="226">
      <c r="A226" s="9" t="n">
        <v>37113</v>
      </c>
      <c r="B226" s="7">
        <f>YEAR(A226)</f>
        <v/>
      </c>
      <c r="C226" s="7">
        <f>MONTH(A226)</f>
        <v/>
      </c>
      <c r="D226" s="10" t="n">
        <v>0</v>
      </c>
      <c r="E226" s="11" t="n">
        <v>13.75727493</v>
      </c>
      <c r="F226" s="12" t="n">
        <v>0.0002325789504</v>
      </c>
      <c r="G226" s="11" t="n">
        <v>290.325973</v>
      </c>
      <c r="H226" s="13">
        <f>F226*1000</f>
        <v/>
      </c>
      <c r="I226" s="14">
        <f>G226-273.15</f>
        <v/>
      </c>
      <c r="K226" s="15" t="n">
        <v>2001</v>
      </c>
      <c r="L226" s="15" t="n">
        <v>8</v>
      </c>
      <c r="M226" s="15" t="n">
        <v>12</v>
      </c>
      <c r="N226" s="16" t="n">
        <v>0.0001066871542</v>
      </c>
      <c r="O226" s="11" t="n">
        <v>288.8436191</v>
      </c>
      <c r="P226" s="13">
        <f>N226*86400</f>
        <v/>
      </c>
      <c r="Q226" s="14">
        <f>O226-273.15</f>
        <v/>
      </c>
    </row>
    <row r="227">
      <c r="A227" s="9" t="n">
        <v>37114</v>
      </c>
      <c r="B227" s="7">
        <f>YEAR(A227)</f>
        <v/>
      </c>
      <c r="C227" s="7">
        <f>MONTH(A227)</f>
        <v/>
      </c>
      <c r="D227" s="10" t="n">
        <v>34.74849835</v>
      </c>
      <c r="E227" s="11" t="n">
        <v>14.0369504</v>
      </c>
      <c r="F227" s="12" t="n">
        <v>0.01843310443</v>
      </c>
      <c r="G227" s="11" t="n">
        <v>290.4491452</v>
      </c>
      <c r="H227" s="13">
        <f>F227*1000</f>
        <v/>
      </c>
      <c r="I227" s="14">
        <f>G227-273.15</f>
        <v/>
      </c>
      <c r="K227" s="15" t="n">
        <v>2001</v>
      </c>
      <c r="L227" s="15" t="n">
        <v>8</v>
      </c>
      <c r="M227" s="15" t="n">
        <v>13</v>
      </c>
      <c r="N227" s="16" t="n">
        <v>0.0001492517493</v>
      </c>
      <c r="O227" s="11" t="n">
        <v>288.6988378</v>
      </c>
      <c r="P227" s="13">
        <f>N227*86400</f>
        <v/>
      </c>
      <c r="Q227" s="14">
        <f>O227-273.15</f>
        <v/>
      </c>
    </row>
    <row r="228">
      <c r="A228" s="9" t="n">
        <v>37115</v>
      </c>
      <c r="B228" s="7">
        <f>YEAR(A228)</f>
        <v/>
      </c>
      <c r="C228" s="7">
        <f>MONTH(A228)</f>
        <v/>
      </c>
      <c r="D228" s="10" t="n">
        <v>0.8358708143</v>
      </c>
      <c r="E228" s="11" t="n">
        <v>13.84052676</v>
      </c>
      <c r="F228" s="12" t="n">
        <v>0.007639917191</v>
      </c>
      <c r="G228" s="11" t="n">
        <v>290.4338388</v>
      </c>
      <c r="H228" s="13">
        <f>F228*1000</f>
        <v/>
      </c>
      <c r="I228" s="14">
        <f>G228-273.15</f>
        <v/>
      </c>
      <c r="K228" s="15" t="n">
        <v>2001</v>
      </c>
      <c r="L228" s="15" t="n">
        <v>8</v>
      </c>
      <c r="M228" s="15" t="n">
        <v>14</v>
      </c>
      <c r="N228" s="16" t="n">
        <v>2.262243258e-05</v>
      </c>
      <c r="O228" s="11" t="n">
        <v>290.211542</v>
      </c>
      <c r="P228" s="13">
        <f>N228*86400</f>
        <v/>
      </c>
      <c r="Q228" s="14">
        <f>O228-273.15</f>
        <v/>
      </c>
    </row>
    <row r="229">
      <c r="A229" s="9" t="n">
        <v>37116</v>
      </c>
      <c r="B229" s="7">
        <f>YEAR(A229)</f>
        <v/>
      </c>
      <c r="C229" s="7">
        <f>MONTH(A229)</f>
        <v/>
      </c>
      <c r="D229" s="10" t="n">
        <v>20.8649757</v>
      </c>
      <c r="E229" s="11" t="n">
        <v>12.97606635</v>
      </c>
      <c r="F229" s="12" t="n">
        <v>0.01441058827</v>
      </c>
      <c r="G229" s="11" t="n">
        <v>289.9321925</v>
      </c>
      <c r="H229" s="13">
        <f>F229*1000</f>
        <v/>
      </c>
      <c r="I229" s="14">
        <f>G229-273.15</f>
        <v/>
      </c>
      <c r="K229" s="15" t="n">
        <v>2001</v>
      </c>
      <c r="L229" s="15" t="n">
        <v>8</v>
      </c>
      <c r="M229" s="15" t="n">
        <v>15</v>
      </c>
      <c r="N229" s="16" t="n">
        <v>8.244616776e-05</v>
      </c>
      <c r="O229" s="11" t="n">
        <v>288.9019039</v>
      </c>
      <c r="P229" s="13">
        <f>N229*86400</f>
        <v/>
      </c>
      <c r="Q229" s="14">
        <f>O229-273.15</f>
        <v/>
      </c>
    </row>
    <row r="230">
      <c r="A230" s="9" t="n">
        <v>37117</v>
      </c>
      <c r="B230" s="7">
        <f>YEAR(A230)</f>
        <v/>
      </c>
      <c r="C230" s="7">
        <f>MONTH(A230)</f>
        <v/>
      </c>
      <c r="D230" s="10" t="n">
        <v>1.208315799</v>
      </c>
      <c r="E230" s="11" t="n">
        <v>11.42929056</v>
      </c>
      <c r="F230" s="12" t="n">
        <v>0.004561510958</v>
      </c>
      <c r="G230" s="11" t="n">
        <v>287.279009</v>
      </c>
      <c r="H230" s="13">
        <f>F230*1000</f>
        <v/>
      </c>
      <c r="I230" s="14">
        <f>G230-273.15</f>
        <v/>
      </c>
      <c r="K230" s="15" t="n">
        <v>2001</v>
      </c>
      <c r="L230" s="15" t="n">
        <v>8</v>
      </c>
      <c r="M230" s="15" t="n">
        <v>16</v>
      </c>
      <c r="N230" s="16" t="n">
        <v>1.894903208e-05</v>
      </c>
      <c r="O230" s="11" t="n">
        <v>288.4578945</v>
      </c>
      <c r="P230" s="13">
        <f>N230*86400</f>
        <v/>
      </c>
      <c r="Q230" s="14">
        <f>O230-273.15</f>
        <v/>
      </c>
    </row>
    <row r="231">
      <c r="A231" s="9" t="n">
        <v>37118</v>
      </c>
      <c r="B231" s="7">
        <f>YEAR(A231)</f>
        <v/>
      </c>
      <c r="C231" s="7">
        <f>MONTH(A231)</f>
        <v/>
      </c>
      <c r="D231" s="10" t="n">
        <v>3.496923907</v>
      </c>
      <c r="E231" s="11" t="n">
        <v>12.06135484</v>
      </c>
      <c r="F231" s="12" t="n">
        <v>0.005217389399</v>
      </c>
      <c r="G231" s="11" t="n">
        <v>287.5769254</v>
      </c>
      <c r="H231" s="13">
        <f>F231*1000</f>
        <v/>
      </c>
      <c r="I231" s="14">
        <f>G231-273.15</f>
        <v/>
      </c>
      <c r="K231" s="15" t="n">
        <v>2001</v>
      </c>
      <c r="L231" s="15" t="n">
        <v>8</v>
      </c>
      <c r="M231" s="15" t="n">
        <v>17</v>
      </c>
      <c r="N231" s="16" t="n">
        <v>0</v>
      </c>
      <c r="O231" s="11" t="n">
        <v>290.6259773</v>
      </c>
      <c r="P231" s="13">
        <f>N231*86400</f>
        <v/>
      </c>
      <c r="Q231" s="14">
        <f>O231-273.15</f>
        <v/>
      </c>
    </row>
    <row r="232">
      <c r="A232" s="9" t="n">
        <v>37119</v>
      </c>
      <c r="B232" s="7">
        <f>YEAR(A232)</f>
        <v/>
      </c>
      <c r="C232" s="7">
        <f>MONTH(A232)</f>
        <v/>
      </c>
      <c r="D232" s="10" t="n">
        <v>0</v>
      </c>
      <c r="E232" s="11" t="n">
        <v>13.11302916</v>
      </c>
      <c r="F232" s="12" t="n">
        <v>0.004450590397</v>
      </c>
      <c r="G232" s="11" t="n">
        <v>288.9135552</v>
      </c>
      <c r="H232" s="13">
        <f>F232*1000</f>
        <v/>
      </c>
      <c r="I232" s="14">
        <f>G232-273.15</f>
        <v/>
      </c>
      <c r="K232" s="15" t="n">
        <v>2001</v>
      </c>
      <c r="L232" s="15" t="n">
        <v>8</v>
      </c>
      <c r="M232" s="15" t="n">
        <v>18</v>
      </c>
      <c r="N232" s="16" t="n">
        <v>3.431787781e-06</v>
      </c>
      <c r="O232" s="11" t="n">
        <v>289.3388214</v>
      </c>
      <c r="P232" s="13">
        <f>N232*86400</f>
        <v/>
      </c>
      <c r="Q232" s="14">
        <f>O232-273.15</f>
        <v/>
      </c>
    </row>
    <row r="233">
      <c r="A233" s="9" t="n">
        <v>37120</v>
      </c>
      <c r="B233" s="7">
        <f>YEAR(A233)</f>
        <v/>
      </c>
      <c r="C233" s="7">
        <f>MONTH(A233)</f>
        <v/>
      </c>
      <c r="D233" s="10" t="n">
        <v>1.794417075</v>
      </c>
      <c r="E233" s="11" t="n">
        <v>13.87680275</v>
      </c>
      <c r="F233" s="12" t="n">
        <v>0.002847791557</v>
      </c>
      <c r="G233" s="11" t="n">
        <v>289.3601928</v>
      </c>
      <c r="H233" s="13">
        <f>F233*1000</f>
        <v/>
      </c>
      <c r="I233" s="14">
        <f>G233-273.15</f>
        <v/>
      </c>
      <c r="K233" s="15" t="n">
        <v>2001</v>
      </c>
      <c r="L233" s="15" t="n">
        <v>8</v>
      </c>
      <c r="M233" s="15" t="n">
        <v>19</v>
      </c>
      <c r="N233" s="16" t="n">
        <v>7.449514236000001e-05</v>
      </c>
      <c r="O233" s="11" t="n">
        <v>290.6347193</v>
      </c>
      <c r="P233" s="13">
        <f>N233*86400</f>
        <v/>
      </c>
      <c r="Q233" s="14">
        <f>O233-273.15</f>
        <v/>
      </c>
    </row>
    <row r="234">
      <c r="A234" s="9" t="n">
        <v>37121</v>
      </c>
      <c r="B234" s="7">
        <f>YEAR(A234)</f>
        <v/>
      </c>
      <c r="C234" s="7">
        <f>MONTH(A234)</f>
        <v/>
      </c>
      <c r="D234" s="10" t="n">
        <v>3.064582851</v>
      </c>
      <c r="E234" s="11" t="n">
        <v>15.69989123</v>
      </c>
      <c r="F234" s="12" t="n">
        <v>0.0003836866978</v>
      </c>
      <c r="G234" s="11" t="n">
        <v>291.2300318</v>
      </c>
      <c r="H234" s="13">
        <f>F234*1000</f>
        <v/>
      </c>
      <c r="I234" s="14">
        <f>G234-273.15</f>
        <v/>
      </c>
      <c r="K234" s="15" t="n">
        <v>2001</v>
      </c>
      <c r="L234" s="15" t="n">
        <v>8</v>
      </c>
      <c r="M234" s="15" t="n">
        <v>20</v>
      </c>
      <c r="N234" s="16" t="n">
        <v>3.495264557e-06</v>
      </c>
      <c r="O234" s="11" t="n">
        <v>287.1185954</v>
      </c>
      <c r="P234" s="13">
        <f>N234*86400</f>
        <v/>
      </c>
      <c r="Q234" s="14">
        <f>O234-273.15</f>
        <v/>
      </c>
    </row>
    <row r="235">
      <c r="A235" s="9" t="n">
        <v>37122</v>
      </c>
      <c r="B235" s="7">
        <f>YEAR(A235)</f>
        <v/>
      </c>
      <c r="C235" s="7">
        <f>MONTH(A235)</f>
        <v/>
      </c>
      <c r="D235" s="10" t="n">
        <v>0</v>
      </c>
      <c r="E235" s="11" t="n">
        <v>14.16067812</v>
      </c>
      <c r="F235" s="12" t="n">
        <v>1.996442799e-05</v>
      </c>
      <c r="G235" s="11" t="n">
        <v>289.8753761</v>
      </c>
      <c r="H235" s="13">
        <f>F235*1000</f>
        <v/>
      </c>
      <c r="I235" s="14">
        <f>G235-273.15</f>
        <v/>
      </c>
      <c r="K235" s="15" t="n">
        <v>2001</v>
      </c>
      <c r="L235" s="15" t="n">
        <v>8</v>
      </c>
      <c r="M235" s="15" t="n">
        <v>21</v>
      </c>
      <c r="N235" s="16" t="n">
        <v>8.004758458e-05</v>
      </c>
      <c r="O235" s="11" t="n">
        <v>288.4106224</v>
      </c>
      <c r="P235" s="13">
        <f>N235*86400</f>
        <v/>
      </c>
      <c r="Q235" s="14">
        <f>O235-273.15</f>
        <v/>
      </c>
    </row>
    <row r="236">
      <c r="A236" s="9" t="n">
        <v>37123</v>
      </c>
      <c r="B236" s="7">
        <f>YEAR(A236)</f>
        <v/>
      </c>
      <c r="C236" s="7">
        <f>MONTH(A236)</f>
        <v/>
      </c>
      <c r="D236" s="10" t="n">
        <v>0</v>
      </c>
      <c r="E236" s="11" t="n">
        <v>14.14919684</v>
      </c>
      <c r="F236" s="12" t="n">
        <v>0.005988824368</v>
      </c>
      <c r="G236" s="11" t="n">
        <v>290.1015494</v>
      </c>
      <c r="H236" s="13">
        <f>F236*1000</f>
        <v/>
      </c>
      <c r="I236" s="14">
        <f>G236-273.15</f>
        <v/>
      </c>
      <c r="K236" s="15" t="n">
        <v>2001</v>
      </c>
      <c r="L236" s="15" t="n">
        <v>8</v>
      </c>
      <c r="M236" s="15" t="n">
        <v>22</v>
      </c>
      <c r="N236" s="16" t="n">
        <v>1.278026421e-07</v>
      </c>
      <c r="O236" s="11" t="n">
        <v>288.0917955</v>
      </c>
      <c r="P236" s="13">
        <f>N236*86400</f>
        <v/>
      </c>
      <c r="Q236" s="14">
        <f>O236-273.15</f>
        <v/>
      </c>
    </row>
    <row r="237">
      <c r="A237" s="9" t="n">
        <v>37124</v>
      </c>
      <c r="B237" s="7">
        <f>YEAR(A237)</f>
        <v/>
      </c>
      <c r="C237" s="7">
        <f>MONTH(A237)</f>
        <v/>
      </c>
      <c r="D237" s="10" t="n">
        <v>8.438465151000001</v>
      </c>
      <c r="E237" s="11" t="n">
        <v>9.747199819</v>
      </c>
      <c r="F237" s="12" t="n">
        <v>0.01400157485</v>
      </c>
      <c r="G237" s="11" t="n">
        <v>285.6777252</v>
      </c>
      <c r="H237" s="13">
        <f>F237*1000</f>
        <v/>
      </c>
      <c r="I237" s="14">
        <f>G237-273.15</f>
        <v/>
      </c>
      <c r="K237" s="15" t="n">
        <v>2001</v>
      </c>
      <c r="L237" s="15" t="n">
        <v>8</v>
      </c>
      <c r="M237" s="15" t="n">
        <v>23</v>
      </c>
      <c r="N237" s="16" t="n">
        <v>0</v>
      </c>
      <c r="O237" s="11" t="n">
        <v>288.2725547</v>
      </c>
      <c r="P237" s="13">
        <f>N237*86400</f>
        <v/>
      </c>
      <c r="Q237" s="14">
        <f>O237-273.15</f>
        <v/>
      </c>
    </row>
    <row r="238">
      <c r="A238" s="9" t="n">
        <v>37125</v>
      </c>
      <c r="B238" s="7">
        <f>YEAR(A238)</f>
        <v/>
      </c>
      <c r="C238" s="7">
        <f>MONTH(A238)</f>
        <v/>
      </c>
      <c r="D238" s="10" t="n">
        <v>0</v>
      </c>
      <c r="E238" s="11" t="n">
        <v>11.48753966</v>
      </c>
      <c r="F238" s="12" t="n">
        <v>0.00644310453</v>
      </c>
      <c r="G238" s="11" t="n">
        <v>287.3586776</v>
      </c>
      <c r="H238" s="13">
        <f>F238*1000</f>
        <v/>
      </c>
      <c r="I238" s="14">
        <f>G238-273.15</f>
        <v/>
      </c>
      <c r="K238" s="15" t="n">
        <v>2001</v>
      </c>
      <c r="L238" s="15" t="n">
        <v>8</v>
      </c>
      <c r="M238" s="15" t="n">
        <v>24</v>
      </c>
      <c r="N238" s="16" t="n">
        <v>0</v>
      </c>
      <c r="O238" s="11" t="n">
        <v>286.3156373</v>
      </c>
      <c r="P238" s="13">
        <f>N238*86400</f>
        <v/>
      </c>
      <c r="Q238" s="14">
        <f>O238-273.15</f>
        <v/>
      </c>
    </row>
    <row r="239">
      <c r="A239" s="9" t="n">
        <v>37126</v>
      </c>
      <c r="B239" s="7">
        <f>YEAR(A239)</f>
        <v/>
      </c>
      <c r="C239" s="7">
        <f>MONTH(A239)</f>
        <v/>
      </c>
      <c r="D239" s="10" t="n">
        <v>0</v>
      </c>
      <c r="E239" s="11" t="n">
        <v>13.65548445</v>
      </c>
      <c r="F239" s="12" t="n">
        <v>0</v>
      </c>
      <c r="G239" s="11" t="n">
        <v>288.8782559</v>
      </c>
      <c r="H239" s="13">
        <f>F239*1000</f>
        <v/>
      </c>
      <c r="I239" s="14">
        <f>G239-273.15</f>
        <v/>
      </c>
      <c r="K239" s="15" t="n">
        <v>2001</v>
      </c>
      <c r="L239" s="15" t="n">
        <v>8</v>
      </c>
      <c r="M239" s="15" t="n">
        <v>25</v>
      </c>
      <c r="N239" s="16" t="n">
        <v>9.551845065e-07</v>
      </c>
      <c r="O239" s="11" t="n">
        <v>287.3897459</v>
      </c>
      <c r="P239" s="13">
        <f>N239*86400</f>
        <v/>
      </c>
      <c r="Q239" s="14">
        <f>O239-273.15</f>
        <v/>
      </c>
    </row>
    <row r="240">
      <c r="A240" s="9" t="n">
        <v>37127</v>
      </c>
      <c r="B240" s="7">
        <f>YEAR(A240)</f>
        <v/>
      </c>
      <c r="C240" s="7">
        <f>MONTH(A240)</f>
        <v/>
      </c>
      <c r="D240" s="10" t="n">
        <v>0</v>
      </c>
      <c r="E240" s="11" t="n">
        <v>11.87132798</v>
      </c>
      <c r="F240" s="12" t="n">
        <v>3.299533494e-05</v>
      </c>
      <c r="G240" s="11" t="n">
        <v>287.3418452</v>
      </c>
      <c r="H240" s="13">
        <f>F240*1000</f>
        <v/>
      </c>
      <c r="I240" s="14">
        <f>G240-273.15</f>
        <v/>
      </c>
      <c r="K240" s="15" t="n">
        <v>2001</v>
      </c>
      <c r="L240" s="15" t="n">
        <v>8</v>
      </c>
      <c r="M240" s="15" t="n">
        <v>26</v>
      </c>
      <c r="N240" s="16" t="n">
        <v>1.692061004e-05</v>
      </c>
      <c r="O240" s="11" t="n">
        <v>289.6825438</v>
      </c>
      <c r="P240" s="13">
        <f>N240*86400</f>
        <v/>
      </c>
      <c r="Q240" s="14">
        <f>O240-273.15</f>
        <v/>
      </c>
    </row>
    <row r="241">
      <c r="A241" s="9" t="n">
        <v>37128</v>
      </c>
      <c r="B241" s="7">
        <f>YEAR(A241)</f>
        <v/>
      </c>
      <c r="C241" s="7">
        <f>MONTH(A241)</f>
        <v/>
      </c>
      <c r="D241" s="10" t="n">
        <v>0</v>
      </c>
      <c r="E241" s="11" t="n">
        <v>11.87999571</v>
      </c>
      <c r="F241" s="12" t="n">
        <v>0</v>
      </c>
      <c r="G241" s="11" t="n">
        <v>287.2051543</v>
      </c>
      <c r="H241" s="13">
        <f>F241*1000</f>
        <v/>
      </c>
      <c r="I241" s="14">
        <f>G241-273.15</f>
        <v/>
      </c>
      <c r="K241" s="15" t="n">
        <v>2001</v>
      </c>
      <c r="L241" s="15" t="n">
        <v>8</v>
      </c>
      <c r="M241" s="15" t="n">
        <v>27</v>
      </c>
      <c r="N241" s="16" t="n">
        <v>1.023575003e-05</v>
      </c>
      <c r="O241" s="11" t="n">
        <v>287.9226731</v>
      </c>
      <c r="P241" s="13">
        <f>N241*86400</f>
        <v/>
      </c>
      <c r="Q241" s="14">
        <f>O241-273.15</f>
        <v/>
      </c>
    </row>
    <row r="242">
      <c r="A242" s="9" t="n">
        <v>37129</v>
      </c>
      <c r="B242" s="7">
        <f>YEAR(A242)</f>
        <v/>
      </c>
      <c r="C242" s="7">
        <f>MONTH(A242)</f>
        <v/>
      </c>
      <c r="D242" s="10" t="n">
        <v>0</v>
      </c>
      <c r="E242" s="11" t="n">
        <v>14.23662428</v>
      </c>
      <c r="F242" s="12" t="n">
        <v>0.005331537024</v>
      </c>
      <c r="G242" s="11" t="n">
        <v>289.1319413</v>
      </c>
      <c r="H242" s="13">
        <f>F242*1000</f>
        <v/>
      </c>
      <c r="I242" s="14">
        <f>G242-273.15</f>
        <v/>
      </c>
      <c r="K242" s="15" t="n">
        <v>2001</v>
      </c>
      <c r="L242" s="15" t="n">
        <v>8</v>
      </c>
      <c r="M242" s="15" t="n">
        <v>28</v>
      </c>
      <c r="N242" s="16" t="n">
        <v>1.048204214e-06</v>
      </c>
      <c r="O242" s="11" t="n">
        <v>287.7086545</v>
      </c>
      <c r="P242" s="13">
        <f>N242*86400</f>
        <v/>
      </c>
      <c r="Q242" s="14">
        <f>O242-273.15</f>
        <v/>
      </c>
    </row>
    <row r="243">
      <c r="A243" s="9" t="n">
        <v>37130</v>
      </c>
      <c r="B243" s="7">
        <f>YEAR(A243)</f>
        <v/>
      </c>
      <c r="C243" s="7">
        <f>MONTH(A243)</f>
        <v/>
      </c>
      <c r="D243" s="10" t="n">
        <v>0</v>
      </c>
      <c r="E243" s="11" t="n">
        <v>13.6657063</v>
      </c>
      <c r="F243" s="12" t="n">
        <v>0.0005606723151</v>
      </c>
      <c r="G243" s="11" t="n">
        <v>288.4167821</v>
      </c>
      <c r="H243" s="13">
        <f>F243*1000</f>
        <v/>
      </c>
      <c r="I243" s="14">
        <f>G243-273.15</f>
        <v/>
      </c>
      <c r="K243" s="15" t="n">
        <v>2001</v>
      </c>
      <c r="L243" s="15" t="n">
        <v>8</v>
      </c>
      <c r="M243" s="15" t="n">
        <v>29</v>
      </c>
      <c r="N243" s="16" t="n">
        <v>1.712368796e-05</v>
      </c>
      <c r="O243" s="11" t="n">
        <v>287.5932613</v>
      </c>
      <c r="P243" s="13">
        <f>N243*86400</f>
        <v/>
      </c>
      <c r="Q243" s="14">
        <f>O243-273.15</f>
        <v/>
      </c>
    </row>
    <row r="244">
      <c r="A244" s="9" t="n">
        <v>37131</v>
      </c>
      <c r="B244" s="7">
        <f>YEAR(A244)</f>
        <v/>
      </c>
      <c r="C244" s="7">
        <f>MONTH(A244)</f>
        <v/>
      </c>
      <c r="D244" s="10" t="n">
        <v>0</v>
      </c>
      <c r="E244" s="11" t="n">
        <v>12.87201376</v>
      </c>
      <c r="F244" s="12" t="n">
        <v>0.001020266012</v>
      </c>
      <c r="G244" s="11" t="n">
        <v>288.0340769</v>
      </c>
      <c r="H244" s="13">
        <f>F244*1000</f>
        <v/>
      </c>
      <c r="I244" s="14">
        <f>G244-273.15</f>
        <v/>
      </c>
      <c r="K244" s="15" t="n">
        <v>2001</v>
      </c>
      <c r="L244" s="15" t="n">
        <v>8</v>
      </c>
      <c r="M244" s="15" t="n">
        <v>30</v>
      </c>
      <c r="N244" s="16" t="n">
        <v>3.845151593e-07</v>
      </c>
      <c r="O244" s="11" t="n">
        <v>286.9762191</v>
      </c>
      <c r="P244" s="13">
        <f>N244*86400</f>
        <v/>
      </c>
      <c r="Q244" s="14">
        <f>O244-273.15</f>
        <v/>
      </c>
    </row>
    <row r="245">
      <c r="A245" s="9" t="n">
        <v>37132</v>
      </c>
      <c r="B245" s="7">
        <f>YEAR(A245)</f>
        <v/>
      </c>
      <c r="C245" s="7">
        <f>MONTH(A245)</f>
        <v/>
      </c>
      <c r="D245" s="10" t="n">
        <v>0</v>
      </c>
      <c r="E245" s="11" t="n">
        <v>15.02034227</v>
      </c>
      <c r="F245" s="12" t="n">
        <v>0.001954287093</v>
      </c>
      <c r="G245" s="11" t="n">
        <v>289.859902</v>
      </c>
      <c r="H245" s="13">
        <f>F245*1000</f>
        <v/>
      </c>
      <c r="I245" s="14">
        <f>G245-273.15</f>
        <v/>
      </c>
      <c r="K245" s="15" t="n">
        <v>2001</v>
      </c>
      <c r="L245" s="15" t="n">
        <v>9</v>
      </c>
      <c r="M245" s="15" t="n">
        <v>1</v>
      </c>
      <c r="N245" s="16" t="n">
        <v>0.0002230105358</v>
      </c>
      <c r="O245" s="11" t="n">
        <v>288.8998933</v>
      </c>
      <c r="P245" s="13">
        <f>N245*86400</f>
        <v/>
      </c>
      <c r="Q245" s="14">
        <f>O245-273.15</f>
        <v/>
      </c>
    </row>
    <row r="246">
      <c r="A246" s="9" t="n">
        <v>37133</v>
      </c>
      <c r="B246" s="7">
        <f>YEAR(A246)</f>
        <v/>
      </c>
      <c r="C246" s="7">
        <f>MONTH(A246)</f>
        <v/>
      </c>
      <c r="D246" s="10" t="n">
        <v>0</v>
      </c>
      <c r="E246" s="11" t="n">
        <v>17.01250994</v>
      </c>
      <c r="F246" s="12" t="n">
        <v>0.008904189865</v>
      </c>
      <c r="G246" s="11" t="n">
        <v>291.4373974</v>
      </c>
      <c r="H246" s="13">
        <f>F246*1000</f>
        <v/>
      </c>
      <c r="I246" s="14">
        <f>G246-273.15</f>
        <v/>
      </c>
      <c r="K246" s="15" t="n">
        <v>2001</v>
      </c>
      <c r="L246" s="15" t="n">
        <v>9</v>
      </c>
      <c r="M246" s="15" t="n">
        <v>2</v>
      </c>
      <c r="N246" s="16" t="n">
        <v>0.0001742041403</v>
      </c>
      <c r="O246" s="11" t="n">
        <v>289.6682907</v>
      </c>
      <c r="P246" s="13">
        <f>N246*86400</f>
        <v/>
      </c>
      <c r="Q246" s="14">
        <f>O246-273.15</f>
        <v/>
      </c>
    </row>
    <row r="247">
      <c r="A247" s="9" t="n">
        <v>37134</v>
      </c>
      <c r="B247" s="7">
        <f>YEAR(A247)</f>
        <v/>
      </c>
      <c r="C247" s="7">
        <f>MONTH(A247)</f>
        <v/>
      </c>
      <c r="D247" s="10" t="n">
        <v>1.278657192</v>
      </c>
      <c r="E247" s="11" t="n">
        <v>15.23588967</v>
      </c>
      <c r="F247" s="12" t="n">
        <v>0.006509160885</v>
      </c>
      <c r="G247" s="11" t="n">
        <v>289.0473913</v>
      </c>
      <c r="H247" s="13">
        <f>F247*1000</f>
        <v/>
      </c>
      <c r="I247" s="14">
        <f>G247-273.15</f>
        <v/>
      </c>
      <c r="K247" s="15" t="n">
        <v>2001</v>
      </c>
      <c r="L247" s="15" t="n">
        <v>9</v>
      </c>
      <c r="M247" s="15" t="n">
        <v>3</v>
      </c>
      <c r="N247" s="16" t="n">
        <v>5.328671904e-05</v>
      </c>
      <c r="O247" s="11" t="n">
        <v>288.436165</v>
      </c>
      <c r="P247" s="13">
        <f>N247*86400</f>
        <v/>
      </c>
      <c r="Q247" s="14">
        <f>O247-273.15</f>
        <v/>
      </c>
    </row>
    <row r="248">
      <c r="A248" s="9" t="n">
        <v>37135</v>
      </c>
      <c r="B248" s="7">
        <f>YEAR(A248)</f>
        <v/>
      </c>
      <c r="C248" s="7">
        <f>MONTH(A248)</f>
        <v/>
      </c>
      <c r="D248" s="10" t="n">
        <v>0</v>
      </c>
      <c r="E248" s="11" t="n">
        <v>14.46512367</v>
      </c>
      <c r="F248" s="12" t="n">
        <v>0.003369544412</v>
      </c>
      <c r="G248" s="11" t="n">
        <v>288.4059666</v>
      </c>
      <c r="H248" s="13">
        <f>F248*1000</f>
        <v/>
      </c>
      <c r="I248" s="14">
        <f>G248-273.15</f>
        <v/>
      </c>
      <c r="K248" s="15" t="n">
        <v>2001</v>
      </c>
      <c r="L248" s="15" t="n">
        <v>9</v>
      </c>
      <c r="M248" s="15" t="n">
        <v>4</v>
      </c>
      <c r="N248" s="16" t="n">
        <v>0</v>
      </c>
      <c r="O248" s="11" t="n">
        <v>289.0616309</v>
      </c>
      <c r="P248" s="13">
        <f>N248*86400</f>
        <v/>
      </c>
      <c r="Q248" s="14">
        <f>O248-273.15</f>
        <v/>
      </c>
    </row>
    <row r="249">
      <c r="A249" s="9" t="n">
        <v>37136</v>
      </c>
      <c r="B249" s="7">
        <f>YEAR(A249)</f>
        <v/>
      </c>
      <c r="C249" s="7">
        <f>MONTH(A249)</f>
        <v/>
      </c>
      <c r="D249" s="10" t="n">
        <v>0</v>
      </c>
      <c r="E249" s="11" t="n">
        <v>14.85404044</v>
      </c>
      <c r="F249" s="12" t="n">
        <v>0.001379185179</v>
      </c>
      <c r="G249" s="11" t="n">
        <v>288.6666445</v>
      </c>
      <c r="H249" s="13">
        <f>F249*1000</f>
        <v/>
      </c>
      <c r="I249" s="14">
        <f>G249-273.15</f>
        <v/>
      </c>
      <c r="K249" s="15" t="n">
        <v>2001</v>
      </c>
      <c r="L249" s="15" t="n">
        <v>9</v>
      </c>
      <c r="M249" s="15" t="n">
        <v>5</v>
      </c>
      <c r="N249" s="16" t="n">
        <v>6.124397429000001e-05</v>
      </c>
      <c r="O249" s="11" t="n">
        <v>290.5730208</v>
      </c>
      <c r="P249" s="13">
        <f>N249*86400</f>
        <v/>
      </c>
      <c r="Q249" s="14">
        <f>O249-273.15</f>
        <v/>
      </c>
    </row>
    <row r="250">
      <c r="A250" s="9" t="n">
        <v>37137</v>
      </c>
      <c r="B250" s="7">
        <f>YEAR(A250)</f>
        <v/>
      </c>
      <c r="C250" s="7">
        <f>MONTH(A250)</f>
        <v/>
      </c>
      <c r="D250" s="10" t="n">
        <v>0</v>
      </c>
      <c r="E250" s="11" t="n">
        <v>15.00836226</v>
      </c>
      <c r="F250" s="12" t="n">
        <v>0</v>
      </c>
      <c r="G250" s="11" t="n">
        <v>289.0344537</v>
      </c>
      <c r="H250" s="13">
        <f>F250*1000</f>
        <v/>
      </c>
      <c r="I250" s="14">
        <f>G250-273.15</f>
        <v/>
      </c>
      <c r="K250" s="15" t="n">
        <v>2001</v>
      </c>
      <c r="L250" s="15" t="n">
        <v>9</v>
      </c>
      <c r="M250" s="15" t="n">
        <v>6</v>
      </c>
      <c r="N250" s="16" t="n">
        <v>3.324872266e-05</v>
      </c>
      <c r="O250" s="11" t="n">
        <v>287.0154657</v>
      </c>
      <c r="P250" s="13">
        <f>N250*86400</f>
        <v/>
      </c>
      <c r="Q250" s="14">
        <f>O250-273.15</f>
        <v/>
      </c>
    </row>
    <row r="251">
      <c r="A251" s="9" t="n">
        <v>37138</v>
      </c>
      <c r="B251" s="7">
        <f>YEAR(A251)</f>
        <v/>
      </c>
      <c r="C251" s="7">
        <f>MONTH(A251)</f>
        <v/>
      </c>
      <c r="D251" s="10" t="n">
        <v>0.3319830085</v>
      </c>
      <c r="E251" s="11" t="n">
        <v>17.66834962</v>
      </c>
      <c r="F251" s="12" t="n">
        <v>0.009735373336999999</v>
      </c>
      <c r="G251" s="11" t="n">
        <v>291.4108749</v>
      </c>
      <c r="H251" s="13">
        <f>F251*1000</f>
        <v/>
      </c>
      <c r="I251" s="14">
        <f>G251-273.15</f>
        <v/>
      </c>
      <c r="K251" s="15" t="n">
        <v>2001</v>
      </c>
      <c r="L251" s="15" t="n">
        <v>9</v>
      </c>
      <c r="M251" s="15" t="n">
        <v>7</v>
      </c>
      <c r="N251" s="16" t="n">
        <v>8.23432879e-07</v>
      </c>
      <c r="O251" s="11" t="n">
        <v>285.3842925</v>
      </c>
      <c r="P251" s="13">
        <f>N251*86400</f>
        <v/>
      </c>
      <c r="Q251" s="14">
        <f>O251-273.15</f>
        <v/>
      </c>
    </row>
    <row r="252">
      <c r="A252" s="9" t="n">
        <v>37139</v>
      </c>
      <c r="B252" s="7">
        <f>YEAR(A252)</f>
        <v/>
      </c>
      <c r="C252" s="7">
        <f>MONTH(A252)</f>
        <v/>
      </c>
      <c r="D252" s="10" t="n">
        <v>0.002600648223</v>
      </c>
      <c r="E252" s="11" t="n">
        <v>19.44479697</v>
      </c>
      <c r="F252" s="12" t="n">
        <v>0.01085585667</v>
      </c>
      <c r="G252" s="11" t="n">
        <v>292.9579187</v>
      </c>
      <c r="H252" s="13">
        <f>F252*1000</f>
        <v/>
      </c>
      <c r="I252" s="14">
        <f>G252-273.15</f>
        <v/>
      </c>
      <c r="K252" s="15" t="n">
        <v>2001</v>
      </c>
      <c r="L252" s="15" t="n">
        <v>9</v>
      </c>
      <c r="M252" s="15" t="n">
        <v>8</v>
      </c>
      <c r="N252" s="16" t="n">
        <v>0.0001608518606</v>
      </c>
      <c r="O252" s="11" t="n">
        <v>285.4828273</v>
      </c>
      <c r="P252" s="13">
        <f>N252*86400</f>
        <v/>
      </c>
      <c r="Q252" s="14">
        <f>O252-273.15</f>
        <v/>
      </c>
    </row>
    <row r="253">
      <c r="A253" s="9" t="n">
        <v>37140</v>
      </c>
      <c r="B253" s="7">
        <f>YEAR(A253)</f>
        <v/>
      </c>
      <c r="C253" s="7">
        <f>MONTH(A253)</f>
        <v/>
      </c>
      <c r="D253" s="10" t="n">
        <v>0</v>
      </c>
      <c r="E253" s="11" t="n">
        <v>15.4207699</v>
      </c>
      <c r="F253" s="12" t="n">
        <v>1.807062999e-06</v>
      </c>
      <c r="G253" s="11" t="n">
        <v>289.4278123</v>
      </c>
      <c r="H253" s="13">
        <f>F253*1000</f>
        <v/>
      </c>
      <c r="I253" s="14">
        <f>G253-273.15</f>
        <v/>
      </c>
      <c r="K253" s="15" t="n">
        <v>2001</v>
      </c>
      <c r="L253" s="15" t="n">
        <v>9</v>
      </c>
      <c r="M253" s="15" t="n">
        <v>9</v>
      </c>
      <c r="N253" s="16" t="n">
        <v>2.185364298e-05</v>
      </c>
      <c r="O253" s="11" t="n">
        <v>286.8102745</v>
      </c>
      <c r="P253" s="13">
        <f>N253*86400</f>
        <v/>
      </c>
      <c r="Q253" s="14">
        <f>O253-273.15</f>
        <v/>
      </c>
    </row>
    <row r="254">
      <c r="A254" s="9" t="n">
        <v>37141</v>
      </c>
      <c r="B254" s="7">
        <f>YEAR(A254)</f>
        <v/>
      </c>
      <c r="C254" s="7">
        <f>MONTH(A254)</f>
        <v/>
      </c>
      <c r="D254" s="10" t="n">
        <v>0</v>
      </c>
      <c r="E254" s="11" t="n">
        <v>13.16834142</v>
      </c>
      <c r="F254" s="12" t="n">
        <v>0.0005605926665</v>
      </c>
      <c r="G254" s="11" t="n">
        <v>288.5444279</v>
      </c>
      <c r="H254" s="13">
        <f>F254*1000</f>
        <v/>
      </c>
      <c r="I254" s="14">
        <f>G254-273.15</f>
        <v/>
      </c>
      <c r="K254" s="15" t="n">
        <v>2001</v>
      </c>
      <c r="L254" s="15" t="n">
        <v>9</v>
      </c>
      <c r="M254" s="15" t="n">
        <v>10</v>
      </c>
      <c r="N254" s="16" t="n">
        <v>5.330948302e-05</v>
      </c>
      <c r="O254" s="11" t="n">
        <v>287.1231604</v>
      </c>
      <c r="P254" s="13">
        <f>N254*86400</f>
        <v/>
      </c>
      <c r="Q254" s="14">
        <f>O254-273.15</f>
        <v/>
      </c>
    </row>
    <row r="255">
      <c r="A255" s="9" t="n">
        <v>37142</v>
      </c>
      <c r="B255" s="7">
        <f>YEAR(A255)</f>
        <v/>
      </c>
      <c r="C255" s="7">
        <f>MONTH(A255)</f>
        <v/>
      </c>
      <c r="D255" s="10" t="n">
        <v>5.34680757</v>
      </c>
      <c r="E255" s="11" t="n">
        <v>10.40025219</v>
      </c>
      <c r="F255" s="12" t="n">
        <v>0.005123112847</v>
      </c>
      <c r="G255" s="11" t="n">
        <v>284.9881714</v>
      </c>
      <c r="H255" s="13">
        <f>F255*1000</f>
        <v/>
      </c>
      <c r="I255" s="14">
        <f>G255-273.15</f>
        <v/>
      </c>
      <c r="K255" s="15" t="n">
        <v>2001</v>
      </c>
      <c r="L255" s="15" t="n">
        <v>9</v>
      </c>
      <c r="M255" s="15" t="n">
        <v>11</v>
      </c>
      <c r="N255" s="16" t="n">
        <v>9.621546017999999e-05</v>
      </c>
      <c r="O255" s="11" t="n">
        <v>285.7790572</v>
      </c>
      <c r="P255" s="13">
        <f>N255*86400</f>
        <v/>
      </c>
      <c r="Q255" s="14">
        <f>O255-273.15</f>
        <v/>
      </c>
    </row>
    <row r="256">
      <c r="A256" s="9" t="n">
        <v>37143</v>
      </c>
      <c r="B256" s="7">
        <f>YEAR(A256)</f>
        <v/>
      </c>
      <c r="C256" s="7">
        <f>MONTH(A256)</f>
        <v/>
      </c>
      <c r="D256" s="10" t="n">
        <v>0</v>
      </c>
      <c r="E256" s="11" t="n">
        <v>13.67387538</v>
      </c>
      <c r="F256" s="12" t="n">
        <v>0</v>
      </c>
      <c r="G256" s="11" t="n">
        <v>286.7262725</v>
      </c>
      <c r="H256" s="13">
        <f>F256*1000</f>
        <v/>
      </c>
      <c r="I256" s="14">
        <f>G256-273.15</f>
        <v/>
      </c>
      <c r="K256" s="15" t="n">
        <v>2001</v>
      </c>
      <c r="L256" s="15" t="n">
        <v>9</v>
      </c>
      <c r="M256" s="15" t="n">
        <v>12</v>
      </c>
      <c r="N256" s="16" t="n">
        <v>8.107753749e-05</v>
      </c>
      <c r="O256" s="11" t="n">
        <v>286.3932314</v>
      </c>
      <c r="P256" s="13">
        <f>N256*86400</f>
        <v/>
      </c>
      <c r="Q256" s="14">
        <f>O256-273.15</f>
        <v/>
      </c>
    </row>
    <row r="257">
      <c r="A257" s="9" t="n">
        <v>37144</v>
      </c>
      <c r="B257" s="7">
        <f>YEAR(A257)</f>
        <v/>
      </c>
      <c r="C257" s="7">
        <f>MONTH(A257)</f>
        <v/>
      </c>
      <c r="D257" s="10" t="n">
        <v>0</v>
      </c>
      <c r="E257" s="11" t="n">
        <v>15.46483015</v>
      </c>
      <c r="F257" s="12" t="n">
        <v>2.978416963e-05</v>
      </c>
      <c r="G257" s="11" t="n">
        <v>289.3457195</v>
      </c>
      <c r="H257" s="13">
        <f>F257*1000</f>
        <v/>
      </c>
      <c r="I257" s="14">
        <f>G257-273.15</f>
        <v/>
      </c>
      <c r="K257" s="15" t="n">
        <v>2001</v>
      </c>
      <c r="L257" s="15" t="n">
        <v>9</v>
      </c>
      <c r="M257" s="15" t="n">
        <v>13</v>
      </c>
      <c r="N257" s="16" t="n">
        <v>0</v>
      </c>
      <c r="O257" s="11" t="n">
        <v>285.0463623</v>
      </c>
      <c r="P257" s="13">
        <f>N257*86400</f>
        <v/>
      </c>
      <c r="Q257" s="14">
        <f>O257-273.15</f>
        <v/>
      </c>
    </row>
    <row r="258">
      <c r="A258" s="9" t="n">
        <v>37145</v>
      </c>
      <c r="B258" s="7">
        <f>YEAR(A258)</f>
        <v/>
      </c>
      <c r="C258" s="7">
        <f>MONTH(A258)</f>
        <v/>
      </c>
      <c r="D258" s="10" t="n">
        <v>0</v>
      </c>
      <c r="E258" s="11" t="n">
        <v>14.27361872</v>
      </c>
      <c r="F258" s="12" t="n">
        <v>0</v>
      </c>
      <c r="G258" s="11" t="n">
        <v>289.9246589</v>
      </c>
      <c r="H258" s="13">
        <f>F258*1000</f>
        <v/>
      </c>
      <c r="I258" s="14">
        <f>G258-273.15</f>
        <v/>
      </c>
      <c r="K258" s="15" t="n">
        <v>2001</v>
      </c>
      <c r="L258" s="15" t="n">
        <v>9</v>
      </c>
      <c r="M258" s="15" t="n">
        <v>14</v>
      </c>
      <c r="N258" s="16" t="n">
        <v>4.135001661e-06</v>
      </c>
      <c r="O258" s="11" t="n">
        <v>282.8626997</v>
      </c>
      <c r="P258" s="13">
        <f>N258*86400</f>
        <v/>
      </c>
      <c r="Q258" s="14">
        <f>O258-273.15</f>
        <v/>
      </c>
    </row>
    <row r="259">
      <c r="A259" s="9" t="n">
        <v>37146</v>
      </c>
      <c r="B259" s="7">
        <f>YEAR(A259)</f>
        <v/>
      </c>
      <c r="C259" s="7">
        <f>MONTH(A259)</f>
        <v/>
      </c>
      <c r="D259" s="10" t="n">
        <v>2.381699124</v>
      </c>
      <c r="E259" s="11" t="n">
        <v>13.91601834</v>
      </c>
      <c r="F259" s="12" t="n">
        <v>0.001664107656</v>
      </c>
      <c r="G259" s="11" t="n">
        <v>287.8959669</v>
      </c>
      <c r="H259" s="13">
        <f>F259*1000</f>
        <v/>
      </c>
      <c r="I259" s="14">
        <f>G259-273.15</f>
        <v/>
      </c>
      <c r="K259" s="15" t="n">
        <v>2001</v>
      </c>
      <c r="L259" s="15" t="n">
        <v>9</v>
      </c>
      <c r="M259" s="15" t="n">
        <v>15</v>
      </c>
      <c r="N259" s="16" t="n">
        <v>4.931503623e-07</v>
      </c>
      <c r="O259" s="11" t="n">
        <v>282.4502063</v>
      </c>
      <c r="P259" s="13">
        <f>N259*86400</f>
        <v/>
      </c>
      <c r="Q259" s="14">
        <f>O259-273.15</f>
        <v/>
      </c>
    </row>
    <row r="260">
      <c r="A260" s="9" t="n">
        <v>37147</v>
      </c>
      <c r="B260" s="7">
        <f>YEAR(A260)</f>
        <v/>
      </c>
      <c r="C260" s="7">
        <f>MONTH(A260)</f>
        <v/>
      </c>
      <c r="D260" s="10" t="n">
        <v>2.954280733</v>
      </c>
      <c r="E260" s="11" t="n">
        <v>12.69156615</v>
      </c>
      <c r="F260" s="12" t="n">
        <v>0</v>
      </c>
      <c r="G260" s="11" t="n">
        <v>287.1127177</v>
      </c>
      <c r="H260" s="13">
        <f>F260*1000</f>
        <v/>
      </c>
      <c r="I260" s="14">
        <f>G260-273.15</f>
        <v/>
      </c>
      <c r="K260" s="15" t="n">
        <v>2001</v>
      </c>
      <c r="L260" s="15" t="n">
        <v>9</v>
      </c>
      <c r="M260" s="15" t="n">
        <v>16</v>
      </c>
      <c r="N260" s="16" t="n">
        <v>0</v>
      </c>
      <c r="O260" s="11" t="n">
        <v>281.8855668</v>
      </c>
      <c r="P260" s="13">
        <f>N260*86400</f>
        <v/>
      </c>
      <c r="Q260" s="14">
        <f>O260-273.15</f>
        <v/>
      </c>
    </row>
    <row r="261">
      <c r="A261" s="9" t="n">
        <v>37148</v>
      </c>
      <c r="B261" s="7">
        <f>YEAR(A261)</f>
        <v/>
      </c>
      <c r="C261" s="7">
        <f>MONTH(A261)</f>
        <v/>
      </c>
      <c r="D261" s="10" t="n">
        <v>0</v>
      </c>
      <c r="E261" s="11" t="n">
        <v>10.91132764</v>
      </c>
      <c r="F261" s="12" t="n">
        <v>0</v>
      </c>
      <c r="G261" s="11" t="n">
        <v>285.3238201</v>
      </c>
      <c r="H261" s="13">
        <f>F261*1000</f>
        <v/>
      </c>
      <c r="I261" s="14">
        <f>G261-273.15</f>
        <v/>
      </c>
      <c r="K261" s="15" t="n">
        <v>2001</v>
      </c>
      <c r="L261" s="15" t="n">
        <v>9</v>
      </c>
      <c r="M261" s="15" t="n">
        <v>17</v>
      </c>
      <c r="N261" s="16" t="n">
        <v>6.34218922e-06</v>
      </c>
      <c r="O261" s="11" t="n">
        <v>281.2833146</v>
      </c>
      <c r="P261" s="13">
        <f>N261*86400</f>
        <v/>
      </c>
      <c r="Q261" s="14">
        <f>O261-273.15</f>
        <v/>
      </c>
    </row>
    <row r="262">
      <c r="A262" s="9" t="n">
        <v>37149</v>
      </c>
      <c r="B262" s="7">
        <f>YEAR(A262)</f>
        <v/>
      </c>
      <c r="C262" s="7">
        <f>MONTH(A262)</f>
        <v/>
      </c>
      <c r="D262" s="10" t="n">
        <v>0</v>
      </c>
      <c r="E262" s="11" t="n">
        <v>12.35349421</v>
      </c>
      <c r="F262" s="12" t="n">
        <v>0</v>
      </c>
      <c r="G262" s="11" t="n">
        <v>286.3663648</v>
      </c>
      <c r="H262" s="13">
        <f>F262*1000</f>
        <v/>
      </c>
      <c r="I262" s="14">
        <f>G262-273.15</f>
        <v/>
      </c>
      <c r="K262" s="15" t="n">
        <v>2001</v>
      </c>
      <c r="L262" s="15" t="n">
        <v>9</v>
      </c>
      <c r="M262" s="15" t="n">
        <v>18</v>
      </c>
      <c r="N262" s="16" t="n">
        <v>1.35102788e-05</v>
      </c>
      <c r="O262" s="11" t="n">
        <v>282.0642058</v>
      </c>
      <c r="P262" s="13">
        <f>N262*86400</f>
        <v/>
      </c>
      <c r="Q262" s="14">
        <f>O262-273.15</f>
        <v/>
      </c>
    </row>
    <row r="263">
      <c r="A263" s="9" t="n">
        <v>37150</v>
      </c>
      <c r="B263" s="7">
        <f>YEAR(A263)</f>
        <v/>
      </c>
      <c r="C263" s="7">
        <f>MONTH(A263)</f>
        <v/>
      </c>
      <c r="D263" s="10" t="n">
        <v>0</v>
      </c>
      <c r="E263" s="11" t="n">
        <v>12.62258645</v>
      </c>
      <c r="F263" s="12" t="n">
        <v>0</v>
      </c>
      <c r="G263" s="11" t="n">
        <v>287.5801713</v>
      </c>
      <c r="H263" s="13">
        <f>F263*1000</f>
        <v/>
      </c>
      <c r="I263" s="14">
        <f>G263-273.15</f>
        <v/>
      </c>
      <c r="K263" s="15" t="n">
        <v>2001</v>
      </c>
      <c r="L263" s="15" t="n">
        <v>9</v>
      </c>
      <c r="M263" s="15" t="n">
        <v>19</v>
      </c>
      <c r="N263" s="16" t="n">
        <v>0.0002296444915</v>
      </c>
      <c r="O263" s="11" t="n">
        <v>283.9707323</v>
      </c>
      <c r="P263" s="13">
        <f>N263*86400</f>
        <v/>
      </c>
      <c r="Q263" s="14">
        <f>O263-273.15</f>
        <v/>
      </c>
    </row>
    <row r="264">
      <c r="A264" s="9" t="n">
        <v>37151</v>
      </c>
      <c r="B264" s="7">
        <f>YEAR(A264)</f>
        <v/>
      </c>
      <c r="C264" s="7">
        <f>MONTH(A264)</f>
        <v/>
      </c>
      <c r="D264" s="10" t="n">
        <v>0</v>
      </c>
      <c r="E264" s="11" t="n">
        <v>12.00464145</v>
      </c>
      <c r="F264" s="12" t="n">
        <v>0</v>
      </c>
      <c r="G264" s="11" t="n">
        <v>287.0274646</v>
      </c>
      <c r="H264" s="13">
        <f>F264*1000</f>
        <v/>
      </c>
      <c r="I264" s="14">
        <f>G264-273.15</f>
        <v/>
      </c>
      <c r="K264" s="15" t="n">
        <v>2001</v>
      </c>
      <c r="L264" s="15" t="n">
        <v>9</v>
      </c>
      <c r="M264" s="15" t="n">
        <v>20</v>
      </c>
      <c r="N264" s="16" t="n">
        <v>8.096908289e-05</v>
      </c>
      <c r="O264" s="11" t="n">
        <v>281.7757151</v>
      </c>
      <c r="P264" s="13">
        <f>N264*86400</f>
        <v/>
      </c>
      <c r="Q264" s="14">
        <f>O264-273.15</f>
        <v/>
      </c>
    </row>
    <row r="265">
      <c r="A265" s="9" t="n">
        <v>37152</v>
      </c>
      <c r="B265" s="7">
        <f>YEAR(A265)</f>
        <v/>
      </c>
      <c r="C265" s="7">
        <f>MONTH(A265)</f>
        <v/>
      </c>
      <c r="D265" s="10" t="n">
        <v>0</v>
      </c>
      <c r="E265" s="11" t="n">
        <v>11.46961048</v>
      </c>
      <c r="F265" s="12" t="n">
        <v>0</v>
      </c>
      <c r="G265" s="11" t="n">
        <v>286.5642473</v>
      </c>
      <c r="H265" s="13">
        <f>F265*1000</f>
        <v/>
      </c>
      <c r="I265" s="14">
        <f>G265-273.15</f>
        <v/>
      </c>
      <c r="K265" s="15" t="n">
        <v>2001</v>
      </c>
      <c r="L265" s="15" t="n">
        <v>9</v>
      </c>
      <c r="M265" s="15" t="n">
        <v>21</v>
      </c>
      <c r="N265" s="16" t="n">
        <v>2.969185224e-06</v>
      </c>
      <c r="O265" s="11" t="n">
        <v>283.6587546</v>
      </c>
      <c r="P265" s="13">
        <f>N265*86400</f>
        <v/>
      </c>
      <c r="Q265" s="14">
        <f>O265-273.15</f>
        <v/>
      </c>
    </row>
    <row r="266">
      <c r="A266" s="9" t="n">
        <v>37153</v>
      </c>
      <c r="B266" s="7">
        <f>YEAR(A266)</f>
        <v/>
      </c>
      <c r="C266" s="7">
        <f>MONTH(A266)</f>
        <v/>
      </c>
      <c r="D266" s="10" t="n">
        <v>0</v>
      </c>
      <c r="E266" s="11" t="n">
        <v>14.64542281</v>
      </c>
      <c r="F266" s="12" t="n">
        <v>0</v>
      </c>
      <c r="G266" s="11" t="n">
        <v>289.1409847</v>
      </c>
      <c r="H266" s="13">
        <f>F266*1000</f>
        <v/>
      </c>
      <c r="I266" s="14">
        <f>G266-273.15</f>
        <v/>
      </c>
      <c r="K266" s="15" t="n">
        <v>2001</v>
      </c>
      <c r="L266" s="15" t="n">
        <v>9</v>
      </c>
      <c r="M266" s="15" t="n">
        <v>22</v>
      </c>
      <c r="N266" s="16" t="n">
        <v>4.775440248e-06</v>
      </c>
      <c r="O266" s="11" t="n">
        <v>284.9494976</v>
      </c>
      <c r="P266" s="13">
        <f>N266*86400</f>
        <v/>
      </c>
      <c r="Q266" s="14">
        <f>O266-273.15</f>
        <v/>
      </c>
    </row>
    <row r="267">
      <c r="A267" s="9" t="n">
        <v>37154</v>
      </c>
      <c r="B267" s="7">
        <f>YEAR(A267)</f>
        <v/>
      </c>
      <c r="C267" s="7">
        <f>MONTH(A267)</f>
        <v/>
      </c>
      <c r="D267" s="10" t="n">
        <v>0</v>
      </c>
      <c r="E267" s="11" t="n">
        <v>12.16412218</v>
      </c>
      <c r="F267" s="12" t="n">
        <v>0.004721180842</v>
      </c>
      <c r="G267" s="11" t="n">
        <v>287.3201716</v>
      </c>
      <c r="H267" s="13">
        <f>F267*1000</f>
        <v/>
      </c>
      <c r="I267" s="14">
        <f>G267-273.15</f>
        <v/>
      </c>
      <c r="K267" s="15" t="n">
        <v>2001</v>
      </c>
      <c r="L267" s="15" t="n">
        <v>9</v>
      </c>
      <c r="M267" s="15" t="n">
        <v>23</v>
      </c>
      <c r="N267" s="16" t="n">
        <v>2.688168301e-05</v>
      </c>
      <c r="O267" s="11" t="n">
        <v>284.1052703</v>
      </c>
      <c r="P267" s="13">
        <f>N267*86400</f>
        <v/>
      </c>
      <c r="Q267" s="14">
        <f>O267-273.15</f>
        <v/>
      </c>
    </row>
    <row r="268">
      <c r="A268" s="9" t="n">
        <v>37155</v>
      </c>
      <c r="B268" s="7">
        <f>YEAR(A268)</f>
        <v/>
      </c>
      <c r="C268" s="7">
        <f>MONTH(A268)</f>
        <v/>
      </c>
      <c r="D268" s="10" t="n">
        <v>0</v>
      </c>
      <c r="E268" s="11" t="n">
        <v>10.93031887</v>
      </c>
      <c r="F268" s="12" t="n">
        <v>0</v>
      </c>
      <c r="G268" s="11" t="n">
        <v>286.0235359</v>
      </c>
      <c r="H268" s="13">
        <f>F268*1000</f>
        <v/>
      </c>
      <c r="I268" s="14">
        <f>G268-273.15</f>
        <v/>
      </c>
      <c r="K268" s="15" t="n">
        <v>2001</v>
      </c>
      <c r="L268" s="15" t="n">
        <v>9</v>
      </c>
      <c r="M268" s="15" t="n">
        <v>24</v>
      </c>
      <c r="N268" s="16" t="n">
        <v>5.83900951e-06</v>
      </c>
      <c r="O268" s="11" t="n">
        <v>283.2066828</v>
      </c>
      <c r="P268" s="13">
        <f>N268*86400</f>
        <v/>
      </c>
      <c r="Q268" s="14">
        <f>O268-273.15</f>
        <v/>
      </c>
    </row>
    <row r="269">
      <c r="A269" s="9" t="n">
        <v>37156</v>
      </c>
      <c r="B269" s="7">
        <f>YEAR(A269)</f>
        <v/>
      </c>
      <c r="C269" s="7">
        <f>MONTH(A269)</f>
        <v/>
      </c>
      <c r="D269" s="10" t="n">
        <v>0</v>
      </c>
      <c r="E269" s="11" t="n">
        <v>9.177828773</v>
      </c>
      <c r="F269" s="12" t="n">
        <v>0</v>
      </c>
      <c r="G269" s="11" t="n">
        <v>284.6169873</v>
      </c>
      <c r="H269" s="13">
        <f>F269*1000</f>
        <v/>
      </c>
      <c r="I269" s="14">
        <f>G269-273.15</f>
        <v/>
      </c>
      <c r="K269" s="15" t="n">
        <v>2001</v>
      </c>
      <c r="L269" s="15" t="n">
        <v>9</v>
      </c>
      <c r="M269" s="15" t="n">
        <v>25</v>
      </c>
      <c r="N269" s="16" t="n">
        <v>1.607564033e-05</v>
      </c>
      <c r="O269" s="11" t="n">
        <v>282.9471559</v>
      </c>
      <c r="P269" s="13">
        <f>N269*86400</f>
        <v/>
      </c>
      <c r="Q269" s="14">
        <f>O269-273.15</f>
        <v/>
      </c>
    </row>
    <row r="270">
      <c r="A270" s="9" t="n">
        <v>37157</v>
      </c>
      <c r="B270" s="7">
        <f>YEAR(A270)</f>
        <v/>
      </c>
      <c r="C270" s="7">
        <f>MONTH(A270)</f>
        <v/>
      </c>
      <c r="D270" s="10" t="n">
        <v>0</v>
      </c>
      <c r="E270" s="11" t="n">
        <v>6.78592747</v>
      </c>
      <c r="F270" s="12" t="n">
        <v>0.0003423560523</v>
      </c>
      <c r="G270" s="11" t="n">
        <v>282.9484238</v>
      </c>
      <c r="H270" s="13">
        <f>F270*1000</f>
        <v/>
      </c>
      <c r="I270" s="14">
        <f>G270-273.15</f>
        <v/>
      </c>
      <c r="K270" s="15" t="n">
        <v>2001</v>
      </c>
      <c r="L270" s="15" t="n">
        <v>9</v>
      </c>
      <c r="M270" s="15" t="n">
        <v>26</v>
      </c>
      <c r="N270" s="16" t="n">
        <v>2.185664104e-06</v>
      </c>
      <c r="O270" s="11" t="n">
        <v>284.2039279</v>
      </c>
      <c r="P270" s="13">
        <f>N270*86400</f>
        <v/>
      </c>
      <c r="Q270" s="14">
        <f>O270-273.15</f>
        <v/>
      </c>
    </row>
    <row r="271">
      <c r="A271" s="9" t="n">
        <v>37158</v>
      </c>
      <c r="B271" s="7">
        <f>YEAR(A271)</f>
        <v/>
      </c>
      <c r="C271" s="7">
        <f>MONTH(A271)</f>
        <v/>
      </c>
      <c r="D271" s="10" t="n">
        <v>10.39078951</v>
      </c>
      <c r="E271" s="11" t="n">
        <v>8.074671401</v>
      </c>
      <c r="F271" s="12" t="n">
        <v>0.01509618126</v>
      </c>
      <c r="G271" s="11" t="n">
        <v>284.1627097</v>
      </c>
      <c r="H271" s="13">
        <f>F271*1000</f>
        <v/>
      </c>
      <c r="I271" s="14">
        <f>G271-273.15</f>
        <v/>
      </c>
      <c r="K271" s="15" t="n">
        <v>2001</v>
      </c>
      <c r="L271" s="15" t="n">
        <v>9</v>
      </c>
      <c r="M271" s="15" t="n">
        <v>27</v>
      </c>
      <c r="N271" s="16" t="n">
        <v>6.925637896e-06</v>
      </c>
      <c r="O271" s="11" t="n">
        <v>283.9685947</v>
      </c>
      <c r="P271" s="13">
        <f>N271*86400</f>
        <v/>
      </c>
      <c r="Q271" s="14">
        <f>O271-273.15</f>
        <v/>
      </c>
    </row>
    <row r="272">
      <c r="A272" s="9" t="n">
        <v>37159</v>
      </c>
      <c r="B272" s="7">
        <f>YEAR(A272)</f>
        <v/>
      </c>
      <c r="C272" s="7">
        <f>MONTH(A272)</f>
        <v/>
      </c>
      <c r="D272" s="10" t="n">
        <v>0</v>
      </c>
      <c r="E272" s="11" t="n">
        <v>7.610629371</v>
      </c>
      <c r="F272" s="12" t="n">
        <v>0</v>
      </c>
      <c r="G272" s="11" t="n">
        <v>283.0540774</v>
      </c>
      <c r="H272" s="13">
        <f>F272*1000</f>
        <v/>
      </c>
      <c r="I272" s="14">
        <f>G272-273.15</f>
        <v/>
      </c>
      <c r="K272" s="15" t="n">
        <v>2001</v>
      </c>
      <c r="L272" s="15" t="n">
        <v>9</v>
      </c>
      <c r="M272" s="15" t="n">
        <v>28</v>
      </c>
      <c r="N272" s="16" t="n">
        <v>1.532992206e-05</v>
      </c>
      <c r="O272" s="11" t="n">
        <v>283.6898867</v>
      </c>
      <c r="P272" s="13">
        <f>N272*86400</f>
        <v/>
      </c>
      <c r="Q272" s="14">
        <f>O272-273.15</f>
        <v/>
      </c>
    </row>
    <row r="273">
      <c r="A273" s="9" t="n">
        <v>37160</v>
      </c>
      <c r="B273" s="7">
        <f>YEAR(A273)</f>
        <v/>
      </c>
      <c r="C273" s="7">
        <f>MONTH(A273)</f>
        <v/>
      </c>
      <c r="D273" s="10" t="n">
        <v>0</v>
      </c>
      <c r="E273" s="11" t="n">
        <v>6.50184837</v>
      </c>
      <c r="F273" s="12" t="n">
        <v>0.0004151074642</v>
      </c>
      <c r="G273" s="11" t="n">
        <v>282.0857839</v>
      </c>
      <c r="H273" s="13">
        <f>F273*1000</f>
        <v/>
      </c>
      <c r="I273" s="14">
        <f>G273-273.15</f>
        <v/>
      </c>
      <c r="K273" s="15" t="n">
        <v>2001</v>
      </c>
      <c r="L273" s="15" t="n">
        <v>9</v>
      </c>
      <c r="M273" s="15" t="n">
        <v>29</v>
      </c>
      <c r="N273" s="16" t="n">
        <v>3.969851996e-06</v>
      </c>
      <c r="O273" s="11" t="n">
        <v>284.2554218</v>
      </c>
      <c r="P273" s="13">
        <f>N273*86400</f>
        <v/>
      </c>
      <c r="Q273" s="14">
        <f>O273-273.15</f>
        <v/>
      </c>
    </row>
    <row r="274">
      <c r="A274" s="9" t="n">
        <v>37161</v>
      </c>
      <c r="B274" s="7">
        <f>YEAR(A274)</f>
        <v/>
      </c>
      <c r="C274" s="7">
        <f>MONTH(A274)</f>
        <v/>
      </c>
      <c r="D274" s="10" t="n">
        <v>0</v>
      </c>
      <c r="E274" s="11" t="n">
        <v>7.146937872</v>
      </c>
      <c r="F274" s="12" t="n">
        <v>0</v>
      </c>
      <c r="G274" s="11" t="n">
        <v>283.0509813</v>
      </c>
      <c r="H274" s="13">
        <f>F274*1000</f>
        <v/>
      </c>
      <c r="I274" s="14">
        <f>G274-273.15</f>
        <v/>
      </c>
      <c r="K274" s="15" t="n">
        <v>2001</v>
      </c>
      <c r="L274" s="15" t="n">
        <v>9</v>
      </c>
      <c r="M274" s="15" t="n">
        <v>30</v>
      </c>
      <c r="N274" s="16" t="n">
        <v>1.14707366e-07</v>
      </c>
      <c r="O274" s="11" t="n">
        <v>283.9474011</v>
      </c>
      <c r="P274" s="13">
        <f>N274*86400</f>
        <v/>
      </c>
      <c r="Q274" s="14">
        <f>O274-273.15</f>
        <v/>
      </c>
    </row>
    <row r="275">
      <c r="A275" s="9" t="n">
        <v>37162</v>
      </c>
      <c r="B275" s="7">
        <f>YEAR(A275)</f>
        <v/>
      </c>
      <c r="C275" s="7">
        <f>MONTH(A275)</f>
        <v/>
      </c>
      <c r="D275" s="10" t="n">
        <v>0</v>
      </c>
      <c r="E275" s="11" t="n">
        <v>9.693829522</v>
      </c>
      <c r="F275" s="12" t="n">
        <v>0</v>
      </c>
      <c r="G275" s="11" t="n">
        <v>285.2525816</v>
      </c>
      <c r="H275" s="13">
        <f>F275*1000</f>
        <v/>
      </c>
      <c r="I275" s="14">
        <f>G275-273.15</f>
        <v/>
      </c>
      <c r="K275" s="15" t="n">
        <v>2001</v>
      </c>
      <c r="L275" s="15" t="n">
        <v>10</v>
      </c>
      <c r="M275" s="15" t="n">
        <v>1</v>
      </c>
      <c r="N275" s="16" t="n">
        <v>0</v>
      </c>
      <c r="O275" s="11" t="n">
        <v>286.3233996</v>
      </c>
      <c r="P275" s="13">
        <f>N275*86400</f>
        <v/>
      </c>
      <c r="Q275" s="14">
        <f>O275-273.15</f>
        <v/>
      </c>
    </row>
    <row r="276">
      <c r="A276" s="9" t="n">
        <v>37163</v>
      </c>
      <c r="B276" s="7">
        <f>YEAR(A276)</f>
        <v/>
      </c>
      <c r="C276" s="7">
        <f>MONTH(A276)</f>
        <v/>
      </c>
      <c r="D276" s="10" t="n">
        <v>0</v>
      </c>
      <c r="E276" s="11" t="n">
        <v>7.457037491</v>
      </c>
      <c r="F276" s="12" t="n">
        <v>0</v>
      </c>
      <c r="G276" s="11" t="n">
        <v>283.178868</v>
      </c>
      <c r="H276" s="13">
        <f>F276*1000</f>
        <v/>
      </c>
      <c r="I276" s="14">
        <f>G276-273.15</f>
        <v/>
      </c>
      <c r="K276" s="15" t="n">
        <v>2001</v>
      </c>
      <c r="L276" s="15" t="n">
        <v>10</v>
      </c>
      <c r="M276" s="15" t="n">
        <v>2</v>
      </c>
      <c r="N276" s="16" t="n">
        <v>0</v>
      </c>
      <c r="O276" s="11" t="n">
        <v>288.0544525</v>
      </c>
      <c r="P276" s="13">
        <f>N276*86400</f>
        <v/>
      </c>
      <c r="Q276" s="14">
        <f>O276-273.15</f>
        <v/>
      </c>
    </row>
    <row r="277">
      <c r="A277" s="9" t="n">
        <v>37164</v>
      </c>
      <c r="B277" s="7">
        <f>YEAR(A277)</f>
        <v/>
      </c>
      <c r="C277" s="7">
        <f>MONTH(A277)</f>
        <v/>
      </c>
      <c r="D277" s="10" t="n">
        <v>0</v>
      </c>
      <c r="E277" s="11" t="n">
        <v>7.299376971</v>
      </c>
      <c r="F277" s="12" t="n">
        <v>0.0008931945885</v>
      </c>
      <c r="G277" s="11" t="n">
        <v>283.0277051</v>
      </c>
      <c r="H277" s="13">
        <f>F277*1000</f>
        <v/>
      </c>
      <c r="I277" s="14">
        <f>G277-273.15</f>
        <v/>
      </c>
      <c r="K277" s="15" t="n">
        <v>2001</v>
      </c>
      <c r="L277" s="15" t="n">
        <v>10</v>
      </c>
      <c r="M277" s="15" t="n">
        <v>3</v>
      </c>
      <c r="N277" s="16" t="n">
        <v>0</v>
      </c>
      <c r="O277" s="11" t="n">
        <v>287.9955955</v>
      </c>
      <c r="P277" s="13">
        <f>N277*86400</f>
        <v/>
      </c>
      <c r="Q277" s="14">
        <f>O277-273.15</f>
        <v/>
      </c>
    </row>
    <row r="278">
      <c r="A278" s="9" t="n">
        <v>37165</v>
      </c>
      <c r="B278" s="7">
        <f>YEAR(A278)</f>
        <v/>
      </c>
      <c r="C278" s="7">
        <f>MONTH(A278)</f>
        <v/>
      </c>
      <c r="D278" s="10" t="n">
        <v>0</v>
      </c>
      <c r="E278" s="11" t="n">
        <v>4.383380314</v>
      </c>
      <c r="F278" s="12" t="n">
        <v>0.000410441846</v>
      </c>
      <c r="G278" s="11" t="n">
        <v>279.9646997</v>
      </c>
      <c r="H278" s="13">
        <f>F278*1000</f>
        <v/>
      </c>
      <c r="I278" s="14">
        <f>G278-273.15</f>
        <v/>
      </c>
      <c r="K278" s="15" t="n">
        <v>2001</v>
      </c>
      <c r="L278" s="15" t="n">
        <v>10</v>
      </c>
      <c r="M278" s="15" t="n">
        <v>4</v>
      </c>
      <c r="N278" s="16" t="n">
        <v>4.742614679e-06</v>
      </c>
      <c r="O278" s="11" t="n">
        <v>287.9236962</v>
      </c>
      <c r="P278" s="13">
        <f>N278*86400</f>
        <v/>
      </c>
      <c r="Q278" s="14">
        <f>O278-273.15</f>
        <v/>
      </c>
    </row>
    <row r="279">
      <c r="A279" s="9" t="n">
        <v>37166</v>
      </c>
      <c r="B279" s="7">
        <f>YEAR(A279)</f>
        <v/>
      </c>
      <c r="C279" s="7">
        <f>MONTH(A279)</f>
        <v/>
      </c>
      <c r="D279" s="10" t="n">
        <v>0</v>
      </c>
      <c r="E279" s="11" t="n">
        <v>6.090072559</v>
      </c>
      <c r="F279" s="12" t="n">
        <v>0</v>
      </c>
      <c r="G279" s="11" t="n">
        <v>282.3894115</v>
      </c>
      <c r="H279" s="13">
        <f>F279*1000</f>
        <v/>
      </c>
      <c r="I279" s="14">
        <f>G279-273.15</f>
        <v/>
      </c>
      <c r="K279" s="15" t="n">
        <v>2001</v>
      </c>
      <c r="L279" s="15" t="n">
        <v>10</v>
      </c>
      <c r="M279" s="15" t="n">
        <v>5</v>
      </c>
      <c r="N279" s="16" t="n">
        <v>0</v>
      </c>
      <c r="O279" s="11" t="n">
        <v>287.4927508</v>
      </c>
      <c r="P279" s="13">
        <f>N279*86400</f>
        <v/>
      </c>
      <c r="Q279" s="14">
        <f>O279-273.15</f>
        <v/>
      </c>
    </row>
    <row r="280">
      <c r="A280" s="9" t="n">
        <v>37167</v>
      </c>
      <c r="B280" s="7">
        <f>YEAR(A280)</f>
        <v/>
      </c>
      <c r="C280" s="7">
        <f>MONTH(A280)</f>
        <v/>
      </c>
      <c r="D280" s="10" t="n">
        <v>0</v>
      </c>
      <c r="E280" s="11" t="n">
        <v>8.663870944999999</v>
      </c>
      <c r="F280" s="12" t="n">
        <v>0.0008490949122</v>
      </c>
      <c r="G280" s="11" t="n">
        <v>283.8005369</v>
      </c>
      <c r="H280" s="13">
        <f>F280*1000</f>
        <v/>
      </c>
      <c r="I280" s="14">
        <f>G280-273.15</f>
        <v/>
      </c>
      <c r="K280" s="15" t="n">
        <v>2001</v>
      </c>
      <c r="L280" s="15" t="n">
        <v>10</v>
      </c>
      <c r="M280" s="15" t="n">
        <v>6</v>
      </c>
      <c r="N280" s="16" t="n">
        <v>0</v>
      </c>
      <c r="O280" s="11" t="n">
        <v>289.7071558</v>
      </c>
      <c r="P280" s="13">
        <f>N280*86400</f>
        <v/>
      </c>
      <c r="Q280" s="14">
        <f>O280-273.15</f>
        <v/>
      </c>
    </row>
    <row r="281">
      <c r="A281" s="9" t="n">
        <v>37168</v>
      </c>
      <c r="B281" s="7">
        <f>YEAR(A281)</f>
        <v/>
      </c>
      <c r="C281" s="7">
        <f>MONTH(A281)</f>
        <v/>
      </c>
      <c r="D281" s="10" t="n">
        <v>0</v>
      </c>
      <c r="E281" s="11" t="n">
        <v>5.109982467</v>
      </c>
      <c r="F281" s="12" t="n">
        <v>0.001158503242</v>
      </c>
      <c r="G281" s="11" t="n">
        <v>280.2628963</v>
      </c>
      <c r="H281" s="13">
        <f>F281*1000</f>
        <v/>
      </c>
      <c r="I281" s="14">
        <f>G281-273.15</f>
        <v/>
      </c>
      <c r="K281" s="15" t="n">
        <v>2001</v>
      </c>
      <c r="L281" s="15" t="n">
        <v>10</v>
      </c>
      <c r="M281" s="15" t="n">
        <v>7</v>
      </c>
      <c r="N281" s="16" t="n">
        <v>7.341165296e-09</v>
      </c>
      <c r="O281" s="11" t="n">
        <v>288.757852</v>
      </c>
      <c r="P281" s="13">
        <f>N281*86400</f>
        <v/>
      </c>
      <c r="Q281" s="14">
        <f>O281-273.15</f>
        <v/>
      </c>
    </row>
    <row r="282">
      <c r="A282" s="9" t="n">
        <v>37169</v>
      </c>
      <c r="B282" s="7">
        <f>YEAR(A282)</f>
        <v/>
      </c>
      <c r="C282" s="7">
        <f>MONTH(A282)</f>
        <v/>
      </c>
      <c r="D282" s="10" t="n">
        <v>0</v>
      </c>
      <c r="E282" s="11" t="n">
        <v>6.149336637</v>
      </c>
      <c r="F282" s="12" t="n">
        <v>0</v>
      </c>
      <c r="G282" s="11" t="n">
        <v>280.8881561</v>
      </c>
      <c r="H282" s="13">
        <f>F282*1000</f>
        <v/>
      </c>
      <c r="I282" s="14">
        <f>G282-273.15</f>
        <v/>
      </c>
      <c r="K282" s="15" t="n">
        <v>2001</v>
      </c>
      <c r="L282" s="15" t="n">
        <v>10</v>
      </c>
      <c r="M282" s="15" t="n">
        <v>8</v>
      </c>
      <c r="N282" s="16" t="n">
        <v>2.567373765e-05</v>
      </c>
      <c r="O282" s="11" t="n">
        <v>286.3847093</v>
      </c>
      <c r="P282" s="13">
        <f>N282*86400</f>
        <v/>
      </c>
      <c r="Q282" s="14">
        <f>O282-273.15</f>
        <v/>
      </c>
    </row>
    <row r="283">
      <c r="A283" s="9" t="n">
        <v>37170</v>
      </c>
      <c r="B283" s="7">
        <f>YEAR(A283)</f>
        <v/>
      </c>
      <c r="C283" s="7">
        <f>MONTH(A283)</f>
        <v/>
      </c>
      <c r="D283" s="10" t="n">
        <v>0</v>
      </c>
      <c r="E283" s="11" t="n">
        <v>7.506547161</v>
      </c>
      <c r="F283" s="12" t="n">
        <v>0</v>
      </c>
      <c r="G283" s="11" t="n">
        <v>282.0660591</v>
      </c>
      <c r="H283" s="13">
        <f>F283*1000</f>
        <v/>
      </c>
      <c r="I283" s="14">
        <f>G283-273.15</f>
        <v/>
      </c>
      <c r="K283" s="15" t="n">
        <v>2001</v>
      </c>
      <c r="L283" s="15" t="n">
        <v>10</v>
      </c>
      <c r="M283" s="15" t="n">
        <v>9</v>
      </c>
      <c r="N283" s="16" t="n">
        <v>2.07015398e-05</v>
      </c>
      <c r="O283" s="11" t="n">
        <v>287.0553766</v>
      </c>
      <c r="P283" s="13">
        <f>N283*86400</f>
        <v/>
      </c>
      <c r="Q283" s="14">
        <f>O283-273.15</f>
        <v/>
      </c>
    </row>
    <row r="284">
      <c r="A284" s="9" t="n">
        <v>37171</v>
      </c>
      <c r="B284" s="7">
        <f>YEAR(A284)</f>
        <v/>
      </c>
      <c r="C284" s="7">
        <f>MONTH(A284)</f>
        <v/>
      </c>
      <c r="D284" s="10" t="n">
        <v>0</v>
      </c>
      <c r="E284" s="11" t="n">
        <v>7.133762438</v>
      </c>
      <c r="F284" s="12" t="n">
        <v>0</v>
      </c>
      <c r="G284" s="11" t="n">
        <v>281.8798729</v>
      </c>
      <c r="H284" s="13">
        <f>F284*1000</f>
        <v/>
      </c>
      <c r="I284" s="14">
        <f>G284-273.15</f>
        <v/>
      </c>
      <c r="K284" s="15" t="n">
        <v>2001</v>
      </c>
      <c r="L284" s="15" t="n">
        <v>10</v>
      </c>
      <c r="M284" s="15" t="n">
        <v>10</v>
      </c>
      <c r="N284" s="16" t="n">
        <v>1.887935513e-07</v>
      </c>
      <c r="O284" s="11" t="n">
        <v>287.4193741</v>
      </c>
      <c r="P284" s="13">
        <f>N284*86400</f>
        <v/>
      </c>
      <c r="Q284" s="14">
        <f>O284-273.15</f>
        <v/>
      </c>
    </row>
    <row r="285">
      <c r="A285" s="9" t="n">
        <v>37172</v>
      </c>
      <c r="B285" s="7">
        <f>YEAR(A285)</f>
        <v/>
      </c>
      <c r="C285" s="7">
        <f>MONTH(A285)</f>
        <v/>
      </c>
      <c r="D285" s="10" t="n">
        <v>0</v>
      </c>
      <c r="E285" s="11" t="n">
        <v>7.880158064</v>
      </c>
      <c r="F285" s="12" t="n">
        <v>0</v>
      </c>
      <c r="G285" s="11" t="n">
        <v>282.1341523</v>
      </c>
      <c r="H285" s="13">
        <f>F285*1000</f>
        <v/>
      </c>
      <c r="I285" s="14">
        <f>G285-273.15</f>
        <v/>
      </c>
      <c r="K285" s="15" t="n">
        <v>2001</v>
      </c>
      <c r="L285" s="15" t="n">
        <v>10</v>
      </c>
      <c r="M285" s="15" t="n">
        <v>11</v>
      </c>
      <c r="N285" s="16" t="n">
        <v>6.088229782e-05</v>
      </c>
      <c r="O285" s="11" t="n">
        <v>286.1874387</v>
      </c>
      <c r="P285" s="13">
        <f>N285*86400</f>
        <v/>
      </c>
      <c r="Q285" s="14">
        <f>O285-273.15</f>
        <v/>
      </c>
    </row>
    <row r="286">
      <c r="A286" s="9" t="n">
        <v>37173</v>
      </c>
      <c r="B286" s="7">
        <f>YEAR(A286)</f>
        <v/>
      </c>
      <c r="C286" s="7">
        <f>MONTH(A286)</f>
        <v/>
      </c>
      <c r="D286" s="10" t="n">
        <v>0</v>
      </c>
      <c r="E286" s="11" t="n">
        <v>7.443580406</v>
      </c>
      <c r="F286" s="12" t="n">
        <v>0</v>
      </c>
      <c r="G286" s="11" t="n">
        <v>281.0925597</v>
      </c>
      <c r="H286" s="13">
        <f>F286*1000</f>
        <v/>
      </c>
      <c r="I286" s="14">
        <f>G286-273.15</f>
        <v/>
      </c>
      <c r="K286" s="15" t="n">
        <v>2001</v>
      </c>
      <c r="L286" s="15" t="n">
        <v>10</v>
      </c>
      <c r="M286" s="15" t="n">
        <v>12</v>
      </c>
      <c r="N286" s="16" t="n">
        <v>1.189216841e-06</v>
      </c>
      <c r="O286" s="11" t="n">
        <v>283.4160058</v>
      </c>
      <c r="P286" s="13">
        <f>N286*86400</f>
        <v/>
      </c>
      <c r="Q286" s="14">
        <f>O286-273.15</f>
        <v/>
      </c>
    </row>
    <row r="287">
      <c r="A287" s="9" t="n">
        <v>37174</v>
      </c>
      <c r="B287" s="7">
        <f>YEAR(A287)</f>
        <v/>
      </c>
      <c r="C287" s="7">
        <f>MONTH(A287)</f>
        <v/>
      </c>
      <c r="D287" s="10" t="n">
        <v>0</v>
      </c>
      <c r="E287" s="11" t="n">
        <v>7.161961903</v>
      </c>
      <c r="F287" s="12" t="n">
        <v>0</v>
      </c>
      <c r="G287" s="11" t="n">
        <v>280.9173894</v>
      </c>
      <c r="H287" s="13">
        <f>F287*1000</f>
        <v/>
      </c>
      <c r="I287" s="14">
        <f>G287-273.15</f>
        <v/>
      </c>
      <c r="K287" s="15" t="n">
        <v>2001</v>
      </c>
      <c r="L287" s="15" t="n">
        <v>10</v>
      </c>
      <c r="M287" s="15" t="n">
        <v>13</v>
      </c>
      <c r="N287" s="16" t="n">
        <v>2.054073808e-05</v>
      </c>
      <c r="O287" s="11" t="n">
        <v>285.6422613</v>
      </c>
      <c r="P287" s="13">
        <f>N287*86400</f>
        <v/>
      </c>
      <c r="Q287" s="14">
        <f>O287-273.15</f>
        <v/>
      </c>
    </row>
    <row r="288">
      <c r="A288" s="9" t="n">
        <v>37175</v>
      </c>
      <c r="B288" s="7">
        <f>YEAR(A288)</f>
        <v/>
      </c>
      <c r="C288" s="7">
        <f>MONTH(A288)</f>
        <v/>
      </c>
      <c r="D288" s="10" t="n">
        <v>0</v>
      </c>
      <c r="E288" s="11" t="n">
        <v>9.016355437</v>
      </c>
      <c r="F288" s="12" t="n">
        <v>1.692305047e-05</v>
      </c>
      <c r="G288" s="11" t="n">
        <v>283.6340893</v>
      </c>
      <c r="H288" s="13">
        <f>F288*1000</f>
        <v/>
      </c>
      <c r="I288" s="14">
        <f>G288-273.15</f>
        <v/>
      </c>
      <c r="K288" s="15" t="n">
        <v>2001</v>
      </c>
      <c r="L288" s="15" t="n">
        <v>10</v>
      </c>
      <c r="M288" s="15" t="n">
        <v>14</v>
      </c>
      <c r="N288" s="16" t="n">
        <v>1.311724775e-05</v>
      </c>
      <c r="O288" s="11" t="n">
        <v>286.8194439</v>
      </c>
      <c r="P288" s="13">
        <f>N288*86400</f>
        <v/>
      </c>
      <c r="Q288" s="14">
        <f>O288-273.15</f>
        <v/>
      </c>
    </row>
    <row r="289">
      <c r="A289" s="9" t="n">
        <v>37176</v>
      </c>
      <c r="B289" s="7">
        <f>YEAR(A289)</f>
        <v/>
      </c>
      <c r="C289" s="7">
        <f>MONTH(A289)</f>
        <v/>
      </c>
      <c r="D289" s="10" t="n">
        <v>0</v>
      </c>
      <c r="E289" s="11" t="n">
        <v>7.795658369</v>
      </c>
      <c r="F289" s="12" t="n">
        <v>0.0001378949237</v>
      </c>
      <c r="G289" s="11" t="n">
        <v>283.7858993</v>
      </c>
      <c r="H289" s="13">
        <f>F289*1000</f>
        <v/>
      </c>
      <c r="I289" s="14">
        <f>G289-273.15</f>
        <v/>
      </c>
      <c r="K289" s="15" t="n">
        <v>2001</v>
      </c>
      <c r="L289" s="15" t="n">
        <v>10</v>
      </c>
      <c r="M289" s="15" t="n">
        <v>15</v>
      </c>
      <c r="N289" s="16" t="n">
        <v>4.526636819e-06</v>
      </c>
      <c r="O289" s="11" t="n">
        <v>284.7585856</v>
      </c>
      <c r="P289" s="13">
        <f>N289*86400</f>
        <v/>
      </c>
      <c r="Q289" s="14">
        <f>O289-273.15</f>
        <v/>
      </c>
    </row>
    <row r="290">
      <c r="A290" s="9" t="n">
        <v>37177</v>
      </c>
      <c r="B290" s="7">
        <f>YEAR(A290)</f>
        <v/>
      </c>
      <c r="C290" s="7">
        <f>MONTH(A290)</f>
        <v/>
      </c>
      <c r="D290" s="10" t="n">
        <v>0</v>
      </c>
      <c r="E290" s="11" t="n">
        <v>5.607986264</v>
      </c>
      <c r="F290" s="12" t="n">
        <v>0</v>
      </c>
      <c r="G290" s="11" t="n">
        <v>281.9654452</v>
      </c>
      <c r="H290" s="13">
        <f>F290*1000</f>
        <v/>
      </c>
      <c r="I290" s="14">
        <f>G290-273.15</f>
        <v/>
      </c>
      <c r="K290" s="15" t="n">
        <v>2001</v>
      </c>
      <c r="L290" s="15" t="n">
        <v>10</v>
      </c>
      <c r="M290" s="15" t="n">
        <v>16</v>
      </c>
      <c r="N290" s="16" t="n">
        <v>0</v>
      </c>
      <c r="O290" s="11" t="n">
        <v>283.5665391</v>
      </c>
      <c r="P290" s="13">
        <f>N290*86400</f>
        <v/>
      </c>
      <c r="Q290" s="14">
        <f>O290-273.15</f>
        <v/>
      </c>
    </row>
    <row r="291">
      <c r="A291" s="9" t="n">
        <v>37178</v>
      </c>
      <c r="B291" s="7">
        <f>YEAR(A291)</f>
        <v/>
      </c>
      <c r="C291" s="7">
        <f>MONTH(A291)</f>
        <v/>
      </c>
      <c r="D291" s="10" t="n">
        <v>0</v>
      </c>
      <c r="E291" s="11" t="n">
        <v>7.73436775</v>
      </c>
      <c r="F291" s="12" t="n">
        <v>0</v>
      </c>
      <c r="G291" s="11" t="n">
        <v>284.4157842</v>
      </c>
      <c r="H291" s="13">
        <f>F291*1000</f>
        <v/>
      </c>
      <c r="I291" s="14">
        <f>G291-273.15</f>
        <v/>
      </c>
      <c r="K291" s="15" t="n">
        <v>2001</v>
      </c>
      <c r="L291" s="15" t="n">
        <v>10</v>
      </c>
      <c r="M291" s="15" t="n">
        <v>17</v>
      </c>
      <c r="N291" s="16" t="n">
        <v>0</v>
      </c>
      <c r="O291" s="11" t="n">
        <v>283.6367425</v>
      </c>
      <c r="P291" s="13">
        <f>N291*86400</f>
        <v/>
      </c>
      <c r="Q291" s="14">
        <f>O291-273.15</f>
        <v/>
      </c>
    </row>
    <row r="292">
      <c r="A292" s="9" t="n">
        <v>37179</v>
      </c>
      <c r="B292" s="7">
        <f>YEAR(A292)</f>
        <v/>
      </c>
      <c r="C292" s="7">
        <f>MONTH(A292)</f>
        <v/>
      </c>
      <c r="D292" s="10" t="n">
        <v>0</v>
      </c>
      <c r="E292" s="11" t="n">
        <v>8.554914469</v>
      </c>
      <c r="F292" s="12" t="n">
        <v>0</v>
      </c>
      <c r="G292" s="11" t="n">
        <v>284.4453953</v>
      </c>
      <c r="H292" s="13">
        <f>F292*1000</f>
        <v/>
      </c>
      <c r="I292" s="14">
        <f>G292-273.15</f>
        <v/>
      </c>
      <c r="K292" s="15" t="n">
        <v>2001</v>
      </c>
      <c r="L292" s="15" t="n">
        <v>10</v>
      </c>
      <c r="M292" s="15" t="n">
        <v>18</v>
      </c>
      <c r="N292" s="16" t="n">
        <v>1.310378059e-05</v>
      </c>
      <c r="O292" s="11" t="n">
        <v>284.2807719</v>
      </c>
      <c r="P292" s="13">
        <f>N292*86400</f>
        <v/>
      </c>
      <c r="Q292" s="14">
        <f>O292-273.15</f>
        <v/>
      </c>
    </row>
    <row r="293">
      <c r="A293" s="9" t="n">
        <v>37180</v>
      </c>
      <c r="B293" s="7">
        <f>YEAR(A293)</f>
        <v/>
      </c>
      <c r="C293" s="7">
        <f>MONTH(A293)</f>
        <v/>
      </c>
      <c r="D293" s="10" t="n">
        <v>0</v>
      </c>
      <c r="E293" s="11" t="n">
        <v>6.513795231</v>
      </c>
      <c r="F293" s="12" t="n">
        <v>0</v>
      </c>
      <c r="G293" s="11" t="n">
        <v>281.8370055</v>
      </c>
      <c r="H293" s="13">
        <f>F293*1000</f>
        <v/>
      </c>
      <c r="I293" s="14">
        <f>G293-273.15</f>
        <v/>
      </c>
      <c r="K293" s="15" t="n">
        <v>2001</v>
      </c>
      <c r="L293" s="15" t="n">
        <v>10</v>
      </c>
      <c r="M293" s="15" t="n">
        <v>19</v>
      </c>
      <c r="N293" s="16" t="n">
        <v>5.572623264e-06</v>
      </c>
      <c r="O293" s="11" t="n">
        <v>281.1103297</v>
      </c>
      <c r="P293" s="13">
        <f>N293*86400</f>
        <v/>
      </c>
      <c r="Q293" s="14">
        <f>O293-273.15</f>
        <v/>
      </c>
    </row>
    <row r="294">
      <c r="A294" s="9" t="n">
        <v>37181</v>
      </c>
      <c r="B294" s="7">
        <f>YEAR(A294)</f>
        <v/>
      </c>
      <c r="C294" s="7">
        <f>MONTH(A294)</f>
        <v/>
      </c>
      <c r="D294" s="10" t="n">
        <v>0</v>
      </c>
      <c r="E294" s="11" t="n">
        <v>4.542568362</v>
      </c>
      <c r="F294" s="12" t="n">
        <v>0</v>
      </c>
      <c r="G294" s="11" t="n">
        <v>280.4474751</v>
      </c>
      <c r="H294" s="13">
        <f>F294*1000</f>
        <v/>
      </c>
      <c r="I294" s="14">
        <f>G294-273.15</f>
        <v/>
      </c>
      <c r="K294" s="15" t="n">
        <v>2001</v>
      </c>
      <c r="L294" s="15" t="n">
        <v>10</v>
      </c>
      <c r="M294" s="15" t="n">
        <v>20</v>
      </c>
      <c r="N294" s="16" t="n">
        <v>4.020448771e-05</v>
      </c>
      <c r="O294" s="11" t="n">
        <v>280.9419887</v>
      </c>
      <c r="P294" s="13">
        <f>N294*86400</f>
        <v/>
      </c>
      <c r="Q294" s="14">
        <f>O294-273.15</f>
        <v/>
      </c>
    </row>
    <row r="295">
      <c r="A295" s="9" t="n">
        <v>37182</v>
      </c>
      <c r="B295" s="7">
        <f>YEAR(A295)</f>
        <v/>
      </c>
      <c r="C295" s="7">
        <f>MONTH(A295)</f>
        <v/>
      </c>
      <c r="D295" s="10" t="n">
        <v>0</v>
      </c>
      <c r="E295" s="11" t="n">
        <v>2.902780402</v>
      </c>
      <c r="F295" s="12" t="n">
        <v>0</v>
      </c>
      <c r="G295" s="11" t="n">
        <v>277.8893491</v>
      </c>
      <c r="H295" s="13">
        <f>F295*1000</f>
        <v/>
      </c>
      <c r="I295" s="14">
        <f>G295-273.15</f>
        <v/>
      </c>
      <c r="K295" s="15" t="n">
        <v>2001</v>
      </c>
      <c r="L295" s="15" t="n">
        <v>10</v>
      </c>
      <c r="M295" s="15" t="n">
        <v>21</v>
      </c>
      <c r="N295" s="16" t="n">
        <v>5.640428186e-05</v>
      </c>
      <c r="O295" s="11" t="n">
        <v>281.5117701</v>
      </c>
      <c r="P295" s="13">
        <f>N295*86400</f>
        <v/>
      </c>
      <c r="Q295" s="14">
        <f>O295-273.15</f>
        <v/>
      </c>
    </row>
    <row r="296">
      <c r="A296" s="9" t="n">
        <v>37183</v>
      </c>
      <c r="B296" s="7">
        <f>YEAR(A296)</f>
        <v/>
      </c>
      <c r="C296" s="7">
        <f>MONTH(A296)</f>
        <v/>
      </c>
      <c r="D296" s="10" t="n">
        <v>0</v>
      </c>
      <c r="E296" s="11" t="n">
        <v>3.085132843</v>
      </c>
      <c r="F296" s="12" t="n">
        <v>0</v>
      </c>
      <c r="G296" s="11" t="n">
        <v>278.4216899</v>
      </c>
      <c r="H296" s="13">
        <f>F296*1000</f>
        <v/>
      </c>
      <c r="I296" s="14">
        <f>G296-273.15</f>
        <v/>
      </c>
      <c r="K296" s="15" t="n">
        <v>2001</v>
      </c>
      <c r="L296" s="15" t="n">
        <v>10</v>
      </c>
      <c r="M296" s="15" t="n">
        <v>22</v>
      </c>
      <c r="N296" s="16" t="n">
        <v>9.575447298999999e-07</v>
      </c>
      <c r="O296" s="11" t="n">
        <v>281.8964055</v>
      </c>
      <c r="P296" s="13">
        <f>N296*86400</f>
        <v/>
      </c>
      <c r="Q296" s="14">
        <f>O296-273.15</f>
        <v/>
      </c>
    </row>
    <row r="297">
      <c r="A297" s="9" t="n">
        <v>37184</v>
      </c>
      <c r="B297" s="7">
        <f>YEAR(A297)</f>
        <v/>
      </c>
      <c r="C297" s="7">
        <f>MONTH(A297)</f>
        <v/>
      </c>
      <c r="D297" s="10" t="n">
        <v>0</v>
      </c>
      <c r="E297" s="11" t="n">
        <v>4.755917561</v>
      </c>
      <c r="F297" s="12" t="n">
        <v>3.977285056e-05</v>
      </c>
      <c r="G297" s="11" t="n">
        <v>279.5578472</v>
      </c>
      <c r="H297" s="13">
        <f>F297*1000</f>
        <v/>
      </c>
      <c r="I297" s="14">
        <f>G297-273.15</f>
        <v/>
      </c>
      <c r="K297" s="15" t="n">
        <v>2001</v>
      </c>
      <c r="L297" s="15" t="n">
        <v>10</v>
      </c>
      <c r="M297" s="15" t="n">
        <v>23</v>
      </c>
      <c r="N297" s="16" t="n">
        <v>3.745236838e-05</v>
      </c>
      <c r="O297" s="11" t="n">
        <v>281.2726924</v>
      </c>
      <c r="P297" s="13">
        <f>N297*86400</f>
        <v/>
      </c>
      <c r="Q297" s="14">
        <f>O297-273.15</f>
        <v/>
      </c>
    </row>
    <row r="298">
      <c r="A298" s="9" t="n">
        <v>37185</v>
      </c>
      <c r="B298" s="7">
        <f>YEAR(A298)</f>
        <v/>
      </c>
      <c r="C298" s="7">
        <f>MONTH(A298)</f>
        <v/>
      </c>
      <c r="D298" s="10" t="n">
        <v>0</v>
      </c>
      <c r="E298" s="11" t="n">
        <v>7.076506644</v>
      </c>
      <c r="F298" s="12" t="n">
        <v>0</v>
      </c>
      <c r="G298" s="11" t="n">
        <v>282.1440624</v>
      </c>
      <c r="H298" s="13">
        <f>F298*1000</f>
        <v/>
      </c>
      <c r="I298" s="14">
        <f>G298-273.15</f>
        <v/>
      </c>
      <c r="K298" s="15" t="n">
        <v>2001</v>
      </c>
      <c r="L298" s="15" t="n">
        <v>10</v>
      </c>
      <c r="M298" s="15" t="n">
        <v>24</v>
      </c>
      <c r="N298" s="16" t="n">
        <v>1.462178543e-07</v>
      </c>
      <c r="O298" s="11" t="n">
        <v>280.2551434</v>
      </c>
      <c r="P298" s="13">
        <f>N298*86400</f>
        <v/>
      </c>
      <c r="Q298" s="14">
        <f>O298-273.15</f>
        <v/>
      </c>
    </row>
    <row r="299">
      <c r="A299" s="9" t="n">
        <v>37186</v>
      </c>
      <c r="B299" s="7">
        <f>YEAR(A299)</f>
        <v/>
      </c>
      <c r="C299" s="7">
        <f>MONTH(A299)</f>
        <v/>
      </c>
      <c r="D299" s="10" t="n">
        <v>0</v>
      </c>
      <c r="E299" s="11" t="n">
        <v>7.269757777</v>
      </c>
      <c r="F299" s="12" t="n">
        <v>0.0002137130728</v>
      </c>
      <c r="G299" s="11" t="n">
        <v>282.2342929</v>
      </c>
      <c r="H299" s="13">
        <f>F299*1000</f>
        <v/>
      </c>
      <c r="I299" s="14">
        <f>G299-273.15</f>
        <v/>
      </c>
      <c r="K299" s="15" t="n">
        <v>2001</v>
      </c>
      <c r="L299" s="15" t="n">
        <v>10</v>
      </c>
      <c r="M299" s="15" t="n">
        <v>25</v>
      </c>
      <c r="N299" s="16" t="n">
        <v>1.348069631e-05</v>
      </c>
      <c r="O299" s="11" t="n">
        <v>283.2564163</v>
      </c>
      <c r="P299" s="13">
        <f>N299*86400</f>
        <v/>
      </c>
      <c r="Q299" s="14">
        <f>O299-273.15</f>
        <v/>
      </c>
    </row>
    <row r="300">
      <c r="A300" s="9" t="n">
        <v>37187</v>
      </c>
      <c r="B300" s="7">
        <f>YEAR(A300)</f>
        <v/>
      </c>
      <c r="C300" s="7">
        <f>MONTH(A300)</f>
        <v/>
      </c>
      <c r="D300" s="10" t="n">
        <v>1.13999852</v>
      </c>
      <c r="E300" s="11" t="n">
        <v>6.536747971</v>
      </c>
      <c r="F300" s="12" t="n">
        <v>0.001258735299</v>
      </c>
      <c r="G300" s="11" t="n">
        <v>281.3772194</v>
      </c>
      <c r="H300" s="13">
        <f>F300*1000</f>
        <v/>
      </c>
      <c r="I300" s="14">
        <f>G300-273.15</f>
        <v/>
      </c>
      <c r="K300" s="15" t="n">
        <v>2001</v>
      </c>
      <c r="L300" s="15" t="n">
        <v>10</v>
      </c>
      <c r="M300" s="15" t="n">
        <v>26</v>
      </c>
      <c r="N300" s="16" t="n">
        <v>2.764647445e-07</v>
      </c>
      <c r="O300" s="11" t="n">
        <v>282.5134099</v>
      </c>
      <c r="P300" s="13">
        <f>N300*86400</f>
        <v/>
      </c>
      <c r="Q300" s="14">
        <f>O300-273.15</f>
        <v/>
      </c>
    </row>
    <row r="301">
      <c r="A301" s="9" t="n">
        <v>37188</v>
      </c>
      <c r="B301" s="7">
        <f>YEAR(A301)</f>
        <v/>
      </c>
      <c r="C301" s="7">
        <f>MONTH(A301)</f>
        <v/>
      </c>
      <c r="D301" s="10" t="n">
        <v>0</v>
      </c>
      <c r="E301" s="11" t="n">
        <v>4.010852056</v>
      </c>
      <c r="F301" s="12" t="n">
        <v>0.0002801121588</v>
      </c>
      <c r="G301" s="11" t="n">
        <v>279.1120807</v>
      </c>
      <c r="H301" s="13">
        <f>F301*1000</f>
        <v/>
      </c>
      <c r="I301" s="14">
        <f>G301-273.15</f>
        <v/>
      </c>
      <c r="K301" s="15" t="n">
        <v>2001</v>
      </c>
      <c r="L301" s="15" t="n">
        <v>10</v>
      </c>
      <c r="M301" s="15" t="n">
        <v>27</v>
      </c>
      <c r="N301" s="16" t="n">
        <v>0</v>
      </c>
      <c r="O301" s="11" t="n">
        <v>282.176804</v>
      </c>
      <c r="P301" s="13">
        <f>N301*86400</f>
        <v/>
      </c>
      <c r="Q301" s="14">
        <f>O301-273.15</f>
        <v/>
      </c>
    </row>
    <row r="302">
      <c r="A302" s="9" t="n">
        <v>37189</v>
      </c>
      <c r="B302" s="7">
        <f>YEAR(A302)</f>
        <v/>
      </c>
      <c r="C302" s="7">
        <f>MONTH(A302)</f>
        <v/>
      </c>
      <c r="D302" s="10" t="n">
        <v>0</v>
      </c>
      <c r="E302" s="11" t="n">
        <v>5.280948804</v>
      </c>
      <c r="F302" s="12" t="n">
        <v>0</v>
      </c>
      <c r="G302" s="11" t="n">
        <v>279.4660523</v>
      </c>
      <c r="H302" s="13">
        <f>F302*1000</f>
        <v/>
      </c>
      <c r="I302" s="14">
        <f>G302-273.15</f>
        <v/>
      </c>
      <c r="K302" s="15" t="n">
        <v>2001</v>
      </c>
      <c r="L302" s="15" t="n">
        <v>10</v>
      </c>
      <c r="M302" s="15" t="n">
        <v>28</v>
      </c>
      <c r="N302" s="16" t="n">
        <v>0</v>
      </c>
      <c r="O302" s="11" t="n">
        <v>282.7661323</v>
      </c>
      <c r="P302" s="13">
        <f>N302*86400</f>
        <v/>
      </c>
      <c r="Q302" s="14">
        <f>O302-273.15</f>
        <v/>
      </c>
    </row>
    <row r="303">
      <c r="A303" s="9" t="n">
        <v>37190</v>
      </c>
      <c r="B303" s="7">
        <f>YEAR(A303)</f>
        <v/>
      </c>
      <c r="C303" s="7">
        <f>MONTH(A303)</f>
        <v/>
      </c>
      <c r="D303" s="10" t="n">
        <v>0</v>
      </c>
      <c r="E303" s="11" t="n">
        <v>6.407840135</v>
      </c>
      <c r="F303" s="12" t="n">
        <v>0</v>
      </c>
      <c r="G303" s="11" t="n">
        <v>280.2470234</v>
      </c>
      <c r="H303" s="13">
        <f>F303*1000</f>
        <v/>
      </c>
      <c r="I303" s="14">
        <f>G303-273.15</f>
        <v/>
      </c>
      <c r="K303" s="15" t="n">
        <v>2001</v>
      </c>
      <c r="L303" s="15" t="n">
        <v>10</v>
      </c>
      <c r="M303" s="15" t="n">
        <v>29</v>
      </c>
      <c r="N303" s="16" t="n">
        <v>2.250479739e-06</v>
      </c>
      <c r="O303" s="11" t="n">
        <v>282.2623313</v>
      </c>
      <c r="P303" s="13">
        <f>N303*86400</f>
        <v/>
      </c>
      <c r="Q303" s="14">
        <f>O303-273.15</f>
        <v/>
      </c>
    </row>
    <row r="304">
      <c r="A304" s="9" t="n">
        <v>37191</v>
      </c>
      <c r="B304" s="7">
        <f>YEAR(A304)</f>
        <v/>
      </c>
      <c r="C304" s="7">
        <f>MONTH(A304)</f>
        <v/>
      </c>
      <c r="D304" s="10" t="n">
        <v>0</v>
      </c>
      <c r="E304" s="11" t="n">
        <v>4.577235869</v>
      </c>
      <c r="F304" s="12" t="n">
        <v>0</v>
      </c>
      <c r="G304" s="11" t="n">
        <v>279.0155879</v>
      </c>
      <c r="H304" s="13">
        <f>F304*1000</f>
        <v/>
      </c>
      <c r="I304" s="14">
        <f>G304-273.15</f>
        <v/>
      </c>
      <c r="K304" s="15" t="n">
        <v>2001</v>
      </c>
      <c r="L304" s="15" t="n">
        <v>10</v>
      </c>
      <c r="M304" s="15" t="n">
        <v>30</v>
      </c>
      <c r="N304" s="16" t="n">
        <v>1.066422341e-06</v>
      </c>
      <c r="O304" s="11" t="n">
        <v>280.3260122</v>
      </c>
      <c r="P304" s="13">
        <f>N304*86400</f>
        <v/>
      </c>
      <c r="Q304" s="14">
        <f>O304-273.15</f>
        <v/>
      </c>
    </row>
    <row r="305">
      <c r="A305" s="9" t="n">
        <v>37192</v>
      </c>
      <c r="B305" s="7">
        <f>YEAR(A305)</f>
        <v/>
      </c>
      <c r="C305" s="7">
        <f>MONTH(A305)</f>
        <v/>
      </c>
      <c r="D305" s="10" t="n">
        <v>0</v>
      </c>
      <c r="E305" s="11" t="n">
        <v>4.540437997</v>
      </c>
      <c r="F305" s="12" t="n">
        <v>0</v>
      </c>
      <c r="G305" s="11" t="n">
        <v>278.8578318</v>
      </c>
      <c r="H305" s="13">
        <f>F305*1000</f>
        <v/>
      </c>
      <c r="I305" s="14">
        <f>G305-273.15</f>
        <v/>
      </c>
      <c r="K305" s="15" t="n">
        <v>2001</v>
      </c>
      <c r="L305" s="15" t="n">
        <v>11</v>
      </c>
      <c r="M305" s="15" t="n">
        <v>1</v>
      </c>
      <c r="N305" s="16" t="n">
        <v>7.977730158e-06</v>
      </c>
      <c r="O305" s="11" t="n">
        <v>282.323206</v>
      </c>
      <c r="P305" s="13">
        <f>N305*86400</f>
        <v/>
      </c>
      <c r="Q305" s="14">
        <f>O305-273.15</f>
        <v/>
      </c>
    </row>
    <row r="306">
      <c r="A306" s="9" t="n">
        <v>37193</v>
      </c>
      <c r="B306" s="7">
        <f>YEAR(A306)</f>
        <v/>
      </c>
      <c r="C306" s="7">
        <f>MONTH(A306)</f>
        <v/>
      </c>
      <c r="D306" s="10" t="n">
        <v>0</v>
      </c>
      <c r="E306" s="11" t="n">
        <v>2.037757273</v>
      </c>
      <c r="F306" s="12" t="n">
        <v>0</v>
      </c>
      <c r="G306" s="11" t="n">
        <v>277.2546204</v>
      </c>
      <c r="H306" s="13">
        <f>F306*1000</f>
        <v/>
      </c>
      <c r="I306" s="14">
        <f>G306-273.15</f>
        <v/>
      </c>
      <c r="K306" s="15" t="n">
        <v>2001</v>
      </c>
      <c r="L306" s="15" t="n">
        <v>11</v>
      </c>
      <c r="M306" s="15" t="n">
        <v>2</v>
      </c>
      <c r="N306" s="16" t="n">
        <v>2.916030459e-05</v>
      </c>
      <c r="O306" s="11" t="n">
        <v>281.0568985</v>
      </c>
      <c r="P306" s="13">
        <f>N306*86400</f>
        <v/>
      </c>
      <c r="Q306" s="14">
        <f>O306-273.15</f>
        <v/>
      </c>
    </row>
    <row r="307">
      <c r="A307" s="9" t="n">
        <v>37194</v>
      </c>
      <c r="B307" s="7">
        <f>YEAR(A307)</f>
        <v/>
      </c>
      <c r="C307" s="7">
        <f>MONTH(A307)</f>
        <v/>
      </c>
      <c r="D307" s="10" t="n">
        <v>4.549731266</v>
      </c>
      <c r="E307" s="11" t="n">
        <v>2.990215073</v>
      </c>
      <c r="F307" s="12" t="n">
        <v>0.002608477749</v>
      </c>
      <c r="G307" s="11" t="n">
        <v>278.0299397</v>
      </c>
      <c r="H307" s="13">
        <f>F307*1000</f>
        <v/>
      </c>
      <c r="I307" s="14">
        <f>G307-273.15</f>
        <v/>
      </c>
      <c r="K307" s="15" t="n">
        <v>2001</v>
      </c>
      <c r="L307" s="15" t="n">
        <v>11</v>
      </c>
      <c r="M307" s="15" t="n">
        <v>3</v>
      </c>
      <c r="N307" s="16" t="n">
        <v>5.042994549e-08</v>
      </c>
      <c r="O307" s="11" t="n">
        <v>280.4407395</v>
      </c>
      <c r="P307" s="13">
        <f>N307*86400</f>
        <v/>
      </c>
      <c r="Q307" s="14">
        <f>O307-273.15</f>
        <v/>
      </c>
    </row>
    <row r="308">
      <c r="A308" s="9" t="n">
        <v>37195</v>
      </c>
      <c r="B308" s="7">
        <f>YEAR(A308)</f>
        <v/>
      </c>
      <c r="C308" s="7">
        <f>MONTH(A308)</f>
        <v/>
      </c>
      <c r="D308" s="10" t="n">
        <v>4.50598763</v>
      </c>
      <c r="E308" s="11" t="n">
        <v>3.794156709</v>
      </c>
      <c r="F308" s="12" t="n">
        <v>0.004032154789</v>
      </c>
      <c r="G308" s="11" t="n">
        <v>278.55501</v>
      </c>
      <c r="H308" s="13">
        <f>F308*1000</f>
        <v/>
      </c>
      <c r="I308" s="14">
        <f>G308-273.15</f>
        <v/>
      </c>
      <c r="K308" s="15" t="n">
        <v>2001</v>
      </c>
      <c r="L308" s="15" t="n">
        <v>11</v>
      </c>
      <c r="M308" s="15" t="n">
        <v>4</v>
      </c>
      <c r="N308" s="16" t="n">
        <v>6.425360043e-06</v>
      </c>
      <c r="O308" s="11" t="n">
        <v>280.3203176</v>
      </c>
      <c r="P308" s="13">
        <f>N308*86400</f>
        <v/>
      </c>
      <c r="Q308" s="14">
        <f>O308-273.15</f>
        <v/>
      </c>
    </row>
    <row r="309">
      <c r="A309" s="9" t="n">
        <v>37196</v>
      </c>
      <c r="B309" s="7">
        <f>YEAR(A309)</f>
        <v/>
      </c>
      <c r="C309" s="7">
        <f>MONTH(A309)</f>
        <v/>
      </c>
      <c r="D309" s="10" t="n">
        <v>0</v>
      </c>
      <c r="E309" s="11" t="n">
        <v>3.412228153</v>
      </c>
      <c r="F309" s="12" t="n">
        <v>0.0007787317221</v>
      </c>
      <c r="G309" s="11" t="n">
        <v>278.4415982</v>
      </c>
      <c r="H309" s="13">
        <f>F309*1000</f>
        <v/>
      </c>
      <c r="I309" s="14">
        <f>G309-273.15</f>
        <v/>
      </c>
      <c r="K309" s="15" t="n">
        <v>2001</v>
      </c>
      <c r="L309" s="15" t="n">
        <v>11</v>
      </c>
      <c r="M309" s="15" t="n">
        <v>5</v>
      </c>
      <c r="N309" s="16" t="n">
        <v>2.396993502e-05</v>
      </c>
      <c r="O309" s="11" t="n">
        <v>279.7388028</v>
      </c>
      <c r="P309" s="13">
        <f>N309*86400</f>
        <v/>
      </c>
      <c r="Q309" s="14">
        <f>O309-273.15</f>
        <v/>
      </c>
    </row>
    <row r="310">
      <c r="A310" s="9" t="n">
        <v>37197</v>
      </c>
      <c r="B310" s="7">
        <f>YEAR(A310)</f>
        <v/>
      </c>
      <c r="C310" s="7">
        <f>MONTH(A310)</f>
        <v/>
      </c>
      <c r="D310" s="10" t="n">
        <v>0</v>
      </c>
      <c r="E310" s="11" t="n">
        <v>2.5600499</v>
      </c>
      <c r="F310" s="12" t="n">
        <v>0</v>
      </c>
      <c r="G310" s="11" t="n">
        <v>277.1965565</v>
      </c>
      <c r="H310" s="13">
        <f>F310*1000</f>
        <v/>
      </c>
      <c r="I310" s="14">
        <f>G310-273.15</f>
        <v/>
      </c>
      <c r="K310" s="15" t="n">
        <v>2001</v>
      </c>
      <c r="L310" s="15" t="n">
        <v>11</v>
      </c>
      <c r="M310" s="15" t="n">
        <v>6</v>
      </c>
      <c r="N310" s="16" t="n">
        <v>0</v>
      </c>
      <c r="O310" s="11" t="n">
        <v>281.7533931</v>
      </c>
      <c r="P310" s="13">
        <f>N310*86400</f>
        <v/>
      </c>
      <c r="Q310" s="14">
        <f>O310-273.15</f>
        <v/>
      </c>
    </row>
    <row r="311">
      <c r="A311" s="9" t="n">
        <v>37198</v>
      </c>
      <c r="B311" s="7">
        <f>YEAR(A311)</f>
        <v/>
      </c>
      <c r="C311" s="7">
        <f>MONTH(A311)</f>
        <v/>
      </c>
      <c r="D311" s="10" t="n">
        <v>0</v>
      </c>
      <c r="E311" s="11" t="n">
        <v>3.59083253</v>
      </c>
      <c r="F311" s="12" t="n">
        <v>0</v>
      </c>
      <c r="G311" s="11" t="n">
        <v>279.2404134</v>
      </c>
      <c r="H311" s="13">
        <f>F311*1000</f>
        <v/>
      </c>
      <c r="I311" s="14">
        <f>G311-273.15</f>
        <v/>
      </c>
      <c r="K311" s="15" t="n">
        <v>2001</v>
      </c>
      <c r="L311" s="15" t="n">
        <v>11</v>
      </c>
      <c r="M311" s="15" t="n">
        <v>7</v>
      </c>
      <c r="N311" s="16" t="n">
        <v>0</v>
      </c>
      <c r="O311" s="11" t="n">
        <v>280.0606542</v>
      </c>
      <c r="P311" s="13">
        <f>N311*86400</f>
        <v/>
      </c>
      <c r="Q311" s="14">
        <f>O311-273.15</f>
        <v/>
      </c>
    </row>
    <row r="312">
      <c r="A312" s="9" t="n">
        <v>37199</v>
      </c>
      <c r="B312" s="7">
        <f>YEAR(A312)</f>
        <v/>
      </c>
      <c r="C312" s="7">
        <f>MONTH(A312)</f>
        <v/>
      </c>
      <c r="D312" s="10" t="n">
        <v>0</v>
      </c>
      <c r="E312" s="11" t="n">
        <v>6.102837349</v>
      </c>
      <c r="F312" s="12" t="n">
        <v>0.001412525114</v>
      </c>
      <c r="G312" s="11" t="n">
        <v>282.1163938</v>
      </c>
      <c r="H312" s="13">
        <f>F312*1000</f>
        <v/>
      </c>
      <c r="I312" s="14">
        <f>G312-273.15</f>
        <v/>
      </c>
      <c r="K312" s="15" t="n">
        <v>2001</v>
      </c>
      <c r="L312" s="15" t="n">
        <v>11</v>
      </c>
      <c r="M312" s="15" t="n">
        <v>8</v>
      </c>
      <c r="N312" s="16" t="n">
        <v>0</v>
      </c>
      <c r="O312" s="11" t="n">
        <v>279.4570687</v>
      </c>
      <c r="P312" s="13">
        <f>N312*86400</f>
        <v/>
      </c>
      <c r="Q312" s="14">
        <f>O312-273.15</f>
        <v/>
      </c>
    </row>
    <row r="313">
      <c r="A313" s="9" t="n">
        <v>37200</v>
      </c>
      <c r="B313" s="7">
        <f>YEAR(A313)</f>
        <v/>
      </c>
      <c r="C313" s="7">
        <f>MONTH(A313)</f>
        <v/>
      </c>
      <c r="D313" s="10" t="n">
        <v>0</v>
      </c>
      <c r="E313" s="11" t="n">
        <v>7.512283033</v>
      </c>
      <c r="F313" s="12" t="n">
        <v>0</v>
      </c>
      <c r="G313" s="11" t="n">
        <v>282.4304778</v>
      </c>
      <c r="H313" s="13">
        <f>F313*1000</f>
        <v/>
      </c>
      <c r="I313" s="14">
        <f>G313-273.15</f>
        <v/>
      </c>
      <c r="K313" s="15" t="n">
        <v>2001</v>
      </c>
      <c r="L313" s="15" t="n">
        <v>11</v>
      </c>
      <c r="M313" s="15" t="n">
        <v>9</v>
      </c>
      <c r="N313" s="16" t="n">
        <v>0</v>
      </c>
      <c r="O313" s="11" t="n">
        <v>278.1125295</v>
      </c>
      <c r="P313" s="13">
        <f>N313*86400</f>
        <v/>
      </c>
      <c r="Q313" s="14">
        <f>O313-273.15</f>
        <v/>
      </c>
    </row>
    <row r="314">
      <c r="A314" s="9" t="n">
        <v>37201</v>
      </c>
      <c r="B314" s="7">
        <f>YEAR(A314)</f>
        <v/>
      </c>
      <c r="C314" s="7">
        <f>MONTH(A314)</f>
        <v/>
      </c>
      <c r="D314" s="10" t="n">
        <v>0</v>
      </c>
      <c r="E314" s="11" t="n">
        <v>7.024459809</v>
      </c>
      <c r="F314" s="12" t="n">
        <v>0.0002441540501</v>
      </c>
      <c r="G314" s="11" t="n">
        <v>280.9712784</v>
      </c>
      <c r="H314" s="13">
        <f>F314*1000</f>
        <v/>
      </c>
      <c r="I314" s="14">
        <f>G314-273.15</f>
        <v/>
      </c>
      <c r="K314" s="15" t="n">
        <v>2001</v>
      </c>
      <c r="L314" s="15" t="n">
        <v>11</v>
      </c>
      <c r="M314" s="15" t="n">
        <v>10</v>
      </c>
      <c r="N314" s="16" t="n">
        <v>0</v>
      </c>
      <c r="O314" s="11" t="n">
        <v>277.8838072</v>
      </c>
      <c r="P314" s="13">
        <f>N314*86400</f>
        <v/>
      </c>
      <c r="Q314" s="14">
        <f>O314-273.15</f>
        <v/>
      </c>
    </row>
    <row r="315">
      <c r="A315" s="9" t="n">
        <v>37202</v>
      </c>
      <c r="B315" s="7">
        <f>YEAR(A315)</f>
        <v/>
      </c>
      <c r="C315" s="7">
        <f>MONTH(A315)</f>
        <v/>
      </c>
      <c r="D315" s="10" t="n">
        <v>0</v>
      </c>
      <c r="E315" s="11" t="n">
        <v>4.683477851</v>
      </c>
      <c r="F315" s="12" t="n">
        <v>0</v>
      </c>
      <c r="G315" s="11" t="n">
        <v>279.3430896</v>
      </c>
      <c r="H315" s="13">
        <f>F315*1000</f>
        <v/>
      </c>
      <c r="I315" s="14">
        <f>G315-273.15</f>
        <v/>
      </c>
      <c r="K315" s="15" t="n">
        <v>2001</v>
      </c>
      <c r="L315" s="15" t="n">
        <v>11</v>
      </c>
      <c r="M315" s="15" t="n">
        <v>11</v>
      </c>
      <c r="N315" s="16" t="n">
        <v>1.618524595e-06</v>
      </c>
      <c r="O315" s="11" t="n">
        <v>278.7407583</v>
      </c>
      <c r="P315" s="13">
        <f>N315*86400</f>
        <v/>
      </c>
      <c r="Q315" s="14">
        <f>O315-273.15</f>
        <v/>
      </c>
    </row>
    <row r="316">
      <c r="A316" s="9" t="n">
        <v>37203</v>
      </c>
      <c r="B316" s="7">
        <f>YEAR(A316)</f>
        <v/>
      </c>
      <c r="C316" s="7">
        <f>MONTH(A316)</f>
        <v/>
      </c>
      <c r="D316" s="10" t="n">
        <v>0</v>
      </c>
      <c r="E316" s="11" t="n">
        <v>4.342770961</v>
      </c>
      <c r="F316" s="12" t="n">
        <v>0</v>
      </c>
      <c r="G316" s="11" t="n">
        <v>279.6210264</v>
      </c>
      <c r="H316" s="13">
        <f>F316*1000</f>
        <v/>
      </c>
      <c r="I316" s="14">
        <f>G316-273.15</f>
        <v/>
      </c>
      <c r="K316" s="15" t="n">
        <v>2001</v>
      </c>
      <c r="L316" s="15" t="n">
        <v>11</v>
      </c>
      <c r="M316" s="15" t="n">
        <v>12</v>
      </c>
      <c r="N316" s="16" t="n">
        <v>9.774849329e-08</v>
      </c>
      <c r="O316" s="11" t="n">
        <v>280.0206061</v>
      </c>
      <c r="P316" s="13">
        <f>N316*86400</f>
        <v/>
      </c>
      <c r="Q316" s="14">
        <f>O316-273.15</f>
        <v/>
      </c>
    </row>
    <row r="317">
      <c r="A317" s="9" t="n">
        <v>37204</v>
      </c>
      <c r="B317" s="7">
        <f>YEAR(A317)</f>
        <v/>
      </c>
      <c r="C317" s="7">
        <f>MONTH(A317)</f>
        <v/>
      </c>
      <c r="D317" s="10" t="n">
        <v>0</v>
      </c>
      <c r="E317" s="11" t="n">
        <v>4.307379268</v>
      </c>
      <c r="F317" s="12" t="n">
        <v>0</v>
      </c>
      <c r="G317" s="11" t="n">
        <v>279.8905036</v>
      </c>
      <c r="H317" s="13">
        <f>F317*1000</f>
        <v/>
      </c>
      <c r="I317" s="14">
        <f>G317-273.15</f>
        <v/>
      </c>
      <c r="K317" s="15" t="n">
        <v>2001</v>
      </c>
      <c r="L317" s="15" t="n">
        <v>11</v>
      </c>
      <c r="M317" s="15" t="n">
        <v>13</v>
      </c>
      <c r="N317" s="16" t="n">
        <v>0</v>
      </c>
      <c r="O317" s="11" t="n">
        <v>279.6043252</v>
      </c>
      <c r="P317" s="13">
        <f>N317*86400</f>
        <v/>
      </c>
      <c r="Q317" s="14">
        <f>O317-273.15</f>
        <v/>
      </c>
    </row>
    <row r="318">
      <c r="A318" s="9" t="n">
        <v>37205</v>
      </c>
      <c r="B318" s="7">
        <f>YEAR(A318)</f>
        <v/>
      </c>
      <c r="C318" s="7">
        <f>MONTH(A318)</f>
        <v/>
      </c>
      <c r="D318" s="10" t="n">
        <v>0</v>
      </c>
      <c r="E318" s="11" t="n">
        <v>4.970599303</v>
      </c>
      <c r="F318" s="12" t="n">
        <v>0</v>
      </c>
      <c r="G318" s="11" t="n">
        <v>280.3766119</v>
      </c>
      <c r="H318" s="13">
        <f>F318*1000</f>
        <v/>
      </c>
      <c r="I318" s="14">
        <f>G318-273.15</f>
        <v/>
      </c>
      <c r="K318" s="15" t="n">
        <v>2001</v>
      </c>
      <c r="L318" s="15" t="n">
        <v>11</v>
      </c>
      <c r="M318" s="15" t="n">
        <v>14</v>
      </c>
      <c r="N318" s="16" t="n">
        <v>0</v>
      </c>
      <c r="O318" s="11" t="n">
        <v>279.4823535</v>
      </c>
      <c r="P318" s="13">
        <f>N318*86400</f>
        <v/>
      </c>
      <c r="Q318" s="14">
        <f>O318-273.15</f>
        <v/>
      </c>
    </row>
    <row r="319">
      <c r="A319" s="9" t="n">
        <v>37206</v>
      </c>
      <c r="B319" s="7">
        <f>YEAR(A319)</f>
        <v/>
      </c>
      <c r="C319" s="7">
        <f>MONTH(A319)</f>
        <v/>
      </c>
      <c r="D319" s="10" t="n">
        <v>0</v>
      </c>
      <c r="E319" s="11" t="n">
        <v>3.899411436</v>
      </c>
      <c r="F319" s="12" t="n">
        <v>0</v>
      </c>
      <c r="G319" s="11" t="n">
        <v>279.1062847</v>
      </c>
      <c r="H319" s="13">
        <f>F319*1000</f>
        <v/>
      </c>
      <c r="I319" s="14">
        <f>G319-273.15</f>
        <v/>
      </c>
      <c r="K319" s="15" t="n">
        <v>2001</v>
      </c>
      <c r="L319" s="15" t="n">
        <v>11</v>
      </c>
      <c r="M319" s="15" t="n">
        <v>15</v>
      </c>
      <c r="N319" s="16" t="n">
        <v>4.105079911e-08</v>
      </c>
      <c r="O319" s="11" t="n">
        <v>279.5276979</v>
      </c>
      <c r="P319" s="13">
        <f>N319*86400</f>
        <v/>
      </c>
      <c r="Q319" s="14">
        <f>O319-273.15</f>
        <v/>
      </c>
    </row>
    <row r="320">
      <c r="A320" s="9" t="n">
        <v>37207</v>
      </c>
      <c r="B320" s="7">
        <f>YEAR(A320)</f>
        <v/>
      </c>
      <c r="C320" s="7">
        <f>MONTH(A320)</f>
        <v/>
      </c>
      <c r="D320" s="10" t="n">
        <v>0</v>
      </c>
      <c r="E320" s="11" t="n">
        <v>4.547582242</v>
      </c>
      <c r="F320" s="12" t="n">
        <v>0</v>
      </c>
      <c r="G320" s="11" t="n">
        <v>280.3004067</v>
      </c>
      <c r="H320" s="13">
        <f>F320*1000</f>
        <v/>
      </c>
      <c r="I320" s="14">
        <f>G320-273.15</f>
        <v/>
      </c>
      <c r="K320" s="15" t="n">
        <v>2001</v>
      </c>
      <c r="L320" s="15" t="n">
        <v>11</v>
      </c>
      <c r="M320" s="15" t="n">
        <v>16</v>
      </c>
      <c r="N320" s="16" t="n">
        <v>2.355209069e-05</v>
      </c>
      <c r="O320" s="11" t="n">
        <v>279.0710592</v>
      </c>
      <c r="P320" s="13">
        <f>N320*86400</f>
        <v/>
      </c>
      <c r="Q320" s="14">
        <f>O320-273.15</f>
        <v/>
      </c>
    </row>
    <row r="321">
      <c r="A321" s="9" t="n">
        <v>37208</v>
      </c>
      <c r="B321" s="7">
        <f>YEAR(A321)</f>
        <v/>
      </c>
      <c r="C321" s="7">
        <f>MONTH(A321)</f>
        <v/>
      </c>
      <c r="D321" s="10" t="n">
        <v>0</v>
      </c>
      <c r="E321" s="11" t="n">
        <v>6.2049209</v>
      </c>
      <c r="F321" s="12" t="n">
        <v>0</v>
      </c>
      <c r="G321" s="11" t="n">
        <v>280.7950315</v>
      </c>
      <c r="H321" s="13">
        <f>F321*1000</f>
        <v/>
      </c>
      <c r="I321" s="14">
        <f>G321-273.15</f>
        <v/>
      </c>
      <c r="K321" s="15" t="n">
        <v>2001</v>
      </c>
      <c r="L321" s="15" t="n">
        <v>11</v>
      </c>
      <c r="M321" s="15" t="n">
        <v>17</v>
      </c>
      <c r="N321" s="16" t="n">
        <v>0</v>
      </c>
      <c r="O321" s="11" t="n">
        <v>278.8977177</v>
      </c>
      <c r="P321" s="13">
        <f>N321*86400</f>
        <v/>
      </c>
      <c r="Q321" s="14">
        <f>O321-273.15</f>
        <v/>
      </c>
    </row>
    <row r="322">
      <c r="A322" s="9" t="n">
        <v>37209</v>
      </c>
      <c r="B322" s="7">
        <f>YEAR(A322)</f>
        <v/>
      </c>
      <c r="C322" s="7">
        <f>MONTH(A322)</f>
        <v/>
      </c>
      <c r="D322" s="10" t="n">
        <v>0</v>
      </c>
      <c r="E322" s="11" t="n">
        <v>4.292683345</v>
      </c>
      <c r="F322" s="12" t="n">
        <v>0</v>
      </c>
      <c r="G322" s="11" t="n">
        <v>278.8547502</v>
      </c>
      <c r="H322" s="13">
        <f>F322*1000</f>
        <v/>
      </c>
      <c r="I322" s="14">
        <f>G322-273.15</f>
        <v/>
      </c>
      <c r="K322" s="15" t="n">
        <v>2001</v>
      </c>
      <c r="L322" s="15" t="n">
        <v>11</v>
      </c>
      <c r="M322" s="15" t="n">
        <v>18</v>
      </c>
      <c r="N322" s="16" t="n">
        <v>1.839024737e-08</v>
      </c>
      <c r="O322" s="11" t="n">
        <v>280.7512803</v>
      </c>
      <c r="P322" s="13">
        <f>N322*86400</f>
        <v/>
      </c>
      <c r="Q322" s="14">
        <f>O322-273.15</f>
        <v/>
      </c>
    </row>
    <row r="323">
      <c r="A323" s="9" t="n">
        <v>37210</v>
      </c>
      <c r="B323" s="7">
        <f>YEAR(A323)</f>
        <v/>
      </c>
      <c r="C323" s="7">
        <f>MONTH(A323)</f>
        <v/>
      </c>
      <c r="D323" s="10" t="n">
        <v>0</v>
      </c>
      <c r="E323" s="11" t="n">
        <v>5.726929781</v>
      </c>
      <c r="F323" s="12" t="n">
        <v>0</v>
      </c>
      <c r="G323" s="11" t="n">
        <v>280.4922562</v>
      </c>
      <c r="H323" s="13">
        <f>F323*1000</f>
        <v/>
      </c>
      <c r="I323" s="14">
        <f>G323-273.15</f>
        <v/>
      </c>
      <c r="K323" s="15" t="n">
        <v>2001</v>
      </c>
      <c r="L323" s="15" t="n">
        <v>11</v>
      </c>
      <c r="M323" s="15" t="n">
        <v>19</v>
      </c>
      <c r="N323" s="16" t="n">
        <v>0</v>
      </c>
      <c r="O323" s="11" t="n">
        <v>281.4500111</v>
      </c>
      <c r="P323" s="13">
        <f>N323*86400</f>
        <v/>
      </c>
      <c r="Q323" s="14">
        <f>O323-273.15</f>
        <v/>
      </c>
    </row>
    <row r="324">
      <c r="A324" s="9" t="n">
        <v>37211</v>
      </c>
      <c r="B324" s="7">
        <f>YEAR(A324)</f>
        <v/>
      </c>
      <c r="C324" s="7">
        <f>MONTH(A324)</f>
        <v/>
      </c>
      <c r="D324" s="10" t="n">
        <v>0</v>
      </c>
      <c r="E324" s="11" t="n">
        <v>4.391757556</v>
      </c>
      <c r="F324" s="12" t="n">
        <v>0</v>
      </c>
      <c r="G324" s="11" t="n">
        <v>279.38698</v>
      </c>
      <c r="H324" s="13">
        <f>F324*1000</f>
        <v/>
      </c>
      <c r="I324" s="14">
        <f>G324-273.15</f>
        <v/>
      </c>
      <c r="K324" s="15" t="n">
        <v>2001</v>
      </c>
      <c r="L324" s="15" t="n">
        <v>11</v>
      </c>
      <c r="M324" s="15" t="n">
        <v>20</v>
      </c>
      <c r="N324" s="16" t="n">
        <v>9.846437991999999e-06</v>
      </c>
      <c r="O324" s="11" t="n">
        <v>279.2043968</v>
      </c>
      <c r="P324" s="13">
        <f>N324*86400</f>
        <v/>
      </c>
      <c r="Q324" s="14">
        <f>O324-273.15</f>
        <v/>
      </c>
    </row>
    <row r="325">
      <c r="A325" s="9" t="n">
        <v>37212</v>
      </c>
      <c r="B325" s="7">
        <f>YEAR(A325)</f>
        <v/>
      </c>
      <c r="C325" s="7">
        <f>MONTH(A325)</f>
        <v/>
      </c>
      <c r="D325" s="10" t="n">
        <v>0</v>
      </c>
      <c r="E325" s="11" t="n">
        <v>3.878426764</v>
      </c>
      <c r="F325" s="12" t="n">
        <v>0</v>
      </c>
      <c r="G325" s="11" t="n">
        <v>279.2764502</v>
      </c>
      <c r="H325" s="13">
        <f>F325*1000</f>
        <v/>
      </c>
      <c r="I325" s="14">
        <f>G325-273.15</f>
        <v/>
      </c>
      <c r="K325" s="15" t="n">
        <v>2001</v>
      </c>
      <c r="L325" s="15" t="n">
        <v>11</v>
      </c>
      <c r="M325" s="15" t="n">
        <v>21</v>
      </c>
      <c r="N325" s="16" t="n">
        <v>0</v>
      </c>
      <c r="O325" s="11" t="n">
        <v>278.91203</v>
      </c>
      <c r="P325" s="13">
        <f>N325*86400</f>
        <v/>
      </c>
      <c r="Q325" s="14">
        <f>O325-273.15</f>
        <v/>
      </c>
    </row>
    <row r="326">
      <c r="A326" s="9" t="n">
        <v>37213</v>
      </c>
      <c r="B326" s="7">
        <f>YEAR(A326)</f>
        <v/>
      </c>
      <c r="C326" s="7">
        <f>MONTH(A326)</f>
        <v/>
      </c>
      <c r="D326" s="10" t="n">
        <v>0</v>
      </c>
      <c r="E326" s="11" t="n">
        <v>3.670490785</v>
      </c>
      <c r="F326" s="12" t="n">
        <v>0</v>
      </c>
      <c r="G326" s="11" t="n">
        <v>278.8418979</v>
      </c>
      <c r="H326" s="13">
        <f>F326*1000</f>
        <v/>
      </c>
      <c r="I326" s="14">
        <f>G326-273.15</f>
        <v/>
      </c>
      <c r="K326" s="15" t="n">
        <v>2001</v>
      </c>
      <c r="L326" s="15" t="n">
        <v>11</v>
      </c>
      <c r="M326" s="15" t="n">
        <v>22</v>
      </c>
      <c r="N326" s="16" t="n">
        <v>0</v>
      </c>
      <c r="O326" s="11" t="n">
        <v>277.2887</v>
      </c>
      <c r="P326" s="13">
        <f>N326*86400</f>
        <v/>
      </c>
      <c r="Q326" s="14">
        <f>O326-273.15</f>
        <v/>
      </c>
    </row>
    <row r="327">
      <c r="A327" s="9" t="n">
        <v>37214</v>
      </c>
      <c r="B327" s="7">
        <f>YEAR(A327)</f>
        <v/>
      </c>
      <c r="C327" s="7">
        <f>MONTH(A327)</f>
        <v/>
      </c>
      <c r="D327" s="10" t="n">
        <v>0</v>
      </c>
      <c r="E327" s="11" t="n">
        <v>4.976547187</v>
      </c>
      <c r="F327" s="12" t="n">
        <v>0</v>
      </c>
      <c r="G327" s="11" t="n">
        <v>280.1107526</v>
      </c>
      <c r="H327" s="13">
        <f>F327*1000</f>
        <v/>
      </c>
      <c r="I327" s="14">
        <f>G327-273.15</f>
        <v/>
      </c>
      <c r="K327" s="15" t="n">
        <v>2001</v>
      </c>
      <c r="L327" s="15" t="n">
        <v>11</v>
      </c>
      <c r="M327" s="15" t="n">
        <v>23</v>
      </c>
      <c r="N327" s="16" t="n">
        <v>0</v>
      </c>
      <c r="O327" s="11" t="n">
        <v>282.3878605</v>
      </c>
      <c r="P327" s="13">
        <f>N327*86400</f>
        <v/>
      </c>
      <c r="Q327" s="14">
        <f>O327-273.15</f>
        <v/>
      </c>
    </row>
    <row r="328">
      <c r="A328" s="9" t="n">
        <v>37215</v>
      </c>
      <c r="B328" s="7">
        <f>YEAR(A328)</f>
        <v/>
      </c>
      <c r="C328" s="7">
        <f>MONTH(A328)</f>
        <v/>
      </c>
      <c r="D328" s="10" t="n">
        <v>0</v>
      </c>
      <c r="E328" s="11" t="n">
        <v>6.865079353</v>
      </c>
      <c r="F328" s="12" t="n">
        <v>7.596643944e-05</v>
      </c>
      <c r="G328" s="11" t="n">
        <v>281.7105987</v>
      </c>
      <c r="H328" s="13">
        <f>F328*1000</f>
        <v/>
      </c>
      <c r="I328" s="14">
        <f>G328-273.15</f>
        <v/>
      </c>
      <c r="K328" s="15" t="n">
        <v>2001</v>
      </c>
      <c r="L328" s="15" t="n">
        <v>11</v>
      </c>
      <c r="M328" s="15" t="n">
        <v>24</v>
      </c>
      <c r="N328" s="16" t="n">
        <v>0</v>
      </c>
      <c r="O328" s="11" t="n">
        <v>283.2457463</v>
      </c>
      <c r="P328" s="13">
        <f>N328*86400</f>
        <v/>
      </c>
      <c r="Q328" s="14">
        <f>O328-273.15</f>
        <v/>
      </c>
    </row>
    <row r="329">
      <c r="A329" s="9" t="n">
        <v>37216</v>
      </c>
      <c r="B329" s="7">
        <f>YEAR(A329)</f>
        <v/>
      </c>
      <c r="C329" s="7">
        <f>MONTH(A329)</f>
        <v/>
      </c>
      <c r="D329" s="10" t="n">
        <v>0</v>
      </c>
      <c r="E329" s="11" t="n">
        <v>7.962506687</v>
      </c>
      <c r="F329" s="12" t="n">
        <v>0</v>
      </c>
      <c r="G329" s="11" t="n">
        <v>281.4932438</v>
      </c>
      <c r="H329" s="13">
        <f>F329*1000</f>
        <v/>
      </c>
      <c r="I329" s="14">
        <f>G329-273.15</f>
        <v/>
      </c>
      <c r="K329" s="15" t="n">
        <v>2001</v>
      </c>
      <c r="L329" s="15" t="n">
        <v>11</v>
      </c>
      <c r="M329" s="15" t="n">
        <v>25</v>
      </c>
      <c r="N329" s="16" t="n">
        <v>0</v>
      </c>
      <c r="O329" s="11" t="n">
        <v>282.5236281</v>
      </c>
      <c r="P329" s="13">
        <f>N329*86400</f>
        <v/>
      </c>
      <c r="Q329" s="14">
        <f>O329-273.15</f>
        <v/>
      </c>
    </row>
    <row r="330">
      <c r="A330" s="9" t="n">
        <v>37217</v>
      </c>
      <c r="B330" s="7">
        <f>YEAR(A330)</f>
        <v/>
      </c>
      <c r="C330" s="7">
        <f>MONTH(A330)</f>
        <v/>
      </c>
      <c r="D330" s="10" t="n">
        <v>0</v>
      </c>
      <c r="E330" s="11" t="n">
        <v>7.874441211</v>
      </c>
      <c r="F330" s="12" t="n">
        <v>0</v>
      </c>
      <c r="G330" s="11" t="n">
        <v>280.7569784</v>
      </c>
      <c r="H330" s="13">
        <f>F330*1000</f>
        <v/>
      </c>
      <c r="I330" s="14">
        <f>G330-273.15</f>
        <v/>
      </c>
      <c r="K330" s="15" t="n">
        <v>2001</v>
      </c>
      <c r="L330" s="15" t="n">
        <v>11</v>
      </c>
      <c r="M330" s="15" t="n">
        <v>26</v>
      </c>
      <c r="N330" s="16" t="n">
        <v>0</v>
      </c>
      <c r="O330" s="11" t="n">
        <v>282.3083652</v>
      </c>
      <c r="P330" s="13">
        <f>N330*86400</f>
        <v/>
      </c>
      <c r="Q330" s="14">
        <f>O330-273.15</f>
        <v/>
      </c>
    </row>
    <row r="331">
      <c r="A331" s="9" t="n">
        <v>37218</v>
      </c>
      <c r="B331" s="7">
        <f>YEAR(A331)</f>
        <v/>
      </c>
      <c r="C331" s="7">
        <f>MONTH(A331)</f>
        <v/>
      </c>
      <c r="D331" s="10" t="n">
        <v>0</v>
      </c>
      <c r="E331" s="11" t="n">
        <v>6.412859117</v>
      </c>
      <c r="F331" s="12" t="n">
        <v>0</v>
      </c>
      <c r="G331" s="11" t="n">
        <v>279.4065916</v>
      </c>
      <c r="H331" s="13">
        <f>F331*1000</f>
        <v/>
      </c>
      <c r="I331" s="14">
        <f>G331-273.15</f>
        <v/>
      </c>
      <c r="K331" s="15" t="n">
        <v>2001</v>
      </c>
      <c r="L331" s="15" t="n">
        <v>11</v>
      </c>
      <c r="M331" s="15" t="n">
        <v>27</v>
      </c>
      <c r="N331" s="16" t="n">
        <v>0</v>
      </c>
      <c r="O331" s="11" t="n">
        <v>282.7924423</v>
      </c>
      <c r="P331" s="13">
        <f>N331*86400</f>
        <v/>
      </c>
      <c r="Q331" s="14">
        <f>O331-273.15</f>
        <v/>
      </c>
    </row>
    <row r="332">
      <c r="A332" s="9" t="n">
        <v>37219</v>
      </c>
      <c r="B332" s="7">
        <f>YEAR(A332)</f>
        <v/>
      </c>
      <c r="C332" s="7">
        <f>MONTH(A332)</f>
        <v/>
      </c>
      <c r="D332" s="10" t="n">
        <v>0</v>
      </c>
      <c r="E332" s="11" t="n">
        <v>2.511354243</v>
      </c>
      <c r="F332" s="12" t="n">
        <v>0.0001496605738</v>
      </c>
      <c r="G332" s="11" t="n">
        <v>276.4420305</v>
      </c>
      <c r="H332" s="13">
        <f>F332*1000</f>
        <v/>
      </c>
      <c r="I332" s="14">
        <f>G332-273.15</f>
        <v/>
      </c>
      <c r="K332" s="15" t="n">
        <v>2001</v>
      </c>
      <c r="L332" s="15" t="n">
        <v>11</v>
      </c>
      <c r="M332" s="15" t="n">
        <v>28</v>
      </c>
      <c r="N332" s="16" t="n">
        <v>1.500208223e-05</v>
      </c>
      <c r="O332" s="11" t="n">
        <v>281.9597037</v>
      </c>
      <c r="P332" s="13">
        <f>N332*86400</f>
        <v/>
      </c>
      <c r="Q332" s="14">
        <f>O332-273.15</f>
        <v/>
      </c>
    </row>
    <row r="333">
      <c r="A333" s="9" t="n">
        <v>37220</v>
      </c>
      <c r="B333" s="7">
        <f>YEAR(A333)</f>
        <v/>
      </c>
      <c r="C333" s="7">
        <f>MONTH(A333)</f>
        <v/>
      </c>
      <c r="D333" s="10" t="n">
        <v>0</v>
      </c>
      <c r="E333" s="11" t="n">
        <v>2.153744633</v>
      </c>
      <c r="F333" s="12" t="n">
        <v>0</v>
      </c>
      <c r="G333" s="11" t="n">
        <v>276.6830618</v>
      </c>
      <c r="H333" s="13">
        <f>F333*1000</f>
        <v/>
      </c>
      <c r="I333" s="14">
        <f>G333-273.15</f>
        <v/>
      </c>
      <c r="K333" s="15" t="n">
        <v>2001</v>
      </c>
      <c r="L333" s="15" t="n">
        <v>11</v>
      </c>
      <c r="M333" s="15" t="n">
        <v>29</v>
      </c>
      <c r="N333" s="16" t="n">
        <v>0</v>
      </c>
      <c r="O333" s="11" t="n">
        <v>283.3331861</v>
      </c>
      <c r="P333" s="13">
        <f>N333*86400</f>
        <v/>
      </c>
      <c r="Q333" s="14">
        <f>O333-273.15</f>
        <v/>
      </c>
    </row>
    <row r="334">
      <c r="A334" s="9" t="n">
        <v>37221</v>
      </c>
      <c r="B334" s="7">
        <f>YEAR(A334)</f>
        <v/>
      </c>
      <c r="C334" s="7">
        <f>MONTH(A334)</f>
        <v/>
      </c>
      <c r="D334" s="10" t="n">
        <v>0</v>
      </c>
      <c r="E334" s="11" t="n">
        <v>3.910281668</v>
      </c>
      <c r="F334" s="12" t="n">
        <v>0</v>
      </c>
      <c r="G334" s="11" t="n">
        <v>277.3941227</v>
      </c>
      <c r="H334" s="13">
        <f>F334*1000</f>
        <v/>
      </c>
      <c r="I334" s="14">
        <f>G334-273.15</f>
        <v/>
      </c>
      <c r="K334" s="15" t="n">
        <v>2001</v>
      </c>
      <c r="L334" s="15" t="n">
        <v>11</v>
      </c>
      <c r="M334" s="15" t="n">
        <v>30</v>
      </c>
      <c r="N334" s="16" t="n">
        <v>1.410358435e-05</v>
      </c>
      <c r="O334" s="11" t="n">
        <v>281.3669129</v>
      </c>
      <c r="P334" s="13">
        <f>N334*86400</f>
        <v/>
      </c>
      <c r="Q334" s="14">
        <f>O334-273.15</f>
        <v/>
      </c>
    </row>
    <row r="335">
      <c r="A335" s="9" t="n">
        <v>37222</v>
      </c>
      <c r="B335" s="7">
        <f>YEAR(A335)</f>
        <v/>
      </c>
      <c r="C335" s="7">
        <f>MONTH(A335)</f>
        <v/>
      </c>
      <c r="D335" s="10" t="n">
        <v>0</v>
      </c>
      <c r="E335" s="11" t="n">
        <v>3.135223869</v>
      </c>
      <c r="F335" s="12" t="n">
        <v>0</v>
      </c>
      <c r="G335" s="11" t="n">
        <v>277.4783804</v>
      </c>
      <c r="H335" s="13">
        <f>F335*1000</f>
        <v/>
      </c>
      <c r="I335" s="14">
        <f>G335-273.15</f>
        <v/>
      </c>
      <c r="K335" s="15" t="n">
        <v>2001</v>
      </c>
      <c r="L335" s="15" t="n">
        <v>12</v>
      </c>
      <c r="M335" s="15" t="n">
        <v>1</v>
      </c>
      <c r="N335" s="16" t="n">
        <v>3.550339858e-07</v>
      </c>
      <c r="O335" s="11" t="n">
        <v>282.0283839</v>
      </c>
      <c r="P335" s="13">
        <f>N335*86400</f>
        <v/>
      </c>
      <c r="Q335" s="14">
        <f>O335-273.15</f>
        <v/>
      </c>
    </row>
    <row r="336">
      <c r="A336" s="9" t="n">
        <v>37223</v>
      </c>
      <c r="B336" s="7">
        <f>YEAR(A336)</f>
        <v/>
      </c>
      <c r="C336" s="7">
        <f>MONTH(A336)</f>
        <v/>
      </c>
      <c r="D336" s="10" t="n">
        <v>0</v>
      </c>
      <c r="E336" s="11" t="n">
        <v>2.875199734</v>
      </c>
      <c r="F336" s="12" t="n">
        <v>0</v>
      </c>
      <c r="G336" s="11" t="n">
        <v>278.0840543</v>
      </c>
      <c r="H336" s="13">
        <f>F336*1000</f>
        <v/>
      </c>
      <c r="I336" s="14">
        <f>G336-273.15</f>
        <v/>
      </c>
      <c r="K336" s="15" t="n">
        <v>2001</v>
      </c>
      <c r="L336" s="15" t="n">
        <v>12</v>
      </c>
      <c r="M336" s="15" t="n">
        <v>2</v>
      </c>
      <c r="N336" s="16" t="n">
        <v>5.059258446e-06</v>
      </c>
      <c r="O336" s="11" t="n">
        <v>282.657299</v>
      </c>
      <c r="P336" s="13">
        <f>N336*86400</f>
        <v/>
      </c>
      <c r="Q336" s="14">
        <f>O336-273.15</f>
        <v/>
      </c>
    </row>
    <row r="337">
      <c r="A337" s="9" t="n">
        <v>37224</v>
      </c>
      <c r="B337" s="7">
        <f>YEAR(A337)</f>
        <v/>
      </c>
      <c r="C337" s="7">
        <f>MONTH(A337)</f>
        <v/>
      </c>
      <c r="D337" s="10" t="n">
        <v>0</v>
      </c>
      <c r="E337" s="11" t="n">
        <v>2.110926451</v>
      </c>
      <c r="F337" s="12" t="n">
        <v>0</v>
      </c>
      <c r="G337" s="11" t="n">
        <v>278.0694092</v>
      </c>
      <c r="H337" s="13">
        <f>F337*1000</f>
        <v/>
      </c>
      <c r="I337" s="14">
        <f>G337-273.15</f>
        <v/>
      </c>
      <c r="K337" s="15" t="n">
        <v>2001</v>
      </c>
      <c r="L337" s="15" t="n">
        <v>12</v>
      </c>
      <c r="M337" s="15" t="n">
        <v>3</v>
      </c>
      <c r="N337" s="16" t="n">
        <v>0</v>
      </c>
      <c r="O337" s="11" t="n">
        <v>283.4510495</v>
      </c>
      <c r="P337" s="13">
        <f>N337*86400</f>
        <v/>
      </c>
      <c r="Q337" s="14">
        <f>O337-273.15</f>
        <v/>
      </c>
    </row>
    <row r="338">
      <c r="A338" s="9" t="n">
        <v>37225</v>
      </c>
      <c r="B338" s="7">
        <f>YEAR(A338)</f>
        <v/>
      </c>
      <c r="C338" s="7">
        <f>MONTH(A338)</f>
        <v/>
      </c>
      <c r="D338" s="10" t="n">
        <v>0</v>
      </c>
      <c r="E338" s="11" t="n">
        <v>-0.3454556747</v>
      </c>
      <c r="F338" s="12" t="n">
        <v>0</v>
      </c>
      <c r="G338" s="11" t="n">
        <v>276.6293801</v>
      </c>
      <c r="H338" s="13">
        <f>F338*1000</f>
        <v/>
      </c>
      <c r="I338" s="14">
        <f>G338-273.15</f>
        <v/>
      </c>
      <c r="K338" s="15" t="n">
        <v>2001</v>
      </c>
      <c r="L338" s="15" t="n">
        <v>12</v>
      </c>
      <c r="M338" s="15" t="n">
        <v>4</v>
      </c>
      <c r="N338" s="16" t="n">
        <v>0</v>
      </c>
      <c r="O338" s="11" t="n">
        <v>282.1558422</v>
      </c>
      <c r="P338" s="13">
        <f>N338*86400</f>
        <v/>
      </c>
      <c r="Q338" s="14">
        <f>O338-273.15</f>
        <v/>
      </c>
    </row>
    <row r="339">
      <c r="A339" s="9" t="n">
        <v>37226</v>
      </c>
      <c r="B339" s="7">
        <f>YEAR(A339)</f>
        <v/>
      </c>
      <c r="C339" s="7">
        <f>MONTH(A339)</f>
        <v/>
      </c>
      <c r="D339" s="10" t="n">
        <v>0</v>
      </c>
      <c r="E339" s="11" t="n">
        <v>0.9554221369</v>
      </c>
      <c r="F339" s="12" t="n">
        <v>0</v>
      </c>
      <c r="G339" s="11" t="n">
        <v>276.486974</v>
      </c>
      <c r="H339" s="13">
        <f>F339*1000</f>
        <v/>
      </c>
      <c r="I339" s="14">
        <f>G339-273.15</f>
        <v/>
      </c>
      <c r="K339" s="15" t="n">
        <v>2001</v>
      </c>
      <c r="L339" s="15" t="n">
        <v>12</v>
      </c>
      <c r="M339" s="15" t="n">
        <v>5</v>
      </c>
      <c r="N339" s="16" t="n">
        <v>4.203973053e-05</v>
      </c>
      <c r="O339" s="11" t="n">
        <v>281.6834443</v>
      </c>
      <c r="P339" s="13">
        <f>N339*86400</f>
        <v/>
      </c>
      <c r="Q339" s="14">
        <f>O339-273.15</f>
        <v/>
      </c>
    </row>
    <row r="340">
      <c r="A340" s="9" t="n">
        <v>37227</v>
      </c>
      <c r="B340" s="7">
        <f>YEAR(A340)</f>
        <v/>
      </c>
      <c r="C340" s="7">
        <f>MONTH(A340)</f>
        <v/>
      </c>
      <c r="D340" s="10" t="n">
        <v>0</v>
      </c>
      <c r="E340" s="11" t="n">
        <v>2.106449035</v>
      </c>
      <c r="F340" s="12" t="n">
        <v>0</v>
      </c>
      <c r="G340" s="11" t="n">
        <v>276.2055796</v>
      </c>
      <c r="H340" s="13">
        <f>F340*1000</f>
        <v/>
      </c>
      <c r="I340" s="14">
        <f>G340-273.15</f>
        <v/>
      </c>
      <c r="K340" s="15" t="n">
        <v>2001</v>
      </c>
      <c r="L340" s="15" t="n">
        <v>12</v>
      </c>
      <c r="M340" s="15" t="n">
        <v>6</v>
      </c>
      <c r="N340" s="16" t="n">
        <v>0</v>
      </c>
      <c r="O340" s="11" t="n">
        <v>281.594918</v>
      </c>
      <c r="P340" s="13">
        <f>N340*86400</f>
        <v/>
      </c>
      <c r="Q340" s="14">
        <f>O340-273.15</f>
        <v/>
      </c>
    </row>
    <row r="341">
      <c r="A341" s="9" t="n">
        <v>37228</v>
      </c>
      <c r="B341" s="7">
        <f>YEAR(A341)</f>
        <v/>
      </c>
      <c r="C341" s="7">
        <f>MONTH(A341)</f>
        <v/>
      </c>
      <c r="D341" s="10" t="n">
        <v>0</v>
      </c>
      <c r="E341" s="11" t="n">
        <v>4.76729452</v>
      </c>
      <c r="F341" s="12" t="n">
        <v>0</v>
      </c>
      <c r="G341" s="11" t="n">
        <v>278.6273809</v>
      </c>
      <c r="H341" s="13">
        <f>F341*1000</f>
        <v/>
      </c>
      <c r="I341" s="14">
        <f>G341-273.15</f>
        <v/>
      </c>
      <c r="K341" s="15" t="n">
        <v>2001</v>
      </c>
      <c r="L341" s="15" t="n">
        <v>12</v>
      </c>
      <c r="M341" s="15" t="n">
        <v>7</v>
      </c>
      <c r="N341" s="16" t="n">
        <v>0</v>
      </c>
      <c r="O341" s="11" t="n">
        <v>281.7845903</v>
      </c>
      <c r="P341" s="13">
        <f>N341*86400</f>
        <v/>
      </c>
      <c r="Q341" s="14">
        <f>O341-273.15</f>
        <v/>
      </c>
    </row>
    <row r="342">
      <c r="A342" s="9" t="n">
        <v>37229</v>
      </c>
      <c r="B342" s="7">
        <f>YEAR(A342)</f>
        <v/>
      </c>
      <c r="C342" s="7">
        <f>MONTH(A342)</f>
        <v/>
      </c>
      <c r="D342" s="10" t="n">
        <v>0</v>
      </c>
      <c r="E342" s="11" t="n">
        <v>5.557384754</v>
      </c>
      <c r="F342" s="12" t="n">
        <v>0</v>
      </c>
      <c r="G342" s="11" t="n">
        <v>279.1193083</v>
      </c>
      <c r="H342" s="13">
        <f>F342*1000</f>
        <v/>
      </c>
      <c r="I342" s="14">
        <f>G342-273.15</f>
        <v/>
      </c>
      <c r="K342" s="15" t="n">
        <v>2001</v>
      </c>
      <c r="L342" s="15" t="n">
        <v>12</v>
      </c>
      <c r="M342" s="15" t="n">
        <v>8</v>
      </c>
      <c r="N342" s="16" t="n">
        <v>0</v>
      </c>
      <c r="O342" s="11" t="n">
        <v>281.0472613</v>
      </c>
      <c r="P342" s="13">
        <f>N342*86400</f>
        <v/>
      </c>
      <c r="Q342" s="14">
        <f>O342-273.15</f>
        <v/>
      </c>
    </row>
    <row r="343">
      <c r="A343" s="9" t="n">
        <v>37230</v>
      </c>
      <c r="B343" s="7">
        <f>YEAR(A343)</f>
        <v/>
      </c>
      <c r="C343" s="7">
        <f>MONTH(A343)</f>
        <v/>
      </c>
      <c r="D343" s="10" t="n">
        <v>0</v>
      </c>
      <c r="E343" s="11" t="n">
        <v>3.343169536</v>
      </c>
      <c r="F343" s="12" t="n">
        <v>0</v>
      </c>
      <c r="G343" s="11" t="n">
        <v>277.9698621</v>
      </c>
      <c r="H343" s="13">
        <f>F343*1000</f>
        <v/>
      </c>
      <c r="I343" s="14">
        <f>G343-273.15</f>
        <v/>
      </c>
      <c r="K343" s="15" t="n">
        <v>2001</v>
      </c>
      <c r="L343" s="15" t="n">
        <v>12</v>
      </c>
      <c r="M343" s="15" t="n">
        <v>9</v>
      </c>
      <c r="N343" s="16" t="n">
        <v>1.890012273e-05</v>
      </c>
      <c r="O343" s="11" t="n">
        <v>280.2532558</v>
      </c>
      <c r="P343" s="13">
        <f>N343*86400</f>
        <v/>
      </c>
      <c r="Q343" s="14">
        <f>O343-273.15</f>
        <v/>
      </c>
    </row>
    <row r="344">
      <c r="A344" s="9" t="n">
        <v>37231</v>
      </c>
      <c r="B344" s="7">
        <f>YEAR(A344)</f>
        <v/>
      </c>
      <c r="C344" s="7">
        <f>MONTH(A344)</f>
        <v/>
      </c>
      <c r="D344" s="10" t="n">
        <v>0</v>
      </c>
      <c r="E344" s="11" t="n">
        <v>3.153019196</v>
      </c>
      <c r="F344" s="12" t="n">
        <v>0</v>
      </c>
      <c r="G344" s="11" t="n">
        <v>277.2683494</v>
      </c>
      <c r="H344" s="13">
        <f>F344*1000</f>
        <v/>
      </c>
      <c r="I344" s="14">
        <f>G344-273.15</f>
        <v/>
      </c>
      <c r="K344" s="15" t="n">
        <v>2001</v>
      </c>
      <c r="L344" s="15" t="n">
        <v>12</v>
      </c>
      <c r="M344" s="15" t="n">
        <v>10</v>
      </c>
      <c r="N344" s="16" t="n">
        <v>4.733864544e-05</v>
      </c>
      <c r="O344" s="11" t="n">
        <v>281.6434968</v>
      </c>
      <c r="P344" s="13">
        <f>N344*86400</f>
        <v/>
      </c>
      <c r="Q344" s="14">
        <f>O344-273.15</f>
        <v/>
      </c>
    </row>
    <row r="345">
      <c r="A345" s="9" t="n">
        <v>37232</v>
      </c>
      <c r="B345" s="7">
        <f>YEAR(A345)</f>
        <v/>
      </c>
      <c r="C345" s="7">
        <f>MONTH(A345)</f>
        <v/>
      </c>
      <c r="D345" s="10" t="n">
        <v>0</v>
      </c>
      <c r="E345" s="11" t="n">
        <v>2.979833178</v>
      </c>
      <c r="F345" s="12" t="n">
        <v>0</v>
      </c>
      <c r="G345" s="11" t="n">
        <v>276.1936029</v>
      </c>
      <c r="H345" s="13">
        <f>F345*1000</f>
        <v/>
      </c>
      <c r="I345" s="14">
        <f>G345-273.15</f>
        <v/>
      </c>
      <c r="K345" s="15" t="n">
        <v>2001</v>
      </c>
      <c r="L345" s="15" t="n">
        <v>12</v>
      </c>
      <c r="M345" s="15" t="n">
        <v>11</v>
      </c>
      <c r="N345" s="16" t="n">
        <v>1.928004508e-05</v>
      </c>
      <c r="O345" s="11" t="n">
        <v>282.5739865</v>
      </c>
      <c r="P345" s="13">
        <f>N345*86400</f>
        <v/>
      </c>
      <c r="Q345" s="14">
        <f>O345-273.15</f>
        <v/>
      </c>
    </row>
    <row r="346">
      <c r="A346" s="9" t="n">
        <v>37233</v>
      </c>
      <c r="B346" s="7">
        <f>YEAR(A346)</f>
        <v/>
      </c>
      <c r="C346" s="7">
        <f>MONTH(A346)</f>
        <v/>
      </c>
      <c r="D346" s="10" t="n">
        <v>0</v>
      </c>
      <c r="E346" s="11" t="n">
        <v>3.08549304</v>
      </c>
      <c r="F346" s="12" t="n">
        <v>0.000138218465</v>
      </c>
      <c r="G346" s="11" t="n">
        <v>276.5641627</v>
      </c>
      <c r="H346" s="13">
        <f>F346*1000</f>
        <v/>
      </c>
      <c r="I346" s="14">
        <f>G346-273.15</f>
        <v/>
      </c>
      <c r="K346" s="15" t="n">
        <v>2001</v>
      </c>
      <c r="L346" s="15" t="n">
        <v>12</v>
      </c>
      <c r="M346" s="15" t="n">
        <v>12</v>
      </c>
      <c r="N346" s="16" t="n">
        <v>5.411411785e-06</v>
      </c>
      <c r="O346" s="11" t="n">
        <v>280.8796739</v>
      </c>
      <c r="P346" s="13">
        <f>N346*86400</f>
        <v/>
      </c>
      <c r="Q346" s="14">
        <f>O346-273.15</f>
        <v/>
      </c>
    </row>
    <row r="347">
      <c r="A347" s="9" t="n">
        <v>37234</v>
      </c>
      <c r="B347" s="7">
        <f>YEAR(A347)</f>
        <v/>
      </c>
      <c r="C347" s="7">
        <f>MONTH(A347)</f>
        <v/>
      </c>
      <c r="D347" s="10" t="n">
        <v>6.184902614</v>
      </c>
      <c r="E347" s="11" t="n">
        <v>3.326926159</v>
      </c>
      <c r="F347" s="12" t="n">
        <v>0.0009271094930000001</v>
      </c>
      <c r="G347" s="11" t="n">
        <v>277.1882822</v>
      </c>
      <c r="H347" s="13">
        <f>F347*1000</f>
        <v/>
      </c>
      <c r="I347" s="14">
        <f>G347-273.15</f>
        <v/>
      </c>
      <c r="K347" s="15" t="n">
        <v>2001</v>
      </c>
      <c r="L347" s="15" t="n">
        <v>12</v>
      </c>
      <c r="M347" s="15" t="n">
        <v>13</v>
      </c>
      <c r="N347" s="16" t="n">
        <v>6.420229457e-06</v>
      </c>
      <c r="O347" s="11" t="n">
        <v>282.9589936</v>
      </c>
      <c r="P347" s="13">
        <f>N347*86400</f>
        <v/>
      </c>
      <c r="Q347" s="14">
        <f>O347-273.15</f>
        <v/>
      </c>
    </row>
    <row r="348">
      <c r="A348" s="9" t="n">
        <v>37235</v>
      </c>
      <c r="B348" s="7">
        <f>YEAR(A348)</f>
        <v/>
      </c>
      <c r="C348" s="7">
        <f>MONTH(A348)</f>
        <v/>
      </c>
      <c r="D348" s="10" t="n">
        <v>0</v>
      </c>
      <c r="E348" s="11" t="n">
        <v>4.326374966</v>
      </c>
      <c r="F348" s="12" t="n">
        <v>2.600562091e-05</v>
      </c>
      <c r="G348" s="11" t="n">
        <v>278.6940764</v>
      </c>
      <c r="H348" s="13">
        <f>F348*1000</f>
        <v/>
      </c>
      <c r="I348" s="14">
        <f>G348-273.15</f>
        <v/>
      </c>
      <c r="K348" s="15" t="n">
        <v>2001</v>
      </c>
      <c r="L348" s="15" t="n">
        <v>12</v>
      </c>
      <c r="M348" s="15" t="n">
        <v>14</v>
      </c>
      <c r="N348" s="16" t="n">
        <v>8.847843476e-06</v>
      </c>
      <c r="O348" s="11" t="n">
        <v>284.866038</v>
      </c>
      <c r="P348" s="13">
        <f>N348*86400</f>
        <v/>
      </c>
      <c r="Q348" s="14">
        <f>O348-273.15</f>
        <v/>
      </c>
    </row>
    <row r="349">
      <c r="A349" s="9" t="n">
        <v>37236</v>
      </c>
      <c r="B349" s="7">
        <f>YEAR(A349)</f>
        <v/>
      </c>
      <c r="C349" s="7">
        <f>MONTH(A349)</f>
        <v/>
      </c>
      <c r="D349" s="10" t="n">
        <v>0</v>
      </c>
      <c r="E349" s="11" t="n">
        <v>3.524632953</v>
      </c>
      <c r="F349" s="12" t="n">
        <v>0.0004629908528</v>
      </c>
      <c r="G349" s="11" t="n">
        <v>278.8453585</v>
      </c>
      <c r="H349" s="13">
        <f>F349*1000</f>
        <v/>
      </c>
      <c r="I349" s="14">
        <f>G349-273.15</f>
        <v/>
      </c>
      <c r="K349" s="15" t="n">
        <v>2001</v>
      </c>
      <c r="L349" s="15" t="n">
        <v>12</v>
      </c>
      <c r="M349" s="15" t="n">
        <v>15</v>
      </c>
      <c r="N349" s="16" t="n">
        <v>3.775198496e-07</v>
      </c>
      <c r="O349" s="11" t="n">
        <v>287.6796246</v>
      </c>
      <c r="P349" s="13">
        <f>N349*86400</f>
        <v/>
      </c>
      <c r="Q349" s="14">
        <f>O349-273.15</f>
        <v/>
      </c>
    </row>
    <row r="350">
      <c r="A350" s="9" t="n">
        <v>37237</v>
      </c>
      <c r="B350" s="7">
        <f>YEAR(A350)</f>
        <v/>
      </c>
      <c r="C350" s="7">
        <f>MONTH(A350)</f>
        <v/>
      </c>
      <c r="D350" s="10" t="n">
        <v>0</v>
      </c>
      <c r="E350" s="11" t="n">
        <v>4.092826021</v>
      </c>
      <c r="F350" s="12" t="n">
        <v>0.001714803166</v>
      </c>
      <c r="G350" s="11" t="n">
        <v>278.0679292</v>
      </c>
      <c r="H350" s="13">
        <f>F350*1000</f>
        <v/>
      </c>
      <c r="I350" s="14">
        <f>G350-273.15</f>
        <v/>
      </c>
      <c r="K350" s="15" t="n">
        <v>2001</v>
      </c>
      <c r="L350" s="15" t="n">
        <v>12</v>
      </c>
      <c r="M350" s="15" t="n">
        <v>16</v>
      </c>
      <c r="N350" s="16" t="n">
        <v>0</v>
      </c>
      <c r="O350" s="11" t="n">
        <v>285.1265562</v>
      </c>
      <c r="P350" s="13">
        <f>N350*86400</f>
        <v/>
      </c>
      <c r="Q350" s="14">
        <f>O350-273.15</f>
        <v/>
      </c>
    </row>
    <row r="351">
      <c r="A351" s="9" t="n">
        <v>37238</v>
      </c>
      <c r="B351" s="7">
        <f>YEAR(A351)</f>
        <v/>
      </c>
      <c r="C351" s="7">
        <f>MONTH(A351)</f>
        <v/>
      </c>
      <c r="D351" s="10" t="n">
        <v>0</v>
      </c>
      <c r="E351" s="11" t="n">
        <v>4.537274549</v>
      </c>
      <c r="F351" s="12" t="n">
        <v>0</v>
      </c>
      <c r="G351" s="11" t="n">
        <v>277.9785063</v>
      </c>
      <c r="H351" s="13">
        <f>F351*1000</f>
        <v/>
      </c>
      <c r="I351" s="14">
        <f>G351-273.15</f>
        <v/>
      </c>
      <c r="K351" s="15" t="n">
        <v>2001</v>
      </c>
      <c r="L351" s="15" t="n">
        <v>12</v>
      </c>
      <c r="M351" s="15" t="n">
        <v>17</v>
      </c>
      <c r="N351" s="16" t="n">
        <v>2.046764678e-06</v>
      </c>
      <c r="O351" s="11" t="n">
        <v>281.0353647</v>
      </c>
      <c r="P351" s="13">
        <f>N351*86400</f>
        <v/>
      </c>
      <c r="Q351" s="14">
        <f>O351-273.15</f>
        <v/>
      </c>
    </row>
    <row r="352">
      <c r="A352" s="9" t="n">
        <v>37239</v>
      </c>
      <c r="B352" s="7">
        <f>YEAR(A352)</f>
        <v/>
      </c>
      <c r="C352" s="7">
        <f>MONTH(A352)</f>
        <v/>
      </c>
      <c r="D352" s="10" t="n">
        <v>0</v>
      </c>
      <c r="E352" s="11" t="n">
        <v>4.018691079</v>
      </c>
      <c r="F352" s="12" t="n">
        <v>9.459452164e-05</v>
      </c>
      <c r="G352" s="11" t="n">
        <v>278.1420804</v>
      </c>
      <c r="H352" s="13">
        <f>F352*1000</f>
        <v/>
      </c>
      <c r="I352" s="14">
        <f>G352-273.15</f>
        <v/>
      </c>
      <c r="K352" s="15" t="n">
        <v>2001</v>
      </c>
      <c r="L352" s="15" t="n">
        <v>12</v>
      </c>
      <c r="M352" s="15" t="n">
        <v>18</v>
      </c>
      <c r="N352" s="16" t="n">
        <v>8.092699549e-06</v>
      </c>
      <c r="O352" s="11" t="n">
        <v>282.0578964</v>
      </c>
      <c r="P352" s="13">
        <f>N352*86400</f>
        <v/>
      </c>
      <c r="Q352" s="14">
        <f>O352-273.15</f>
        <v/>
      </c>
    </row>
    <row r="353">
      <c r="A353" s="9" t="n">
        <v>37240</v>
      </c>
      <c r="B353" s="7">
        <f>YEAR(A353)</f>
        <v/>
      </c>
      <c r="C353" s="7">
        <f>MONTH(A353)</f>
        <v/>
      </c>
      <c r="D353" s="10" t="n">
        <v>0</v>
      </c>
      <c r="E353" s="11" t="n">
        <v>5.388419559</v>
      </c>
      <c r="F353" s="12" t="n">
        <v>0.001345984284</v>
      </c>
      <c r="G353" s="11" t="n">
        <v>279.8207132</v>
      </c>
      <c r="H353" s="13">
        <f>F353*1000</f>
        <v/>
      </c>
      <c r="I353" s="14">
        <f>G353-273.15</f>
        <v/>
      </c>
      <c r="K353" s="15" t="n">
        <v>2001</v>
      </c>
      <c r="L353" s="15" t="n">
        <v>12</v>
      </c>
      <c r="M353" s="15" t="n">
        <v>19</v>
      </c>
      <c r="N353" s="16" t="n">
        <v>2.88905756e-06</v>
      </c>
      <c r="O353" s="11" t="n">
        <v>281.3032181</v>
      </c>
      <c r="P353" s="13">
        <f>N353*86400</f>
        <v/>
      </c>
      <c r="Q353" s="14">
        <f>O353-273.15</f>
        <v/>
      </c>
    </row>
    <row r="354">
      <c r="A354" s="9" t="n">
        <v>37241</v>
      </c>
      <c r="B354" s="7">
        <f>YEAR(A354)</f>
        <v/>
      </c>
      <c r="C354" s="7">
        <f>MONTH(A354)</f>
        <v/>
      </c>
      <c r="D354" s="10" t="n">
        <v>0</v>
      </c>
      <c r="E354" s="11" t="n">
        <v>2.299656849</v>
      </c>
      <c r="F354" s="12" t="n">
        <v>0.0001095210853</v>
      </c>
      <c r="G354" s="11" t="n">
        <v>278.1294205</v>
      </c>
      <c r="H354" s="13">
        <f>F354*1000</f>
        <v/>
      </c>
      <c r="I354" s="14">
        <f>G354-273.15</f>
        <v/>
      </c>
      <c r="K354" s="15" t="n">
        <v>2001</v>
      </c>
      <c r="L354" s="15" t="n">
        <v>12</v>
      </c>
      <c r="M354" s="15" t="n">
        <v>20</v>
      </c>
      <c r="N354" s="16" t="n">
        <v>8.225961311e-05</v>
      </c>
      <c r="O354" s="11" t="n">
        <v>282.7571399</v>
      </c>
      <c r="P354" s="13">
        <f>N354*86400</f>
        <v/>
      </c>
      <c r="Q354" s="14">
        <f>O354-273.15</f>
        <v/>
      </c>
    </row>
    <row r="355">
      <c r="A355" s="9" t="n">
        <v>37242</v>
      </c>
      <c r="B355" s="7">
        <f>YEAR(A355)</f>
        <v/>
      </c>
      <c r="C355" s="7">
        <f>MONTH(A355)</f>
        <v/>
      </c>
      <c r="D355" s="10" t="n">
        <v>0</v>
      </c>
      <c r="E355" s="11" t="n">
        <v>2.800871412</v>
      </c>
      <c r="F355" s="12" t="n">
        <v>0</v>
      </c>
      <c r="G355" s="11" t="n">
        <v>277.1191844</v>
      </c>
      <c r="H355" s="13">
        <f>F355*1000</f>
        <v/>
      </c>
      <c r="I355" s="14">
        <f>G355-273.15</f>
        <v/>
      </c>
      <c r="K355" s="15" t="n">
        <v>2001</v>
      </c>
      <c r="L355" s="15" t="n">
        <v>12</v>
      </c>
      <c r="M355" s="15" t="n">
        <v>21</v>
      </c>
      <c r="N355" s="16" t="n">
        <v>6.798909594e-06</v>
      </c>
      <c r="O355" s="11" t="n">
        <v>280.6187282</v>
      </c>
      <c r="P355" s="13">
        <f>N355*86400</f>
        <v/>
      </c>
      <c r="Q355" s="14">
        <f>O355-273.15</f>
        <v/>
      </c>
    </row>
    <row r="356">
      <c r="A356" s="9" t="n">
        <v>37243</v>
      </c>
      <c r="B356" s="7">
        <f>YEAR(A356)</f>
        <v/>
      </c>
      <c r="C356" s="7">
        <f>MONTH(A356)</f>
        <v/>
      </c>
      <c r="D356" s="10" t="n">
        <v>0</v>
      </c>
      <c r="E356" s="11" t="n">
        <v>5.047586877</v>
      </c>
      <c r="F356" s="12" t="n">
        <v>0</v>
      </c>
      <c r="G356" s="11" t="n">
        <v>279.5159174</v>
      </c>
      <c r="H356" s="13">
        <f>F356*1000</f>
        <v/>
      </c>
      <c r="I356" s="14">
        <f>G356-273.15</f>
        <v/>
      </c>
      <c r="K356" s="15" t="n">
        <v>2001</v>
      </c>
      <c r="L356" s="15" t="n">
        <v>12</v>
      </c>
      <c r="M356" s="15" t="n">
        <v>22</v>
      </c>
      <c r="N356" s="16" t="n">
        <v>1.242438181e-06</v>
      </c>
      <c r="O356" s="11" t="n">
        <v>280.900474</v>
      </c>
      <c r="P356" s="13">
        <f>N356*86400</f>
        <v/>
      </c>
      <c r="Q356" s="14">
        <f>O356-273.15</f>
        <v/>
      </c>
    </row>
    <row r="357">
      <c r="A357" s="9" t="n">
        <v>37244</v>
      </c>
      <c r="B357" s="7">
        <f>YEAR(A357)</f>
        <v/>
      </c>
      <c r="C357" s="7">
        <f>MONTH(A357)</f>
        <v/>
      </c>
      <c r="D357" s="10" t="n">
        <v>0</v>
      </c>
      <c r="E357" s="11" t="n">
        <v>6.950188284</v>
      </c>
      <c r="F357" s="12" t="n">
        <v>0.0004740543438</v>
      </c>
      <c r="G357" s="11" t="n">
        <v>281.1880031</v>
      </c>
      <c r="H357" s="13">
        <f>F357*1000</f>
        <v/>
      </c>
      <c r="I357" s="14">
        <f>G357-273.15</f>
        <v/>
      </c>
      <c r="K357" s="15" t="n">
        <v>2001</v>
      </c>
      <c r="L357" s="15" t="n">
        <v>12</v>
      </c>
      <c r="M357" s="15" t="n">
        <v>23</v>
      </c>
      <c r="N357" s="16" t="n">
        <v>9.732966155000001e-06</v>
      </c>
      <c r="O357" s="11" t="n">
        <v>281.0126218</v>
      </c>
      <c r="P357" s="13">
        <f>N357*86400</f>
        <v/>
      </c>
      <c r="Q357" s="14">
        <f>O357-273.15</f>
        <v/>
      </c>
    </row>
    <row r="358">
      <c r="A358" s="9" t="n">
        <v>37245</v>
      </c>
      <c r="B358" s="7">
        <f>YEAR(A358)</f>
        <v/>
      </c>
      <c r="C358" s="7">
        <f>MONTH(A358)</f>
        <v/>
      </c>
      <c r="D358" s="10" t="n">
        <v>0</v>
      </c>
      <c r="E358" s="11" t="n">
        <v>6.694960588</v>
      </c>
      <c r="F358" s="12" t="n">
        <v>0.0003566120753</v>
      </c>
      <c r="G358" s="11" t="n">
        <v>281.1107292</v>
      </c>
      <c r="H358" s="13">
        <f>F358*1000</f>
        <v/>
      </c>
      <c r="I358" s="14">
        <f>G358-273.15</f>
        <v/>
      </c>
      <c r="K358" s="15" t="n">
        <v>2001</v>
      </c>
      <c r="L358" s="15" t="n">
        <v>12</v>
      </c>
      <c r="M358" s="15" t="n">
        <v>24</v>
      </c>
      <c r="N358" s="16" t="n">
        <v>0</v>
      </c>
      <c r="O358" s="11" t="n">
        <v>280.7425576</v>
      </c>
      <c r="P358" s="13">
        <f>N358*86400</f>
        <v/>
      </c>
      <c r="Q358" s="14">
        <f>O358-273.15</f>
        <v/>
      </c>
    </row>
    <row r="359">
      <c r="A359" s="9" t="n">
        <v>37246</v>
      </c>
      <c r="B359" s="7">
        <f>YEAR(A359)</f>
        <v/>
      </c>
      <c r="C359" s="7">
        <f>MONTH(A359)</f>
        <v/>
      </c>
      <c r="D359" s="10" t="n">
        <v>0</v>
      </c>
      <c r="E359" s="11" t="n">
        <v>5.670180406</v>
      </c>
      <c r="F359" s="12" t="n">
        <v>0.0003272039356</v>
      </c>
      <c r="G359" s="11" t="n">
        <v>279.9079683</v>
      </c>
      <c r="H359" s="13">
        <f>F359*1000</f>
        <v/>
      </c>
      <c r="I359" s="14">
        <f>G359-273.15</f>
        <v/>
      </c>
      <c r="K359" s="15" t="n">
        <v>2001</v>
      </c>
      <c r="L359" s="15" t="n">
        <v>12</v>
      </c>
      <c r="M359" s="15" t="n">
        <v>25</v>
      </c>
      <c r="N359" s="16" t="n">
        <v>0</v>
      </c>
      <c r="O359" s="11" t="n">
        <v>281.4091521</v>
      </c>
      <c r="P359" s="13">
        <f>N359*86400</f>
        <v/>
      </c>
      <c r="Q359" s="14">
        <f>O359-273.15</f>
        <v/>
      </c>
    </row>
    <row r="360">
      <c r="A360" s="9" t="n">
        <v>37247</v>
      </c>
      <c r="B360" s="7">
        <f>YEAR(A360)</f>
        <v/>
      </c>
      <c r="C360" s="7">
        <f>MONTH(A360)</f>
        <v/>
      </c>
      <c r="D360" s="10" t="n">
        <v>0</v>
      </c>
      <c r="E360" s="11" t="n">
        <v>4.481306367</v>
      </c>
      <c r="F360" s="12" t="n">
        <v>0.001480104669</v>
      </c>
      <c r="G360" s="11" t="n">
        <v>278.3863965</v>
      </c>
      <c r="H360" s="13">
        <f>F360*1000</f>
        <v/>
      </c>
      <c r="I360" s="14">
        <f>G360-273.15</f>
        <v/>
      </c>
      <c r="K360" s="15" t="n">
        <v>2001</v>
      </c>
      <c r="L360" s="15" t="n">
        <v>12</v>
      </c>
      <c r="M360" s="15" t="n">
        <v>26</v>
      </c>
      <c r="N360" s="16" t="n">
        <v>1.565707012e-06</v>
      </c>
      <c r="O360" s="11" t="n">
        <v>280.4719678</v>
      </c>
      <c r="P360" s="13">
        <f>N360*86400</f>
        <v/>
      </c>
      <c r="Q360" s="14">
        <f>O360-273.15</f>
        <v/>
      </c>
    </row>
    <row r="361">
      <c r="A361" s="9" t="n">
        <v>37248</v>
      </c>
      <c r="B361" s="7">
        <f>YEAR(A361)</f>
        <v/>
      </c>
      <c r="C361" s="7">
        <f>MONTH(A361)</f>
        <v/>
      </c>
      <c r="D361" s="10" t="n">
        <v>0</v>
      </c>
      <c r="E361" s="11" t="n">
        <v>3.743027885</v>
      </c>
      <c r="F361" s="12" t="n">
        <v>0</v>
      </c>
      <c r="G361" s="11" t="n">
        <v>277.5273785</v>
      </c>
      <c r="H361" s="13">
        <f>F361*1000</f>
        <v/>
      </c>
      <c r="I361" s="14">
        <f>G361-273.15</f>
        <v/>
      </c>
      <c r="K361" s="15" t="n">
        <v>2001</v>
      </c>
      <c r="L361" s="15" t="n">
        <v>12</v>
      </c>
      <c r="M361" s="15" t="n">
        <v>27</v>
      </c>
      <c r="N361" s="16" t="n">
        <v>3.549217597e-05</v>
      </c>
      <c r="O361" s="11" t="n">
        <v>280.727565</v>
      </c>
      <c r="P361" s="13">
        <f>N361*86400</f>
        <v/>
      </c>
      <c r="Q361" s="14">
        <f>O361-273.15</f>
        <v/>
      </c>
    </row>
    <row r="362">
      <c r="A362" s="9" t="n">
        <v>37249</v>
      </c>
      <c r="B362" s="7">
        <f>YEAR(A362)</f>
        <v/>
      </c>
      <c r="C362" s="7">
        <f>MONTH(A362)</f>
        <v/>
      </c>
      <c r="D362" s="10" t="n">
        <v>0</v>
      </c>
      <c r="E362" s="11" t="n">
        <v>5.232607955</v>
      </c>
      <c r="F362" s="12" t="n">
        <v>0</v>
      </c>
      <c r="G362" s="11" t="n">
        <v>278.931594</v>
      </c>
      <c r="H362" s="13">
        <f>F362*1000</f>
        <v/>
      </c>
      <c r="I362" s="14">
        <f>G362-273.15</f>
        <v/>
      </c>
      <c r="K362" s="15" t="n">
        <v>2001</v>
      </c>
      <c r="L362" s="15" t="n">
        <v>12</v>
      </c>
      <c r="M362" s="15" t="n">
        <v>28</v>
      </c>
      <c r="N362" s="16" t="n">
        <v>1.541491708e-06</v>
      </c>
      <c r="O362" s="11" t="n">
        <v>282.7080325</v>
      </c>
      <c r="P362" s="13">
        <f>N362*86400</f>
        <v/>
      </c>
      <c r="Q362" s="14">
        <f>O362-273.15</f>
        <v/>
      </c>
    </row>
    <row r="363">
      <c r="A363" s="9" t="n">
        <v>37250</v>
      </c>
      <c r="B363" s="7">
        <f>YEAR(A363)</f>
        <v/>
      </c>
      <c r="C363" s="7">
        <f>MONTH(A363)</f>
        <v/>
      </c>
      <c r="D363" s="10" t="n">
        <v>0</v>
      </c>
      <c r="E363" s="11" t="n">
        <v>4.706337457</v>
      </c>
      <c r="F363" s="12" t="n">
        <v>8.744557663e-05</v>
      </c>
      <c r="G363" s="11" t="n">
        <v>278.8192141</v>
      </c>
      <c r="H363" s="13">
        <f>F363*1000</f>
        <v/>
      </c>
      <c r="I363" s="14">
        <f>G363-273.15</f>
        <v/>
      </c>
      <c r="K363" s="15" t="n">
        <v>2001</v>
      </c>
      <c r="L363" s="15" t="n">
        <v>12</v>
      </c>
      <c r="M363" s="15" t="n">
        <v>29</v>
      </c>
      <c r="N363" s="16" t="n">
        <v>0</v>
      </c>
      <c r="O363" s="11" t="n">
        <v>282.5444561</v>
      </c>
      <c r="P363" s="13">
        <f>N363*86400</f>
        <v/>
      </c>
      <c r="Q363" s="14">
        <f>O363-273.15</f>
        <v/>
      </c>
    </row>
    <row r="364">
      <c r="A364" s="9" t="n">
        <v>37251</v>
      </c>
      <c r="B364" s="7">
        <f>YEAR(A364)</f>
        <v/>
      </c>
      <c r="C364" s="7">
        <f>MONTH(A364)</f>
        <v/>
      </c>
      <c r="D364" s="10" t="n">
        <v>0</v>
      </c>
      <c r="E364" s="11" t="n">
        <v>4.0462114</v>
      </c>
      <c r="F364" s="12" t="n">
        <v>0</v>
      </c>
      <c r="G364" s="11" t="n">
        <v>278.8180535</v>
      </c>
      <c r="H364" s="13">
        <f>F364*1000</f>
        <v/>
      </c>
      <c r="I364" s="14">
        <f>G364-273.15</f>
        <v/>
      </c>
      <c r="K364" s="15" t="n">
        <v>2001</v>
      </c>
      <c r="L364" s="15" t="n">
        <v>12</v>
      </c>
      <c r="M364" s="15" t="n">
        <v>30</v>
      </c>
      <c r="N364" s="16" t="n">
        <v>7.759126302e-07</v>
      </c>
      <c r="O364" s="11" t="n">
        <v>280.4875544</v>
      </c>
      <c r="P364" s="13">
        <f>N364*86400</f>
        <v/>
      </c>
      <c r="Q364" s="14">
        <f>O364-273.15</f>
        <v/>
      </c>
    </row>
    <row r="365">
      <c r="A365" s="9" t="n">
        <v>37252</v>
      </c>
      <c r="B365" s="7">
        <f>YEAR(A365)</f>
        <v/>
      </c>
      <c r="C365" s="7">
        <f>MONTH(A365)</f>
        <v/>
      </c>
      <c r="D365" s="10" t="n">
        <v>0</v>
      </c>
      <c r="E365" s="11" t="n">
        <v>4.926689878</v>
      </c>
      <c r="F365" s="12" t="n">
        <v>0</v>
      </c>
      <c r="G365" s="11" t="n">
        <v>279.0782188</v>
      </c>
      <c r="H365" s="13">
        <f>F365*1000</f>
        <v/>
      </c>
      <c r="I365" s="14">
        <f>G365-273.15</f>
        <v/>
      </c>
      <c r="K365" s="15" t="n">
        <v>2002</v>
      </c>
      <c r="L365" s="15" t="n">
        <v>1</v>
      </c>
      <c r="M365" s="15" t="n">
        <v>1</v>
      </c>
      <c r="N365" s="16" t="n">
        <v>0</v>
      </c>
      <c r="O365" s="11" t="n">
        <v>280.974606</v>
      </c>
      <c r="P365" s="13">
        <f>N365*86400</f>
        <v/>
      </c>
      <c r="Q365" s="14">
        <f>O365-273.15</f>
        <v/>
      </c>
    </row>
    <row r="366">
      <c r="A366" s="9" t="n">
        <v>37253</v>
      </c>
      <c r="B366" s="7">
        <f>YEAR(A366)</f>
        <v/>
      </c>
      <c r="C366" s="7">
        <f>MONTH(A366)</f>
        <v/>
      </c>
      <c r="D366" s="10" t="n">
        <v>0</v>
      </c>
      <c r="E366" s="11" t="n">
        <v>4.595724748</v>
      </c>
      <c r="F366" s="12" t="n">
        <v>0</v>
      </c>
      <c r="G366" s="11" t="n">
        <v>278.603318</v>
      </c>
      <c r="H366" s="13">
        <f>F366*1000</f>
        <v/>
      </c>
      <c r="I366" s="14">
        <f>G366-273.15</f>
        <v/>
      </c>
      <c r="K366" s="15" t="n">
        <v>2002</v>
      </c>
      <c r="L366" s="15" t="n">
        <v>1</v>
      </c>
      <c r="M366" s="15" t="n">
        <v>2</v>
      </c>
      <c r="N366" s="16" t="n">
        <v>0</v>
      </c>
      <c r="O366" s="11" t="n">
        <v>282.7763189</v>
      </c>
      <c r="P366" s="13">
        <f>N366*86400</f>
        <v/>
      </c>
      <c r="Q366" s="14">
        <f>O366-273.15</f>
        <v/>
      </c>
    </row>
    <row r="367">
      <c r="A367" s="9" t="n">
        <v>37254</v>
      </c>
      <c r="B367" s="7">
        <f>YEAR(A367)</f>
        <v/>
      </c>
      <c r="C367" s="7">
        <f>MONTH(A367)</f>
        <v/>
      </c>
      <c r="D367" s="10" t="n">
        <v>0</v>
      </c>
      <c r="E367" s="11" t="n">
        <v>5.063765151</v>
      </c>
      <c r="F367" s="12" t="n">
        <v>0</v>
      </c>
      <c r="G367" s="11" t="n">
        <v>278.9910563</v>
      </c>
      <c r="H367" s="13">
        <f>F367*1000</f>
        <v/>
      </c>
      <c r="I367" s="14">
        <f>G367-273.15</f>
        <v/>
      </c>
      <c r="K367" s="15" t="n">
        <v>2002</v>
      </c>
      <c r="L367" s="15" t="n">
        <v>1</v>
      </c>
      <c r="M367" s="15" t="n">
        <v>3</v>
      </c>
      <c r="N367" s="16" t="n">
        <v>0</v>
      </c>
      <c r="O367" s="11" t="n">
        <v>283.5729712</v>
      </c>
      <c r="P367" s="13">
        <f>N367*86400</f>
        <v/>
      </c>
      <c r="Q367" s="14">
        <f>O367-273.15</f>
        <v/>
      </c>
    </row>
    <row r="368">
      <c r="A368" s="9" t="n">
        <v>37255</v>
      </c>
      <c r="B368" s="7">
        <f>YEAR(A368)</f>
        <v/>
      </c>
      <c r="C368" s="7">
        <f>MONTH(A368)</f>
        <v/>
      </c>
      <c r="D368" s="10" t="n">
        <v>0</v>
      </c>
      <c r="E368" s="11" t="n">
        <v>3.958549824</v>
      </c>
      <c r="F368" s="12" t="n">
        <v>0</v>
      </c>
      <c r="G368" s="11" t="n">
        <v>279.0368128</v>
      </c>
      <c r="H368" s="13">
        <f>F368*1000</f>
        <v/>
      </c>
      <c r="I368" s="14">
        <f>G368-273.15</f>
        <v/>
      </c>
      <c r="K368" s="15" t="n">
        <v>2002</v>
      </c>
      <c r="L368" s="15" t="n">
        <v>1</v>
      </c>
      <c r="M368" s="15" t="n">
        <v>4</v>
      </c>
      <c r="N368" s="16" t="n">
        <v>5.903198878e-06</v>
      </c>
      <c r="O368" s="11" t="n">
        <v>282.2405943</v>
      </c>
      <c r="P368" s="13">
        <f>N368*86400</f>
        <v/>
      </c>
      <c r="Q368" s="14">
        <f>O368-273.15</f>
        <v/>
      </c>
    </row>
    <row r="369">
      <c r="A369" s="9" t="n">
        <v>37256</v>
      </c>
      <c r="B369" s="7">
        <f>YEAR(A369)</f>
        <v/>
      </c>
      <c r="C369" s="7">
        <f>MONTH(A369)</f>
        <v/>
      </c>
      <c r="D369" s="10" t="n">
        <v>0</v>
      </c>
      <c r="E369" s="11" t="n">
        <v>5.219069072</v>
      </c>
      <c r="F369" s="12" t="n">
        <v>0.0001002622774</v>
      </c>
      <c r="G369" s="11" t="n">
        <v>278.6151373</v>
      </c>
      <c r="H369" s="13">
        <f>F369*1000</f>
        <v/>
      </c>
      <c r="I369" s="14">
        <f>G369-273.15</f>
        <v/>
      </c>
      <c r="K369" s="15" t="n">
        <v>2002</v>
      </c>
      <c r="L369" s="15" t="n">
        <v>1</v>
      </c>
      <c r="M369" s="15" t="n">
        <v>5</v>
      </c>
      <c r="N369" s="16" t="n">
        <v>0</v>
      </c>
      <c r="O369" s="11" t="n">
        <v>283.4011394</v>
      </c>
      <c r="P369" s="13">
        <f>N369*86400</f>
        <v/>
      </c>
      <c r="Q369" s="14">
        <f>O369-273.15</f>
        <v/>
      </c>
    </row>
    <row r="370">
      <c r="A370" s="9" t="n">
        <v>37257</v>
      </c>
      <c r="B370" s="7">
        <f>YEAR(A370)</f>
        <v/>
      </c>
      <c r="C370" s="7">
        <f>MONTH(A370)</f>
        <v/>
      </c>
      <c r="D370" s="10" t="n">
        <v>0</v>
      </c>
      <c r="E370" s="11" t="n">
        <v>4.516846132</v>
      </c>
      <c r="F370" s="12" t="n">
        <v>0</v>
      </c>
      <c r="G370" s="11" t="n">
        <v>277.8994258</v>
      </c>
      <c r="H370" s="13">
        <f>F370*1000</f>
        <v/>
      </c>
      <c r="I370" s="14">
        <f>G370-273.15</f>
        <v/>
      </c>
      <c r="K370" s="15" t="n">
        <v>2002</v>
      </c>
      <c r="L370" s="15" t="n">
        <v>1</v>
      </c>
      <c r="M370" s="15" t="n">
        <v>6</v>
      </c>
      <c r="N370" s="16" t="n">
        <v>0</v>
      </c>
      <c r="O370" s="11" t="n">
        <v>282.6974018</v>
      </c>
      <c r="P370" s="13">
        <f>N370*86400</f>
        <v/>
      </c>
      <c r="Q370" s="14">
        <f>O370-273.15</f>
        <v/>
      </c>
    </row>
    <row r="371">
      <c r="A371" s="9" t="n">
        <v>37258</v>
      </c>
      <c r="B371" s="7">
        <f>YEAR(A371)</f>
        <v/>
      </c>
      <c r="C371" s="7">
        <f>MONTH(A371)</f>
        <v/>
      </c>
      <c r="D371" s="10" t="n">
        <v>0</v>
      </c>
      <c r="E371" s="11" t="n">
        <v>4.906456771</v>
      </c>
      <c r="F371" s="12" t="n">
        <v>0</v>
      </c>
      <c r="G371" s="11" t="n">
        <v>278.9136091</v>
      </c>
      <c r="H371" s="13">
        <f>F371*1000</f>
        <v/>
      </c>
      <c r="I371" s="14">
        <f>G371-273.15</f>
        <v/>
      </c>
      <c r="K371" s="15" t="n">
        <v>2002</v>
      </c>
      <c r="L371" s="15" t="n">
        <v>1</v>
      </c>
      <c r="M371" s="15" t="n">
        <v>7</v>
      </c>
      <c r="N371" s="16" t="n">
        <v>5.03212094e-07</v>
      </c>
      <c r="O371" s="11" t="n">
        <v>282.1039812</v>
      </c>
      <c r="P371" s="13">
        <f>N371*86400</f>
        <v/>
      </c>
      <c r="Q371" s="14">
        <f>O371-273.15</f>
        <v/>
      </c>
    </row>
    <row r="372">
      <c r="A372" s="9" t="n">
        <v>37259</v>
      </c>
      <c r="B372" s="7">
        <f>YEAR(A372)</f>
        <v/>
      </c>
      <c r="C372" s="7">
        <f>MONTH(A372)</f>
        <v/>
      </c>
      <c r="D372" s="10" t="n">
        <v>0</v>
      </c>
      <c r="E372" s="11" t="n">
        <v>4.203734723</v>
      </c>
      <c r="F372" s="12" t="n">
        <v>0</v>
      </c>
      <c r="G372" s="11" t="n">
        <v>277.6161254</v>
      </c>
      <c r="H372" s="13">
        <f>F372*1000</f>
        <v/>
      </c>
      <c r="I372" s="14">
        <f>G372-273.15</f>
        <v/>
      </c>
      <c r="K372" s="15" t="n">
        <v>2002</v>
      </c>
      <c r="L372" s="15" t="n">
        <v>1</v>
      </c>
      <c r="M372" s="15" t="n">
        <v>8</v>
      </c>
      <c r="N372" s="16" t="n">
        <v>3.740244642e-06</v>
      </c>
      <c r="O372" s="11" t="n">
        <v>284.1201649</v>
      </c>
      <c r="P372" s="13">
        <f>N372*86400</f>
        <v/>
      </c>
      <c r="Q372" s="14">
        <f>O372-273.15</f>
        <v/>
      </c>
    </row>
    <row r="373">
      <c r="A373" s="9" t="n">
        <v>37260</v>
      </c>
      <c r="B373" s="7">
        <f>YEAR(A373)</f>
        <v/>
      </c>
      <c r="C373" s="7">
        <f>MONTH(A373)</f>
        <v/>
      </c>
      <c r="D373" s="10" t="n">
        <v>0.007502625082</v>
      </c>
      <c r="E373" s="11" t="n">
        <v>4.777905369</v>
      </c>
      <c r="F373" s="12" t="n">
        <v>0</v>
      </c>
      <c r="G373" s="11" t="n">
        <v>277.388113</v>
      </c>
      <c r="H373" s="13">
        <f>F373*1000</f>
        <v/>
      </c>
      <c r="I373" s="14">
        <f>G373-273.15</f>
        <v/>
      </c>
      <c r="K373" s="15" t="n">
        <v>2002</v>
      </c>
      <c r="L373" s="15" t="n">
        <v>1</v>
      </c>
      <c r="M373" s="15" t="n">
        <v>9</v>
      </c>
      <c r="N373" s="16" t="n">
        <v>0</v>
      </c>
      <c r="O373" s="11" t="n">
        <v>282.5572097</v>
      </c>
      <c r="P373" s="13">
        <f>N373*86400</f>
        <v/>
      </c>
      <c r="Q373" s="14">
        <f>O373-273.15</f>
        <v/>
      </c>
    </row>
    <row r="374">
      <c r="A374" s="9" t="n">
        <v>37261</v>
      </c>
      <c r="B374" s="7">
        <f>YEAR(A374)</f>
        <v/>
      </c>
      <c r="C374" s="7">
        <f>MONTH(A374)</f>
        <v/>
      </c>
      <c r="D374" s="10" t="n">
        <v>0</v>
      </c>
      <c r="E374" s="11" t="n">
        <v>7.298989168</v>
      </c>
      <c r="F374" s="12" t="n">
        <v>0</v>
      </c>
      <c r="G374" s="11" t="n">
        <v>278.7654799</v>
      </c>
      <c r="H374" s="13">
        <f>F374*1000</f>
        <v/>
      </c>
      <c r="I374" s="14">
        <f>G374-273.15</f>
        <v/>
      </c>
      <c r="K374" s="15" t="n">
        <v>2002</v>
      </c>
      <c r="L374" s="15" t="n">
        <v>1</v>
      </c>
      <c r="M374" s="15" t="n">
        <v>10</v>
      </c>
      <c r="N374" s="16" t="n">
        <v>9.487522766999999e-06</v>
      </c>
      <c r="O374" s="11" t="n">
        <v>282.893032</v>
      </c>
      <c r="P374" s="13">
        <f>N374*86400</f>
        <v/>
      </c>
      <c r="Q374" s="14">
        <f>O374-273.15</f>
        <v/>
      </c>
    </row>
    <row r="375">
      <c r="A375" s="9" t="n">
        <v>37262</v>
      </c>
      <c r="B375" s="7">
        <f>YEAR(A375)</f>
        <v/>
      </c>
      <c r="C375" s="7">
        <f>MONTH(A375)</f>
        <v/>
      </c>
      <c r="D375" s="10" t="n">
        <v>0</v>
      </c>
      <c r="E375" s="11" t="n">
        <v>7.821881286</v>
      </c>
      <c r="F375" s="12" t="n">
        <v>0.001272836428</v>
      </c>
      <c r="G375" s="11" t="n">
        <v>279.5902498</v>
      </c>
      <c r="H375" s="13">
        <f>F375*1000</f>
        <v/>
      </c>
      <c r="I375" s="14">
        <f>G375-273.15</f>
        <v/>
      </c>
      <c r="K375" s="15" t="n">
        <v>2002</v>
      </c>
      <c r="L375" s="15" t="n">
        <v>1</v>
      </c>
      <c r="M375" s="15" t="n">
        <v>11</v>
      </c>
      <c r="N375" s="16" t="n">
        <v>7.568617168e-06</v>
      </c>
      <c r="O375" s="11" t="n">
        <v>282.6354566</v>
      </c>
      <c r="P375" s="13">
        <f>N375*86400</f>
        <v/>
      </c>
      <c r="Q375" s="14">
        <f>O375-273.15</f>
        <v/>
      </c>
    </row>
    <row r="376">
      <c r="A376" s="9" t="n">
        <v>37263</v>
      </c>
      <c r="B376" s="7">
        <f>YEAR(A376)</f>
        <v/>
      </c>
      <c r="C376" s="7">
        <f>MONTH(A376)</f>
        <v/>
      </c>
      <c r="D376" s="10" t="n">
        <v>0</v>
      </c>
      <c r="E376" s="11" t="n">
        <v>5.971002703</v>
      </c>
      <c r="F376" s="12" t="n">
        <v>1.703304374e-05</v>
      </c>
      <c r="G376" s="11" t="n">
        <v>279.2804111</v>
      </c>
      <c r="H376" s="13">
        <f>F376*1000</f>
        <v/>
      </c>
      <c r="I376" s="14">
        <f>G376-273.15</f>
        <v/>
      </c>
      <c r="K376" s="15" t="n">
        <v>2002</v>
      </c>
      <c r="L376" s="15" t="n">
        <v>1</v>
      </c>
      <c r="M376" s="15" t="n">
        <v>12</v>
      </c>
      <c r="N376" s="16" t="n">
        <v>5.5290828e-05</v>
      </c>
      <c r="O376" s="11" t="n">
        <v>282.3204315</v>
      </c>
      <c r="P376" s="13">
        <f>N376*86400</f>
        <v/>
      </c>
      <c r="Q376" s="14">
        <f>O376-273.15</f>
        <v/>
      </c>
    </row>
    <row r="377">
      <c r="A377" s="9" t="n">
        <v>37264</v>
      </c>
      <c r="B377" s="7">
        <f>YEAR(A377)</f>
        <v/>
      </c>
      <c r="C377" s="7">
        <f>MONTH(A377)</f>
        <v/>
      </c>
      <c r="D377" s="10" t="n">
        <v>0</v>
      </c>
      <c r="E377" s="11" t="n">
        <v>5.800204253</v>
      </c>
      <c r="F377" s="12" t="n">
        <v>0</v>
      </c>
      <c r="G377" s="11" t="n">
        <v>279.1918969</v>
      </c>
      <c r="H377" s="13">
        <f>F377*1000</f>
        <v/>
      </c>
      <c r="I377" s="14">
        <f>G377-273.15</f>
        <v/>
      </c>
      <c r="K377" s="15" t="n">
        <v>2002</v>
      </c>
      <c r="L377" s="15" t="n">
        <v>1</v>
      </c>
      <c r="M377" s="15" t="n">
        <v>13</v>
      </c>
      <c r="N377" s="16" t="n">
        <v>3.892392716e-08</v>
      </c>
      <c r="O377" s="11" t="n">
        <v>280.614628</v>
      </c>
      <c r="P377" s="13">
        <f>N377*86400</f>
        <v/>
      </c>
      <c r="Q377" s="14">
        <f>O377-273.15</f>
        <v/>
      </c>
    </row>
    <row r="378">
      <c r="A378" s="9" t="n">
        <v>37265</v>
      </c>
      <c r="B378" s="7">
        <f>YEAR(A378)</f>
        <v/>
      </c>
      <c r="C378" s="7">
        <f>MONTH(A378)</f>
        <v/>
      </c>
      <c r="D378" s="10" t="n">
        <v>0</v>
      </c>
      <c r="E378" s="11" t="n">
        <v>3.111523086</v>
      </c>
      <c r="F378" s="12" t="n">
        <v>0</v>
      </c>
      <c r="G378" s="11" t="n">
        <v>278.0842522</v>
      </c>
      <c r="H378" s="13">
        <f>F378*1000</f>
        <v/>
      </c>
      <c r="I378" s="14">
        <f>G378-273.15</f>
        <v/>
      </c>
      <c r="K378" s="15" t="n">
        <v>2002</v>
      </c>
      <c r="L378" s="15" t="n">
        <v>1</v>
      </c>
      <c r="M378" s="15" t="n">
        <v>14</v>
      </c>
      <c r="N378" s="16" t="n">
        <v>8.104091489000001e-06</v>
      </c>
      <c r="O378" s="11" t="n">
        <v>282.1316416</v>
      </c>
      <c r="P378" s="13">
        <f>N378*86400</f>
        <v/>
      </c>
      <c r="Q378" s="14">
        <f>O378-273.15</f>
        <v/>
      </c>
    </row>
    <row r="379">
      <c r="A379" s="9" t="n">
        <v>37266</v>
      </c>
      <c r="B379" s="7">
        <f>YEAR(A379)</f>
        <v/>
      </c>
      <c r="C379" s="7">
        <f>MONTH(A379)</f>
        <v/>
      </c>
      <c r="D379" s="10" t="n">
        <v>0</v>
      </c>
      <c r="E379" s="11" t="n">
        <v>3.391946321</v>
      </c>
      <c r="F379" s="12" t="n">
        <v>0</v>
      </c>
      <c r="G379" s="11" t="n">
        <v>278.9582062</v>
      </c>
      <c r="H379" s="13">
        <f>F379*1000</f>
        <v/>
      </c>
      <c r="I379" s="14">
        <f>G379-273.15</f>
        <v/>
      </c>
      <c r="K379" s="15" t="n">
        <v>2002</v>
      </c>
      <c r="L379" s="15" t="n">
        <v>1</v>
      </c>
      <c r="M379" s="15" t="n">
        <v>15</v>
      </c>
      <c r="N379" s="16" t="n">
        <v>7.539201615e-06</v>
      </c>
      <c r="O379" s="11" t="n">
        <v>283.7338112</v>
      </c>
      <c r="P379" s="13">
        <f>N379*86400</f>
        <v/>
      </c>
      <c r="Q379" s="14">
        <f>O379-273.15</f>
        <v/>
      </c>
    </row>
    <row r="380">
      <c r="A380" s="9" t="n">
        <v>37267</v>
      </c>
      <c r="B380" s="7">
        <f>YEAR(A380)</f>
        <v/>
      </c>
      <c r="C380" s="7">
        <f>MONTH(A380)</f>
        <v/>
      </c>
      <c r="D380" s="10" t="n">
        <v>0</v>
      </c>
      <c r="E380" s="11" t="n">
        <v>7.145739066</v>
      </c>
      <c r="F380" s="12" t="n">
        <v>0</v>
      </c>
      <c r="G380" s="11" t="n">
        <v>281.9981478</v>
      </c>
      <c r="H380" s="13">
        <f>F380*1000</f>
        <v/>
      </c>
      <c r="I380" s="14">
        <f>G380-273.15</f>
        <v/>
      </c>
      <c r="K380" s="15" t="n">
        <v>2002</v>
      </c>
      <c r="L380" s="15" t="n">
        <v>1</v>
      </c>
      <c r="M380" s="15" t="n">
        <v>16</v>
      </c>
      <c r="N380" s="16" t="n">
        <v>1.570966217e-05</v>
      </c>
      <c r="O380" s="11" t="n">
        <v>284.4879008</v>
      </c>
      <c r="P380" s="13">
        <f>N380*86400</f>
        <v/>
      </c>
      <c r="Q380" s="14">
        <f>O380-273.15</f>
        <v/>
      </c>
    </row>
    <row r="381">
      <c r="A381" s="9" t="n">
        <v>37268</v>
      </c>
      <c r="B381" s="7">
        <f>YEAR(A381)</f>
        <v/>
      </c>
      <c r="C381" s="7">
        <f>MONTH(A381)</f>
        <v/>
      </c>
      <c r="D381" s="10" t="n">
        <v>0</v>
      </c>
      <c r="E381" s="11" t="n">
        <v>7.824662622</v>
      </c>
      <c r="F381" s="12" t="n">
        <v>0</v>
      </c>
      <c r="G381" s="11" t="n">
        <v>281.7087463</v>
      </c>
      <c r="H381" s="13">
        <f>F381*1000</f>
        <v/>
      </c>
      <c r="I381" s="14">
        <f>G381-273.15</f>
        <v/>
      </c>
      <c r="K381" s="15" t="n">
        <v>2002</v>
      </c>
      <c r="L381" s="15" t="n">
        <v>1</v>
      </c>
      <c r="M381" s="15" t="n">
        <v>17</v>
      </c>
      <c r="N381" s="16" t="n">
        <v>0</v>
      </c>
      <c r="O381" s="11" t="n">
        <v>285.4818675</v>
      </c>
      <c r="P381" s="13">
        <f>N381*86400</f>
        <v/>
      </c>
      <c r="Q381" s="14">
        <f>O381-273.15</f>
        <v/>
      </c>
    </row>
    <row r="382">
      <c r="A382" s="9" t="n">
        <v>37269</v>
      </c>
      <c r="B382" s="7">
        <f>YEAR(A382)</f>
        <v/>
      </c>
      <c r="C382" s="7">
        <f>MONTH(A382)</f>
        <v/>
      </c>
      <c r="D382" s="10" t="n">
        <v>0</v>
      </c>
      <c r="E382" s="11" t="n">
        <v>7.140561816</v>
      </c>
      <c r="F382" s="12" t="n">
        <v>0</v>
      </c>
      <c r="G382" s="11" t="n">
        <v>281.7338698</v>
      </c>
      <c r="H382" s="13">
        <f>F382*1000</f>
        <v/>
      </c>
      <c r="I382" s="14">
        <f>G382-273.15</f>
        <v/>
      </c>
      <c r="K382" s="15" t="n">
        <v>2002</v>
      </c>
      <c r="L382" s="15" t="n">
        <v>1</v>
      </c>
      <c r="M382" s="15" t="n">
        <v>18</v>
      </c>
      <c r="N382" s="16" t="n">
        <v>0</v>
      </c>
      <c r="O382" s="11" t="n">
        <v>284.5999631</v>
      </c>
      <c r="P382" s="13">
        <f>N382*86400</f>
        <v/>
      </c>
      <c r="Q382" s="14">
        <f>O382-273.15</f>
        <v/>
      </c>
    </row>
    <row r="383">
      <c r="A383" s="9" t="n">
        <v>37270</v>
      </c>
      <c r="B383" s="7">
        <f>YEAR(A383)</f>
        <v/>
      </c>
      <c r="C383" s="7">
        <f>MONTH(A383)</f>
        <v/>
      </c>
      <c r="D383" s="10" t="n">
        <v>0</v>
      </c>
      <c r="E383" s="11" t="n">
        <v>7.175495442</v>
      </c>
      <c r="F383" s="12" t="n">
        <v>0</v>
      </c>
      <c r="G383" s="11" t="n">
        <v>281.9590372</v>
      </c>
      <c r="H383" s="13">
        <f>F383*1000</f>
        <v/>
      </c>
      <c r="I383" s="14">
        <f>G383-273.15</f>
        <v/>
      </c>
      <c r="K383" s="15" t="n">
        <v>2002</v>
      </c>
      <c r="L383" s="15" t="n">
        <v>1</v>
      </c>
      <c r="M383" s="15" t="n">
        <v>19</v>
      </c>
      <c r="N383" s="16" t="n">
        <v>8.165219173e-07</v>
      </c>
      <c r="O383" s="11" t="n">
        <v>285.2762271</v>
      </c>
      <c r="P383" s="13">
        <f>N383*86400</f>
        <v/>
      </c>
      <c r="Q383" s="14">
        <f>O383-273.15</f>
        <v/>
      </c>
    </row>
    <row r="384">
      <c r="A384" s="9" t="n">
        <v>37271</v>
      </c>
      <c r="B384" s="7">
        <f>YEAR(A384)</f>
        <v/>
      </c>
      <c r="C384" s="7">
        <f>MONTH(A384)</f>
        <v/>
      </c>
      <c r="D384" s="10" t="n">
        <v>0</v>
      </c>
      <c r="E384" s="11" t="n">
        <v>7.861771065</v>
      </c>
      <c r="F384" s="12" t="n">
        <v>0</v>
      </c>
      <c r="G384" s="11" t="n">
        <v>282.0452049</v>
      </c>
      <c r="H384" s="13">
        <f>F384*1000</f>
        <v/>
      </c>
      <c r="I384" s="14">
        <f>G384-273.15</f>
        <v/>
      </c>
      <c r="K384" s="15" t="n">
        <v>2002</v>
      </c>
      <c r="L384" s="15" t="n">
        <v>1</v>
      </c>
      <c r="M384" s="15" t="n">
        <v>20</v>
      </c>
      <c r="N384" s="16" t="n">
        <v>0</v>
      </c>
      <c r="O384" s="11" t="n">
        <v>282.871966</v>
      </c>
      <c r="P384" s="13">
        <f>N384*86400</f>
        <v/>
      </c>
      <c r="Q384" s="14">
        <f>O384-273.15</f>
        <v/>
      </c>
    </row>
    <row r="385">
      <c r="A385" s="9" t="n">
        <v>37272</v>
      </c>
      <c r="B385" s="7">
        <f>YEAR(A385)</f>
        <v/>
      </c>
      <c r="C385" s="7">
        <f>MONTH(A385)</f>
        <v/>
      </c>
      <c r="D385" s="10" t="n">
        <v>0</v>
      </c>
      <c r="E385" s="11" t="n">
        <v>7.115095255</v>
      </c>
      <c r="F385" s="12" t="n">
        <v>0</v>
      </c>
      <c r="G385" s="11" t="n">
        <v>281.2052173</v>
      </c>
      <c r="H385" s="13">
        <f>F385*1000</f>
        <v/>
      </c>
      <c r="I385" s="14">
        <f>G385-273.15</f>
        <v/>
      </c>
      <c r="K385" s="15" t="n">
        <v>2002</v>
      </c>
      <c r="L385" s="15" t="n">
        <v>1</v>
      </c>
      <c r="M385" s="15" t="n">
        <v>21</v>
      </c>
      <c r="N385" s="16" t="n">
        <v>0</v>
      </c>
      <c r="O385" s="11" t="n">
        <v>282.4551136</v>
      </c>
      <c r="P385" s="13">
        <f>N385*86400</f>
        <v/>
      </c>
      <c r="Q385" s="14">
        <f>O385-273.15</f>
        <v/>
      </c>
    </row>
    <row r="386">
      <c r="A386" s="9" t="n">
        <v>37273</v>
      </c>
      <c r="B386" s="7">
        <f>YEAR(A386)</f>
        <v/>
      </c>
      <c r="C386" s="7">
        <f>MONTH(A386)</f>
        <v/>
      </c>
      <c r="D386" s="10" t="n">
        <v>0</v>
      </c>
      <c r="E386" s="11" t="n">
        <v>6.782654427</v>
      </c>
      <c r="F386" s="12" t="n">
        <v>0.0008010035459</v>
      </c>
      <c r="G386" s="11" t="n">
        <v>280.7612659</v>
      </c>
      <c r="H386" s="13">
        <f>F386*1000</f>
        <v/>
      </c>
      <c r="I386" s="14">
        <f>G386-273.15</f>
        <v/>
      </c>
      <c r="K386" s="15" t="n">
        <v>2002</v>
      </c>
      <c r="L386" s="15" t="n">
        <v>1</v>
      </c>
      <c r="M386" s="15" t="n">
        <v>22</v>
      </c>
      <c r="N386" s="16" t="n">
        <v>2.214934744e-06</v>
      </c>
      <c r="O386" s="11" t="n">
        <v>282.6273479</v>
      </c>
      <c r="P386" s="13">
        <f>N386*86400</f>
        <v/>
      </c>
      <c r="Q386" s="14">
        <f>O386-273.15</f>
        <v/>
      </c>
    </row>
    <row r="387">
      <c r="A387" s="9" t="n">
        <v>37274</v>
      </c>
      <c r="B387" s="7">
        <f>YEAR(A387)</f>
        <v/>
      </c>
      <c r="C387" s="7">
        <f>MONTH(A387)</f>
        <v/>
      </c>
      <c r="D387" s="10" t="n">
        <v>0</v>
      </c>
      <c r="E387" s="11" t="n">
        <v>7.559138795</v>
      </c>
      <c r="F387" s="12" t="n">
        <v>0</v>
      </c>
      <c r="G387" s="11" t="n">
        <v>282.1854397</v>
      </c>
      <c r="H387" s="13">
        <f>F387*1000</f>
        <v/>
      </c>
      <c r="I387" s="14">
        <f>G387-273.15</f>
        <v/>
      </c>
      <c r="K387" s="15" t="n">
        <v>2002</v>
      </c>
      <c r="L387" s="15" t="n">
        <v>1</v>
      </c>
      <c r="M387" s="15" t="n">
        <v>23</v>
      </c>
      <c r="N387" s="16" t="n">
        <v>1.035820463e-05</v>
      </c>
      <c r="O387" s="11" t="n">
        <v>283.1177984</v>
      </c>
      <c r="P387" s="13">
        <f>N387*86400</f>
        <v/>
      </c>
      <c r="Q387" s="14">
        <f>O387-273.15</f>
        <v/>
      </c>
    </row>
    <row r="388">
      <c r="A388" s="9" t="n">
        <v>37275</v>
      </c>
      <c r="B388" s="7">
        <f>YEAR(A388)</f>
        <v/>
      </c>
      <c r="C388" s="7">
        <f>MONTH(A388)</f>
        <v/>
      </c>
      <c r="D388" s="10" t="n">
        <v>0</v>
      </c>
      <c r="E388" s="11" t="n">
        <v>5.889709813</v>
      </c>
      <c r="F388" s="12" t="n">
        <v>0</v>
      </c>
      <c r="G388" s="11" t="n">
        <v>280.7846031</v>
      </c>
      <c r="H388" s="13">
        <f>F388*1000</f>
        <v/>
      </c>
      <c r="I388" s="14">
        <f>G388-273.15</f>
        <v/>
      </c>
      <c r="K388" s="15" t="n">
        <v>2002</v>
      </c>
      <c r="L388" s="15" t="n">
        <v>1</v>
      </c>
      <c r="M388" s="15" t="n">
        <v>24</v>
      </c>
      <c r="N388" s="16" t="n">
        <v>0</v>
      </c>
      <c r="O388" s="11" t="n">
        <v>283.982449</v>
      </c>
      <c r="P388" s="13">
        <f>N388*86400</f>
        <v/>
      </c>
      <c r="Q388" s="14">
        <f>O388-273.15</f>
        <v/>
      </c>
    </row>
    <row r="389">
      <c r="A389" s="9" t="n">
        <v>37276</v>
      </c>
      <c r="B389" s="7">
        <f>YEAR(A389)</f>
        <v/>
      </c>
      <c r="C389" s="7">
        <f>MONTH(A389)</f>
        <v/>
      </c>
      <c r="D389" s="10" t="n">
        <v>0</v>
      </c>
      <c r="E389" s="11" t="n">
        <v>6.315756273</v>
      </c>
      <c r="F389" s="12" t="n">
        <v>0</v>
      </c>
      <c r="G389" s="11" t="n">
        <v>280.4654631</v>
      </c>
      <c r="H389" s="13">
        <f>F389*1000</f>
        <v/>
      </c>
      <c r="I389" s="14">
        <f>G389-273.15</f>
        <v/>
      </c>
      <c r="K389" s="15" t="n">
        <v>2002</v>
      </c>
      <c r="L389" s="15" t="n">
        <v>1</v>
      </c>
      <c r="M389" s="15" t="n">
        <v>25</v>
      </c>
      <c r="N389" s="16" t="n">
        <v>0</v>
      </c>
      <c r="O389" s="11" t="n">
        <v>282.2455641</v>
      </c>
      <c r="P389" s="13">
        <f>N389*86400</f>
        <v/>
      </c>
      <c r="Q389" s="14">
        <f>O389-273.15</f>
        <v/>
      </c>
    </row>
    <row r="390">
      <c r="A390" s="9" t="n">
        <v>37277</v>
      </c>
      <c r="B390" s="7">
        <f>YEAR(A390)</f>
        <v/>
      </c>
      <c r="C390" s="7">
        <f>MONTH(A390)</f>
        <v/>
      </c>
      <c r="D390" s="10" t="n">
        <v>0</v>
      </c>
      <c r="E390" s="11" t="n">
        <v>3.581743039</v>
      </c>
      <c r="F390" s="12" t="n">
        <v>0</v>
      </c>
      <c r="G390" s="11" t="n">
        <v>277.8358409</v>
      </c>
      <c r="H390" s="13">
        <f>F390*1000</f>
        <v/>
      </c>
      <c r="I390" s="14">
        <f>G390-273.15</f>
        <v/>
      </c>
      <c r="K390" s="15" t="n">
        <v>2002</v>
      </c>
      <c r="L390" s="15" t="n">
        <v>1</v>
      </c>
      <c r="M390" s="15" t="n">
        <v>26</v>
      </c>
      <c r="N390" s="16" t="n">
        <v>0</v>
      </c>
      <c r="O390" s="11" t="n">
        <v>281.1637743</v>
      </c>
      <c r="P390" s="13">
        <f>N390*86400</f>
        <v/>
      </c>
      <c r="Q390" s="14">
        <f>O390-273.15</f>
        <v/>
      </c>
    </row>
    <row r="391">
      <c r="A391" s="9" t="n">
        <v>37278</v>
      </c>
      <c r="B391" s="7">
        <f>YEAR(A391)</f>
        <v/>
      </c>
      <c r="C391" s="7">
        <f>MONTH(A391)</f>
        <v/>
      </c>
      <c r="D391" s="10" t="n">
        <v>8.743867091</v>
      </c>
      <c r="E391" s="11" t="n">
        <v>3.306295352</v>
      </c>
      <c r="F391" s="12" t="n">
        <v>0.005662485277</v>
      </c>
      <c r="G391" s="11" t="n">
        <v>277.3303313</v>
      </c>
      <c r="H391" s="13">
        <f>F391*1000</f>
        <v/>
      </c>
      <c r="I391" s="14">
        <f>G391-273.15</f>
        <v/>
      </c>
      <c r="K391" s="15" t="n">
        <v>2002</v>
      </c>
      <c r="L391" s="15" t="n">
        <v>1</v>
      </c>
      <c r="M391" s="15" t="n">
        <v>27</v>
      </c>
      <c r="N391" s="16" t="n">
        <v>3.442551568e-05</v>
      </c>
      <c r="O391" s="11" t="n">
        <v>282.7578424</v>
      </c>
      <c r="P391" s="13">
        <f>N391*86400</f>
        <v/>
      </c>
      <c r="Q391" s="14">
        <f>O391-273.15</f>
        <v/>
      </c>
    </row>
    <row r="392">
      <c r="A392" s="9" t="n">
        <v>37279</v>
      </c>
      <c r="B392" s="7">
        <f>YEAR(A392)</f>
        <v/>
      </c>
      <c r="C392" s="7">
        <f>MONTH(A392)</f>
        <v/>
      </c>
      <c r="D392" s="10" t="n">
        <v>0</v>
      </c>
      <c r="E392" s="11" t="n">
        <v>3.073066586</v>
      </c>
      <c r="F392" s="12" t="n">
        <v>0</v>
      </c>
      <c r="G392" s="11" t="n">
        <v>277.8865785</v>
      </c>
      <c r="H392" s="13">
        <f>F392*1000</f>
        <v/>
      </c>
      <c r="I392" s="14">
        <f>G392-273.15</f>
        <v/>
      </c>
      <c r="K392" s="15" t="n">
        <v>2002</v>
      </c>
      <c r="L392" s="15" t="n">
        <v>1</v>
      </c>
      <c r="M392" s="15" t="n">
        <v>28</v>
      </c>
      <c r="N392" s="16" t="n">
        <v>3.857771558e-06</v>
      </c>
      <c r="O392" s="11" t="n">
        <v>284.0695239</v>
      </c>
      <c r="P392" s="13">
        <f>N392*86400</f>
        <v/>
      </c>
      <c r="Q392" s="14">
        <f>O392-273.15</f>
        <v/>
      </c>
    </row>
    <row r="393">
      <c r="A393" s="9" t="n">
        <v>37280</v>
      </c>
      <c r="B393" s="7">
        <f>YEAR(A393)</f>
        <v/>
      </c>
      <c r="C393" s="7">
        <f>MONTH(A393)</f>
        <v/>
      </c>
      <c r="D393" s="10" t="n">
        <v>0</v>
      </c>
      <c r="E393" s="11" t="n">
        <v>5.819992269</v>
      </c>
      <c r="F393" s="12" t="n">
        <v>0</v>
      </c>
      <c r="G393" s="11" t="n">
        <v>279.1515625</v>
      </c>
      <c r="H393" s="13">
        <f>F393*1000</f>
        <v/>
      </c>
      <c r="I393" s="14">
        <f>G393-273.15</f>
        <v/>
      </c>
      <c r="K393" s="15" t="n">
        <v>2002</v>
      </c>
      <c r="L393" s="15" t="n">
        <v>1</v>
      </c>
      <c r="M393" s="15" t="n">
        <v>29</v>
      </c>
      <c r="N393" s="16" t="n">
        <v>1.903406501e-07</v>
      </c>
      <c r="O393" s="11" t="n">
        <v>281.8495173</v>
      </c>
      <c r="P393" s="13">
        <f>N393*86400</f>
        <v/>
      </c>
      <c r="Q393" s="14">
        <f>O393-273.15</f>
        <v/>
      </c>
    </row>
    <row r="394">
      <c r="A394" s="9" t="n">
        <v>37281</v>
      </c>
      <c r="B394" s="7">
        <f>YEAR(A394)</f>
        <v/>
      </c>
      <c r="C394" s="7">
        <f>MONTH(A394)</f>
        <v/>
      </c>
      <c r="D394" s="10" t="n">
        <v>0</v>
      </c>
      <c r="E394" s="11" t="n">
        <v>5.282207419</v>
      </c>
      <c r="F394" s="12" t="n">
        <v>0</v>
      </c>
      <c r="G394" s="11" t="n">
        <v>278.3278614</v>
      </c>
      <c r="H394" s="13">
        <f>F394*1000</f>
        <v/>
      </c>
      <c r="I394" s="14">
        <f>G394-273.15</f>
        <v/>
      </c>
      <c r="K394" s="15" t="n">
        <v>2002</v>
      </c>
      <c r="L394" s="15" t="n">
        <v>1</v>
      </c>
      <c r="M394" s="15" t="n">
        <v>30</v>
      </c>
      <c r="N394" s="16" t="n">
        <v>0</v>
      </c>
      <c r="O394" s="11" t="n">
        <v>283.5980539</v>
      </c>
      <c r="P394" s="13">
        <f>N394*86400</f>
        <v/>
      </c>
      <c r="Q394" s="14">
        <f>O394-273.15</f>
        <v/>
      </c>
    </row>
    <row r="395">
      <c r="A395" s="9" t="n">
        <v>37282</v>
      </c>
      <c r="B395" s="7">
        <f>YEAR(A395)</f>
        <v/>
      </c>
      <c r="C395" s="7">
        <f>MONTH(A395)</f>
        <v/>
      </c>
      <c r="D395" s="10" t="n">
        <v>0</v>
      </c>
      <c r="E395" s="11" t="n">
        <v>4.132764911</v>
      </c>
      <c r="F395" s="12" t="n">
        <v>0.001159397428</v>
      </c>
      <c r="G395" s="11" t="n">
        <v>277.8272157</v>
      </c>
      <c r="H395" s="13">
        <f>F395*1000</f>
        <v/>
      </c>
      <c r="I395" s="14">
        <f>G395-273.15</f>
        <v/>
      </c>
      <c r="K395" s="15" t="n">
        <v>2002</v>
      </c>
      <c r="L395" s="15" t="n">
        <v>2</v>
      </c>
      <c r="M395" s="15" t="n">
        <v>1</v>
      </c>
      <c r="N395" s="16" t="n">
        <v>0</v>
      </c>
      <c r="O395" s="11" t="n">
        <v>283.7555731</v>
      </c>
      <c r="P395" s="13">
        <f>N395*86400</f>
        <v/>
      </c>
      <c r="Q395" s="14">
        <f>O395-273.15</f>
        <v/>
      </c>
    </row>
    <row r="396">
      <c r="A396" s="9" t="n">
        <v>37283</v>
      </c>
      <c r="B396" s="7">
        <f>YEAR(A396)</f>
        <v/>
      </c>
      <c r="C396" s="7">
        <f>MONTH(A396)</f>
        <v/>
      </c>
      <c r="D396" s="10" t="n">
        <v>0</v>
      </c>
      <c r="E396" s="11" t="n">
        <v>0.9423797613</v>
      </c>
      <c r="F396" s="12" t="n">
        <v>0</v>
      </c>
      <c r="G396" s="11" t="n">
        <v>274.7264749</v>
      </c>
      <c r="H396" s="13">
        <f>F396*1000</f>
        <v/>
      </c>
      <c r="I396" s="14">
        <f>G396-273.15</f>
        <v/>
      </c>
      <c r="K396" s="15" t="n">
        <v>2002</v>
      </c>
      <c r="L396" s="15" t="n">
        <v>2</v>
      </c>
      <c r="M396" s="15" t="n">
        <v>2</v>
      </c>
      <c r="N396" s="16" t="n">
        <v>0</v>
      </c>
      <c r="O396" s="11" t="n">
        <v>282.5448096</v>
      </c>
      <c r="P396" s="13">
        <f>N396*86400</f>
        <v/>
      </c>
      <c r="Q396" s="14">
        <f>O396-273.15</f>
        <v/>
      </c>
    </row>
    <row r="397">
      <c r="A397" s="9" t="n">
        <v>37284</v>
      </c>
      <c r="B397" s="7">
        <f>YEAR(A397)</f>
        <v/>
      </c>
      <c r="C397" s="7">
        <f>MONTH(A397)</f>
        <v/>
      </c>
      <c r="D397" s="10" t="n">
        <v>0</v>
      </c>
      <c r="E397" s="11" t="n">
        <v>2.618762721</v>
      </c>
      <c r="F397" s="12" t="n">
        <v>0</v>
      </c>
      <c r="G397" s="11" t="n">
        <v>276.0620898</v>
      </c>
      <c r="H397" s="13">
        <f>F397*1000</f>
        <v/>
      </c>
      <c r="I397" s="14">
        <f>G397-273.15</f>
        <v/>
      </c>
      <c r="K397" s="15" t="n">
        <v>2002</v>
      </c>
      <c r="L397" s="15" t="n">
        <v>2</v>
      </c>
      <c r="M397" s="15" t="n">
        <v>3</v>
      </c>
      <c r="N397" s="16" t="n">
        <v>0</v>
      </c>
      <c r="O397" s="11" t="n">
        <v>282.007654</v>
      </c>
      <c r="P397" s="13">
        <f>N397*86400</f>
        <v/>
      </c>
      <c r="Q397" s="14">
        <f>O397-273.15</f>
        <v/>
      </c>
    </row>
    <row r="398">
      <c r="A398" s="9" t="n">
        <v>37285</v>
      </c>
      <c r="B398" s="7">
        <f>YEAR(A398)</f>
        <v/>
      </c>
      <c r="C398" s="7">
        <f>MONTH(A398)</f>
        <v/>
      </c>
      <c r="D398" s="10" t="n">
        <v>0</v>
      </c>
      <c r="E398" s="11" t="n">
        <v>4.630658226</v>
      </c>
      <c r="F398" s="12" t="n">
        <v>0</v>
      </c>
      <c r="G398" s="11" t="n">
        <v>278.0843334</v>
      </c>
      <c r="H398" s="13">
        <f>F398*1000</f>
        <v/>
      </c>
      <c r="I398" s="14">
        <f>G398-273.15</f>
        <v/>
      </c>
      <c r="K398" s="15" t="n">
        <v>2002</v>
      </c>
      <c r="L398" s="15" t="n">
        <v>2</v>
      </c>
      <c r="M398" s="15" t="n">
        <v>4</v>
      </c>
      <c r="N398" s="16" t="n">
        <v>2.940197539e-06</v>
      </c>
      <c r="O398" s="11" t="n">
        <v>281.688891</v>
      </c>
      <c r="P398" s="13">
        <f>N398*86400</f>
        <v/>
      </c>
      <c r="Q398" s="14">
        <f>O398-273.15</f>
        <v/>
      </c>
    </row>
    <row r="399">
      <c r="A399" s="9" t="n">
        <v>37286</v>
      </c>
      <c r="B399" s="7">
        <f>YEAR(A399)</f>
        <v/>
      </c>
      <c r="C399" s="7">
        <f>MONTH(A399)</f>
        <v/>
      </c>
      <c r="D399" s="10" t="n">
        <v>0</v>
      </c>
      <c r="E399" s="11" t="n">
        <v>5.342690555</v>
      </c>
      <c r="F399" s="12" t="n">
        <v>0</v>
      </c>
      <c r="G399" s="11" t="n">
        <v>280.2677142</v>
      </c>
      <c r="H399" s="13">
        <f>F399*1000</f>
        <v/>
      </c>
      <c r="I399" s="14">
        <f>G399-273.15</f>
        <v/>
      </c>
      <c r="K399" s="15" t="n">
        <v>2002</v>
      </c>
      <c r="L399" s="15" t="n">
        <v>2</v>
      </c>
      <c r="M399" s="15" t="n">
        <v>5</v>
      </c>
      <c r="N399" s="16" t="n">
        <v>0</v>
      </c>
      <c r="O399" s="11" t="n">
        <v>281.9315458</v>
      </c>
      <c r="P399" s="13">
        <f>N399*86400</f>
        <v/>
      </c>
      <c r="Q399" s="14">
        <f>O399-273.15</f>
        <v/>
      </c>
    </row>
    <row r="400">
      <c r="A400" s="9" t="n">
        <v>37287</v>
      </c>
      <c r="B400" s="7">
        <f>YEAR(A400)</f>
        <v/>
      </c>
      <c r="C400" s="7">
        <f>MONTH(A400)</f>
        <v/>
      </c>
      <c r="D400" s="10" t="n">
        <v>0</v>
      </c>
      <c r="E400" s="11" t="n">
        <v>5.510614189</v>
      </c>
      <c r="F400" s="12" t="n">
        <v>0</v>
      </c>
      <c r="G400" s="11" t="n">
        <v>281.2485838</v>
      </c>
      <c r="H400" s="13">
        <f>F400*1000</f>
        <v/>
      </c>
      <c r="I400" s="14">
        <f>G400-273.15</f>
        <v/>
      </c>
      <c r="K400" s="15" t="n">
        <v>2002</v>
      </c>
      <c r="L400" s="15" t="n">
        <v>2</v>
      </c>
      <c r="M400" s="15" t="n">
        <v>6</v>
      </c>
      <c r="N400" s="16" t="n">
        <v>0</v>
      </c>
      <c r="O400" s="11" t="n">
        <v>283.2154315</v>
      </c>
      <c r="P400" s="13">
        <f>N400*86400</f>
        <v/>
      </c>
      <c r="Q400" s="14">
        <f>O400-273.15</f>
        <v/>
      </c>
    </row>
    <row r="401">
      <c r="A401" s="9" t="n">
        <v>37288</v>
      </c>
      <c r="B401" s="7">
        <f>YEAR(A401)</f>
        <v/>
      </c>
      <c r="C401" s="7">
        <f>MONTH(A401)</f>
        <v/>
      </c>
      <c r="D401" s="10" t="n">
        <v>0</v>
      </c>
      <c r="E401" s="11" t="n">
        <v>7.355034611</v>
      </c>
      <c r="F401" s="12" t="n">
        <v>0</v>
      </c>
      <c r="G401" s="11" t="n">
        <v>283.1003209</v>
      </c>
      <c r="H401" s="13">
        <f>F401*1000</f>
        <v/>
      </c>
      <c r="I401" s="14">
        <f>G401-273.15</f>
        <v/>
      </c>
      <c r="K401" s="15" t="n">
        <v>2002</v>
      </c>
      <c r="L401" s="15" t="n">
        <v>2</v>
      </c>
      <c r="M401" s="15" t="n">
        <v>7</v>
      </c>
      <c r="N401" s="16" t="n">
        <v>5.331089202e-05</v>
      </c>
      <c r="O401" s="11" t="n">
        <v>283.097051</v>
      </c>
      <c r="P401" s="13">
        <f>N401*86400</f>
        <v/>
      </c>
      <c r="Q401" s="14">
        <f>O401-273.15</f>
        <v/>
      </c>
    </row>
    <row r="402">
      <c r="A402" s="9" t="n">
        <v>37289</v>
      </c>
      <c r="B402" s="7">
        <f>YEAR(A402)</f>
        <v/>
      </c>
      <c r="C402" s="7">
        <f>MONTH(A402)</f>
        <v/>
      </c>
      <c r="D402" s="10" t="n">
        <v>0</v>
      </c>
      <c r="E402" s="11" t="n">
        <v>6.706116826</v>
      </c>
      <c r="F402" s="12" t="n">
        <v>1.866538656e-05</v>
      </c>
      <c r="G402" s="11" t="n">
        <v>282.926351</v>
      </c>
      <c r="H402" s="13">
        <f>F402*1000</f>
        <v/>
      </c>
      <c r="I402" s="14">
        <f>G402-273.15</f>
        <v/>
      </c>
      <c r="K402" s="15" t="n">
        <v>2002</v>
      </c>
      <c r="L402" s="15" t="n">
        <v>2</v>
      </c>
      <c r="M402" s="15" t="n">
        <v>8</v>
      </c>
      <c r="N402" s="16" t="n">
        <v>5.08324796e-06</v>
      </c>
      <c r="O402" s="11" t="n">
        <v>280.0127848</v>
      </c>
      <c r="P402" s="13">
        <f>N402*86400</f>
        <v/>
      </c>
      <c r="Q402" s="14">
        <f>O402-273.15</f>
        <v/>
      </c>
    </row>
    <row r="403">
      <c r="A403" s="9" t="n">
        <v>37290</v>
      </c>
      <c r="B403" s="7">
        <f>YEAR(A403)</f>
        <v/>
      </c>
      <c r="C403" s="7">
        <f>MONTH(A403)</f>
        <v/>
      </c>
      <c r="D403" s="10" t="n">
        <v>0</v>
      </c>
      <c r="E403" s="11" t="n">
        <v>6.253965392</v>
      </c>
      <c r="F403" s="12" t="n">
        <v>0</v>
      </c>
      <c r="G403" s="11" t="n">
        <v>282.7407766</v>
      </c>
      <c r="H403" s="13">
        <f>F403*1000</f>
        <v/>
      </c>
      <c r="I403" s="14">
        <f>G403-273.15</f>
        <v/>
      </c>
      <c r="K403" s="15" t="n">
        <v>2002</v>
      </c>
      <c r="L403" s="15" t="n">
        <v>2</v>
      </c>
      <c r="M403" s="15" t="n">
        <v>9</v>
      </c>
      <c r="N403" s="16" t="n">
        <v>1.802568979e-05</v>
      </c>
      <c r="O403" s="11" t="n">
        <v>279.3815671</v>
      </c>
      <c r="P403" s="13">
        <f>N403*86400</f>
        <v/>
      </c>
      <c r="Q403" s="14">
        <f>O403-273.15</f>
        <v/>
      </c>
    </row>
    <row r="404">
      <c r="A404" s="9" t="n">
        <v>37291</v>
      </c>
      <c r="B404" s="7">
        <f>YEAR(A404)</f>
        <v/>
      </c>
      <c r="C404" s="7">
        <f>MONTH(A404)</f>
        <v/>
      </c>
      <c r="D404" s="10" t="n">
        <v>0</v>
      </c>
      <c r="E404" s="11" t="n">
        <v>7.085758877</v>
      </c>
      <c r="F404" s="12" t="n">
        <v>0.0007394883689</v>
      </c>
      <c r="G404" s="11" t="n">
        <v>283.4419879</v>
      </c>
      <c r="H404" s="13">
        <f>F404*1000</f>
        <v/>
      </c>
      <c r="I404" s="14">
        <f>G404-273.15</f>
        <v/>
      </c>
      <c r="K404" s="15" t="n">
        <v>2002</v>
      </c>
      <c r="L404" s="15" t="n">
        <v>2</v>
      </c>
      <c r="M404" s="15" t="n">
        <v>10</v>
      </c>
      <c r="N404" s="16" t="n">
        <v>3.178861743e-05</v>
      </c>
      <c r="O404" s="11" t="n">
        <v>279.8978947</v>
      </c>
      <c r="P404" s="13">
        <f>N404*86400</f>
        <v/>
      </c>
      <c r="Q404" s="14">
        <f>O404-273.15</f>
        <v/>
      </c>
    </row>
    <row r="405">
      <c r="A405" s="9" t="n">
        <v>37292</v>
      </c>
      <c r="B405" s="7">
        <f>YEAR(A405)</f>
        <v/>
      </c>
      <c r="C405" s="7">
        <f>MONTH(A405)</f>
        <v/>
      </c>
      <c r="D405" s="10" t="n">
        <v>0</v>
      </c>
      <c r="E405" s="11" t="n">
        <v>6.357536085</v>
      </c>
      <c r="F405" s="12" t="n">
        <v>0</v>
      </c>
      <c r="G405" s="11" t="n">
        <v>281.908281</v>
      </c>
      <c r="H405" s="13">
        <f>F405*1000</f>
        <v/>
      </c>
      <c r="I405" s="14">
        <f>G405-273.15</f>
        <v/>
      </c>
      <c r="K405" s="15" t="n">
        <v>2002</v>
      </c>
      <c r="L405" s="15" t="n">
        <v>2</v>
      </c>
      <c r="M405" s="15" t="n">
        <v>11</v>
      </c>
      <c r="N405" s="16" t="n">
        <v>7.012072909e-07</v>
      </c>
      <c r="O405" s="11" t="n">
        <v>280.3356515</v>
      </c>
      <c r="P405" s="13">
        <f>N405*86400</f>
        <v/>
      </c>
      <c r="Q405" s="14">
        <f>O405-273.15</f>
        <v/>
      </c>
    </row>
    <row r="406">
      <c r="A406" s="9" t="n">
        <v>37293</v>
      </c>
      <c r="B406" s="7">
        <f>YEAR(A406)</f>
        <v/>
      </c>
      <c r="C406" s="7">
        <f>MONTH(A406)</f>
        <v/>
      </c>
      <c r="D406" s="10" t="n">
        <v>0.2777048424</v>
      </c>
      <c r="E406" s="11" t="n">
        <v>4.294486637</v>
      </c>
      <c r="F406" s="12" t="n">
        <v>0.003106153808</v>
      </c>
      <c r="G406" s="11" t="n">
        <v>280.4305101</v>
      </c>
      <c r="H406" s="13">
        <f>F406*1000</f>
        <v/>
      </c>
      <c r="I406" s="14">
        <f>G406-273.15</f>
        <v/>
      </c>
      <c r="K406" s="15" t="n">
        <v>2002</v>
      </c>
      <c r="L406" s="15" t="n">
        <v>2</v>
      </c>
      <c r="M406" s="15" t="n">
        <v>12</v>
      </c>
      <c r="N406" s="16" t="n">
        <v>0</v>
      </c>
      <c r="O406" s="11" t="n">
        <v>280.3615112</v>
      </c>
      <c r="P406" s="13">
        <f>N406*86400</f>
        <v/>
      </c>
      <c r="Q406" s="14">
        <f>O406-273.15</f>
        <v/>
      </c>
    </row>
    <row r="407">
      <c r="A407" s="9" t="n">
        <v>37294</v>
      </c>
      <c r="B407" s="7">
        <f>YEAR(A407)</f>
        <v/>
      </c>
      <c r="C407" s="7">
        <f>MONTH(A407)</f>
        <v/>
      </c>
      <c r="D407" s="10" t="n">
        <v>0</v>
      </c>
      <c r="E407" s="11" t="n">
        <v>4.584508182</v>
      </c>
      <c r="F407" s="12" t="n">
        <v>0.0009706966355</v>
      </c>
      <c r="G407" s="11" t="n">
        <v>280.7211417</v>
      </c>
      <c r="H407" s="13">
        <f>F407*1000</f>
        <v/>
      </c>
      <c r="I407" s="14">
        <f>G407-273.15</f>
        <v/>
      </c>
      <c r="K407" s="15" t="n">
        <v>2002</v>
      </c>
      <c r="L407" s="15" t="n">
        <v>2</v>
      </c>
      <c r="M407" s="15" t="n">
        <v>13</v>
      </c>
      <c r="N407" s="16" t="n">
        <v>8.917121064e-07</v>
      </c>
      <c r="O407" s="11" t="n">
        <v>280.1532019</v>
      </c>
      <c r="P407" s="13">
        <f>N407*86400</f>
        <v/>
      </c>
      <c r="Q407" s="14">
        <f>O407-273.15</f>
        <v/>
      </c>
    </row>
    <row r="408">
      <c r="A408" s="9" t="n">
        <v>37295</v>
      </c>
      <c r="B408" s="7">
        <f>YEAR(A408)</f>
        <v/>
      </c>
      <c r="C408" s="7">
        <f>MONTH(A408)</f>
        <v/>
      </c>
      <c r="D408" s="10" t="n">
        <v>0</v>
      </c>
      <c r="E408" s="11" t="n">
        <v>5.59307792</v>
      </c>
      <c r="F408" s="12" t="n">
        <v>0</v>
      </c>
      <c r="G408" s="11" t="n">
        <v>280.7233988</v>
      </c>
      <c r="H408" s="13">
        <f>F408*1000</f>
        <v/>
      </c>
      <c r="I408" s="14">
        <f>G408-273.15</f>
        <v/>
      </c>
      <c r="K408" s="15" t="n">
        <v>2002</v>
      </c>
      <c r="L408" s="15" t="n">
        <v>2</v>
      </c>
      <c r="M408" s="15" t="n">
        <v>14</v>
      </c>
      <c r="N408" s="16" t="n">
        <v>2.256764149e-06</v>
      </c>
      <c r="O408" s="11" t="n">
        <v>279.6589165</v>
      </c>
      <c r="P408" s="13">
        <f>N408*86400</f>
        <v/>
      </c>
      <c r="Q408" s="14">
        <f>O408-273.15</f>
        <v/>
      </c>
    </row>
    <row r="409">
      <c r="A409" s="9" t="n">
        <v>37296</v>
      </c>
      <c r="B409" s="7">
        <f>YEAR(A409)</f>
        <v/>
      </c>
      <c r="C409" s="7">
        <f>MONTH(A409)</f>
        <v/>
      </c>
      <c r="D409" s="10" t="n">
        <v>0</v>
      </c>
      <c r="E409" s="11" t="n">
        <v>4.837025558</v>
      </c>
      <c r="F409" s="12" t="n">
        <v>0.0001383207244</v>
      </c>
      <c r="G409" s="11" t="n">
        <v>279.7932107</v>
      </c>
      <c r="H409" s="13">
        <f>F409*1000</f>
        <v/>
      </c>
      <c r="I409" s="14">
        <f>G409-273.15</f>
        <v/>
      </c>
      <c r="K409" s="15" t="n">
        <v>2002</v>
      </c>
      <c r="L409" s="15" t="n">
        <v>2</v>
      </c>
      <c r="M409" s="15" t="n">
        <v>15</v>
      </c>
      <c r="N409" s="16" t="n">
        <v>8.517669684e-06</v>
      </c>
      <c r="O409" s="11" t="n">
        <v>281.4952071</v>
      </c>
      <c r="P409" s="13">
        <f>N409*86400</f>
        <v/>
      </c>
      <c r="Q409" s="14">
        <f>O409-273.15</f>
        <v/>
      </c>
    </row>
    <row r="410">
      <c r="A410" s="9" t="n">
        <v>37297</v>
      </c>
      <c r="B410" s="7">
        <f>YEAR(A410)</f>
        <v/>
      </c>
      <c r="C410" s="7">
        <f>MONTH(A410)</f>
        <v/>
      </c>
      <c r="D410" s="10" t="n">
        <v>0</v>
      </c>
      <c r="E410" s="11" t="n">
        <v>2.857330166</v>
      </c>
      <c r="F410" s="12" t="n">
        <v>0</v>
      </c>
      <c r="G410" s="11" t="n">
        <v>278.3880509</v>
      </c>
      <c r="H410" s="13">
        <f>F410*1000</f>
        <v/>
      </c>
      <c r="I410" s="14">
        <f>G410-273.15</f>
        <v/>
      </c>
      <c r="K410" s="15" t="n">
        <v>2002</v>
      </c>
      <c r="L410" s="15" t="n">
        <v>2</v>
      </c>
      <c r="M410" s="15" t="n">
        <v>16</v>
      </c>
      <c r="N410" s="16" t="n">
        <v>3.938411131e-06</v>
      </c>
      <c r="O410" s="11" t="n">
        <v>283.5676753</v>
      </c>
      <c r="P410" s="13">
        <f>N410*86400</f>
        <v/>
      </c>
      <c r="Q410" s="14">
        <f>O410-273.15</f>
        <v/>
      </c>
    </row>
    <row r="411">
      <c r="A411" s="9" t="n">
        <v>37298</v>
      </c>
      <c r="B411" s="7">
        <f>YEAR(A411)</f>
        <v/>
      </c>
      <c r="C411" s="7">
        <f>MONTH(A411)</f>
        <v/>
      </c>
      <c r="D411" s="10" t="n">
        <v>0</v>
      </c>
      <c r="E411" s="11" t="n">
        <v>4.16283317</v>
      </c>
      <c r="F411" s="12" t="n">
        <v>0</v>
      </c>
      <c r="G411" s="11" t="n">
        <v>279.4646209</v>
      </c>
      <c r="H411" s="13">
        <f>F411*1000</f>
        <v/>
      </c>
      <c r="I411" s="14">
        <f>G411-273.15</f>
        <v/>
      </c>
      <c r="K411" s="15" t="n">
        <v>2002</v>
      </c>
      <c r="L411" s="15" t="n">
        <v>2</v>
      </c>
      <c r="M411" s="15" t="n">
        <v>17</v>
      </c>
      <c r="N411" s="16" t="n">
        <v>5.498346401e-06</v>
      </c>
      <c r="O411" s="11" t="n">
        <v>283.3944203</v>
      </c>
      <c r="P411" s="13">
        <f>N411*86400</f>
        <v/>
      </c>
      <c r="Q411" s="14">
        <f>O411-273.15</f>
        <v/>
      </c>
    </row>
    <row r="412">
      <c r="A412" s="9" t="n">
        <v>37299</v>
      </c>
      <c r="B412" s="7">
        <f>YEAR(A412)</f>
        <v/>
      </c>
      <c r="C412" s="7">
        <f>MONTH(A412)</f>
        <v/>
      </c>
      <c r="D412" s="10" t="n">
        <v>0</v>
      </c>
      <c r="E412" s="11" t="n">
        <v>3.527337993</v>
      </c>
      <c r="F412" s="12" t="n">
        <v>0</v>
      </c>
      <c r="G412" s="11" t="n">
        <v>280.546196</v>
      </c>
      <c r="H412" s="13">
        <f>F412*1000</f>
        <v/>
      </c>
      <c r="I412" s="14">
        <f>G412-273.15</f>
        <v/>
      </c>
      <c r="K412" s="15" t="n">
        <v>2002</v>
      </c>
      <c r="L412" s="15" t="n">
        <v>2</v>
      </c>
      <c r="M412" s="15" t="n">
        <v>18</v>
      </c>
      <c r="N412" s="16" t="n">
        <v>1.216807527e-05</v>
      </c>
      <c r="O412" s="11" t="n">
        <v>284.2522067</v>
      </c>
      <c r="P412" s="13">
        <f>N412*86400</f>
        <v/>
      </c>
      <c r="Q412" s="14">
        <f>O412-273.15</f>
        <v/>
      </c>
    </row>
    <row r="413">
      <c r="A413" s="9" t="n">
        <v>37300</v>
      </c>
      <c r="B413" s="7">
        <f>YEAR(A413)</f>
        <v/>
      </c>
      <c r="C413" s="7">
        <f>MONTH(A413)</f>
        <v/>
      </c>
      <c r="D413" s="10" t="n">
        <v>0</v>
      </c>
      <c r="E413" s="11" t="n">
        <v>7.980264658</v>
      </c>
      <c r="F413" s="12" t="n">
        <v>0</v>
      </c>
      <c r="G413" s="11" t="n">
        <v>285.0498907</v>
      </c>
      <c r="H413" s="13">
        <f>F413*1000</f>
        <v/>
      </c>
      <c r="I413" s="14">
        <f>G413-273.15</f>
        <v/>
      </c>
      <c r="K413" s="15" t="n">
        <v>2002</v>
      </c>
      <c r="L413" s="15" t="n">
        <v>2</v>
      </c>
      <c r="M413" s="15" t="n">
        <v>19</v>
      </c>
      <c r="N413" s="16" t="n">
        <v>0</v>
      </c>
      <c r="O413" s="11" t="n">
        <v>283.552823</v>
      </c>
      <c r="P413" s="13">
        <f>N413*86400</f>
        <v/>
      </c>
      <c r="Q413" s="14">
        <f>O413-273.15</f>
        <v/>
      </c>
    </row>
    <row r="414">
      <c r="A414" s="9" t="n">
        <v>37301</v>
      </c>
      <c r="B414" s="7">
        <f>YEAR(A414)</f>
        <v/>
      </c>
      <c r="C414" s="7">
        <f>MONTH(A414)</f>
        <v/>
      </c>
      <c r="D414" s="10" t="n">
        <v>0</v>
      </c>
      <c r="E414" s="11" t="n">
        <v>9.34711465</v>
      </c>
      <c r="F414" s="12" t="n">
        <v>0</v>
      </c>
      <c r="G414" s="11" t="n">
        <v>285.0977398</v>
      </c>
      <c r="H414" s="13">
        <f>F414*1000</f>
        <v/>
      </c>
      <c r="I414" s="14">
        <f>G414-273.15</f>
        <v/>
      </c>
      <c r="K414" s="15" t="n">
        <v>2002</v>
      </c>
      <c r="L414" s="15" t="n">
        <v>2</v>
      </c>
      <c r="M414" s="15" t="n">
        <v>20</v>
      </c>
      <c r="N414" s="16" t="n">
        <v>0</v>
      </c>
      <c r="O414" s="11" t="n">
        <v>283.175478</v>
      </c>
      <c r="P414" s="13">
        <f>N414*86400</f>
        <v/>
      </c>
      <c r="Q414" s="14">
        <f>O414-273.15</f>
        <v/>
      </c>
    </row>
    <row r="415">
      <c r="A415" s="9" t="n">
        <v>37302</v>
      </c>
      <c r="B415" s="7">
        <f>YEAR(A415)</f>
        <v/>
      </c>
      <c r="C415" s="7">
        <f>MONTH(A415)</f>
        <v/>
      </c>
      <c r="D415" s="10" t="n">
        <v>0</v>
      </c>
      <c r="E415" s="11" t="n">
        <v>7.948430713</v>
      </c>
      <c r="F415" s="12" t="n">
        <v>0.0001550330953</v>
      </c>
      <c r="G415" s="11" t="n">
        <v>284.1375916</v>
      </c>
      <c r="H415" s="13">
        <f>F415*1000</f>
        <v/>
      </c>
      <c r="I415" s="14">
        <f>G415-273.15</f>
        <v/>
      </c>
      <c r="K415" s="15" t="n">
        <v>2002</v>
      </c>
      <c r="L415" s="15" t="n">
        <v>2</v>
      </c>
      <c r="M415" s="15" t="n">
        <v>21</v>
      </c>
      <c r="N415" s="16" t="n">
        <v>2.086821422e-06</v>
      </c>
      <c r="O415" s="11" t="n">
        <v>281.7323045</v>
      </c>
      <c r="P415" s="13">
        <f>N415*86400</f>
        <v/>
      </c>
      <c r="Q415" s="14">
        <f>O415-273.15</f>
        <v/>
      </c>
    </row>
    <row r="416">
      <c r="A416" s="9" t="n">
        <v>37303</v>
      </c>
      <c r="B416" s="7">
        <f>YEAR(A416)</f>
        <v/>
      </c>
      <c r="C416" s="7">
        <f>MONTH(A416)</f>
        <v/>
      </c>
      <c r="D416" s="10" t="n">
        <v>0</v>
      </c>
      <c r="E416" s="11" t="n">
        <v>8.245634559000001</v>
      </c>
      <c r="F416" s="12" t="n">
        <v>0</v>
      </c>
      <c r="G416" s="11" t="n">
        <v>283.7384042</v>
      </c>
      <c r="H416" s="13">
        <f>F416*1000</f>
        <v/>
      </c>
      <c r="I416" s="14">
        <f>G416-273.15</f>
        <v/>
      </c>
      <c r="K416" s="15" t="n">
        <v>2002</v>
      </c>
      <c r="L416" s="15" t="n">
        <v>2</v>
      </c>
      <c r="M416" s="15" t="n">
        <v>22</v>
      </c>
      <c r="N416" s="16" t="n">
        <v>0</v>
      </c>
      <c r="O416" s="11" t="n">
        <v>280.8443802</v>
      </c>
      <c r="P416" s="13">
        <f>N416*86400</f>
        <v/>
      </c>
      <c r="Q416" s="14">
        <f>O416-273.15</f>
        <v/>
      </c>
    </row>
    <row r="417">
      <c r="A417" s="9" t="n">
        <v>37304</v>
      </c>
      <c r="B417" s="7">
        <f>YEAR(A417)</f>
        <v/>
      </c>
      <c r="C417" s="7">
        <f>MONTH(A417)</f>
        <v/>
      </c>
      <c r="D417" s="10" t="n">
        <v>0</v>
      </c>
      <c r="E417" s="11" t="n">
        <v>7.095612316</v>
      </c>
      <c r="F417" s="12" t="n">
        <v>0.0002797007378</v>
      </c>
      <c r="G417" s="11" t="n">
        <v>283.7288379</v>
      </c>
      <c r="H417" s="13">
        <f>F417*1000</f>
        <v/>
      </c>
      <c r="I417" s="14">
        <f>G417-273.15</f>
        <v/>
      </c>
      <c r="K417" s="15" t="n">
        <v>2002</v>
      </c>
      <c r="L417" s="15" t="n">
        <v>2</v>
      </c>
      <c r="M417" s="15" t="n">
        <v>23</v>
      </c>
      <c r="N417" s="16" t="n">
        <v>0</v>
      </c>
      <c r="O417" s="11" t="n">
        <v>279.5936586</v>
      </c>
      <c r="P417" s="13">
        <f>N417*86400</f>
        <v/>
      </c>
      <c r="Q417" s="14">
        <f>O417-273.15</f>
        <v/>
      </c>
    </row>
    <row r="418">
      <c r="A418" s="9" t="n">
        <v>37305</v>
      </c>
      <c r="B418" s="7">
        <f>YEAR(A418)</f>
        <v/>
      </c>
      <c r="C418" s="7">
        <f>MONTH(A418)</f>
        <v/>
      </c>
      <c r="D418" s="10" t="n">
        <v>5.196645536</v>
      </c>
      <c r="E418" s="11" t="n">
        <v>7.56752807</v>
      </c>
      <c r="F418" s="12" t="n">
        <v>0.007593061178</v>
      </c>
      <c r="G418" s="11" t="n">
        <v>283.3809568</v>
      </c>
      <c r="H418" s="13">
        <f>F418*1000</f>
        <v/>
      </c>
      <c r="I418" s="14">
        <f>G418-273.15</f>
        <v/>
      </c>
      <c r="K418" s="15" t="n">
        <v>2002</v>
      </c>
      <c r="L418" s="15" t="n">
        <v>2</v>
      </c>
      <c r="M418" s="15" t="n">
        <v>24</v>
      </c>
      <c r="N418" s="16" t="n">
        <v>0</v>
      </c>
      <c r="O418" s="11" t="n">
        <v>278.983563</v>
      </c>
      <c r="P418" s="13">
        <f>N418*86400</f>
        <v/>
      </c>
      <c r="Q418" s="14">
        <f>O418-273.15</f>
        <v/>
      </c>
    </row>
    <row r="419">
      <c r="A419" s="9" t="n">
        <v>37306</v>
      </c>
      <c r="B419" s="7">
        <f>YEAR(A419)</f>
        <v/>
      </c>
      <c r="C419" s="7">
        <f>MONTH(A419)</f>
        <v/>
      </c>
      <c r="D419" s="10" t="n">
        <v>0</v>
      </c>
      <c r="E419" s="11" t="n">
        <v>5.16619427</v>
      </c>
      <c r="F419" s="12" t="n">
        <v>0.001197024635</v>
      </c>
      <c r="G419" s="11" t="n">
        <v>280.3847752</v>
      </c>
      <c r="H419" s="13">
        <f>F419*1000</f>
        <v/>
      </c>
      <c r="I419" s="14">
        <f>G419-273.15</f>
        <v/>
      </c>
      <c r="K419" s="15" t="n">
        <v>2002</v>
      </c>
      <c r="L419" s="15" t="n">
        <v>2</v>
      </c>
      <c r="M419" s="15" t="n">
        <v>25</v>
      </c>
      <c r="N419" s="16" t="n">
        <v>0</v>
      </c>
      <c r="O419" s="11" t="n">
        <v>280.2805014</v>
      </c>
      <c r="P419" s="13">
        <f>N419*86400</f>
        <v/>
      </c>
      <c r="Q419" s="14">
        <f>O419-273.15</f>
        <v/>
      </c>
    </row>
    <row r="420">
      <c r="A420" s="9" t="n">
        <v>37307</v>
      </c>
      <c r="B420" s="7">
        <f>YEAR(A420)</f>
        <v/>
      </c>
      <c r="C420" s="7">
        <f>MONTH(A420)</f>
        <v/>
      </c>
      <c r="D420" s="10" t="n">
        <v>0</v>
      </c>
      <c r="E420" s="11" t="n">
        <v>6.437561596</v>
      </c>
      <c r="F420" s="12" t="n">
        <v>0.001374674649</v>
      </c>
      <c r="G420" s="11" t="n">
        <v>283.2175983</v>
      </c>
      <c r="H420" s="13">
        <f>F420*1000</f>
        <v/>
      </c>
      <c r="I420" s="14">
        <f>G420-273.15</f>
        <v/>
      </c>
      <c r="K420" s="15" t="n">
        <v>2002</v>
      </c>
      <c r="L420" s="15" t="n">
        <v>2</v>
      </c>
      <c r="M420" s="15" t="n">
        <v>26</v>
      </c>
      <c r="N420" s="16" t="n">
        <v>5.815212002e-06</v>
      </c>
      <c r="O420" s="11" t="n">
        <v>283.1377024</v>
      </c>
      <c r="P420" s="13">
        <f>N420*86400</f>
        <v/>
      </c>
      <c r="Q420" s="14">
        <f>O420-273.15</f>
        <v/>
      </c>
    </row>
    <row r="421">
      <c r="A421" s="9" t="n">
        <v>37308</v>
      </c>
      <c r="B421" s="7">
        <f>YEAR(A421)</f>
        <v/>
      </c>
      <c r="C421" s="7">
        <f>MONTH(A421)</f>
        <v/>
      </c>
      <c r="D421" s="10" t="n">
        <v>0</v>
      </c>
      <c r="E421" s="11" t="n">
        <v>6.6804132</v>
      </c>
      <c r="F421" s="12" t="n">
        <v>0</v>
      </c>
      <c r="G421" s="11" t="n">
        <v>282.1018356</v>
      </c>
      <c r="H421" s="13">
        <f>F421*1000</f>
        <v/>
      </c>
      <c r="I421" s="14">
        <f>G421-273.15</f>
        <v/>
      </c>
      <c r="K421" s="15" t="n">
        <v>2002</v>
      </c>
      <c r="L421" s="15" t="n">
        <v>2</v>
      </c>
      <c r="M421" s="15" t="n">
        <v>27</v>
      </c>
      <c r="N421" s="16" t="n">
        <v>9.308727809e-07</v>
      </c>
      <c r="O421" s="11" t="n">
        <v>283.9203933</v>
      </c>
      <c r="P421" s="13">
        <f>N421*86400</f>
        <v/>
      </c>
      <c r="Q421" s="14">
        <f>O421-273.15</f>
        <v/>
      </c>
    </row>
    <row r="422">
      <c r="A422" s="9" t="n">
        <v>37309</v>
      </c>
      <c r="B422" s="7">
        <f>YEAR(A422)</f>
        <v/>
      </c>
      <c r="C422" s="7">
        <f>MONTH(A422)</f>
        <v/>
      </c>
      <c r="D422" s="10" t="n">
        <v>0</v>
      </c>
      <c r="E422" s="11" t="n">
        <v>6.434459807</v>
      </c>
      <c r="F422" s="12" t="n">
        <v>0.0004660782306</v>
      </c>
      <c r="G422" s="11" t="n">
        <v>281.3891555</v>
      </c>
      <c r="H422" s="13">
        <f>F422*1000</f>
        <v/>
      </c>
      <c r="I422" s="14">
        <f>G422-273.15</f>
        <v/>
      </c>
      <c r="K422" s="15" t="n">
        <v>2002</v>
      </c>
      <c r="L422" s="15" t="n">
        <v>2</v>
      </c>
      <c r="M422" s="15" t="n">
        <v>28</v>
      </c>
      <c r="N422" s="16" t="n">
        <v>0</v>
      </c>
      <c r="O422" s="11" t="n">
        <v>284.4104815</v>
      </c>
      <c r="P422" s="13">
        <f>N422*86400</f>
        <v/>
      </c>
      <c r="Q422" s="14">
        <f>O422-273.15</f>
        <v/>
      </c>
    </row>
    <row r="423">
      <c r="A423" s="9" t="n">
        <v>37310</v>
      </c>
      <c r="B423" s="7">
        <f>YEAR(A423)</f>
        <v/>
      </c>
      <c r="C423" s="7">
        <f>MONTH(A423)</f>
        <v/>
      </c>
      <c r="D423" s="10" t="n">
        <v>0</v>
      </c>
      <c r="E423" s="11" t="n">
        <v>8.085200616</v>
      </c>
      <c r="F423" s="12" t="n">
        <v>0</v>
      </c>
      <c r="G423" s="11" t="n">
        <v>283.3247159</v>
      </c>
      <c r="H423" s="13">
        <f>F423*1000</f>
        <v/>
      </c>
      <c r="I423" s="14">
        <f>G423-273.15</f>
        <v/>
      </c>
      <c r="K423" s="15" t="n">
        <v>2002</v>
      </c>
      <c r="L423" s="15" t="n">
        <v>2</v>
      </c>
      <c r="M423" s="15" t="n">
        <v>29</v>
      </c>
      <c r="N423" s="16" t="n">
        <v>9.324511038000001e-06</v>
      </c>
      <c r="O423" s="11" t="n">
        <v>286.8791169</v>
      </c>
      <c r="P423" s="13">
        <f>N423*86400</f>
        <v/>
      </c>
      <c r="Q423" s="14">
        <f>O423-273.15</f>
        <v/>
      </c>
    </row>
    <row r="424">
      <c r="A424" s="9" t="n">
        <v>37311</v>
      </c>
      <c r="B424" s="7">
        <f>YEAR(A424)</f>
        <v/>
      </c>
      <c r="C424" s="7">
        <f>MONTH(A424)</f>
        <v/>
      </c>
      <c r="D424" s="10" t="n">
        <v>0</v>
      </c>
      <c r="E424" s="11" t="n">
        <v>8.84294066</v>
      </c>
      <c r="F424" s="12" t="n">
        <v>0</v>
      </c>
      <c r="G424" s="11" t="n">
        <v>284.3832219</v>
      </c>
      <c r="H424" s="13">
        <f>F424*1000</f>
        <v/>
      </c>
      <c r="I424" s="14">
        <f>G424-273.15</f>
        <v/>
      </c>
      <c r="K424" s="15" t="n">
        <v>2002</v>
      </c>
      <c r="L424" s="15" t="n">
        <v>2</v>
      </c>
      <c r="M424" s="15" t="n">
        <v>30</v>
      </c>
      <c r="N424" s="16" t="n">
        <v>2.716917861e-05</v>
      </c>
      <c r="O424" s="11" t="n">
        <v>288.5255989</v>
      </c>
      <c r="P424" s="13">
        <f>N424*86400</f>
        <v/>
      </c>
      <c r="Q424" s="14">
        <f>O424-273.15</f>
        <v/>
      </c>
    </row>
    <row r="425">
      <c r="A425" s="9" t="n">
        <v>37312</v>
      </c>
      <c r="B425" s="7">
        <f>YEAR(A425)</f>
        <v/>
      </c>
      <c r="C425" s="7">
        <f>MONTH(A425)</f>
        <v/>
      </c>
      <c r="D425" s="10" t="n">
        <v>0</v>
      </c>
      <c r="E425" s="11" t="n">
        <v>5.914275667</v>
      </c>
      <c r="F425" s="12" t="n">
        <v>0</v>
      </c>
      <c r="G425" s="11" t="n">
        <v>281.8432339</v>
      </c>
      <c r="H425" s="13">
        <f>F425*1000</f>
        <v/>
      </c>
      <c r="I425" s="14">
        <f>G425-273.15</f>
        <v/>
      </c>
      <c r="K425" s="15" t="n">
        <v>2002</v>
      </c>
      <c r="L425" s="15" t="n">
        <v>3</v>
      </c>
      <c r="M425" s="15" t="n">
        <v>1</v>
      </c>
      <c r="N425" s="16" t="n">
        <v>0</v>
      </c>
      <c r="O425" s="11" t="n">
        <v>287.6619119</v>
      </c>
      <c r="P425" s="13">
        <f>N425*86400</f>
        <v/>
      </c>
      <c r="Q425" s="14">
        <f>O425-273.15</f>
        <v/>
      </c>
    </row>
    <row r="426">
      <c r="A426" s="9" t="n">
        <v>37313</v>
      </c>
      <c r="B426" s="7">
        <f>YEAR(A426)</f>
        <v/>
      </c>
      <c r="C426" s="7">
        <f>MONTH(A426)</f>
        <v/>
      </c>
      <c r="D426" s="10" t="n">
        <v>0</v>
      </c>
      <c r="E426" s="11" t="n">
        <v>6.34985675</v>
      </c>
      <c r="F426" s="12" t="n">
        <v>0</v>
      </c>
      <c r="G426" s="11" t="n">
        <v>281.7081442</v>
      </c>
      <c r="H426" s="13">
        <f>F426*1000</f>
        <v/>
      </c>
      <c r="I426" s="14">
        <f>G426-273.15</f>
        <v/>
      </c>
      <c r="K426" s="15" t="n">
        <v>2002</v>
      </c>
      <c r="L426" s="15" t="n">
        <v>3</v>
      </c>
      <c r="M426" s="15" t="n">
        <v>2</v>
      </c>
      <c r="N426" s="16" t="n">
        <v>0</v>
      </c>
      <c r="O426" s="11" t="n">
        <v>287.0946783</v>
      </c>
      <c r="P426" s="13">
        <f>N426*86400</f>
        <v/>
      </c>
      <c r="Q426" s="14">
        <f>O426-273.15</f>
        <v/>
      </c>
    </row>
    <row r="427">
      <c r="A427" s="9" t="n">
        <v>37314</v>
      </c>
      <c r="B427" s="7">
        <f>YEAR(A427)</f>
        <v/>
      </c>
      <c r="C427" s="7">
        <f>MONTH(A427)</f>
        <v/>
      </c>
      <c r="D427" s="10" t="n">
        <v>0</v>
      </c>
      <c r="E427" s="11" t="n">
        <v>7.026703076</v>
      </c>
      <c r="F427" s="12" t="n">
        <v>0</v>
      </c>
      <c r="G427" s="11" t="n">
        <v>281.6428911</v>
      </c>
      <c r="H427" s="13">
        <f>F427*1000</f>
        <v/>
      </c>
      <c r="I427" s="14">
        <f>G427-273.15</f>
        <v/>
      </c>
      <c r="K427" s="15" t="n">
        <v>2002</v>
      </c>
      <c r="L427" s="15" t="n">
        <v>3</v>
      </c>
      <c r="M427" s="15" t="n">
        <v>3</v>
      </c>
      <c r="N427" s="16" t="n">
        <v>0</v>
      </c>
      <c r="O427" s="11" t="n">
        <v>287.6993201</v>
      </c>
      <c r="P427" s="13">
        <f>N427*86400</f>
        <v/>
      </c>
      <c r="Q427" s="14">
        <f>O427-273.15</f>
        <v/>
      </c>
    </row>
    <row r="428">
      <c r="A428" s="9" t="n">
        <v>37315</v>
      </c>
      <c r="B428" s="7">
        <f>YEAR(A428)</f>
        <v/>
      </c>
      <c r="C428" s="7">
        <f>MONTH(A428)</f>
        <v/>
      </c>
      <c r="D428" s="10" t="n">
        <v>0</v>
      </c>
      <c r="E428" s="11" t="n">
        <v>8.218834230000001</v>
      </c>
      <c r="F428" s="12" t="n">
        <v>0</v>
      </c>
      <c r="G428" s="11" t="n">
        <v>281.8022189</v>
      </c>
      <c r="H428" s="13">
        <f>F428*1000</f>
        <v/>
      </c>
      <c r="I428" s="14">
        <f>G428-273.15</f>
        <v/>
      </c>
      <c r="K428" s="15" t="n">
        <v>2002</v>
      </c>
      <c r="L428" s="15" t="n">
        <v>3</v>
      </c>
      <c r="M428" s="15" t="n">
        <v>4</v>
      </c>
      <c r="N428" s="16" t="n">
        <v>6.523190241e-06</v>
      </c>
      <c r="O428" s="11" t="n">
        <v>287.0114332</v>
      </c>
      <c r="P428" s="13">
        <f>N428*86400</f>
        <v/>
      </c>
      <c r="Q428" s="14">
        <f>O428-273.15</f>
        <v/>
      </c>
    </row>
    <row r="429">
      <c r="A429" s="9" t="n">
        <v>37316</v>
      </c>
      <c r="B429" s="7">
        <f>YEAR(A429)</f>
        <v/>
      </c>
      <c r="C429" s="7">
        <f>MONTH(A429)</f>
        <v/>
      </c>
      <c r="D429" s="10" t="n">
        <v>0</v>
      </c>
      <c r="E429" s="11" t="n">
        <v>8.566833676</v>
      </c>
      <c r="F429" s="12" t="n">
        <v>0</v>
      </c>
      <c r="G429" s="11" t="n">
        <v>281.9561505</v>
      </c>
      <c r="H429" s="13">
        <f>F429*1000</f>
        <v/>
      </c>
      <c r="I429" s="14">
        <f>G429-273.15</f>
        <v/>
      </c>
      <c r="K429" s="15" t="n">
        <v>2002</v>
      </c>
      <c r="L429" s="15" t="n">
        <v>3</v>
      </c>
      <c r="M429" s="15" t="n">
        <v>5</v>
      </c>
      <c r="N429" s="16" t="n">
        <v>0</v>
      </c>
      <c r="O429" s="11" t="n">
        <v>286.3525704</v>
      </c>
      <c r="P429" s="13">
        <f>N429*86400</f>
        <v/>
      </c>
      <c r="Q429" s="14">
        <f>O429-273.15</f>
        <v/>
      </c>
    </row>
    <row r="430">
      <c r="A430" s="9" t="n">
        <v>37317</v>
      </c>
      <c r="B430" s="7">
        <f>YEAR(A430)</f>
        <v/>
      </c>
      <c r="C430" s="7">
        <f>MONTH(A430)</f>
        <v/>
      </c>
      <c r="D430" s="10" t="n">
        <v>0</v>
      </c>
      <c r="E430" s="11" t="n">
        <v>7.211907593</v>
      </c>
      <c r="F430" s="12" t="n">
        <v>8.749872129e-05</v>
      </c>
      <c r="G430" s="11" t="n">
        <v>281.5191868</v>
      </c>
      <c r="H430" s="13">
        <f>F430*1000</f>
        <v/>
      </c>
      <c r="I430" s="14">
        <f>G430-273.15</f>
        <v/>
      </c>
      <c r="K430" s="15" t="n">
        <v>2002</v>
      </c>
      <c r="L430" s="15" t="n">
        <v>3</v>
      </c>
      <c r="M430" s="15" t="n">
        <v>6</v>
      </c>
      <c r="N430" s="16" t="n">
        <v>0</v>
      </c>
      <c r="O430" s="11" t="n">
        <v>285.0389599</v>
      </c>
      <c r="P430" s="13">
        <f>N430*86400</f>
        <v/>
      </c>
      <c r="Q430" s="14">
        <f>O430-273.15</f>
        <v/>
      </c>
    </row>
    <row r="431">
      <c r="A431" s="9" t="n">
        <v>37318</v>
      </c>
      <c r="B431" s="7">
        <f>YEAR(A431)</f>
        <v/>
      </c>
      <c r="C431" s="7">
        <f>MONTH(A431)</f>
        <v/>
      </c>
      <c r="D431" s="10" t="n">
        <v>0</v>
      </c>
      <c r="E431" s="11" t="n">
        <v>6.758366608</v>
      </c>
      <c r="F431" s="12" t="n">
        <v>0.000272346386</v>
      </c>
      <c r="G431" s="11" t="n">
        <v>280.7591533</v>
      </c>
      <c r="H431" s="13">
        <f>F431*1000</f>
        <v/>
      </c>
      <c r="I431" s="14">
        <f>G431-273.15</f>
        <v/>
      </c>
      <c r="K431" s="15" t="n">
        <v>2002</v>
      </c>
      <c r="L431" s="15" t="n">
        <v>3</v>
      </c>
      <c r="M431" s="15" t="n">
        <v>7</v>
      </c>
      <c r="N431" s="16" t="n">
        <v>0</v>
      </c>
      <c r="O431" s="11" t="n">
        <v>283.0577483</v>
      </c>
      <c r="P431" s="13">
        <f>N431*86400</f>
        <v/>
      </c>
      <c r="Q431" s="14">
        <f>O431-273.15</f>
        <v/>
      </c>
    </row>
    <row r="432">
      <c r="A432" s="9" t="n">
        <v>37319</v>
      </c>
      <c r="B432" s="7">
        <f>YEAR(A432)</f>
        <v/>
      </c>
      <c r="C432" s="7">
        <f>MONTH(A432)</f>
        <v/>
      </c>
      <c r="D432" s="10" t="n">
        <v>0</v>
      </c>
      <c r="E432" s="11" t="n">
        <v>6.341720034</v>
      </c>
      <c r="F432" s="12" t="n">
        <v>0</v>
      </c>
      <c r="G432" s="11" t="n">
        <v>280.6692237</v>
      </c>
      <c r="H432" s="13">
        <f>F432*1000</f>
        <v/>
      </c>
      <c r="I432" s="14">
        <f>G432-273.15</f>
        <v/>
      </c>
      <c r="K432" s="15" t="n">
        <v>2002</v>
      </c>
      <c r="L432" s="15" t="n">
        <v>3</v>
      </c>
      <c r="M432" s="15" t="n">
        <v>8</v>
      </c>
      <c r="N432" s="16" t="n">
        <v>0</v>
      </c>
      <c r="O432" s="11" t="n">
        <v>282.4491171</v>
      </c>
      <c r="P432" s="13">
        <f>N432*86400</f>
        <v/>
      </c>
      <c r="Q432" s="14">
        <f>O432-273.15</f>
        <v/>
      </c>
    </row>
    <row r="433">
      <c r="A433" s="9" t="n">
        <v>37320</v>
      </c>
      <c r="B433" s="7">
        <f>YEAR(A433)</f>
        <v/>
      </c>
      <c r="C433" s="7">
        <f>MONTH(A433)</f>
        <v/>
      </c>
      <c r="D433" s="10" t="n">
        <v>0</v>
      </c>
      <c r="E433" s="11" t="n">
        <v>4.559015292</v>
      </c>
      <c r="F433" s="12" t="n">
        <v>0</v>
      </c>
      <c r="G433" s="11" t="n">
        <v>279.6938294</v>
      </c>
      <c r="H433" s="13">
        <f>F433*1000</f>
        <v/>
      </c>
      <c r="I433" s="14">
        <f>G433-273.15</f>
        <v/>
      </c>
      <c r="K433" s="15" t="n">
        <v>2002</v>
      </c>
      <c r="L433" s="15" t="n">
        <v>3</v>
      </c>
      <c r="M433" s="15" t="n">
        <v>9</v>
      </c>
      <c r="N433" s="16" t="n">
        <v>3.388171005e-06</v>
      </c>
      <c r="O433" s="11" t="n">
        <v>282.139604</v>
      </c>
      <c r="P433" s="13">
        <f>N433*86400</f>
        <v/>
      </c>
      <c r="Q433" s="14">
        <f>O433-273.15</f>
        <v/>
      </c>
    </row>
    <row r="434">
      <c r="A434" s="9" t="n">
        <v>37321</v>
      </c>
      <c r="B434" s="7">
        <f>YEAR(A434)</f>
        <v/>
      </c>
      <c r="C434" s="7">
        <f>MONTH(A434)</f>
        <v/>
      </c>
      <c r="D434" s="10" t="n">
        <v>0</v>
      </c>
      <c r="E434" s="11" t="n">
        <v>7.220272207</v>
      </c>
      <c r="F434" s="12" t="n">
        <v>0</v>
      </c>
      <c r="G434" s="11" t="n">
        <v>282.5761873</v>
      </c>
      <c r="H434" s="13">
        <f>F434*1000</f>
        <v/>
      </c>
      <c r="I434" s="14">
        <f>G434-273.15</f>
        <v/>
      </c>
      <c r="K434" s="15" t="n">
        <v>2002</v>
      </c>
      <c r="L434" s="15" t="n">
        <v>3</v>
      </c>
      <c r="M434" s="15" t="n">
        <v>10</v>
      </c>
      <c r="N434" s="16" t="n">
        <v>0</v>
      </c>
      <c r="O434" s="11" t="n">
        <v>283.1676259</v>
      </c>
      <c r="P434" s="13">
        <f>N434*86400</f>
        <v/>
      </c>
      <c r="Q434" s="14">
        <f>O434-273.15</f>
        <v/>
      </c>
    </row>
    <row r="435">
      <c r="A435" s="9" t="n">
        <v>37322</v>
      </c>
      <c r="B435" s="7">
        <f>YEAR(A435)</f>
        <v/>
      </c>
      <c r="C435" s="7">
        <f>MONTH(A435)</f>
        <v/>
      </c>
      <c r="D435" s="10" t="n">
        <v>0</v>
      </c>
      <c r="E435" s="11" t="n">
        <v>6.117045061</v>
      </c>
      <c r="F435" s="12" t="n">
        <v>0</v>
      </c>
      <c r="G435" s="11" t="n">
        <v>281.1043514</v>
      </c>
      <c r="H435" s="13">
        <f>F435*1000</f>
        <v/>
      </c>
      <c r="I435" s="14">
        <f>G435-273.15</f>
        <v/>
      </c>
      <c r="K435" s="15" t="n">
        <v>2002</v>
      </c>
      <c r="L435" s="15" t="n">
        <v>3</v>
      </c>
      <c r="M435" s="15" t="n">
        <v>11</v>
      </c>
      <c r="N435" s="16" t="n">
        <v>0</v>
      </c>
      <c r="O435" s="11" t="n">
        <v>286.6733237</v>
      </c>
      <c r="P435" s="13">
        <f>N435*86400</f>
        <v/>
      </c>
      <c r="Q435" s="14">
        <f>O435-273.15</f>
        <v/>
      </c>
    </row>
    <row r="436">
      <c r="A436" s="9" t="n">
        <v>37323</v>
      </c>
      <c r="B436" s="7">
        <f>YEAR(A436)</f>
        <v/>
      </c>
      <c r="C436" s="7">
        <f>MONTH(A436)</f>
        <v/>
      </c>
      <c r="D436" s="10" t="n">
        <v>1.4143086</v>
      </c>
      <c r="E436" s="11" t="n">
        <v>7.802251409</v>
      </c>
      <c r="F436" s="12" t="n">
        <v>0.002536740416</v>
      </c>
      <c r="G436" s="11" t="n">
        <v>282.9019485</v>
      </c>
      <c r="H436" s="13">
        <f>F436*1000</f>
        <v/>
      </c>
      <c r="I436" s="14">
        <f>G436-273.15</f>
        <v/>
      </c>
      <c r="K436" s="15" t="n">
        <v>2002</v>
      </c>
      <c r="L436" s="15" t="n">
        <v>3</v>
      </c>
      <c r="M436" s="15" t="n">
        <v>12</v>
      </c>
      <c r="N436" s="16" t="n">
        <v>1.261167924e-06</v>
      </c>
      <c r="O436" s="11" t="n">
        <v>286.9301553</v>
      </c>
      <c r="P436" s="13">
        <f>N436*86400</f>
        <v/>
      </c>
      <c r="Q436" s="14">
        <f>O436-273.15</f>
        <v/>
      </c>
    </row>
    <row r="437">
      <c r="A437" s="9" t="n">
        <v>37324</v>
      </c>
      <c r="B437" s="7">
        <f>YEAR(A437)</f>
        <v/>
      </c>
      <c r="C437" s="7">
        <f>MONTH(A437)</f>
        <v/>
      </c>
      <c r="D437" s="10" t="n">
        <v>4.830015754</v>
      </c>
      <c r="E437" s="11" t="n">
        <v>10.12813989</v>
      </c>
      <c r="F437" s="12" t="n">
        <v>3.33287793e-05</v>
      </c>
      <c r="G437" s="11" t="n">
        <v>285.8702052</v>
      </c>
      <c r="H437" s="13">
        <f>F437*1000</f>
        <v/>
      </c>
      <c r="I437" s="14">
        <f>G437-273.15</f>
        <v/>
      </c>
      <c r="K437" s="15" t="n">
        <v>2002</v>
      </c>
      <c r="L437" s="15" t="n">
        <v>3</v>
      </c>
      <c r="M437" s="15" t="n">
        <v>13</v>
      </c>
      <c r="N437" s="16" t="n">
        <v>3.240592645e-05</v>
      </c>
      <c r="O437" s="11" t="n">
        <v>286.183023</v>
      </c>
      <c r="P437" s="13">
        <f>N437*86400</f>
        <v/>
      </c>
      <c r="Q437" s="14">
        <f>O437-273.15</f>
        <v/>
      </c>
    </row>
    <row r="438">
      <c r="A438" s="9" t="n">
        <v>37325</v>
      </c>
      <c r="B438" s="7">
        <f>YEAR(A438)</f>
        <v/>
      </c>
      <c r="C438" s="7">
        <f>MONTH(A438)</f>
        <v/>
      </c>
      <c r="D438" s="10" t="n">
        <v>8.435112762999999</v>
      </c>
      <c r="E438" s="11" t="n">
        <v>10.78928921</v>
      </c>
      <c r="F438" s="12" t="n">
        <v>0.000385646595</v>
      </c>
      <c r="G438" s="11" t="n">
        <v>286.6238044</v>
      </c>
      <c r="H438" s="13">
        <f>F438*1000</f>
        <v/>
      </c>
      <c r="I438" s="14">
        <f>G438-273.15</f>
        <v/>
      </c>
      <c r="K438" s="15" t="n">
        <v>2002</v>
      </c>
      <c r="L438" s="15" t="n">
        <v>3</v>
      </c>
      <c r="M438" s="15" t="n">
        <v>14</v>
      </c>
      <c r="N438" s="16" t="n">
        <v>0</v>
      </c>
      <c r="O438" s="11" t="n">
        <v>288.3810829</v>
      </c>
      <c r="P438" s="13">
        <f>N438*86400</f>
        <v/>
      </c>
      <c r="Q438" s="14">
        <f>O438-273.15</f>
        <v/>
      </c>
    </row>
    <row r="439">
      <c r="A439" s="9" t="n">
        <v>37326</v>
      </c>
      <c r="B439" s="7">
        <f>YEAR(A439)</f>
        <v/>
      </c>
      <c r="C439" s="7">
        <f>MONTH(A439)</f>
        <v/>
      </c>
      <c r="D439" s="10" t="n">
        <v>0</v>
      </c>
      <c r="E439" s="11" t="n">
        <v>8.629311524</v>
      </c>
      <c r="F439" s="12" t="n">
        <v>0</v>
      </c>
      <c r="G439" s="11" t="n">
        <v>285.2286005</v>
      </c>
      <c r="H439" s="13">
        <f>F439*1000</f>
        <v/>
      </c>
      <c r="I439" s="14">
        <f>G439-273.15</f>
        <v/>
      </c>
      <c r="K439" s="15" t="n">
        <v>2002</v>
      </c>
      <c r="L439" s="15" t="n">
        <v>3</v>
      </c>
      <c r="M439" s="15" t="n">
        <v>15</v>
      </c>
      <c r="N439" s="16" t="n">
        <v>0.0001103151269</v>
      </c>
      <c r="O439" s="11" t="n">
        <v>288.9105771</v>
      </c>
      <c r="P439" s="13">
        <f>N439*86400</f>
        <v/>
      </c>
      <c r="Q439" s="14">
        <f>O439-273.15</f>
        <v/>
      </c>
    </row>
    <row r="440">
      <c r="A440" s="9" t="n">
        <v>37327</v>
      </c>
      <c r="B440" s="7">
        <f>YEAR(A440)</f>
        <v/>
      </c>
      <c r="C440" s="7">
        <f>MONTH(A440)</f>
        <v/>
      </c>
      <c r="D440" s="10" t="n">
        <v>0</v>
      </c>
      <c r="E440" s="11" t="n">
        <v>8.98133728</v>
      </c>
      <c r="F440" s="12" t="n">
        <v>0</v>
      </c>
      <c r="G440" s="11" t="n">
        <v>284.9968363</v>
      </c>
      <c r="H440" s="13">
        <f>F440*1000</f>
        <v/>
      </c>
      <c r="I440" s="14">
        <f>G440-273.15</f>
        <v/>
      </c>
      <c r="K440" s="15" t="n">
        <v>2002</v>
      </c>
      <c r="L440" s="15" t="n">
        <v>3</v>
      </c>
      <c r="M440" s="15" t="n">
        <v>16</v>
      </c>
      <c r="N440" s="16" t="n">
        <v>3.196839228e-06</v>
      </c>
      <c r="O440" s="11" t="n">
        <v>288.9030422</v>
      </c>
      <c r="P440" s="13">
        <f>N440*86400</f>
        <v/>
      </c>
      <c r="Q440" s="14">
        <f>O440-273.15</f>
        <v/>
      </c>
    </row>
    <row r="441">
      <c r="A441" s="9" t="n">
        <v>37328</v>
      </c>
      <c r="B441" s="7">
        <f>YEAR(A441)</f>
        <v/>
      </c>
      <c r="C441" s="7">
        <f>MONTH(A441)</f>
        <v/>
      </c>
      <c r="D441" s="10" t="n">
        <v>0</v>
      </c>
      <c r="E441" s="11" t="n">
        <v>9.328124430000001</v>
      </c>
      <c r="F441" s="12" t="n">
        <v>0.0001502517598</v>
      </c>
      <c r="G441" s="11" t="n">
        <v>285.1737079</v>
      </c>
      <c r="H441" s="13">
        <f>F441*1000</f>
        <v/>
      </c>
      <c r="I441" s="14">
        <f>G441-273.15</f>
        <v/>
      </c>
      <c r="K441" s="15" t="n">
        <v>2002</v>
      </c>
      <c r="L441" s="15" t="n">
        <v>3</v>
      </c>
      <c r="M441" s="15" t="n">
        <v>17</v>
      </c>
      <c r="N441" s="16" t="n">
        <v>0</v>
      </c>
      <c r="O441" s="11" t="n">
        <v>289.8552271</v>
      </c>
      <c r="P441" s="13">
        <f>N441*86400</f>
        <v/>
      </c>
      <c r="Q441" s="14">
        <f>O441-273.15</f>
        <v/>
      </c>
    </row>
    <row r="442">
      <c r="A442" s="9" t="n">
        <v>37329</v>
      </c>
      <c r="B442" s="7">
        <f>YEAR(A442)</f>
        <v/>
      </c>
      <c r="C442" s="7">
        <f>MONTH(A442)</f>
        <v/>
      </c>
      <c r="D442" s="10" t="n">
        <v>0</v>
      </c>
      <c r="E442" s="11" t="n">
        <v>10.09356389</v>
      </c>
      <c r="F442" s="12" t="n">
        <v>0</v>
      </c>
      <c r="G442" s="11" t="n">
        <v>286.3751295</v>
      </c>
      <c r="H442" s="13">
        <f>F442*1000</f>
        <v/>
      </c>
      <c r="I442" s="14">
        <f>G442-273.15</f>
        <v/>
      </c>
      <c r="K442" s="15" t="n">
        <v>2002</v>
      </c>
      <c r="L442" s="15" t="n">
        <v>3</v>
      </c>
      <c r="M442" s="15" t="n">
        <v>18</v>
      </c>
      <c r="N442" s="16" t="n">
        <v>0</v>
      </c>
      <c r="O442" s="11" t="n">
        <v>290.1394236</v>
      </c>
      <c r="P442" s="13">
        <f>N442*86400</f>
        <v/>
      </c>
      <c r="Q442" s="14">
        <f>O442-273.15</f>
        <v/>
      </c>
    </row>
    <row r="443">
      <c r="A443" s="9" t="n">
        <v>37330</v>
      </c>
      <c r="B443" s="7">
        <f>YEAR(A443)</f>
        <v/>
      </c>
      <c r="C443" s="7">
        <f>MONTH(A443)</f>
        <v/>
      </c>
      <c r="D443" s="10" t="n">
        <v>0</v>
      </c>
      <c r="E443" s="11" t="n">
        <v>11.18200068</v>
      </c>
      <c r="F443" s="12" t="n">
        <v>0</v>
      </c>
      <c r="G443" s="11" t="n">
        <v>287.5645261</v>
      </c>
      <c r="H443" s="13">
        <f>F443*1000</f>
        <v/>
      </c>
      <c r="I443" s="14">
        <f>G443-273.15</f>
        <v/>
      </c>
      <c r="K443" s="15" t="n">
        <v>2002</v>
      </c>
      <c r="L443" s="15" t="n">
        <v>3</v>
      </c>
      <c r="M443" s="15" t="n">
        <v>19</v>
      </c>
      <c r="N443" s="16" t="n">
        <v>0</v>
      </c>
      <c r="O443" s="11" t="n">
        <v>286.4253939</v>
      </c>
      <c r="P443" s="13">
        <f>N443*86400</f>
        <v/>
      </c>
      <c r="Q443" s="14">
        <f>O443-273.15</f>
        <v/>
      </c>
    </row>
    <row r="444">
      <c r="A444" s="9" t="n">
        <v>37331</v>
      </c>
      <c r="B444" s="7">
        <f>YEAR(A444)</f>
        <v/>
      </c>
      <c r="C444" s="7">
        <f>MONTH(A444)</f>
        <v/>
      </c>
      <c r="D444" s="10" t="n">
        <v>21.51848119</v>
      </c>
      <c r="E444" s="11" t="n">
        <v>10.31329408</v>
      </c>
      <c r="F444" s="12" t="n">
        <v>0.007214364554</v>
      </c>
      <c r="G444" s="11" t="n">
        <v>286.6422102</v>
      </c>
      <c r="H444" s="13">
        <f>F444*1000</f>
        <v/>
      </c>
      <c r="I444" s="14">
        <f>G444-273.15</f>
        <v/>
      </c>
      <c r="K444" s="15" t="n">
        <v>2002</v>
      </c>
      <c r="L444" s="15" t="n">
        <v>3</v>
      </c>
      <c r="M444" s="15" t="n">
        <v>20</v>
      </c>
      <c r="N444" s="16" t="n">
        <v>0</v>
      </c>
      <c r="O444" s="11" t="n">
        <v>286.8872881</v>
      </c>
      <c r="P444" s="13">
        <f>N444*86400</f>
        <v/>
      </c>
      <c r="Q444" s="14">
        <f>O444-273.15</f>
        <v/>
      </c>
    </row>
    <row r="445">
      <c r="A445" s="9" t="n">
        <v>37332</v>
      </c>
      <c r="B445" s="7">
        <f>YEAR(A445)</f>
        <v/>
      </c>
      <c r="C445" s="7">
        <f>MONTH(A445)</f>
        <v/>
      </c>
      <c r="D445" s="10" t="n">
        <v>0</v>
      </c>
      <c r="E445" s="11" t="n">
        <v>11.93827965</v>
      </c>
      <c r="F445" s="12" t="n">
        <v>0</v>
      </c>
      <c r="G445" s="11" t="n">
        <v>286.7976564</v>
      </c>
      <c r="H445" s="13">
        <f>F445*1000</f>
        <v/>
      </c>
      <c r="I445" s="14">
        <f>G445-273.15</f>
        <v/>
      </c>
      <c r="K445" s="15" t="n">
        <v>2002</v>
      </c>
      <c r="L445" s="15" t="n">
        <v>3</v>
      </c>
      <c r="M445" s="15" t="n">
        <v>21</v>
      </c>
      <c r="N445" s="16" t="n">
        <v>0</v>
      </c>
      <c r="O445" s="11" t="n">
        <v>288.1066991</v>
      </c>
      <c r="P445" s="13">
        <f>N445*86400</f>
        <v/>
      </c>
      <c r="Q445" s="14">
        <f>O445-273.15</f>
        <v/>
      </c>
    </row>
    <row r="446">
      <c r="A446" s="9" t="n">
        <v>37333</v>
      </c>
      <c r="B446" s="7">
        <f>YEAR(A446)</f>
        <v/>
      </c>
      <c r="C446" s="7">
        <f>MONTH(A446)</f>
        <v/>
      </c>
      <c r="D446" s="10" t="n">
        <v>0</v>
      </c>
      <c r="E446" s="11" t="n">
        <v>13.77526624</v>
      </c>
      <c r="F446" s="12" t="n">
        <v>0.001923472202</v>
      </c>
      <c r="G446" s="11" t="n">
        <v>288.3805306</v>
      </c>
      <c r="H446" s="13">
        <f>F446*1000</f>
        <v/>
      </c>
      <c r="I446" s="14">
        <f>G446-273.15</f>
        <v/>
      </c>
      <c r="K446" s="15" t="n">
        <v>2002</v>
      </c>
      <c r="L446" s="15" t="n">
        <v>3</v>
      </c>
      <c r="M446" s="15" t="n">
        <v>22</v>
      </c>
      <c r="N446" s="16" t="n">
        <v>0</v>
      </c>
      <c r="O446" s="11" t="n">
        <v>287.1520148</v>
      </c>
      <c r="P446" s="13">
        <f>N446*86400</f>
        <v/>
      </c>
      <c r="Q446" s="14">
        <f>O446-273.15</f>
        <v/>
      </c>
    </row>
    <row r="447">
      <c r="A447" s="9" t="n">
        <v>37334</v>
      </c>
      <c r="B447" s="7">
        <f>YEAR(A447)</f>
        <v/>
      </c>
      <c r="C447" s="7">
        <f>MONTH(A447)</f>
        <v/>
      </c>
      <c r="D447" s="10" t="n">
        <v>0</v>
      </c>
      <c r="E447" s="11" t="n">
        <v>13.16525914</v>
      </c>
      <c r="F447" s="12" t="n">
        <v>0</v>
      </c>
      <c r="G447" s="11" t="n">
        <v>288.6265969</v>
      </c>
      <c r="H447" s="13">
        <f>F447*1000</f>
        <v/>
      </c>
      <c r="I447" s="14">
        <f>G447-273.15</f>
        <v/>
      </c>
      <c r="K447" s="15" t="n">
        <v>2002</v>
      </c>
      <c r="L447" s="15" t="n">
        <v>3</v>
      </c>
      <c r="M447" s="15" t="n">
        <v>23</v>
      </c>
      <c r="N447" s="16" t="n">
        <v>1.212540648e-05</v>
      </c>
      <c r="O447" s="11" t="n">
        <v>286.0977527</v>
      </c>
      <c r="P447" s="13">
        <f>N447*86400</f>
        <v/>
      </c>
      <c r="Q447" s="14">
        <f>O447-273.15</f>
        <v/>
      </c>
    </row>
    <row r="448">
      <c r="A448" s="9" t="n">
        <v>37335</v>
      </c>
      <c r="B448" s="7">
        <f>YEAR(A448)</f>
        <v/>
      </c>
      <c r="C448" s="7">
        <f>MONTH(A448)</f>
        <v/>
      </c>
      <c r="D448" s="10" t="n">
        <v>0</v>
      </c>
      <c r="E448" s="11" t="n">
        <v>9.920597802</v>
      </c>
      <c r="F448" s="12" t="n">
        <v>0.0002587472716</v>
      </c>
      <c r="G448" s="11" t="n">
        <v>285.2732496</v>
      </c>
      <c r="H448" s="13">
        <f>F448*1000</f>
        <v/>
      </c>
      <c r="I448" s="14">
        <f>G448-273.15</f>
        <v/>
      </c>
      <c r="K448" s="15" t="n">
        <v>2002</v>
      </c>
      <c r="L448" s="15" t="n">
        <v>3</v>
      </c>
      <c r="M448" s="15" t="n">
        <v>24</v>
      </c>
      <c r="N448" s="16" t="n">
        <v>1.453813063e-05</v>
      </c>
      <c r="O448" s="11" t="n">
        <v>286.6352142</v>
      </c>
      <c r="P448" s="13">
        <f>N448*86400</f>
        <v/>
      </c>
      <c r="Q448" s="14">
        <f>O448-273.15</f>
        <v/>
      </c>
    </row>
    <row r="449">
      <c r="A449" s="9" t="n">
        <v>37336</v>
      </c>
      <c r="B449" s="7">
        <f>YEAR(A449)</f>
        <v/>
      </c>
      <c r="C449" s="7">
        <f>MONTH(A449)</f>
        <v/>
      </c>
      <c r="D449" s="10" t="n">
        <v>0</v>
      </c>
      <c r="E449" s="11" t="n">
        <v>9.202918459999999</v>
      </c>
      <c r="F449" s="12" t="n">
        <v>0</v>
      </c>
      <c r="G449" s="11" t="n">
        <v>284.948601</v>
      </c>
      <c r="H449" s="13">
        <f>F449*1000</f>
        <v/>
      </c>
      <c r="I449" s="14">
        <f>G449-273.15</f>
        <v/>
      </c>
      <c r="K449" s="15" t="n">
        <v>2002</v>
      </c>
      <c r="L449" s="15" t="n">
        <v>3</v>
      </c>
      <c r="M449" s="15" t="n">
        <v>25</v>
      </c>
      <c r="N449" s="16" t="n">
        <v>1.931658725e-05</v>
      </c>
      <c r="O449" s="11" t="n">
        <v>286.6440152</v>
      </c>
      <c r="P449" s="13">
        <f>N449*86400</f>
        <v/>
      </c>
      <c r="Q449" s="14">
        <f>O449-273.15</f>
        <v/>
      </c>
    </row>
    <row r="450">
      <c r="A450" s="9" t="n">
        <v>37337</v>
      </c>
      <c r="B450" s="7">
        <f>YEAR(A450)</f>
        <v/>
      </c>
      <c r="C450" s="7">
        <f>MONTH(A450)</f>
        <v/>
      </c>
      <c r="D450" s="10" t="n">
        <v>0</v>
      </c>
      <c r="E450" s="11" t="n">
        <v>7.045657763</v>
      </c>
      <c r="F450" s="12" t="n">
        <v>0</v>
      </c>
      <c r="G450" s="11" t="n">
        <v>283.6009055</v>
      </c>
      <c r="H450" s="13">
        <f>F450*1000</f>
        <v/>
      </c>
      <c r="I450" s="14">
        <f>G450-273.15</f>
        <v/>
      </c>
      <c r="K450" s="15" t="n">
        <v>2002</v>
      </c>
      <c r="L450" s="15" t="n">
        <v>3</v>
      </c>
      <c r="M450" s="15" t="n">
        <v>26</v>
      </c>
      <c r="N450" s="16" t="n">
        <v>1.191440438e-06</v>
      </c>
      <c r="O450" s="11" t="n">
        <v>288.9325704</v>
      </c>
      <c r="P450" s="13">
        <f>N450*86400</f>
        <v/>
      </c>
      <c r="Q450" s="14">
        <f>O450-273.15</f>
        <v/>
      </c>
    </row>
    <row r="451">
      <c r="A451" s="9" t="n">
        <v>37338</v>
      </c>
      <c r="B451" s="7">
        <f>YEAR(A451)</f>
        <v/>
      </c>
      <c r="C451" s="7">
        <f>MONTH(A451)</f>
        <v/>
      </c>
      <c r="D451" s="10" t="n">
        <v>0</v>
      </c>
      <c r="E451" s="11" t="n">
        <v>5.919200279</v>
      </c>
      <c r="F451" s="12" t="n">
        <v>0</v>
      </c>
      <c r="G451" s="11" t="n">
        <v>281.6671786</v>
      </c>
      <c r="H451" s="13">
        <f>F451*1000</f>
        <v/>
      </c>
      <c r="I451" s="14">
        <f>G451-273.15</f>
        <v/>
      </c>
      <c r="K451" s="15" t="n">
        <v>2002</v>
      </c>
      <c r="L451" s="15" t="n">
        <v>3</v>
      </c>
      <c r="M451" s="15" t="n">
        <v>27</v>
      </c>
      <c r="N451" s="16" t="n">
        <v>0</v>
      </c>
      <c r="O451" s="11" t="n">
        <v>287.8231259</v>
      </c>
      <c r="P451" s="13">
        <f>N451*86400</f>
        <v/>
      </c>
      <c r="Q451" s="14">
        <f>O451-273.15</f>
        <v/>
      </c>
    </row>
    <row r="452">
      <c r="A452" s="9" t="n">
        <v>37339</v>
      </c>
      <c r="B452" s="7">
        <f>YEAR(A452)</f>
        <v/>
      </c>
      <c r="C452" s="7">
        <f>MONTH(A452)</f>
        <v/>
      </c>
      <c r="D452" s="10" t="n">
        <v>0</v>
      </c>
      <c r="E452" s="11" t="n">
        <v>6.936765142</v>
      </c>
      <c r="F452" s="12" t="n">
        <v>0</v>
      </c>
      <c r="G452" s="11" t="n">
        <v>282.7634015</v>
      </c>
      <c r="H452" s="13">
        <f>F452*1000</f>
        <v/>
      </c>
      <c r="I452" s="14">
        <f>G452-273.15</f>
        <v/>
      </c>
      <c r="K452" s="15" t="n">
        <v>2002</v>
      </c>
      <c r="L452" s="15" t="n">
        <v>3</v>
      </c>
      <c r="M452" s="15" t="n">
        <v>28</v>
      </c>
      <c r="N452" s="16" t="n">
        <v>9.842526212e-07</v>
      </c>
      <c r="O452" s="11" t="n">
        <v>288.4709755</v>
      </c>
      <c r="P452" s="13">
        <f>N452*86400</f>
        <v/>
      </c>
      <c r="Q452" s="14">
        <f>O452-273.15</f>
        <v/>
      </c>
    </row>
    <row r="453">
      <c r="A453" s="9" t="n">
        <v>37340</v>
      </c>
      <c r="B453" s="7">
        <f>YEAR(A453)</f>
        <v/>
      </c>
      <c r="C453" s="7">
        <f>MONTH(A453)</f>
        <v/>
      </c>
      <c r="D453" s="10" t="n">
        <v>0</v>
      </c>
      <c r="E453" s="11" t="n">
        <v>10.65931829</v>
      </c>
      <c r="F453" s="12" t="n">
        <v>0</v>
      </c>
      <c r="G453" s="11" t="n">
        <v>285.4027311</v>
      </c>
      <c r="H453" s="13">
        <f>F453*1000</f>
        <v/>
      </c>
      <c r="I453" s="14">
        <f>G453-273.15</f>
        <v/>
      </c>
      <c r="K453" s="15" t="n">
        <v>2002</v>
      </c>
      <c r="L453" s="15" t="n">
        <v>3</v>
      </c>
      <c r="M453" s="15" t="n">
        <v>29</v>
      </c>
      <c r="N453" s="16" t="n">
        <v>0</v>
      </c>
      <c r="O453" s="11" t="n">
        <v>288.957978</v>
      </c>
      <c r="P453" s="13">
        <f>N453*86400</f>
        <v/>
      </c>
      <c r="Q453" s="14">
        <f>O453-273.15</f>
        <v/>
      </c>
    </row>
    <row r="454">
      <c r="A454" s="9" t="n">
        <v>37341</v>
      </c>
      <c r="B454" s="7">
        <f>YEAR(A454)</f>
        <v/>
      </c>
      <c r="C454" s="7">
        <f>MONTH(A454)</f>
        <v/>
      </c>
      <c r="D454" s="10" t="n">
        <v>0</v>
      </c>
      <c r="E454" s="11" t="n">
        <v>12.12043604</v>
      </c>
      <c r="F454" s="12" t="n">
        <v>0</v>
      </c>
      <c r="G454" s="11" t="n">
        <v>285.7437385</v>
      </c>
      <c r="H454" s="13">
        <f>F454*1000</f>
        <v/>
      </c>
      <c r="I454" s="14">
        <f>G454-273.15</f>
        <v/>
      </c>
      <c r="K454" s="15" t="n">
        <v>2002</v>
      </c>
      <c r="L454" s="15" t="n">
        <v>3</v>
      </c>
      <c r="M454" s="15" t="n">
        <v>30</v>
      </c>
      <c r="N454" s="16" t="n">
        <v>0</v>
      </c>
      <c r="O454" s="11" t="n">
        <v>289.0649022</v>
      </c>
      <c r="P454" s="13">
        <f>N454*86400</f>
        <v/>
      </c>
      <c r="Q454" s="14">
        <f>O454-273.15</f>
        <v/>
      </c>
    </row>
    <row r="455">
      <c r="A455" s="9" t="n">
        <v>37342</v>
      </c>
      <c r="B455" s="7">
        <f>YEAR(A455)</f>
        <v/>
      </c>
      <c r="C455" s="7">
        <f>MONTH(A455)</f>
        <v/>
      </c>
      <c r="D455" s="10" t="n">
        <v>0</v>
      </c>
      <c r="E455" s="11" t="n">
        <v>10.42726744</v>
      </c>
      <c r="F455" s="12" t="n">
        <v>0</v>
      </c>
      <c r="G455" s="11" t="n">
        <v>285.0971607</v>
      </c>
      <c r="H455" s="13">
        <f>F455*1000</f>
        <v/>
      </c>
      <c r="I455" s="14">
        <f>G455-273.15</f>
        <v/>
      </c>
      <c r="K455" s="15" t="n">
        <v>2002</v>
      </c>
      <c r="L455" s="15" t="n">
        <v>4</v>
      </c>
      <c r="M455" s="15" t="n">
        <v>1</v>
      </c>
      <c r="N455" s="16" t="n">
        <v>0</v>
      </c>
      <c r="O455" s="11" t="n">
        <v>289.1859405</v>
      </c>
      <c r="P455" s="13">
        <f>N455*86400</f>
        <v/>
      </c>
      <c r="Q455" s="14">
        <f>O455-273.15</f>
        <v/>
      </c>
    </row>
    <row r="456">
      <c r="A456" s="9" t="n">
        <v>37343</v>
      </c>
      <c r="B456" s="7">
        <f>YEAR(A456)</f>
        <v/>
      </c>
      <c r="C456" s="7">
        <f>MONTH(A456)</f>
        <v/>
      </c>
      <c r="D456" s="10" t="n">
        <v>0</v>
      </c>
      <c r="E456" s="11" t="n">
        <v>11.86198338</v>
      </c>
      <c r="F456" s="12" t="n">
        <v>0</v>
      </c>
      <c r="G456" s="11" t="n">
        <v>286.5078393</v>
      </c>
      <c r="H456" s="13">
        <f>F456*1000</f>
        <v/>
      </c>
      <c r="I456" s="14">
        <f>G456-273.15</f>
        <v/>
      </c>
      <c r="K456" s="15" t="n">
        <v>2002</v>
      </c>
      <c r="L456" s="15" t="n">
        <v>4</v>
      </c>
      <c r="M456" s="15" t="n">
        <v>2</v>
      </c>
      <c r="N456" s="16" t="n">
        <v>0</v>
      </c>
      <c r="O456" s="11" t="n">
        <v>287.7448483</v>
      </c>
      <c r="P456" s="13">
        <f>N456*86400</f>
        <v/>
      </c>
      <c r="Q456" s="14">
        <f>O456-273.15</f>
        <v/>
      </c>
    </row>
    <row r="457">
      <c r="A457" s="9" t="n">
        <v>37344</v>
      </c>
      <c r="B457" s="7">
        <f>YEAR(A457)</f>
        <v/>
      </c>
      <c r="C457" s="7">
        <f>MONTH(A457)</f>
        <v/>
      </c>
      <c r="D457" s="10" t="n">
        <v>0</v>
      </c>
      <c r="E457" s="11" t="n">
        <v>10.3864509</v>
      </c>
      <c r="F457" s="12" t="n">
        <v>0</v>
      </c>
      <c r="G457" s="11" t="n">
        <v>285.0312382</v>
      </c>
      <c r="H457" s="13">
        <f>F457*1000</f>
        <v/>
      </c>
      <c r="I457" s="14">
        <f>G457-273.15</f>
        <v/>
      </c>
      <c r="K457" s="15" t="n">
        <v>2002</v>
      </c>
      <c r="L457" s="15" t="n">
        <v>4</v>
      </c>
      <c r="M457" s="15" t="n">
        <v>3</v>
      </c>
      <c r="N457" s="16" t="n">
        <v>9.882150831e-07</v>
      </c>
      <c r="O457" s="11" t="n">
        <v>287.430761</v>
      </c>
      <c r="P457" s="13">
        <f>N457*86400</f>
        <v/>
      </c>
      <c r="Q457" s="14">
        <f>O457-273.15</f>
        <v/>
      </c>
    </row>
    <row r="458">
      <c r="A458" s="9" t="n">
        <v>37345</v>
      </c>
      <c r="B458" s="7">
        <f>YEAR(A458)</f>
        <v/>
      </c>
      <c r="C458" s="7">
        <f>MONTH(A458)</f>
        <v/>
      </c>
      <c r="D458" s="10" t="n">
        <v>0</v>
      </c>
      <c r="E458" s="11" t="n">
        <v>12.61426781</v>
      </c>
      <c r="F458" s="12" t="n">
        <v>0</v>
      </c>
      <c r="G458" s="11" t="n">
        <v>286.7830221</v>
      </c>
      <c r="H458" s="13">
        <f>F458*1000</f>
        <v/>
      </c>
      <c r="I458" s="14">
        <f>G458-273.15</f>
        <v/>
      </c>
      <c r="K458" s="15" t="n">
        <v>2002</v>
      </c>
      <c r="L458" s="15" t="n">
        <v>4</v>
      </c>
      <c r="M458" s="15" t="n">
        <v>4</v>
      </c>
      <c r="N458" s="16" t="n">
        <v>1.169034358e-05</v>
      </c>
      <c r="O458" s="11" t="n">
        <v>287.2740168</v>
      </c>
      <c r="P458" s="13">
        <f>N458*86400</f>
        <v/>
      </c>
      <c r="Q458" s="14">
        <f>O458-273.15</f>
        <v/>
      </c>
    </row>
    <row r="459">
      <c r="A459" s="9" t="n">
        <v>37346</v>
      </c>
      <c r="B459" s="7">
        <f>YEAR(A459)</f>
        <v/>
      </c>
      <c r="C459" s="7">
        <f>MONTH(A459)</f>
        <v/>
      </c>
      <c r="D459" s="10" t="n">
        <v>0</v>
      </c>
      <c r="E459" s="11" t="n">
        <v>12.75628653</v>
      </c>
      <c r="F459" s="12" t="n">
        <v>0</v>
      </c>
      <c r="G459" s="11" t="n">
        <v>287.9245563</v>
      </c>
      <c r="H459" s="13">
        <f>F459*1000</f>
        <v/>
      </c>
      <c r="I459" s="14">
        <f>G459-273.15</f>
        <v/>
      </c>
      <c r="K459" s="15" t="n">
        <v>2002</v>
      </c>
      <c r="L459" s="15" t="n">
        <v>4</v>
      </c>
      <c r="M459" s="15" t="n">
        <v>5</v>
      </c>
      <c r="N459" s="16" t="n">
        <v>0</v>
      </c>
      <c r="O459" s="11" t="n">
        <v>288.0095503</v>
      </c>
      <c r="P459" s="13">
        <f>N459*86400</f>
        <v/>
      </c>
      <c r="Q459" s="14">
        <f>O459-273.15</f>
        <v/>
      </c>
    </row>
    <row r="460">
      <c r="A460" s="9" t="n">
        <v>37347</v>
      </c>
      <c r="B460" s="7">
        <f>YEAR(A460)</f>
        <v/>
      </c>
      <c r="C460" s="7">
        <f>MONTH(A460)</f>
        <v/>
      </c>
      <c r="D460" s="10" t="n">
        <v>0</v>
      </c>
      <c r="E460" s="11" t="n">
        <v>14.74006357</v>
      </c>
      <c r="F460" s="12" t="n">
        <v>0</v>
      </c>
      <c r="G460" s="11" t="n">
        <v>291.2774799</v>
      </c>
      <c r="H460" s="13">
        <f>F460*1000</f>
        <v/>
      </c>
      <c r="I460" s="14">
        <f>G460-273.15</f>
        <v/>
      </c>
      <c r="K460" s="15" t="n">
        <v>2002</v>
      </c>
      <c r="L460" s="15" t="n">
        <v>4</v>
      </c>
      <c r="M460" s="15" t="n">
        <v>6</v>
      </c>
      <c r="N460" s="16" t="n">
        <v>2.366850028e-08</v>
      </c>
      <c r="O460" s="11" t="n">
        <v>287.6412978</v>
      </c>
      <c r="P460" s="13">
        <f>N460*86400</f>
        <v/>
      </c>
      <c r="Q460" s="14">
        <f>O460-273.15</f>
        <v/>
      </c>
    </row>
    <row r="461">
      <c r="A461" s="9" t="n">
        <v>37348</v>
      </c>
      <c r="B461" s="7">
        <f>YEAR(A461)</f>
        <v/>
      </c>
      <c r="C461" s="7">
        <f>MONTH(A461)</f>
        <v/>
      </c>
      <c r="D461" s="10" t="n">
        <v>0</v>
      </c>
      <c r="E461" s="11" t="n">
        <v>12.12713093</v>
      </c>
      <c r="F461" s="12" t="n">
        <v>0</v>
      </c>
      <c r="G461" s="11" t="n">
        <v>288.3149292</v>
      </c>
      <c r="H461" s="13">
        <f>F461*1000</f>
        <v/>
      </c>
      <c r="I461" s="14">
        <f>G461-273.15</f>
        <v/>
      </c>
      <c r="K461" s="15" t="n">
        <v>2002</v>
      </c>
      <c r="L461" s="15" t="n">
        <v>4</v>
      </c>
      <c r="M461" s="15" t="n">
        <v>7</v>
      </c>
      <c r="N461" s="16" t="n">
        <v>0</v>
      </c>
      <c r="O461" s="11" t="n">
        <v>287.5501656</v>
      </c>
      <c r="P461" s="13">
        <f>N461*86400</f>
        <v/>
      </c>
      <c r="Q461" s="14">
        <f>O461-273.15</f>
        <v/>
      </c>
    </row>
    <row r="462">
      <c r="A462" s="9" t="n">
        <v>37349</v>
      </c>
      <c r="B462" s="7">
        <f>YEAR(A462)</f>
        <v/>
      </c>
      <c r="C462" s="7">
        <f>MONTH(A462)</f>
        <v/>
      </c>
      <c r="D462" s="10" t="n">
        <v>7.079079597</v>
      </c>
      <c r="E462" s="11" t="n">
        <v>11.66662094</v>
      </c>
      <c r="F462" s="12" t="n">
        <v>0.00544149898</v>
      </c>
      <c r="G462" s="11" t="n">
        <v>288.1884655</v>
      </c>
      <c r="H462" s="13">
        <f>F462*1000</f>
        <v/>
      </c>
      <c r="I462" s="14">
        <f>G462-273.15</f>
        <v/>
      </c>
      <c r="K462" s="15" t="n">
        <v>2002</v>
      </c>
      <c r="L462" s="15" t="n">
        <v>4</v>
      </c>
      <c r="M462" s="15" t="n">
        <v>8</v>
      </c>
      <c r="N462" s="16" t="n">
        <v>0</v>
      </c>
      <c r="O462" s="11" t="n">
        <v>287.0566922</v>
      </c>
      <c r="P462" s="13">
        <f>N462*86400</f>
        <v/>
      </c>
      <c r="Q462" s="14">
        <f>O462-273.15</f>
        <v/>
      </c>
    </row>
    <row r="463">
      <c r="A463" s="9" t="n">
        <v>37350</v>
      </c>
      <c r="B463" s="7">
        <f>YEAR(A463)</f>
        <v/>
      </c>
      <c r="C463" s="7">
        <f>MONTH(A463)</f>
        <v/>
      </c>
      <c r="D463" s="10" t="n">
        <v>0.7157312461000001</v>
      </c>
      <c r="E463" s="11" t="n">
        <v>11.7047114</v>
      </c>
      <c r="F463" s="12" t="n">
        <v>0.003032423161</v>
      </c>
      <c r="G463" s="11" t="n">
        <v>288.2543496</v>
      </c>
      <c r="H463" s="13">
        <f>F463*1000</f>
        <v/>
      </c>
      <c r="I463" s="14">
        <f>G463-273.15</f>
        <v/>
      </c>
      <c r="K463" s="15" t="n">
        <v>2002</v>
      </c>
      <c r="L463" s="15" t="n">
        <v>4</v>
      </c>
      <c r="M463" s="15" t="n">
        <v>9</v>
      </c>
      <c r="N463" s="16" t="n">
        <v>0</v>
      </c>
      <c r="O463" s="11" t="n">
        <v>290.1237199</v>
      </c>
      <c r="P463" s="13">
        <f>N463*86400</f>
        <v/>
      </c>
      <c r="Q463" s="14">
        <f>O463-273.15</f>
        <v/>
      </c>
    </row>
    <row r="464">
      <c r="A464" s="9" t="n">
        <v>37351</v>
      </c>
      <c r="B464" s="7">
        <f>YEAR(A464)</f>
        <v/>
      </c>
      <c r="C464" s="7">
        <f>MONTH(A464)</f>
        <v/>
      </c>
      <c r="D464" s="10" t="n">
        <v>1.212564835</v>
      </c>
      <c r="E464" s="11" t="n">
        <v>14.65371926</v>
      </c>
      <c r="F464" s="12" t="n">
        <v>0.005467815495</v>
      </c>
      <c r="G464" s="11" t="n">
        <v>290.6866266</v>
      </c>
      <c r="H464" s="13">
        <f>F464*1000</f>
        <v/>
      </c>
      <c r="I464" s="14">
        <f>G464-273.15</f>
        <v/>
      </c>
      <c r="K464" s="15" t="n">
        <v>2002</v>
      </c>
      <c r="L464" s="15" t="n">
        <v>4</v>
      </c>
      <c r="M464" s="15" t="n">
        <v>10</v>
      </c>
      <c r="N464" s="16" t="n">
        <v>7.496047966000001e-05</v>
      </c>
      <c r="O464" s="11" t="n">
        <v>288.9731114</v>
      </c>
      <c r="P464" s="13">
        <f>N464*86400</f>
        <v/>
      </c>
      <c r="Q464" s="14">
        <f>O464-273.15</f>
        <v/>
      </c>
    </row>
    <row r="465">
      <c r="A465" s="9" t="n">
        <v>37352</v>
      </c>
      <c r="B465" s="7">
        <f>YEAR(A465)</f>
        <v/>
      </c>
      <c r="C465" s="7">
        <f>MONTH(A465)</f>
        <v/>
      </c>
      <c r="D465" s="10" t="n">
        <v>0</v>
      </c>
      <c r="E465" s="11" t="n">
        <v>14.10716602</v>
      </c>
      <c r="F465" s="12" t="n">
        <v>5.716770167e-05</v>
      </c>
      <c r="G465" s="11" t="n">
        <v>289.1531127</v>
      </c>
      <c r="H465" s="13">
        <f>F465*1000</f>
        <v/>
      </c>
      <c r="I465" s="14">
        <f>G465-273.15</f>
        <v/>
      </c>
      <c r="K465" s="15" t="n">
        <v>2002</v>
      </c>
      <c r="L465" s="15" t="n">
        <v>4</v>
      </c>
      <c r="M465" s="15" t="n">
        <v>11</v>
      </c>
      <c r="N465" s="16" t="n">
        <v>8.988301724e-05</v>
      </c>
      <c r="O465" s="11" t="n">
        <v>287.0380153</v>
      </c>
      <c r="P465" s="13">
        <f>N465*86400</f>
        <v/>
      </c>
      <c r="Q465" s="14">
        <f>O465-273.15</f>
        <v/>
      </c>
    </row>
    <row r="466">
      <c r="A466" s="9" t="n">
        <v>37353</v>
      </c>
      <c r="B466" s="7">
        <f>YEAR(A466)</f>
        <v/>
      </c>
      <c r="C466" s="7">
        <f>MONTH(A466)</f>
        <v/>
      </c>
      <c r="D466" s="10" t="n">
        <v>0</v>
      </c>
      <c r="E466" s="11" t="n">
        <v>14.6600595</v>
      </c>
      <c r="F466" s="12" t="n">
        <v>0</v>
      </c>
      <c r="G466" s="11" t="n">
        <v>290.1872765</v>
      </c>
      <c r="H466" s="13">
        <f>F466*1000</f>
        <v/>
      </c>
      <c r="I466" s="14">
        <f>G466-273.15</f>
        <v/>
      </c>
      <c r="K466" s="15" t="n">
        <v>2002</v>
      </c>
      <c r="L466" s="15" t="n">
        <v>4</v>
      </c>
      <c r="M466" s="15" t="n">
        <v>12</v>
      </c>
      <c r="N466" s="16" t="n">
        <v>5.113784618e-05</v>
      </c>
      <c r="O466" s="11" t="n">
        <v>287.1122394</v>
      </c>
      <c r="P466" s="13">
        <f>N466*86400</f>
        <v/>
      </c>
      <c r="Q466" s="14">
        <f>O466-273.15</f>
        <v/>
      </c>
    </row>
    <row r="467">
      <c r="A467" s="9" t="n">
        <v>37354</v>
      </c>
      <c r="B467" s="7">
        <f>YEAR(A467)</f>
        <v/>
      </c>
      <c r="C467" s="7">
        <f>MONTH(A467)</f>
        <v/>
      </c>
      <c r="D467" s="10" t="n">
        <v>0</v>
      </c>
      <c r="E467" s="11" t="n">
        <v>12.10733979</v>
      </c>
      <c r="F467" s="12" t="n">
        <v>0.001850647272</v>
      </c>
      <c r="G467" s="11" t="n">
        <v>288.3448173</v>
      </c>
      <c r="H467" s="13">
        <f>F467*1000</f>
        <v/>
      </c>
      <c r="I467" s="14">
        <f>G467-273.15</f>
        <v/>
      </c>
      <c r="K467" s="15" t="n">
        <v>2002</v>
      </c>
      <c r="L467" s="15" t="n">
        <v>4</v>
      </c>
      <c r="M467" s="15" t="n">
        <v>13</v>
      </c>
      <c r="N467" s="16" t="n">
        <v>7.103302901e-08</v>
      </c>
      <c r="O467" s="11" t="n">
        <v>287.3237017</v>
      </c>
      <c r="P467" s="13">
        <f>N467*86400</f>
        <v/>
      </c>
      <c r="Q467" s="14">
        <f>O467-273.15</f>
        <v/>
      </c>
    </row>
    <row r="468">
      <c r="A468" s="9" t="n">
        <v>37355</v>
      </c>
      <c r="B468" s="7">
        <f>YEAR(A468)</f>
        <v/>
      </c>
      <c r="C468" s="7">
        <f>MONTH(A468)</f>
        <v/>
      </c>
      <c r="D468" s="10" t="n">
        <v>0</v>
      </c>
      <c r="E468" s="11" t="n">
        <v>13.6641683</v>
      </c>
      <c r="F468" s="12" t="n">
        <v>0</v>
      </c>
      <c r="G468" s="11" t="n">
        <v>289.9537687</v>
      </c>
      <c r="H468" s="13">
        <f>F468*1000</f>
        <v/>
      </c>
      <c r="I468" s="14">
        <f>G468-273.15</f>
        <v/>
      </c>
      <c r="K468" s="15" t="n">
        <v>2002</v>
      </c>
      <c r="L468" s="15" t="n">
        <v>4</v>
      </c>
      <c r="M468" s="15" t="n">
        <v>14</v>
      </c>
      <c r="N468" s="16" t="n">
        <v>3.464676605e-06</v>
      </c>
      <c r="O468" s="11" t="n">
        <v>287.0459823</v>
      </c>
      <c r="P468" s="13">
        <f>N468*86400</f>
        <v/>
      </c>
      <c r="Q468" s="14">
        <f>O468-273.15</f>
        <v/>
      </c>
    </row>
    <row r="469">
      <c r="A469" s="9" t="n">
        <v>37356</v>
      </c>
      <c r="B469" s="7">
        <f>YEAR(A469)</f>
        <v/>
      </c>
      <c r="C469" s="7">
        <f>MONTH(A469)</f>
        <v/>
      </c>
      <c r="D469" s="10" t="n">
        <v>0</v>
      </c>
      <c r="E469" s="11" t="n">
        <v>14.11943016</v>
      </c>
      <c r="F469" s="12" t="n">
        <v>0.0001344998781</v>
      </c>
      <c r="G469" s="11" t="n">
        <v>289.6410298</v>
      </c>
      <c r="H469" s="13">
        <f>F469*1000</f>
        <v/>
      </c>
      <c r="I469" s="14">
        <f>G469-273.15</f>
        <v/>
      </c>
      <c r="K469" s="15" t="n">
        <v>2002</v>
      </c>
      <c r="L469" s="15" t="n">
        <v>4</v>
      </c>
      <c r="M469" s="15" t="n">
        <v>15</v>
      </c>
      <c r="N469" s="16" t="n">
        <v>0</v>
      </c>
      <c r="O469" s="11" t="n">
        <v>286.9813301</v>
      </c>
      <c r="P469" s="13">
        <f>N469*86400</f>
        <v/>
      </c>
      <c r="Q469" s="14">
        <f>O469-273.15</f>
        <v/>
      </c>
    </row>
    <row r="470">
      <c r="A470" s="9" t="n">
        <v>37357</v>
      </c>
      <c r="B470" s="7">
        <f>YEAR(A470)</f>
        <v/>
      </c>
      <c r="C470" s="7">
        <f>MONTH(A470)</f>
        <v/>
      </c>
      <c r="D470" s="10" t="n">
        <v>1.865954636</v>
      </c>
      <c r="E470" s="11" t="n">
        <v>13.6812915</v>
      </c>
      <c r="F470" s="12" t="n">
        <v>0.002436709003</v>
      </c>
      <c r="G470" s="11" t="n">
        <v>290.6108089</v>
      </c>
      <c r="H470" s="13">
        <f>F470*1000</f>
        <v/>
      </c>
      <c r="I470" s="14">
        <f>G470-273.15</f>
        <v/>
      </c>
      <c r="K470" s="15" t="n">
        <v>2002</v>
      </c>
      <c r="L470" s="15" t="n">
        <v>4</v>
      </c>
      <c r="M470" s="15" t="n">
        <v>16</v>
      </c>
      <c r="N470" s="16" t="n">
        <v>1.271831855e-06</v>
      </c>
      <c r="O470" s="11" t="n">
        <v>286.16491</v>
      </c>
      <c r="P470" s="13">
        <f>N470*86400</f>
        <v/>
      </c>
      <c r="Q470" s="14">
        <f>O470-273.15</f>
        <v/>
      </c>
    </row>
    <row r="471">
      <c r="A471" s="9" t="n">
        <v>37358</v>
      </c>
      <c r="B471" s="7">
        <f>YEAR(A471)</f>
        <v/>
      </c>
      <c r="C471" s="7">
        <f>MONTH(A471)</f>
        <v/>
      </c>
      <c r="D471" s="10" t="n">
        <v>0</v>
      </c>
      <c r="E471" s="11" t="n">
        <v>13.55314787</v>
      </c>
      <c r="F471" s="12" t="n">
        <v>0</v>
      </c>
      <c r="G471" s="11" t="n">
        <v>289.6728334</v>
      </c>
      <c r="H471" s="13">
        <f>F471*1000</f>
        <v/>
      </c>
      <c r="I471" s="14">
        <f>G471-273.15</f>
        <v/>
      </c>
      <c r="K471" s="15" t="n">
        <v>2002</v>
      </c>
      <c r="L471" s="15" t="n">
        <v>4</v>
      </c>
      <c r="M471" s="15" t="n">
        <v>17</v>
      </c>
      <c r="N471" s="16" t="n">
        <v>2.895840895e-05</v>
      </c>
      <c r="O471" s="11" t="n">
        <v>289.0387658</v>
      </c>
      <c r="P471" s="13">
        <f>N471*86400</f>
        <v/>
      </c>
      <c r="Q471" s="14">
        <f>O471-273.15</f>
        <v/>
      </c>
    </row>
    <row r="472">
      <c r="A472" s="9" t="n">
        <v>37359</v>
      </c>
      <c r="B472" s="7">
        <f>YEAR(A472)</f>
        <v/>
      </c>
      <c r="C472" s="7">
        <f>MONTH(A472)</f>
        <v/>
      </c>
      <c r="D472" s="10" t="n">
        <v>0</v>
      </c>
      <c r="E472" s="11" t="n">
        <v>12.82790016</v>
      </c>
      <c r="F472" s="12" t="n">
        <v>0.001685720894</v>
      </c>
      <c r="G472" s="11" t="n">
        <v>288.6427661</v>
      </c>
      <c r="H472" s="13">
        <f>F472*1000</f>
        <v/>
      </c>
      <c r="I472" s="14">
        <f>G472-273.15</f>
        <v/>
      </c>
      <c r="K472" s="15" t="n">
        <v>2002</v>
      </c>
      <c r="L472" s="15" t="n">
        <v>4</v>
      </c>
      <c r="M472" s="15" t="n">
        <v>18</v>
      </c>
      <c r="N472" s="16" t="n">
        <v>5.757725792e-06</v>
      </c>
      <c r="O472" s="11" t="n">
        <v>290.4841279</v>
      </c>
      <c r="P472" s="13">
        <f>N472*86400</f>
        <v/>
      </c>
      <c r="Q472" s="14">
        <f>O472-273.15</f>
        <v/>
      </c>
    </row>
    <row r="473">
      <c r="A473" s="9" t="n">
        <v>37360</v>
      </c>
      <c r="B473" s="7">
        <f>YEAR(A473)</f>
        <v/>
      </c>
      <c r="C473" s="7">
        <f>MONTH(A473)</f>
        <v/>
      </c>
      <c r="D473" s="10" t="n">
        <v>0</v>
      </c>
      <c r="E473" s="11" t="n">
        <v>14.13752916</v>
      </c>
      <c r="F473" s="12" t="n">
        <v>0</v>
      </c>
      <c r="G473" s="11" t="n">
        <v>289.2130797</v>
      </c>
      <c r="H473" s="13">
        <f>F473*1000</f>
        <v/>
      </c>
      <c r="I473" s="14">
        <f>G473-273.15</f>
        <v/>
      </c>
      <c r="K473" s="15" t="n">
        <v>2002</v>
      </c>
      <c r="L473" s="15" t="n">
        <v>4</v>
      </c>
      <c r="M473" s="15" t="n">
        <v>19</v>
      </c>
      <c r="N473" s="16" t="n">
        <v>1.385456427e-06</v>
      </c>
      <c r="O473" s="11" t="n">
        <v>291.0955415</v>
      </c>
      <c r="P473" s="13">
        <f>N473*86400</f>
        <v/>
      </c>
      <c r="Q473" s="14">
        <f>O473-273.15</f>
        <v/>
      </c>
    </row>
    <row r="474">
      <c r="A474" s="9" t="n">
        <v>37361</v>
      </c>
      <c r="B474" s="7">
        <f>YEAR(A474)</f>
        <v/>
      </c>
      <c r="C474" s="7">
        <f>MONTH(A474)</f>
        <v/>
      </c>
      <c r="D474" s="10" t="n">
        <v>0</v>
      </c>
      <c r="E474" s="11" t="n">
        <v>13.21322835</v>
      </c>
      <c r="F474" s="12" t="n">
        <v>0</v>
      </c>
      <c r="G474" s="11" t="n">
        <v>287.2104631</v>
      </c>
      <c r="H474" s="13">
        <f>F474*1000</f>
        <v/>
      </c>
      <c r="I474" s="14">
        <f>G474-273.15</f>
        <v/>
      </c>
      <c r="K474" s="15" t="n">
        <v>2002</v>
      </c>
      <c r="L474" s="15" t="n">
        <v>4</v>
      </c>
      <c r="M474" s="15" t="n">
        <v>20</v>
      </c>
      <c r="N474" s="16" t="n">
        <v>1.335229973e-08</v>
      </c>
      <c r="O474" s="11" t="n">
        <v>288.396731</v>
      </c>
      <c r="P474" s="13">
        <f>N474*86400</f>
        <v/>
      </c>
      <c r="Q474" s="14">
        <f>O474-273.15</f>
        <v/>
      </c>
    </row>
    <row r="475">
      <c r="A475" s="9" t="n">
        <v>37362</v>
      </c>
      <c r="B475" s="7">
        <f>YEAR(A475)</f>
        <v/>
      </c>
      <c r="C475" s="7">
        <f>MONTH(A475)</f>
        <v/>
      </c>
      <c r="D475" s="10" t="n">
        <v>0</v>
      </c>
      <c r="E475" s="11" t="n">
        <v>12.07872917</v>
      </c>
      <c r="F475" s="12" t="n">
        <v>0</v>
      </c>
      <c r="G475" s="11" t="n">
        <v>286.8158988</v>
      </c>
      <c r="H475" s="13">
        <f>F475*1000</f>
        <v/>
      </c>
      <c r="I475" s="14">
        <f>G475-273.15</f>
        <v/>
      </c>
      <c r="K475" s="15" t="n">
        <v>2002</v>
      </c>
      <c r="L475" s="15" t="n">
        <v>4</v>
      </c>
      <c r="M475" s="15" t="n">
        <v>21</v>
      </c>
      <c r="N475" s="16" t="n">
        <v>2.427829436e-05</v>
      </c>
      <c r="O475" s="11" t="n">
        <v>289.4757276</v>
      </c>
      <c r="P475" s="13">
        <f>N475*86400</f>
        <v/>
      </c>
      <c r="Q475" s="14">
        <f>O475-273.15</f>
        <v/>
      </c>
    </row>
    <row r="476">
      <c r="A476" s="9" t="n">
        <v>37363</v>
      </c>
      <c r="B476" s="7">
        <f>YEAR(A476)</f>
        <v/>
      </c>
      <c r="C476" s="7">
        <f>MONTH(A476)</f>
        <v/>
      </c>
      <c r="D476" s="10" t="n">
        <v>0</v>
      </c>
      <c r="E476" s="11" t="n">
        <v>10.84931699</v>
      </c>
      <c r="F476" s="12" t="n">
        <v>0</v>
      </c>
      <c r="G476" s="11" t="n">
        <v>286.2731414</v>
      </c>
      <c r="H476" s="13">
        <f>F476*1000</f>
        <v/>
      </c>
      <c r="I476" s="14">
        <f>G476-273.15</f>
        <v/>
      </c>
      <c r="K476" s="15" t="n">
        <v>2002</v>
      </c>
      <c r="L476" s="15" t="n">
        <v>4</v>
      </c>
      <c r="M476" s="15" t="n">
        <v>22</v>
      </c>
      <c r="N476" s="16" t="n">
        <v>0</v>
      </c>
      <c r="O476" s="11" t="n">
        <v>290.3140409</v>
      </c>
      <c r="P476" s="13">
        <f>N476*86400</f>
        <v/>
      </c>
      <c r="Q476" s="14">
        <f>O476-273.15</f>
        <v/>
      </c>
    </row>
    <row r="477">
      <c r="A477" s="9" t="n">
        <v>37364</v>
      </c>
      <c r="B477" s="7">
        <f>YEAR(A477)</f>
        <v/>
      </c>
      <c r="C477" s="7">
        <f>MONTH(A477)</f>
        <v/>
      </c>
      <c r="D477" s="10" t="n">
        <v>0</v>
      </c>
      <c r="E477" s="11" t="n">
        <v>11.60509195</v>
      </c>
      <c r="F477" s="12" t="n">
        <v>0.0003084054154</v>
      </c>
      <c r="G477" s="11" t="n">
        <v>287.3694616</v>
      </c>
      <c r="H477" s="13">
        <f>F477*1000</f>
        <v/>
      </c>
      <c r="I477" s="14">
        <f>G477-273.15</f>
        <v/>
      </c>
      <c r="K477" s="15" t="n">
        <v>2002</v>
      </c>
      <c r="L477" s="15" t="n">
        <v>4</v>
      </c>
      <c r="M477" s="15" t="n">
        <v>23</v>
      </c>
      <c r="N477" s="16" t="n">
        <v>0</v>
      </c>
      <c r="O477" s="11" t="n">
        <v>291.3560148</v>
      </c>
      <c r="P477" s="13">
        <f>N477*86400</f>
        <v/>
      </c>
      <c r="Q477" s="14">
        <f>O477-273.15</f>
        <v/>
      </c>
    </row>
    <row r="478">
      <c r="A478" s="9" t="n">
        <v>37365</v>
      </c>
      <c r="B478" s="7">
        <f>YEAR(A478)</f>
        <v/>
      </c>
      <c r="C478" s="7">
        <f>MONTH(A478)</f>
        <v/>
      </c>
      <c r="D478" s="10" t="n">
        <v>0</v>
      </c>
      <c r="E478" s="11" t="n">
        <v>11.77169947</v>
      </c>
      <c r="F478" s="12" t="n">
        <v>0</v>
      </c>
      <c r="G478" s="11" t="n">
        <v>287.0659844</v>
      </c>
      <c r="H478" s="13">
        <f>F478*1000</f>
        <v/>
      </c>
      <c r="I478" s="14">
        <f>G478-273.15</f>
        <v/>
      </c>
      <c r="K478" s="15" t="n">
        <v>2002</v>
      </c>
      <c r="L478" s="15" t="n">
        <v>4</v>
      </c>
      <c r="M478" s="15" t="n">
        <v>24</v>
      </c>
      <c r="N478" s="16" t="n">
        <v>0</v>
      </c>
      <c r="O478" s="11" t="n">
        <v>290.3230373</v>
      </c>
      <c r="P478" s="13">
        <f>N478*86400</f>
        <v/>
      </c>
      <c r="Q478" s="14">
        <f>O478-273.15</f>
        <v/>
      </c>
    </row>
    <row r="479">
      <c r="A479" s="9" t="n">
        <v>37366</v>
      </c>
      <c r="B479" s="7">
        <f>YEAR(A479)</f>
        <v/>
      </c>
      <c r="C479" s="7">
        <f>MONTH(A479)</f>
        <v/>
      </c>
      <c r="D479" s="10" t="n">
        <v>0</v>
      </c>
      <c r="E479" s="11" t="n">
        <v>11.49489208</v>
      </c>
      <c r="F479" s="12" t="n">
        <v>0</v>
      </c>
      <c r="G479" s="11" t="n">
        <v>286.5782935</v>
      </c>
      <c r="H479" s="13">
        <f>F479*1000</f>
        <v/>
      </c>
      <c r="I479" s="14">
        <f>G479-273.15</f>
        <v/>
      </c>
      <c r="K479" s="15" t="n">
        <v>2002</v>
      </c>
      <c r="L479" s="15" t="n">
        <v>4</v>
      </c>
      <c r="M479" s="15" t="n">
        <v>25</v>
      </c>
      <c r="N479" s="16" t="n">
        <v>6.514506279000001e-05</v>
      </c>
      <c r="O479" s="11" t="n">
        <v>292.5828587</v>
      </c>
      <c r="P479" s="13">
        <f>N479*86400</f>
        <v/>
      </c>
      <c r="Q479" s="14">
        <f>O479-273.15</f>
        <v/>
      </c>
    </row>
    <row r="480">
      <c r="A480" s="9" t="n">
        <v>37367</v>
      </c>
      <c r="B480" s="7">
        <f>YEAR(A480)</f>
        <v/>
      </c>
      <c r="C480" s="7">
        <f>MONTH(A480)</f>
        <v/>
      </c>
      <c r="D480" s="10" t="n">
        <v>0</v>
      </c>
      <c r="E480" s="11" t="n">
        <v>11.0033402</v>
      </c>
      <c r="F480" s="12" t="n">
        <v>0.0005534172359</v>
      </c>
      <c r="G480" s="11" t="n">
        <v>286.4374281</v>
      </c>
      <c r="H480" s="13">
        <f>F480*1000</f>
        <v/>
      </c>
      <c r="I480" s="14">
        <f>G480-273.15</f>
        <v/>
      </c>
      <c r="K480" s="15" t="n">
        <v>2002</v>
      </c>
      <c r="L480" s="15" t="n">
        <v>4</v>
      </c>
      <c r="M480" s="15" t="n">
        <v>26</v>
      </c>
      <c r="N480" s="16" t="n">
        <v>3.069946827e-05</v>
      </c>
      <c r="O480" s="11" t="n">
        <v>293.3361115</v>
      </c>
      <c r="P480" s="13">
        <f>N480*86400</f>
        <v/>
      </c>
      <c r="Q480" s="14">
        <f>O480-273.15</f>
        <v/>
      </c>
    </row>
    <row r="481">
      <c r="A481" s="9" t="n">
        <v>37368</v>
      </c>
      <c r="B481" s="7">
        <f>YEAR(A481)</f>
        <v/>
      </c>
      <c r="C481" s="7">
        <f>MONTH(A481)</f>
        <v/>
      </c>
      <c r="D481" s="10" t="n">
        <v>0.7926646977</v>
      </c>
      <c r="E481" s="11" t="n">
        <v>13.50177701</v>
      </c>
      <c r="F481" s="12" t="n">
        <v>0.002971583905</v>
      </c>
      <c r="G481" s="11" t="n">
        <v>288.7227609</v>
      </c>
      <c r="H481" s="13">
        <f>F481*1000</f>
        <v/>
      </c>
      <c r="I481" s="14">
        <f>G481-273.15</f>
        <v/>
      </c>
      <c r="K481" s="15" t="n">
        <v>2002</v>
      </c>
      <c r="L481" s="15" t="n">
        <v>4</v>
      </c>
      <c r="M481" s="15" t="n">
        <v>27</v>
      </c>
      <c r="N481" s="16" t="n">
        <v>0</v>
      </c>
      <c r="O481" s="11" t="n">
        <v>294.3428002</v>
      </c>
      <c r="P481" s="13">
        <f>N481*86400</f>
        <v/>
      </c>
      <c r="Q481" s="14">
        <f>O481-273.15</f>
        <v/>
      </c>
    </row>
    <row r="482">
      <c r="A482" s="9" t="n">
        <v>37369</v>
      </c>
      <c r="B482" s="7">
        <f>YEAR(A482)</f>
        <v/>
      </c>
      <c r="C482" s="7">
        <f>MONTH(A482)</f>
        <v/>
      </c>
      <c r="D482" s="10" t="n">
        <v>0</v>
      </c>
      <c r="E482" s="11" t="n">
        <v>13.65284684</v>
      </c>
      <c r="F482" s="12" t="n">
        <v>0.003451411556</v>
      </c>
      <c r="G482" s="11" t="n">
        <v>287.9451443</v>
      </c>
      <c r="H482" s="13">
        <f>F482*1000</f>
        <v/>
      </c>
      <c r="I482" s="14">
        <f>G482-273.15</f>
        <v/>
      </c>
      <c r="K482" s="15" t="n">
        <v>2002</v>
      </c>
      <c r="L482" s="15" t="n">
        <v>4</v>
      </c>
      <c r="M482" s="15" t="n">
        <v>28</v>
      </c>
      <c r="N482" s="16" t="n">
        <v>0</v>
      </c>
      <c r="O482" s="11" t="n">
        <v>291.8622083</v>
      </c>
      <c r="P482" s="13">
        <f>N482*86400</f>
        <v/>
      </c>
      <c r="Q482" s="14">
        <f>O482-273.15</f>
        <v/>
      </c>
    </row>
    <row r="483">
      <c r="A483" s="9" t="n">
        <v>37370</v>
      </c>
      <c r="B483" s="7">
        <f>YEAR(A483)</f>
        <v/>
      </c>
      <c r="C483" s="7">
        <f>MONTH(A483)</f>
        <v/>
      </c>
      <c r="D483" s="10" t="n">
        <v>8.348759040999999</v>
      </c>
      <c r="E483" s="11" t="n">
        <v>11.869246</v>
      </c>
      <c r="F483" s="12" t="n">
        <v>0.01057587764</v>
      </c>
      <c r="G483" s="11" t="n">
        <v>286.4737496</v>
      </c>
      <c r="H483" s="13">
        <f>F483*1000</f>
        <v/>
      </c>
      <c r="I483" s="14">
        <f>G483-273.15</f>
        <v/>
      </c>
      <c r="K483" s="15" t="n">
        <v>2002</v>
      </c>
      <c r="L483" s="15" t="n">
        <v>4</v>
      </c>
      <c r="M483" s="15" t="n">
        <v>29</v>
      </c>
      <c r="N483" s="16" t="n">
        <v>2.830427793e-06</v>
      </c>
      <c r="O483" s="11" t="n">
        <v>293.7459726</v>
      </c>
      <c r="P483" s="13">
        <f>N483*86400</f>
        <v/>
      </c>
      <c r="Q483" s="14">
        <f>O483-273.15</f>
        <v/>
      </c>
    </row>
    <row r="484">
      <c r="A484" s="9" t="n">
        <v>37371</v>
      </c>
      <c r="B484" s="7">
        <f>YEAR(A484)</f>
        <v/>
      </c>
      <c r="C484" s="7">
        <f>MONTH(A484)</f>
        <v/>
      </c>
      <c r="D484" s="10" t="n">
        <v>0</v>
      </c>
      <c r="E484" s="11" t="n">
        <v>11.60492582</v>
      </c>
      <c r="F484" s="12" t="n">
        <v>0</v>
      </c>
      <c r="G484" s="11" t="n">
        <v>287.7014968</v>
      </c>
      <c r="H484" s="13">
        <f>F484*1000</f>
        <v/>
      </c>
      <c r="I484" s="14">
        <f>G484-273.15</f>
        <v/>
      </c>
      <c r="K484" s="15" t="n">
        <v>2002</v>
      </c>
      <c r="L484" s="15" t="n">
        <v>4</v>
      </c>
      <c r="M484" s="15" t="n">
        <v>30</v>
      </c>
      <c r="N484" s="16" t="n">
        <v>4.044346986e-07</v>
      </c>
      <c r="O484" s="11" t="n">
        <v>292.6105618</v>
      </c>
      <c r="P484" s="13">
        <f>N484*86400</f>
        <v/>
      </c>
      <c r="Q484" s="14">
        <f>O484-273.15</f>
        <v/>
      </c>
    </row>
    <row r="485">
      <c r="A485" s="9" t="n">
        <v>37372</v>
      </c>
      <c r="B485" s="7">
        <f>YEAR(A485)</f>
        <v/>
      </c>
      <c r="C485" s="7">
        <f>MONTH(A485)</f>
        <v/>
      </c>
      <c r="D485" s="10" t="n">
        <v>0</v>
      </c>
      <c r="E485" s="11" t="n">
        <v>13.26185021</v>
      </c>
      <c r="F485" s="12" t="n">
        <v>0</v>
      </c>
      <c r="G485" s="11" t="n">
        <v>288.3807306</v>
      </c>
      <c r="H485" s="13">
        <f>F485*1000</f>
        <v/>
      </c>
      <c r="I485" s="14">
        <f>G485-273.15</f>
        <v/>
      </c>
      <c r="K485" s="15" t="n">
        <v>2002</v>
      </c>
      <c r="L485" s="15" t="n">
        <v>5</v>
      </c>
      <c r="M485" s="15" t="n">
        <v>1</v>
      </c>
      <c r="N485" s="16" t="n">
        <v>0</v>
      </c>
      <c r="O485" s="11" t="n">
        <v>291.6513636</v>
      </c>
      <c r="P485" s="13">
        <f>N485*86400</f>
        <v/>
      </c>
      <c r="Q485" s="14">
        <f>O485-273.15</f>
        <v/>
      </c>
    </row>
    <row r="486">
      <c r="A486" s="9" t="n">
        <v>37373</v>
      </c>
      <c r="B486" s="7">
        <f>YEAR(A486)</f>
        <v/>
      </c>
      <c r="C486" s="7">
        <f>MONTH(A486)</f>
        <v/>
      </c>
      <c r="D486" s="10" t="n">
        <v>0</v>
      </c>
      <c r="E486" s="11" t="n">
        <v>17.2516282</v>
      </c>
      <c r="F486" s="12" t="n">
        <v>0.0004625132634</v>
      </c>
      <c r="G486" s="11" t="n">
        <v>292.9722666</v>
      </c>
      <c r="H486" s="13">
        <f>F486*1000</f>
        <v/>
      </c>
      <c r="I486" s="14">
        <f>G486-273.15</f>
        <v/>
      </c>
      <c r="K486" s="15" t="n">
        <v>2002</v>
      </c>
      <c r="L486" s="15" t="n">
        <v>5</v>
      </c>
      <c r="M486" s="15" t="n">
        <v>2</v>
      </c>
      <c r="N486" s="16" t="n">
        <v>2.167250707e-05</v>
      </c>
      <c r="O486" s="11" t="n">
        <v>292.0955832</v>
      </c>
      <c r="P486" s="13">
        <f>N486*86400</f>
        <v/>
      </c>
      <c r="Q486" s="14">
        <f>O486-273.15</f>
        <v/>
      </c>
    </row>
    <row r="487">
      <c r="A487" s="9" t="n">
        <v>37374</v>
      </c>
      <c r="B487" s="7">
        <f>YEAR(A487)</f>
        <v/>
      </c>
      <c r="C487" s="7">
        <f>MONTH(A487)</f>
        <v/>
      </c>
      <c r="D487" s="10" t="n">
        <v>16.26608525</v>
      </c>
      <c r="E487" s="11" t="n">
        <v>17.50204126</v>
      </c>
      <c r="F487" s="12" t="n">
        <v>0.00227277383</v>
      </c>
      <c r="G487" s="11" t="n">
        <v>292.3271155</v>
      </c>
      <c r="H487" s="13">
        <f>F487*1000</f>
        <v/>
      </c>
      <c r="I487" s="14">
        <f>G487-273.15</f>
        <v/>
      </c>
      <c r="K487" s="15" t="n">
        <v>2002</v>
      </c>
      <c r="L487" s="15" t="n">
        <v>5</v>
      </c>
      <c r="M487" s="15" t="n">
        <v>3</v>
      </c>
      <c r="N487" s="16" t="n">
        <v>0</v>
      </c>
      <c r="O487" s="11" t="n">
        <v>290.8151076</v>
      </c>
      <c r="P487" s="13">
        <f>N487*86400</f>
        <v/>
      </c>
      <c r="Q487" s="14">
        <f>O487-273.15</f>
        <v/>
      </c>
    </row>
    <row r="488">
      <c r="A488" s="9" t="n">
        <v>37375</v>
      </c>
      <c r="B488" s="7">
        <f>YEAR(A488)</f>
        <v/>
      </c>
      <c r="C488" s="7">
        <f>MONTH(A488)</f>
        <v/>
      </c>
      <c r="D488" s="10" t="n">
        <v>0</v>
      </c>
      <c r="E488" s="11" t="n">
        <v>18.76395139</v>
      </c>
      <c r="F488" s="12" t="n">
        <v>1.246744387e-05</v>
      </c>
      <c r="G488" s="11" t="n">
        <v>293.197273</v>
      </c>
      <c r="H488" s="13">
        <f>F488*1000</f>
        <v/>
      </c>
      <c r="I488" s="14">
        <f>G488-273.15</f>
        <v/>
      </c>
      <c r="K488" s="15" t="n">
        <v>2002</v>
      </c>
      <c r="L488" s="15" t="n">
        <v>5</v>
      </c>
      <c r="M488" s="15" t="n">
        <v>4</v>
      </c>
      <c r="N488" s="16" t="n">
        <v>0</v>
      </c>
      <c r="O488" s="11" t="n">
        <v>290.8825326</v>
      </c>
      <c r="P488" s="13">
        <f>N488*86400</f>
        <v/>
      </c>
      <c r="Q488" s="14">
        <f>O488-273.15</f>
        <v/>
      </c>
    </row>
    <row r="489">
      <c r="A489" s="9" t="n">
        <v>37376</v>
      </c>
      <c r="B489" s="7">
        <f>YEAR(A489)</f>
        <v/>
      </c>
      <c r="C489" s="7">
        <f>MONTH(A489)</f>
        <v/>
      </c>
      <c r="D489" s="10" t="n">
        <v>0</v>
      </c>
      <c r="E489" s="11" t="n">
        <v>16.55336186</v>
      </c>
      <c r="F489" s="12" t="n">
        <v>0</v>
      </c>
      <c r="G489" s="11" t="n">
        <v>291.8940954</v>
      </c>
      <c r="H489" s="13">
        <f>F489*1000</f>
        <v/>
      </c>
      <c r="I489" s="14">
        <f>G489-273.15</f>
        <v/>
      </c>
      <c r="K489" s="15" t="n">
        <v>2002</v>
      </c>
      <c r="L489" s="15" t="n">
        <v>5</v>
      </c>
      <c r="M489" s="15" t="n">
        <v>5</v>
      </c>
      <c r="N489" s="16" t="n">
        <v>0</v>
      </c>
      <c r="O489" s="11" t="n">
        <v>289.4754815</v>
      </c>
      <c r="P489" s="13">
        <f>N489*86400</f>
        <v/>
      </c>
      <c r="Q489" s="14">
        <f>O489-273.15</f>
        <v/>
      </c>
    </row>
    <row r="490">
      <c r="A490" s="9" t="n">
        <v>37377</v>
      </c>
      <c r="B490" s="7">
        <f>YEAR(A490)</f>
        <v/>
      </c>
      <c r="C490" s="7">
        <f>MONTH(A490)</f>
        <v/>
      </c>
      <c r="D490" s="10" t="n">
        <v>0</v>
      </c>
      <c r="E490" s="11" t="n">
        <v>16.2224147</v>
      </c>
      <c r="F490" s="12" t="n">
        <v>0</v>
      </c>
      <c r="G490" s="11" t="n">
        <v>292.0716866</v>
      </c>
      <c r="H490" s="13">
        <f>F490*1000</f>
        <v/>
      </c>
      <c r="I490" s="14">
        <f>G490-273.15</f>
        <v/>
      </c>
      <c r="K490" s="15" t="n">
        <v>2002</v>
      </c>
      <c r="L490" s="15" t="n">
        <v>5</v>
      </c>
      <c r="M490" s="15" t="n">
        <v>6</v>
      </c>
      <c r="N490" s="16" t="n">
        <v>0</v>
      </c>
      <c r="O490" s="11" t="n">
        <v>291.482273</v>
      </c>
      <c r="P490" s="13">
        <f>N490*86400</f>
        <v/>
      </c>
      <c r="Q490" s="14">
        <f>O490-273.15</f>
        <v/>
      </c>
    </row>
    <row r="491">
      <c r="A491" s="9" t="n">
        <v>37378</v>
      </c>
      <c r="B491" s="7">
        <f>YEAR(A491)</f>
        <v/>
      </c>
      <c r="C491" s="7">
        <f>MONTH(A491)</f>
        <v/>
      </c>
      <c r="D491" s="10" t="n">
        <v>0</v>
      </c>
      <c r="E491" s="11" t="n">
        <v>15.17822717</v>
      </c>
      <c r="F491" s="12" t="n">
        <v>6.253676778999999e-05</v>
      </c>
      <c r="G491" s="11" t="n">
        <v>291.5432601</v>
      </c>
      <c r="H491" s="13">
        <f>F491*1000</f>
        <v/>
      </c>
      <c r="I491" s="14">
        <f>G491-273.15</f>
        <v/>
      </c>
      <c r="K491" s="15" t="n">
        <v>2002</v>
      </c>
      <c r="L491" s="15" t="n">
        <v>5</v>
      </c>
      <c r="M491" s="15" t="n">
        <v>7</v>
      </c>
      <c r="N491" s="16" t="n">
        <v>2.01670113e-06</v>
      </c>
      <c r="O491" s="11" t="n">
        <v>290.1659916</v>
      </c>
      <c r="P491" s="13">
        <f>N491*86400</f>
        <v/>
      </c>
      <c r="Q491" s="14">
        <f>O491-273.15</f>
        <v/>
      </c>
    </row>
    <row r="492">
      <c r="A492" s="9" t="n">
        <v>37379</v>
      </c>
      <c r="B492" s="7">
        <f>YEAR(A492)</f>
        <v/>
      </c>
      <c r="C492" s="7">
        <f>MONTH(A492)</f>
        <v/>
      </c>
      <c r="D492" s="10" t="n">
        <v>0</v>
      </c>
      <c r="E492" s="11" t="n">
        <v>16.19979783</v>
      </c>
      <c r="F492" s="12" t="n">
        <v>0</v>
      </c>
      <c r="G492" s="11" t="n">
        <v>292.4937279</v>
      </c>
      <c r="H492" s="13">
        <f>F492*1000</f>
        <v/>
      </c>
      <c r="I492" s="14">
        <f>G492-273.15</f>
        <v/>
      </c>
      <c r="K492" s="15" t="n">
        <v>2002</v>
      </c>
      <c r="L492" s="15" t="n">
        <v>5</v>
      </c>
      <c r="M492" s="15" t="n">
        <v>8</v>
      </c>
      <c r="N492" s="16" t="n">
        <v>0</v>
      </c>
      <c r="O492" s="11" t="n">
        <v>289.7019331</v>
      </c>
      <c r="P492" s="13">
        <f>N492*86400</f>
        <v/>
      </c>
      <c r="Q492" s="14">
        <f>O492-273.15</f>
        <v/>
      </c>
    </row>
    <row r="493">
      <c r="A493" s="9" t="n">
        <v>37380</v>
      </c>
      <c r="B493" s="7">
        <f>YEAR(A493)</f>
        <v/>
      </c>
      <c r="C493" s="7">
        <f>MONTH(A493)</f>
        <v/>
      </c>
      <c r="D493" s="10" t="n">
        <v>0</v>
      </c>
      <c r="E493" s="11" t="n">
        <v>13.01621049</v>
      </c>
      <c r="F493" s="12" t="n">
        <v>0</v>
      </c>
      <c r="G493" s="11" t="n">
        <v>288.9924709</v>
      </c>
      <c r="H493" s="13">
        <f>F493*1000</f>
        <v/>
      </c>
      <c r="I493" s="14">
        <f>G493-273.15</f>
        <v/>
      </c>
      <c r="K493" s="15" t="n">
        <v>2002</v>
      </c>
      <c r="L493" s="15" t="n">
        <v>5</v>
      </c>
      <c r="M493" s="15" t="n">
        <v>9</v>
      </c>
      <c r="N493" s="16" t="n">
        <v>0</v>
      </c>
      <c r="O493" s="11" t="n">
        <v>290.7189687</v>
      </c>
      <c r="P493" s="13">
        <f>N493*86400</f>
        <v/>
      </c>
      <c r="Q493" s="14">
        <f>O493-273.15</f>
        <v/>
      </c>
    </row>
    <row r="494">
      <c r="A494" s="9" t="n">
        <v>37381</v>
      </c>
      <c r="B494" s="7">
        <f>YEAR(A494)</f>
        <v/>
      </c>
      <c r="C494" s="7">
        <f>MONTH(A494)</f>
        <v/>
      </c>
      <c r="D494" s="10" t="n">
        <v>0.2884816895</v>
      </c>
      <c r="E494" s="11" t="n">
        <v>12.67263937</v>
      </c>
      <c r="F494" s="12" t="n">
        <v>0.00637024677</v>
      </c>
      <c r="G494" s="11" t="n">
        <v>288.4057881</v>
      </c>
      <c r="H494" s="13">
        <f>F494*1000</f>
        <v/>
      </c>
      <c r="I494" s="14">
        <f>G494-273.15</f>
        <v/>
      </c>
      <c r="K494" s="15" t="n">
        <v>2002</v>
      </c>
      <c r="L494" s="15" t="n">
        <v>5</v>
      </c>
      <c r="M494" s="15" t="n">
        <v>10</v>
      </c>
      <c r="N494" s="16" t="n">
        <v>0</v>
      </c>
      <c r="O494" s="11" t="n">
        <v>291.3168534</v>
      </c>
      <c r="P494" s="13">
        <f>N494*86400</f>
        <v/>
      </c>
      <c r="Q494" s="14">
        <f>O494-273.15</f>
        <v/>
      </c>
    </row>
    <row r="495">
      <c r="A495" s="9" t="n">
        <v>37382</v>
      </c>
      <c r="B495" s="7">
        <f>YEAR(A495)</f>
        <v/>
      </c>
      <c r="C495" s="7">
        <f>MONTH(A495)</f>
        <v/>
      </c>
      <c r="D495" s="10" t="n">
        <v>0.18356633</v>
      </c>
      <c r="E495" s="11" t="n">
        <v>13.2116468</v>
      </c>
      <c r="F495" s="12" t="n">
        <v>0.003913761047</v>
      </c>
      <c r="G495" s="11" t="n">
        <v>290.0889524</v>
      </c>
      <c r="H495" s="13">
        <f>F495*1000</f>
        <v/>
      </c>
      <c r="I495" s="14">
        <f>G495-273.15</f>
        <v/>
      </c>
      <c r="K495" s="15" t="n">
        <v>2002</v>
      </c>
      <c r="L495" s="15" t="n">
        <v>5</v>
      </c>
      <c r="M495" s="15" t="n">
        <v>11</v>
      </c>
      <c r="N495" s="16" t="n">
        <v>0</v>
      </c>
      <c r="O495" s="11" t="n">
        <v>291.8123814</v>
      </c>
      <c r="P495" s="13">
        <f>N495*86400</f>
        <v/>
      </c>
      <c r="Q495" s="14">
        <f>O495-273.15</f>
        <v/>
      </c>
    </row>
    <row r="496">
      <c r="A496" s="9" t="n">
        <v>37383</v>
      </c>
      <c r="B496" s="7">
        <f>YEAR(A496)</f>
        <v/>
      </c>
      <c r="C496" s="7">
        <f>MONTH(A496)</f>
        <v/>
      </c>
      <c r="D496" s="10" t="n">
        <v>0</v>
      </c>
      <c r="E496" s="11" t="n">
        <v>13.90578182</v>
      </c>
      <c r="F496" s="12" t="n">
        <v>0.0005449469646</v>
      </c>
      <c r="G496" s="11" t="n">
        <v>288.8836041</v>
      </c>
      <c r="H496" s="13">
        <f>F496*1000</f>
        <v/>
      </c>
      <c r="I496" s="14">
        <f>G496-273.15</f>
        <v/>
      </c>
      <c r="K496" s="15" t="n">
        <v>2002</v>
      </c>
      <c r="L496" s="15" t="n">
        <v>5</v>
      </c>
      <c r="M496" s="15" t="n">
        <v>12</v>
      </c>
      <c r="N496" s="16" t="n">
        <v>2.052609962e-05</v>
      </c>
      <c r="O496" s="11" t="n">
        <v>289.0863799</v>
      </c>
      <c r="P496" s="13">
        <f>N496*86400</f>
        <v/>
      </c>
      <c r="Q496" s="14">
        <f>O496-273.15</f>
        <v/>
      </c>
    </row>
    <row r="497">
      <c r="A497" s="9" t="n">
        <v>37384</v>
      </c>
      <c r="B497" s="7">
        <f>YEAR(A497)</f>
        <v/>
      </c>
      <c r="C497" s="7">
        <f>MONTH(A497)</f>
        <v/>
      </c>
      <c r="D497" s="10" t="n">
        <v>0</v>
      </c>
      <c r="E497" s="11" t="n">
        <v>16.21640305</v>
      </c>
      <c r="F497" s="12" t="n">
        <v>0</v>
      </c>
      <c r="G497" s="11" t="n">
        <v>291.2349629</v>
      </c>
      <c r="H497" s="13">
        <f>F497*1000</f>
        <v/>
      </c>
      <c r="I497" s="14">
        <f>G497-273.15</f>
        <v/>
      </c>
      <c r="K497" s="15" t="n">
        <v>2002</v>
      </c>
      <c r="L497" s="15" t="n">
        <v>5</v>
      </c>
      <c r="M497" s="15" t="n">
        <v>13</v>
      </c>
      <c r="N497" s="16" t="n">
        <v>0</v>
      </c>
      <c r="O497" s="11" t="n">
        <v>289.3348614</v>
      </c>
      <c r="P497" s="13">
        <f>N497*86400</f>
        <v/>
      </c>
      <c r="Q497" s="14">
        <f>O497-273.15</f>
        <v/>
      </c>
    </row>
    <row r="498">
      <c r="A498" s="9" t="n">
        <v>37385</v>
      </c>
      <c r="B498" s="7">
        <f>YEAR(A498)</f>
        <v/>
      </c>
      <c r="C498" s="7">
        <f>MONTH(A498)</f>
        <v/>
      </c>
      <c r="D498" s="10" t="n">
        <v>0</v>
      </c>
      <c r="E498" s="11" t="n">
        <v>15.32275192</v>
      </c>
      <c r="F498" s="12" t="n">
        <v>0</v>
      </c>
      <c r="G498" s="11" t="n">
        <v>290.4780469</v>
      </c>
      <c r="H498" s="13">
        <f>F498*1000</f>
        <v/>
      </c>
      <c r="I498" s="14">
        <f>G498-273.15</f>
        <v/>
      </c>
      <c r="K498" s="15" t="n">
        <v>2002</v>
      </c>
      <c r="L498" s="15" t="n">
        <v>5</v>
      </c>
      <c r="M498" s="15" t="n">
        <v>14</v>
      </c>
      <c r="N498" s="16" t="n">
        <v>0</v>
      </c>
      <c r="O498" s="11" t="n">
        <v>288.3226108</v>
      </c>
      <c r="P498" s="13">
        <f>N498*86400</f>
        <v/>
      </c>
      <c r="Q498" s="14">
        <f>O498-273.15</f>
        <v/>
      </c>
    </row>
    <row r="499">
      <c r="A499" s="9" t="n">
        <v>37386</v>
      </c>
      <c r="B499" s="7">
        <f>YEAR(A499)</f>
        <v/>
      </c>
      <c r="C499" s="7">
        <f>MONTH(A499)</f>
        <v/>
      </c>
      <c r="D499" s="10" t="n">
        <v>0</v>
      </c>
      <c r="E499" s="11" t="n">
        <v>14.60627031</v>
      </c>
      <c r="F499" s="12" t="n">
        <v>0.0006855493418</v>
      </c>
      <c r="G499" s="11" t="n">
        <v>289.8307775</v>
      </c>
      <c r="H499" s="13">
        <f>F499*1000</f>
        <v/>
      </c>
      <c r="I499" s="14">
        <f>G499-273.15</f>
        <v/>
      </c>
      <c r="K499" s="15" t="n">
        <v>2002</v>
      </c>
      <c r="L499" s="15" t="n">
        <v>5</v>
      </c>
      <c r="M499" s="15" t="n">
        <v>15</v>
      </c>
      <c r="N499" s="16" t="n">
        <v>0</v>
      </c>
      <c r="O499" s="11" t="n">
        <v>287.5183342</v>
      </c>
      <c r="P499" s="13">
        <f>N499*86400</f>
        <v/>
      </c>
      <c r="Q499" s="14">
        <f>O499-273.15</f>
        <v/>
      </c>
    </row>
    <row r="500">
      <c r="A500" s="9" t="n">
        <v>37387</v>
      </c>
      <c r="B500" s="7">
        <f>YEAR(A500)</f>
        <v/>
      </c>
      <c r="C500" s="7">
        <f>MONTH(A500)</f>
        <v/>
      </c>
      <c r="D500" s="10" t="n">
        <v>0</v>
      </c>
      <c r="E500" s="11" t="n">
        <v>17.76180208</v>
      </c>
      <c r="F500" s="12" t="n">
        <v>0</v>
      </c>
      <c r="G500" s="11" t="n">
        <v>291.9607286</v>
      </c>
      <c r="H500" s="13">
        <f>F500*1000</f>
        <v/>
      </c>
      <c r="I500" s="14">
        <f>G500-273.15</f>
        <v/>
      </c>
      <c r="K500" s="15" t="n">
        <v>2002</v>
      </c>
      <c r="L500" s="15" t="n">
        <v>5</v>
      </c>
      <c r="M500" s="15" t="n">
        <v>16</v>
      </c>
      <c r="N500" s="16" t="n">
        <v>0</v>
      </c>
      <c r="O500" s="11" t="n">
        <v>287.4378039</v>
      </c>
      <c r="P500" s="13">
        <f>N500*86400</f>
        <v/>
      </c>
      <c r="Q500" s="14">
        <f>O500-273.15</f>
        <v/>
      </c>
    </row>
    <row r="501">
      <c r="A501" s="9" t="n">
        <v>37388</v>
      </c>
      <c r="B501" s="7">
        <f>YEAR(A501)</f>
        <v/>
      </c>
      <c r="C501" s="7">
        <f>MONTH(A501)</f>
        <v/>
      </c>
      <c r="D501" s="10" t="n">
        <v>0</v>
      </c>
      <c r="E501" s="11" t="n">
        <v>17.84055787</v>
      </c>
      <c r="F501" s="12" t="n">
        <v>0</v>
      </c>
      <c r="G501" s="11" t="n">
        <v>291.3992466</v>
      </c>
      <c r="H501" s="13">
        <f>F501*1000</f>
        <v/>
      </c>
      <c r="I501" s="14">
        <f>G501-273.15</f>
        <v/>
      </c>
      <c r="K501" s="15" t="n">
        <v>2002</v>
      </c>
      <c r="L501" s="15" t="n">
        <v>5</v>
      </c>
      <c r="M501" s="15" t="n">
        <v>17</v>
      </c>
      <c r="N501" s="16" t="n">
        <v>4.023683921e-05</v>
      </c>
      <c r="O501" s="11" t="n">
        <v>288.741374</v>
      </c>
      <c r="P501" s="13">
        <f>N501*86400</f>
        <v/>
      </c>
      <c r="Q501" s="14">
        <f>O501-273.15</f>
        <v/>
      </c>
    </row>
    <row r="502">
      <c r="A502" s="9" t="n">
        <v>37389</v>
      </c>
      <c r="B502" s="7">
        <f>YEAR(A502)</f>
        <v/>
      </c>
      <c r="C502" s="7">
        <f>MONTH(A502)</f>
        <v/>
      </c>
      <c r="D502" s="10" t="n">
        <v>0</v>
      </c>
      <c r="E502" s="11" t="n">
        <v>19.0003535</v>
      </c>
      <c r="F502" s="12" t="n">
        <v>0</v>
      </c>
      <c r="G502" s="11" t="n">
        <v>292.6363452</v>
      </c>
      <c r="H502" s="13">
        <f>F502*1000</f>
        <v/>
      </c>
      <c r="I502" s="14">
        <f>G502-273.15</f>
        <v/>
      </c>
      <c r="K502" s="15" t="n">
        <v>2002</v>
      </c>
      <c r="L502" s="15" t="n">
        <v>5</v>
      </c>
      <c r="M502" s="15" t="n">
        <v>18</v>
      </c>
      <c r="N502" s="16" t="n">
        <v>2.799949926e-05</v>
      </c>
      <c r="O502" s="11" t="n">
        <v>291.300542</v>
      </c>
      <c r="P502" s="13">
        <f>N502*86400</f>
        <v/>
      </c>
      <c r="Q502" s="14">
        <f>O502-273.15</f>
        <v/>
      </c>
    </row>
    <row r="503">
      <c r="A503" s="9" t="n">
        <v>37390</v>
      </c>
      <c r="B503" s="7">
        <f>YEAR(A503)</f>
        <v/>
      </c>
      <c r="C503" s="7">
        <f>MONTH(A503)</f>
        <v/>
      </c>
      <c r="D503" s="10" t="n">
        <v>0</v>
      </c>
      <c r="E503" s="11" t="n">
        <v>16.93110772</v>
      </c>
      <c r="F503" s="12" t="n">
        <v>0</v>
      </c>
      <c r="G503" s="11" t="n">
        <v>292.669238</v>
      </c>
      <c r="H503" s="13">
        <f>F503*1000</f>
        <v/>
      </c>
      <c r="I503" s="14">
        <f>G503-273.15</f>
        <v/>
      </c>
      <c r="K503" s="15" t="n">
        <v>2002</v>
      </c>
      <c r="L503" s="15" t="n">
        <v>5</v>
      </c>
      <c r="M503" s="15" t="n">
        <v>19</v>
      </c>
      <c r="N503" s="16" t="n">
        <v>9.039808308e-07</v>
      </c>
      <c r="O503" s="11" t="n">
        <v>294.047158</v>
      </c>
      <c r="P503" s="13">
        <f>N503*86400</f>
        <v/>
      </c>
      <c r="Q503" s="14">
        <f>O503-273.15</f>
        <v/>
      </c>
    </row>
    <row r="504">
      <c r="A504" s="9" t="n">
        <v>37391</v>
      </c>
      <c r="B504" s="7">
        <f>YEAR(A504)</f>
        <v/>
      </c>
      <c r="C504" s="7">
        <f>MONTH(A504)</f>
        <v/>
      </c>
      <c r="D504" s="10" t="n">
        <v>0</v>
      </c>
      <c r="E504" s="11" t="n">
        <v>17.94109467</v>
      </c>
      <c r="F504" s="12" t="n">
        <v>1.556281854e-06</v>
      </c>
      <c r="G504" s="11" t="n">
        <v>293.4763369</v>
      </c>
      <c r="H504" s="13">
        <f>F504*1000</f>
        <v/>
      </c>
      <c r="I504" s="14">
        <f>G504-273.15</f>
        <v/>
      </c>
      <c r="K504" s="15" t="n">
        <v>2002</v>
      </c>
      <c r="L504" s="15" t="n">
        <v>5</v>
      </c>
      <c r="M504" s="15" t="n">
        <v>20</v>
      </c>
      <c r="N504" s="16" t="n">
        <v>1.856313952e-05</v>
      </c>
      <c r="O504" s="11" t="n">
        <v>292.425644</v>
      </c>
      <c r="P504" s="13">
        <f>N504*86400</f>
        <v/>
      </c>
      <c r="Q504" s="14">
        <f>O504-273.15</f>
        <v/>
      </c>
    </row>
    <row r="505">
      <c r="A505" s="9" t="n">
        <v>37392</v>
      </c>
      <c r="B505" s="7">
        <f>YEAR(A505)</f>
        <v/>
      </c>
      <c r="C505" s="7">
        <f>MONTH(A505)</f>
        <v/>
      </c>
      <c r="D505" s="10" t="n">
        <v>0</v>
      </c>
      <c r="E505" s="11" t="n">
        <v>18.56844901</v>
      </c>
      <c r="F505" s="12" t="n">
        <v>0</v>
      </c>
      <c r="G505" s="11" t="n">
        <v>293.2538152</v>
      </c>
      <c r="H505" s="13">
        <f>F505*1000</f>
        <v/>
      </c>
      <c r="I505" s="14">
        <f>G505-273.15</f>
        <v/>
      </c>
      <c r="K505" s="15" t="n">
        <v>2002</v>
      </c>
      <c r="L505" s="15" t="n">
        <v>5</v>
      </c>
      <c r="M505" s="15" t="n">
        <v>21</v>
      </c>
      <c r="N505" s="16" t="n">
        <v>6.511651494e-05</v>
      </c>
      <c r="O505" s="11" t="n">
        <v>291.5003688</v>
      </c>
      <c r="P505" s="13">
        <f>N505*86400</f>
        <v/>
      </c>
      <c r="Q505" s="14">
        <f>O505-273.15</f>
        <v/>
      </c>
    </row>
    <row r="506">
      <c r="A506" s="9" t="n">
        <v>37393</v>
      </c>
      <c r="B506" s="7">
        <f>YEAR(A506)</f>
        <v/>
      </c>
      <c r="C506" s="7">
        <f>MONTH(A506)</f>
        <v/>
      </c>
      <c r="D506" s="10" t="n">
        <v>0</v>
      </c>
      <c r="E506" s="11" t="n">
        <v>19.61299764</v>
      </c>
      <c r="F506" s="12" t="n">
        <v>0</v>
      </c>
      <c r="G506" s="11" t="n">
        <v>293.6286012</v>
      </c>
      <c r="H506" s="13">
        <f>F506*1000</f>
        <v/>
      </c>
      <c r="I506" s="14">
        <f>G506-273.15</f>
        <v/>
      </c>
      <c r="K506" s="15" t="n">
        <v>2002</v>
      </c>
      <c r="L506" s="15" t="n">
        <v>5</v>
      </c>
      <c r="M506" s="15" t="n">
        <v>22</v>
      </c>
      <c r="N506" s="16" t="n">
        <v>4.981574577e-05</v>
      </c>
      <c r="O506" s="11" t="n">
        <v>291.586694</v>
      </c>
      <c r="P506" s="13">
        <f>N506*86400</f>
        <v/>
      </c>
      <c r="Q506" s="14">
        <f>O506-273.15</f>
        <v/>
      </c>
    </row>
    <row r="507">
      <c r="A507" s="9" t="n">
        <v>37394</v>
      </c>
      <c r="B507" s="7">
        <f>YEAR(A507)</f>
        <v/>
      </c>
      <c r="C507" s="7">
        <f>MONTH(A507)</f>
        <v/>
      </c>
      <c r="D507" s="10" t="n">
        <v>0</v>
      </c>
      <c r="E507" s="11" t="n">
        <v>17.75189885</v>
      </c>
      <c r="F507" s="12" t="n">
        <v>0</v>
      </c>
      <c r="G507" s="11" t="n">
        <v>293.3920627</v>
      </c>
      <c r="H507" s="13">
        <f>F507*1000</f>
        <v/>
      </c>
      <c r="I507" s="14">
        <f>G507-273.15</f>
        <v/>
      </c>
      <c r="K507" s="15" t="n">
        <v>2002</v>
      </c>
      <c r="L507" s="15" t="n">
        <v>5</v>
      </c>
      <c r="M507" s="15" t="n">
        <v>23</v>
      </c>
      <c r="N507" s="16" t="n">
        <v>7.831667272000001e-06</v>
      </c>
      <c r="O507" s="11" t="n">
        <v>293.4546982</v>
      </c>
      <c r="P507" s="13">
        <f>N507*86400</f>
        <v/>
      </c>
      <c r="Q507" s="14">
        <f>O507-273.15</f>
        <v/>
      </c>
    </row>
    <row r="508">
      <c r="A508" s="9" t="n">
        <v>37395</v>
      </c>
      <c r="B508" s="7">
        <f>YEAR(A508)</f>
        <v/>
      </c>
      <c r="C508" s="7">
        <f>MONTH(A508)</f>
        <v/>
      </c>
      <c r="D508" s="10" t="n">
        <v>0</v>
      </c>
      <c r="E508" s="11" t="n">
        <v>18.75449265</v>
      </c>
      <c r="F508" s="12" t="n">
        <v>0</v>
      </c>
      <c r="G508" s="11" t="n">
        <v>293.4736147</v>
      </c>
      <c r="H508" s="13">
        <f>F508*1000</f>
        <v/>
      </c>
      <c r="I508" s="14">
        <f>G508-273.15</f>
        <v/>
      </c>
      <c r="K508" s="15" t="n">
        <v>2002</v>
      </c>
      <c r="L508" s="15" t="n">
        <v>5</v>
      </c>
      <c r="M508" s="15" t="n">
        <v>24</v>
      </c>
      <c r="N508" s="16" t="n">
        <v>5.611297183e-05</v>
      </c>
      <c r="O508" s="11" t="n">
        <v>293.0716943</v>
      </c>
      <c r="P508" s="13">
        <f>N508*86400</f>
        <v/>
      </c>
      <c r="Q508" s="14">
        <f>O508-273.15</f>
        <v/>
      </c>
    </row>
    <row r="509">
      <c r="A509" s="9" t="n">
        <v>37396</v>
      </c>
      <c r="B509" s="7">
        <f>YEAR(A509)</f>
        <v/>
      </c>
      <c r="C509" s="7">
        <f>MONTH(A509)</f>
        <v/>
      </c>
      <c r="D509" s="10" t="n">
        <v>0</v>
      </c>
      <c r="E509" s="11" t="n">
        <v>15.10352994</v>
      </c>
      <c r="F509" s="12" t="n">
        <v>0.001171008527</v>
      </c>
      <c r="G509" s="11" t="n">
        <v>290.9625686</v>
      </c>
      <c r="H509" s="13">
        <f>F509*1000</f>
        <v/>
      </c>
      <c r="I509" s="14">
        <f>G509-273.15</f>
        <v/>
      </c>
      <c r="K509" s="15" t="n">
        <v>2002</v>
      </c>
      <c r="L509" s="15" t="n">
        <v>5</v>
      </c>
      <c r="M509" s="15" t="n">
        <v>25</v>
      </c>
      <c r="N509" s="16" t="n">
        <v>4.443220644e-05</v>
      </c>
      <c r="O509" s="11" t="n">
        <v>292.6424738</v>
      </c>
      <c r="P509" s="13">
        <f>N509*86400</f>
        <v/>
      </c>
      <c r="Q509" s="14">
        <f>O509-273.15</f>
        <v/>
      </c>
    </row>
    <row r="510">
      <c r="A510" s="9" t="n">
        <v>37397</v>
      </c>
      <c r="B510" s="7">
        <f>YEAR(A510)</f>
        <v/>
      </c>
      <c r="C510" s="7">
        <f>MONTH(A510)</f>
        <v/>
      </c>
      <c r="D510" s="10" t="n">
        <v>0</v>
      </c>
      <c r="E510" s="11" t="n">
        <v>14.60789629</v>
      </c>
      <c r="F510" s="12" t="n">
        <v>0.00485333616</v>
      </c>
      <c r="G510" s="11" t="n">
        <v>289.3527358</v>
      </c>
      <c r="H510" s="13">
        <f>F510*1000</f>
        <v/>
      </c>
      <c r="I510" s="14">
        <f>G510-273.15</f>
        <v/>
      </c>
      <c r="K510" s="15" t="n">
        <v>2002</v>
      </c>
      <c r="L510" s="15" t="n">
        <v>5</v>
      </c>
      <c r="M510" s="15" t="n">
        <v>26</v>
      </c>
      <c r="N510" s="16" t="n">
        <v>7.154239956e-05</v>
      </c>
      <c r="O510" s="11" t="n">
        <v>294.9898259</v>
      </c>
      <c r="P510" s="13">
        <f>N510*86400</f>
        <v/>
      </c>
      <c r="Q510" s="14">
        <f>O510-273.15</f>
        <v/>
      </c>
    </row>
    <row r="511">
      <c r="A511" s="9" t="n">
        <v>37398</v>
      </c>
      <c r="B511" s="7">
        <f>YEAR(A511)</f>
        <v/>
      </c>
      <c r="C511" s="7">
        <f>MONTH(A511)</f>
        <v/>
      </c>
      <c r="D511" s="10" t="n">
        <v>0</v>
      </c>
      <c r="E511" s="11" t="n">
        <v>16.27585603</v>
      </c>
      <c r="F511" s="12" t="n">
        <v>0</v>
      </c>
      <c r="G511" s="11" t="n">
        <v>291.4830526</v>
      </c>
      <c r="H511" s="13">
        <f>F511*1000</f>
        <v/>
      </c>
      <c r="I511" s="14">
        <f>G511-273.15</f>
        <v/>
      </c>
      <c r="K511" s="15" t="n">
        <v>2002</v>
      </c>
      <c r="L511" s="15" t="n">
        <v>5</v>
      </c>
      <c r="M511" s="15" t="n">
        <v>27</v>
      </c>
      <c r="N511" s="16" t="n">
        <v>6.93296199e-07</v>
      </c>
      <c r="O511" s="11" t="n">
        <v>295.9700833</v>
      </c>
      <c r="P511" s="13">
        <f>N511*86400</f>
        <v/>
      </c>
      <c r="Q511" s="14">
        <f>O511-273.15</f>
        <v/>
      </c>
    </row>
    <row r="512">
      <c r="A512" s="9" t="n">
        <v>37399</v>
      </c>
      <c r="B512" s="7">
        <f>YEAR(A512)</f>
        <v/>
      </c>
      <c r="C512" s="7">
        <f>MONTH(A512)</f>
        <v/>
      </c>
      <c r="D512" s="10" t="n">
        <v>0</v>
      </c>
      <c r="E512" s="11" t="n">
        <v>15.76296235</v>
      </c>
      <c r="F512" s="12" t="n">
        <v>0</v>
      </c>
      <c r="G512" s="11" t="n">
        <v>291.3891412</v>
      </c>
      <c r="H512" s="13">
        <f>F512*1000</f>
        <v/>
      </c>
      <c r="I512" s="14">
        <f>G512-273.15</f>
        <v/>
      </c>
      <c r="K512" s="15" t="n">
        <v>2002</v>
      </c>
      <c r="L512" s="15" t="n">
        <v>5</v>
      </c>
      <c r="M512" s="15" t="n">
        <v>28</v>
      </c>
      <c r="N512" s="16" t="n">
        <v>7.404780185999999e-05</v>
      </c>
      <c r="O512" s="11" t="n">
        <v>295.0987011</v>
      </c>
      <c r="P512" s="13">
        <f>N512*86400</f>
        <v/>
      </c>
      <c r="Q512" s="14">
        <f>O512-273.15</f>
        <v/>
      </c>
    </row>
    <row r="513">
      <c r="A513" s="9" t="n">
        <v>37400</v>
      </c>
      <c r="B513" s="7">
        <f>YEAR(A513)</f>
        <v/>
      </c>
      <c r="C513" s="7">
        <f>MONTH(A513)</f>
        <v/>
      </c>
      <c r="D513" s="10" t="n">
        <v>0</v>
      </c>
      <c r="E513" s="11" t="n">
        <v>17.09033303</v>
      </c>
      <c r="F513" s="12" t="n">
        <v>0</v>
      </c>
      <c r="G513" s="11" t="n">
        <v>291.7772692</v>
      </c>
      <c r="H513" s="13">
        <f>F513*1000</f>
        <v/>
      </c>
      <c r="I513" s="14">
        <f>G513-273.15</f>
        <v/>
      </c>
      <c r="K513" s="15" t="n">
        <v>2002</v>
      </c>
      <c r="L513" s="15" t="n">
        <v>5</v>
      </c>
      <c r="M513" s="15" t="n">
        <v>29</v>
      </c>
      <c r="N513" s="16" t="n">
        <v>7.071008346e-05</v>
      </c>
      <c r="O513" s="11" t="n">
        <v>294.1310708</v>
      </c>
      <c r="P513" s="13">
        <f>N513*86400</f>
        <v/>
      </c>
      <c r="Q513" s="14">
        <f>O513-273.15</f>
        <v/>
      </c>
    </row>
    <row r="514">
      <c r="A514" s="9" t="n">
        <v>37401</v>
      </c>
      <c r="B514" s="7">
        <f>YEAR(A514)</f>
        <v/>
      </c>
      <c r="C514" s="7">
        <f>MONTH(A514)</f>
        <v/>
      </c>
      <c r="D514" s="10" t="n">
        <v>0</v>
      </c>
      <c r="E514" s="11" t="n">
        <v>18.23879143</v>
      </c>
      <c r="F514" s="12" t="n">
        <v>0.0004937452961</v>
      </c>
      <c r="G514" s="11" t="n">
        <v>293.2852024</v>
      </c>
      <c r="H514" s="13">
        <f>F514*1000</f>
        <v/>
      </c>
      <c r="I514" s="14">
        <f>G514-273.15</f>
        <v/>
      </c>
      <c r="K514" s="15" t="n">
        <v>2002</v>
      </c>
      <c r="L514" s="15" t="n">
        <v>5</v>
      </c>
      <c r="M514" s="15" t="n">
        <v>30</v>
      </c>
      <c r="N514" s="16" t="n">
        <v>3.423524478e-05</v>
      </c>
      <c r="O514" s="11" t="n">
        <v>293.0851722</v>
      </c>
      <c r="P514" s="13">
        <f>N514*86400</f>
        <v/>
      </c>
      <c r="Q514" s="14">
        <f>O514-273.15</f>
        <v/>
      </c>
    </row>
    <row r="515">
      <c r="A515" s="9" t="n">
        <v>37402</v>
      </c>
      <c r="B515" s="7">
        <f>YEAR(A515)</f>
        <v/>
      </c>
      <c r="C515" s="7">
        <f>MONTH(A515)</f>
        <v/>
      </c>
      <c r="D515" s="10" t="n">
        <v>0</v>
      </c>
      <c r="E515" s="11" t="n">
        <v>15.97554579</v>
      </c>
      <c r="F515" s="12" t="n">
        <v>0.0007248676749</v>
      </c>
      <c r="G515" s="11" t="n">
        <v>291.0177629</v>
      </c>
      <c r="H515" s="13">
        <f>F515*1000</f>
        <v/>
      </c>
      <c r="I515" s="14">
        <f>G515-273.15</f>
        <v/>
      </c>
      <c r="K515" s="15" t="n">
        <v>2002</v>
      </c>
      <c r="L515" s="15" t="n">
        <v>6</v>
      </c>
      <c r="M515" s="15" t="n">
        <v>1</v>
      </c>
      <c r="N515" s="16" t="n">
        <v>9.394617854e-06</v>
      </c>
      <c r="O515" s="11" t="n">
        <v>292.5244809</v>
      </c>
      <c r="P515" s="13">
        <f>N515*86400</f>
        <v/>
      </c>
      <c r="Q515" s="14">
        <f>O515-273.15</f>
        <v/>
      </c>
    </row>
    <row r="516">
      <c r="A516" s="9" t="n">
        <v>37403</v>
      </c>
      <c r="B516" s="7">
        <f>YEAR(A516)</f>
        <v/>
      </c>
      <c r="C516" s="7">
        <f>MONTH(A516)</f>
        <v/>
      </c>
      <c r="D516" s="10" t="n">
        <v>0</v>
      </c>
      <c r="E516" s="11" t="n">
        <v>16.8667493</v>
      </c>
      <c r="F516" s="12" t="n">
        <v>0</v>
      </c>
      <c r="G516" s="11" t="n">
        <v>291.0395642</v>
      </c>
      <c r="H516" s="13">
        <f>F516*1000</f>
        <v/>
      </c>
      <c r="I516" s="14">
        <f>G516-273.15</f>
        <v/>
      </c>
      <c r="K516" s="15" t="n">
        <v>2002</v>
      </c>
      <c r="L516" s="15" t="n">
        <v>6</v>
      </c>
      <c r="M516" s="15" t="n">
        <v>2</v>
      </c>
      <c r="N516" s="16" t="n">
        <v>0</v>
      </c>
      <c r="O516" s="11" t="n">
        <v>295.089054</v>
      </c>
      <c r="P516" s="13">
        <f>N516*86400</f>
        <v/>
      </c>
      <c r="Q516" s="14">
        <f>O516-273.15</f>
        <v/>
      </c>
    </row>
    <row r="517">
      <c r="A517" s="9" t="n">
        <v>37404</v>
      </c>
      <c r="B517" s="7">
        <f>YEAR(A517)</f>
        <v/>
      </c>
      <c r="C517" s="7">
        <f>MONTH(A517)</f>
        <v/>
      </c>
      <c r="D517" s="10" t="n">
        <v>0</v>
      </c>
      <c r="E517" s="11" t="n">
        <v>14.56127058</v>
      </c>
      <c r="F517" s="12" t="n">
        <v>0</v>
      </c>
      <c r="G517" s="11" t="n">
        <v>289.2750982</v>
      </c>
      <c r="H517" s="13">
        <f>F517*1000</f>
        <v/>
      </c>
      <c r="I517" s="14">
        <f>G517-273.15</f>
        <v/>
      </c>
      <c r="K517" s="15" t="n">
        <v>2002</v>
      </c>
      <c r="L517" s="15" t="n">
        <v>6</v>
      </c>
      <c r="M517" s="15" t="n">
        <v>3</v>
      </c>
      <c r="N517" s="16" t="n">
        <v>5.973142124e-05</v>
      </c>
      <c r="O517" s="11" t="n">
        <v>295.4582903</v>
      </c>
      <c r="P517" s="13">
        <f>N517*86400</f>
        <v/>
      </c>
      <c r="Q517" s="14">
        <f>O517-273.15</f>
        <v/>
      </c>
    </row>
    <row r="518">
      <c r="A518" s="9" t="n">
        <v>37405</v>
      </c>
      <c r="B518" s="7">
        <f>YEAR(A518)</f>
        <v/>
      </c>
      <c r="C518" s="7">
        <f>MONTH(A518)</f>
        <v/>
      </c>
      <c r="D518" s="10" t="n">
        <v>0</v>
      </c>
      <c r="E518" s="11" t="n">
        <v>13.10130647</v>
      </c>
      <c r="F518" s="12" t="n">
        <v>0</v>
      </c>
      <c r="G518" s="11" t="n">
        <v>287.6248232</v>
      </c>
      <c r="H518" s="13">
        <f>F518*1000</f>
        <v/>
      </c>
      <c r="I518" s="14">
        <f>G518-273.15</f>
        <v/>
      </c>
      <c r="K518" s="15" t="n">
        <v>2002</v>
      </c>
      <c r="L518" s="15" t="n">
        <v>6</v>
      </c>
      <c r="M518" s="15" t="n">
        <v>4</v>
      </c>
      <c r="N518" s="16" t="n">
        <v>5.636355951e-05</v>
      </c>
      <c r="O518" s="11" t="n">
        <v>293.6175013</v>
      </c>
      <c r="P518" s="13">
        <f>N518*86400</f>
        <v/>
      </c>
      <c r="Q518" s="14">
        <f>O518-273.15</f>
        <v/>
      </c>
    </row>
    <row r="519">
      <c r="A519" s="9" t="n">
        <v>37406</v>
      </c>
      <c r="B519" s="7">
        <f>YEAR(A519)</f>
        <v/>
      </c>
      <c r="C519" s="7">
        <f>MONTH(A519)</f>
        <v/>
      </c>
      <c r="D519" s="10" t="n">
        <v>0</v>
      </c>
      <c r="E519" s="11" t="n">
        <v>13.52264286</v>
      </c>
      <c r="F519" s="12" t="n">
        <v>0</v>
      </c>
      <c r="G519" s="11" t="n">
        <v>288.1373186</v>
      </c>
      <c r="H519" s="13">
        <f>F519*1000</f>
        <v/>
      </c>
      <c r="I519" s="14">
        <f>G519-273.15</f>
        <v/>
      </c>
      <c r="K519" s="15" t="n">
        <v>2002</v>
      </c>
      <c r="L519" s="15" t="n">
        <v>6</v>
      </c>
      <c r="M519" s="15" t="n">
        <v>5</v>
      </c>
      <c r="N519" s="16" t="n">
        <v>2.700726808e-05</v>
      </c>
      <c r="O519" s="11" t="n">
        <v>292.4766227</v>
      </c>
      <c r="P519" s="13">
        <f>N519*86400</f>
        <v/>
      </c>
      <c r="Q519" s="14">
        <f>O519-273.15</f>
        <v/>
      </c>
    </row>
    <row r="520">
      <c r="A520" s="9" t="n">
        <v>37407</v>
      </c>
      <c r="B520" s="7">
        <f>YEAR(A520)</f>
        <v/>
      </c>
      <c r="C520" s="7">
        <f>MONTH(A520)</f>
        <v/>
      </c>
      <c r="D520" s="10" t="n">
        <v>0</v>
      </c>
      <c r="E520" s="11" t="n">
        <v>12.93656385</v>
      </c>
      <c r="F520" s="12" t="n">
        <v>0</v>
      </c>
      <c r="G520" s="11" t="n">
        <v>288.1817006</v>
      </c>
      <c r="H520" s="13">
        <f>F520*1000</f>
        <v/>
      </c>
      <c r="I520" s="14">
        <f>G520-273.15</f>
        <v/>
      </c>
      <c r="K520" s="15" t="n">
        <v>2002</v>
      </c>
      <c r="L520" s="15" t="n">
        <v>6</v>
      </c>
      <c r="M520" s="15" t="n">
        <v>6</v>
      </c>
      <c r="N520" s="16" t="n">
        <v>2.303039148e-05</v>
      </c>
      <c r="O520" s="11" t="n">
        <v>292.7190606</v>
      </c>
      <c r="P520" s="13">
        <f>N520*86400</f>
        <v/>
      </c>
      <c r="Q520" s="14">
        <f>O520-273.15</f>
        <v/>
      </c>
    </row>
    <row r="521">
      <c r="A521" s="9" t="n">
        <v>37408</v>
      </c>
      <c r="B521" s="7">
        <f>YEAR(A521)</f>
        <v/>
      </c>
      <c r="C521" s="7">
        <f>MONTH(A521)</f>
        <v/>
      </c>
      <c r="D521" s="10" t="n">
        <v>0</v>
      </c>
      <c r="E521" s="11" t="n">
        <v>12.68798636</v>
      </c>
      <c r="F521" s="12" t="n">
        <v>0.005813288423</v>
      </c>
      <c r="G521" s="11" t="n">
        <v>287.1582065</v>
      </c>
      <c r="H521" s="13">
        <f>F521*1000</f>
        <v/>
      </c>
      <c r="I521" s="14">
        <f>G521-273.15</f>
        <v/>
      </c>
      <c r="K521" s="15" t="n">
        <v>2002</v>
      </c>
      <c r="L521" s="15" t="n">
        <v>6</v>
      </c>
      <c r="M521" s="15" t="n">
        <v>7</v>
      </c>
      <c r="N521" s="16" t="n">
        <v>8.430237778e-06</v>
      </c>
      <c r="O521" s="11" t="n">
        <v>293.8891321</v>
      </c>
      <c r="P521" s="13">
        <f>N521*86400</f>
        <v/>
      </c>
      <c r="Q521" s="14">
        <f>O521-273.15</f>
        <v/>
      </c>
    </row>
    <row r="522">
      <c r="A522" s="9" t="n">
        <v>37409</v>
      </c>
      <c r="B522" s="7">
        <f>YEAR(A522)</f>
        <v/>
      </c>
      <c r="C522" s="7">
        <f>MONTH(A522)</f>
        <v/>
      </c>
      <c r="D522" s="10" t="n">
        <v>1.213557545</v>
      </c>
      <c r="E522" s="11" t="n">
        <v>12.94372556</v>
      </c>
      <c r="F522" s="12" t="n">
        <v>0.005120569638</v>
      </c>
      <c r="G522" s="11" t="n">
        <v>287.2899538</v>
      </c>
      <c r="H522" s="13">
        <f>F522*1000</f>
        <v/>
      </c>
      <c r="I522" s="14">
        <f>G522-273.15</f>
        <v/>
      </c>
      <c r="K522" s="15" t="n">
        <v>2002</v>
      </c>
      <c r="L522" s="15" t="n">
        <v>6</v>
      </c>
      <c r="M522" s="15" t="n">
        <v>8</v>
      </c>
      <c r="N522" s="16" t="n">
        <v>7.571961687e-06</v>
      </c>
      <c r="O522" s="11" t="n">
        <v>292.0165434</v>
      </c>
      <c r="P522" s="13">
        <f>N522*86400</f>
        <v/>
      </c>
      <c r="Q522" s="14">
        <f>O522-273.15</f>
        <v/>
      </c>
    </row>
    <row r="523">
      <c r="A523" s="9" t="n">
        <v>37410</v>
      </c>
      <c r="B523" s="7">
        <f>YEAR(A523)</f>
        <v/>
      </c>
      <c r="C523" s="7">
        <f>MONTH(A523)</f>
        <v/>
      </c>
      <c r="D523" s="10" t="n">
        <v>0</v>
      </c>
      <c r="E523" s="11" t="n">
        <v>16.6078829</v>
      </c>
      <c r="F523" s="12" t="n">
        <v>0.001722943941</v>
      </c>
      <c r="G523" s="11" t="n">
        <v>291.0029245</v>
      </c>
      <c r="H523" s="13">
        <f>F523*1000</f>
        <v/>
      </c>
      <c r="I523" s="14">
        <f>G523-273.15</f>
        <v/>
      </c>
      <c r="K523" s="15" t="n">
        <v>2002</v>
      </c>
      <c r="L523" s="15" t="n">
        <v>6</v>
      </c>
      <c r="M523" s="15" t="n">
        <v>9</v>
      </c>
      <c r="N523" s="16" t="n">
        <v>4.418328096e-05</v>
      </c>
      <c r="O523" s="11" t="n">
        <v>292.4859516</v>
      </c>
      <c r="P523" s="13">
        <f>N523*86400</f>
        <v/>
      </c>
      <c r="Q523" s="14">
        <f>O523-273.15</f>
        <v/>
      </c>
    </row>
    <row r="524">
      <c r="A524" s="9" t="n">
        <v>37411</v>
      </c>
      <c r="B524" s="7">
        <f>YEAR(A524)</f>
        <v/>
      </c>
      <c r="C524" s="7">
        <f>MONTH(A524)</f>
        <v/>
      </c>
      <c r="D524" s="10" t="n">
        <v>0</v>
      </c>
      <c r="E524" s="11" t="n">
        <v>16.06252134</v>
      </c>
      <c r="F524" s="12" t="n">
        <v>0.0002272969565</v>
      </c>
      <c r="G524" s="11" t="n">
        <v>291.1332016</v>
      </c>
      <c r="H524" s="13">
        <f>F524*1000</f>
        <v/>
      </c>
      <c r="I524" s="14">
        <f>G524-273.15</f>
        <v/>
      </c>
      <c r="K524" s="15" t="n">
        <v>2002</v>
      </c>
      <c r="L524" s="15" t="n">
        <v>6</v>
      </c>
      <c r="M524" s="15" t="n">
        <v>10</v>
      </c>
      <c r="N524" s="16" t="n">
        <v>1.42102747e-05</v>
      </c>
      <c r="O524" s="11" t="n">
        <v>291.3818615</v>
      </c>
      <c r="P524" s="13">
        <f>N524*86400</f>
        <v/>
      </c>
      <c r="Q524" s="14">
        <f>O524-273.15</f>
        <v/>
      </c>
    </row>
    <row r="525">
      <c r="A525" s="9" t="n">
        <v>37412</v>
      </c>
      <c r="B525" s="7">
        <f>YEAR(A525)</f>
        <v/>
      </c>
      <c r="C525" s="7">
        <f>MONTH(A525)</f>
        <v/>
      </c>
      <c r="D525" s="10" t="n">
        <v>0</v>
      </c>
      <c r="E525" s="11" t="n">
        <v>15.43254492</v>
      </c>
      <c r="F525" s="12" t="n">
        <v>0</v>
      </c>
      <c r="G525" s="11" t="n">
        <v>290.5898802</v>
      </c>
      <c r="H525" s="13">
        <f>F525*1000</f>
        <v/>
      </c>
      <c r="I525" s="14">
        <f>G525-273.15</f>
        <v/>
      </c>
      <c r="K525" s="15" t="n">
        <v>2002</v>
      </c>
      <c r="L525" s="15" t="n">
        <v>6</v>
      </c>
      <c r="M525" s="15" t="n">
        <v>11</v>
      </c>
      <c r="N525" s="16" t="n">
        <v>1.876700234e-05</v>
      </c>
      <c r="O525" s="11" t="n">
        <v>289.2359526</v>
      </c>
      <c r="P525" s="13">
        <f>N525*86400</f>
        <v/>
      </c>
      <c r="Q525" s="14">
        <f>O525-273.15</f>
        <v/>
      </c>
    </row>
    <row r="526">
      <c r="A526" s="9" t="n">
        <v>37413</v>
      </c>
      <c r="B526" s="7">
        <f>YEAR(A526)</f>
        <v/>
      </c>
      <c r="C526" s="7">
        <f>MONTH(A526)</f>
        <v/>
      </c>
      <c r="D526" s="10" t="n">
        <v>0.5395992963</v>
      </c>
      <c r="E526" s="11" t="n">
        <v>15.15540269</v>
      </c>
      <c r="F526" s="12" t="n">
        <v>0</v>
      </c>
      <c r="G526" s="11" t="n">
        <v>290.127947</v>
      </c>
      <c r="H526" s="13">
        <f>F526*1000</f>
        <v/>
      </c>
      <c r="I526" s="14">
        <f>G526-273.15</f>
        <v/>
      </c>
      <c r="K526" s="15" t="n">
        <v>2002</v>
      </c>
      <c r="L526" s="15" t="n">
        <v>6</v>
      </c>
      <c r="M526" s="15" t="n">
        <v>12</v>
      </c>
      <c r="N526" s="16" t="n">
        <v>0</v>
      </c>
      <c r="O526" s="11" t="n">
        <v>291.6750377</v>
      </c>
      <c r="P526" s="13">
        <f>N526*86400</f>
        <v/>
      </c>
      <c r="Q526" s="14">
        <f>O526-273.15</f>
        <v/>
      </c>
    </row>
    <row r="527">
      <c r="A527" s="9" t="n">
        <v>37414</v>
      </c>
      <c r="B527" s="7">
        <f>YEAR(A527)</f>
        <v/>
      </c>
      <c r="C527" s="7">
        <f>MONTH(A527)</f>
        <v/>
      </c>
      <c r="D527" s="10" t="n">
        <v>0</v>
      </c>
      <c r="E527" s="11" t="n">
        <v>15.74532966</v>
      </c>
      <c r="F527" s="12" t="n">
        <v>0</v>
      </c>
      <c r="G527" s="11" t="n">
        <v>290.8654524</v>
      </c>
      <c r="H527" s="13">
        <f>F527*1000</f>
        <v/>
      </c>
      <c r="I527" s="14">
        <f>G527-273.15</f>
        <v/>
      </c>
      <c r="K527" s="15" t="n">
        <v>2002</v>
      </c>
      <c r="L527" s="15" t="n">
        <v>6</v>
      </c>
      <c r="M527" s="15" t="n">
        <v>13</v>
      </c>
      <c r="N527" s="16" t="n">
        <v>2.992298583e-06</v>
      </c>
      <c r="O527" s="11" t="n">
        <v>291.538144</v>
      </c>
      <c r="P527" s="13">
        <f>N527*86400</f>
        <v/>
      </c>
      <c r="Q527" s="14">
        <f>O527-273.15</f>
        <v/>
      </c>
    </row>
    <row r="528">
      <c r="A528" s="9" t="n">
        <v>37415</v>
      </c>
      <c r="B528" s="7">
        <f>YEAR(A528)</f>
        <v/>
      </c>
      <c r="C528" s="7">
        <f>MONTH(A528)</f>
        <v/>
      </c>
      <c r="D528" s="10" t="n">
        <v>0</v>
      </c>
      <c r="E528" s="11" t="n">
        <v>17.79674625</v>
      </c>
      <c r="F528" s="12" t="n">
        <v>0.0005360455227</v>
      </c>
      <c r="G528" s="11" t="n">
        <v>292.098424</v>
      </c>
      <c r="H528" s="13">
        <f>F528*1000</f>
        <v/>
      </c>
      <c r="I528" s="14">
        <f>G528-273.15</f>
        <v/>
      </c>
      <c r="K528" s="15" t="n">
        <v>2002</v>
      </c>
      <c r="L528" s="15" t="n">
        <v>6</v>
      </c>
      <c r="M528" s="15" t="n">
        <v>14</v>
      </c>
      <c r="N528" s="16" t="n">
        <v>9.604674276000001e-06</v>
      </c>
      <c r="O528" s="11" t="n">
        <v>290.5074026</v>
      </c>
      <c r="P528" s="13">
        <f>N528*86400</f>
        <v/>
      </c>
      <c r="Q528" s="14">
        <f>O528-273.15</f>
        <v/>
      </c>
    </row>
    <row r="529">
      <c r="A529" s="9" t="n">
        <v>37416</v>
      </c>
      <c r="B529" s="7">
        <f>YEAR(A529)</f>
        <v/>
      </c>
      <c r="C529" s="7">
        <f>MONTH(A529)</f>
        <v/>
      </c>
      <c r="D529" s="10" t="n">
        <v>5.682467916</v>
      </c>
      <c r="E529" s="11" t="n">
        <v>18.71160041</v>
      </c>
      <c r="F529" s="12" t="n">
        <v>0.004967963631</v>
      </c>
      <c r="G529" s="11" t="n">
        <v>293.2659188</v>
      </c>
      <c r="H529" s="13">
        <f>F529*1000</f>
        <v/>
      </c>
      <c r="I529" s="14">
        <f>G529-273.15</f>
        <v/>
      </c>
      <c r="K529" s="15" t="n">
        <v>2002</v>
      </c>
      <c r="L529" s="15" t="n">
        <v>6</v>
      </c>
      <c r="M529" s="15" t="n">
        <v>15</v>
      </c>
      <c r="N529" s="16" t="n">
        <v>6.360265044e-07</v>
      </c>
      <c r="O529" s="11" t="n">
        <v>292.7158069</v>
      </c>
      <c r="P529" s="13">
        <f>N529*86400</f>
        <v/>
      </c>
      <c r="Q529" s="14">
        <f>O529-273.15</f>
        <v/>
      </c>
    </row>
    <row r="530">
      <c r="A530" s="9" t="n">
        <v>37417</v>
      </c>
      <c r="B530" s="7">
        <f>YEAR(A530)</f>
        <v/>
      </c>
      <c r="C530" s="7">
        <f>MONTH(A530)</f>
        <v/>
      </c>
      <c r="D530" s="10" t="n">
        <v>0</v>
      </c>
      <c r="E530" s="11" t="n">
        <v>17.6723382</v>
      </c>
      <c r="F530" s="12" t="n">
        <v>1.910783024e-05</v>
      </c>
      <c r="G530" s="11" t="n">
        <v>293.3005495</v>
      </c>
      <c r="H530" s="13">
        <f>F530*1000</f>
        <v/>
      </c>
      <c r="I530" s="14">
        <f>G530-273.15</f>
        <v/>
      </c>
      <c r="K530" s="15" t="n">
        <v>2002</v>
      </c>
      <c r="L530" s="15" t="n">
        <v>6</v>
      </c>
      <c r="M530" s="15" t="n">
        <v>16</v>
      </c>
      <c r="N530" s="16" t="n">
        <v>0</v>
      </c>
      <c r="O530" s="11" t="n">
        <v>291.7793524</v>
      </c>
      <c r="P530" s="13">
        <f>N530*86400</f>
        <v/>
      </c>
      <c r="Q530" s="14">
        <f>O530-273.15</f>
        <v/>
      </c>
    </row>
    <row r="531">
      <c r="A531" s="9" t="n">
        <v>37418</v>
      </c>
      <c r="B531" s="7">
        <f>YEAR(A531)</f>
        <v/>
      </c>
      <c r="C531" s="7">
        <f>MONTH(A531)</f>
        <v/>
      </c>
      <c r="D531" s="10" t="n">
        <v>0</v>
      </c>
      <c r="E531" s="11" t="n">
        <v>18.39226429</v>
      </c>
      <c r="F531" s="12" t="n">
        <v>0.001802740789</v>
      </c>
      <c r="G531" s="11" t="n">
        <v>293.5319458</v>
      </c>
      <c r="H531" s="13">
        <f>F531*1000</f>
        <v/>
      </c>
      <c r="I531" s="14">
        <f>G531-273.15</f>
        <v/>
      </c>
      <c r="K531" s="15" t="n">
        <v>2002</v>
      </c>
      <c r="L531" s="15" t="n">
        <v>6</v>
      </c>
      <c r="M531" s="15" t="n">
        <v>17</v>
      </c>
      <c r="N531" s="16" t="n">
        <v>1.368281267e-06</v>
      </c>
      <c r="O531" s="11" t="n">
        <v>294.8731819</v>
      </c>
      <c r="P531" s="13">
        <f>N531*86400</f>
        <v/>
      </c>
      <c r="Q531" s="14">
        <f>O531-273.15</f>
        <v/>
      </c>
    </row>
    <row r="532">
      <c r="A532" s="9" t="n">
        <v>37419</v>
      </c>
      <c r="B532" s="7">
        <f>YEAR(A532)</f>
        <v/>
      </c>
      <c r="C532" s="7">
        <f>MONTH(A532)</f>
        <v/>
      </c>
      <c r="D532" s="10" t="n">
        <v>0</v>
      </c>
      <c r="E532" s="11" t="n">
        <v>17.2481933</v>
      </c>
      <c r="F532" s="12" t="n">
        <v>0.007164694365</v>
      </c>
      <c r="G532" s="11" t="n">
        <v>291.1833885</v>
      </c>
      <c r="H532" s="13">
        <f>F532*1000</f>
        <v/>
      </c>
      <c r="I532" s="14">
        <f>G532-273.15</f>
        <v/>
      </c>
      <c r="K532" s="15" t="n">
        <v>2002</v>
      </c>
      <c r="L532" s="15" t="n">
        <v>6</v>
      </c>
      <c r="M532" s="15" t="n">
        <v>18</v>
      </c>
      <c r="N532" s="16" t="n">
        <v>8.244925852e-05</v>
      </c>
      <c r="O532" s="11" t="n">
        <v>295.6815129</v>
      </c>
      <c r="P532" s="13">
        <f>N532*86400</f>
        <v/>
      </c>
      <c r="Q532" s="14">
        <f>O532-273.15</f>
        <v/>
      </c>
    </row>
    <row r="533">
      <c r="A533" s="9" t="n">
        <v>37420</v>
      </c>
      <c r="B533" s="7">
        <f>YEAR(A533)</f>
        <v/>
      </c>
      <c r="C533" s="7">
        <f>MONTH(A533)</f>
        <v/>
      </c>
      <c r="D533" s="10" t="n">
        <v>13.7983641</v>
      </c>
      <c r="E533" s="11" t="n">
        <v>17.64938136</v>
      </c>
      <c r="F533" s="12" t="n">
        <v>0.01188236414</v>
      </c>
      <c r="G533" s="11" t="n">
        <v>293.0574584</v>
      </c>
      <c r="H533" s="13">
        <f>F533*1000</f>
        <v/>
      </c>
      <c r="I533" s="14">
        <f>G533-273.15</f>
        <v/>
      </c>
      <c r="K533" s="15" t="n">
        <v>2002</v>
      </c>
      <c r="L533" s="15" t="n">
        <v>6</v>
      </c>
      <c r="M533" s="15" t="n">
        <v>19</v>
      </c>
      <c r="N533" s="16" t="n">
        <v>4.634325964e-05</v>
      </c>
      <c r="O533" s="11" t="n">
        <v>294.2496634</v>
      </c>
      <c r="P533" s="13">
        <f>N533*86400</f>
        <v/>
      </c>
      <c r="Q533" s="14">
        <f>O533-273.15</f>
        <v/>
      </c>
    </row>
    <row r="534">
      <c r="A534" s="9" t="n">
        <v>37421</v>
      </c>
      <c r="B534" s="7">
        <f>YEAR(A534)</f>
        <v/>
      </c>
      <c r="C534" s="7">
        <f>MONTH(A534)</f>
        <v/>
      </c>
      <c r="D534" s="10" t="n">
        <v>12.8377157</v>
      </c>
      <c r="E534" s="11" t="n">
        <v>17.0940772</v>
      </c>
      <c r="F534" s="12" t="n">
        <v>0.004803569309</v>
      </c>
      <c r="G534" s="11" t="n">
        <v>293.0218191</v>
      </c>
      <c r="H534" s="13">
        <f>F534*1000</f>
        <v/>
      </c>
      <c r="I534" s="14">
        <f>G534-273.15</f>
        <v/>
      </c>
      <c r="K534" s="15" t="n">
        <v>2002</v>
      </c>
      <c r="L534" s="15" t="n">
        <v>6</v>
      </c>
      <c r="M534" s="15" t="n">
        <v>20</v>
      </c>
      <c r="N534" s="16" t="n">
        <v>8.001064854e-05</v>
      </c>
      <c r="O534" s="11" t="n">
        <v>292.5077243</v>
      </c>
      <c r="P534" s="13">
        <f>N534*86400</f>
        <v/>
      </c>
      <c r="Q534" s="14">
        <f>O534-273.15</f>
        <v/>
      </c>
    </row>
    <row r="535">
      <c r="A535" s="9" t="n">
        <v>37422</v>
      </c>
      <c r="B535" s="7">
        <f>YEAR(A535)</f>
        <v/>
      </c>
      <c r="C535" s="7">
        <f>MONTH(A535)</f>
        <v/>
      </c>
      <c r="D535" s="10" t="n">
        <v>0</v>
      </c>
      <c r="E535" s="11" t="n">
        <v>16.1550842</v>
      </c>
      <c r="F535" s="12" t="n">
        <v>0.002523643303</v>
      </c>
      <c r="G535" s="11" t="n">
        <v>291.1578151</v>
      </c>
      <c r="H535" s="13">
        <f>F535*1000</f>
        <v/>
      </c>
      <c r="I535" s="14">
        <f>G535-273.15</f>
        <v/>
      </c>
      <c r="K535" s="15" t="n">
        <v>2002</v>
      </c>
      <c r="L535" s="15" t="n">
        <v>6</v>
      </c>
      <c r="M535" s="15" t="n">
        <v>21</v>
      </c>
      <c r="N535" s="16" t="n">
        <v>0.0001117447052</v>
      </c>
      <c r="O535" s="11" t="n">
        <v>290.1378847</v>
      </c>
      <c r="P535" s="13">
        <f>N535*86400</f>
        <v/>
      </c>
      <c r="Q535" s="14">
        <f>O535-273.15</f>
        <v/>
      </c>
    </row>
    <row r="536">
      <c r="A536" s="9" t="n">
        <v>37423</v>
      </c>
      <c r="B536" s="7">
        <f>YEAR(A536)</f>
        <v/>
      </c>
      <c r="C536" s="7">
        <f>MONTH(A536)</f>
        <v/>
      </c>
      <c r="D536" s="10" t="n">
        <v>0</v>
      </c>
      <c r="E536" s="11" t="n">
        <v>17.76240699</v>
      </c>
      <c r="F536" s="12" t="n">
        <v>0</v>
      </c>
      <c r="G536" s="11" t="n">
        <v>293.1327002</v>
      </c>
      <c r="H536" s="13">
        <f>F536*1000</f>
        <v/>
      </c>
      <c r="I536" s="14">
        <f>G536-273.15</f>
        <v/>
      </c>
      <c r="K536" s="15" t="n">
        <v>2002</v>
      </c>
      <c r="L536" s="15" t="n">
        <v>6</v>
      </c>
      <c r="M536" s="15" t="n">
        <v>22</v>
      </c>
      <c r="N536" s="16" t="n">
        <v>6.407558575e-05</v>
      </c>
      <c r="O536" s="11" t="n">
        <v>290.3657993</v>
      </c>
      <c r="P536" s="13">
        <f>N536*86400</f>
        <v/>
      </c>
      <c r="Q536" s="14">
        <f>O536-273.15</f>
        <v/>
      </c>
    </row>
    <row r="537">
      <c r="A537" s="9" t="n">
        <v>37424</v>
      </c>
      <c r="B537" s="7">
        <f>YEAR(A537)</f>
        <v/>
      </c>
      <c r="C537" s="7">
        <f>MONTH(A537)</f>
        <v/>
      </c>
      <c r="D537" s="10" t="n">
        <v>8.414649517000001</v>
      </c>
      <c r="E537" s="11" t="n">
        <v>18.36130914</v>
      </c>
      <c r="F537" s="12" t="n">
        <v>0.002006418151</v>
      </c>
      <c r="G537" s="11" t="n">
        <v>294.1508689</v>
      </c>
      <c r="H537" s="13">
        <f>F537*1000</f>
        <v/>
      </c>
      <c r="I537" s="14">
        <f>G537-273.15</f>
        <v/>
      </c>
      <c r="K537" s="15" t="n">
        <v>2002</v>
      </c>
      <c r="L537" s="15" t="n">
        <v>6</v>
      </c>
      <c r="M537" s="15" t="n">
        <v>23</v>
      </c>
      <c r="N537" s="16" t="n">
        <v>3.411586845e-05</v>
      </c>
      <c r="O537" s="11" t="n">
        <v>289.6729345</v>
      </c>
      <c r="P537" s="13">
        <f>N537*86400</f>
        <v/>
      </c>
      <c r="Q537" s="14">
        <f>O537-273.15</f>
        <v/>
      </c>
    </row>
    <row r="538">
      <c r="A538" s="9" t="n">
        <v>37425</v>
      </c>
      <c r="B538" s="7">
        <f>YEAR(A538)</f>
        <v/>
      </c>
      <c r="C538" s="7">
        <f>MONTH(A538)</f>
        <v/>
      </c>
      <c r="D538" s="10" t="n">
        <v>15.85564825</v>
      </c>
      <c r="E538" s="11" t="n">
        <v>18.61356078</v>
      </c>
      <c r="F538" s="12" t="n">
        <v>0.00540250413</v>
      </c>
      <c r="G538" s="11" t="n">
        <v>294.5888064</v>
      </c>
      <c r="H538" s="13">
        <f>F538*1000</f>
        <v/>
      </c>
      <c r="I538" s="14">
        <f>G538-273.15</f>
        <v/>
      </c>
      <c r="K538" s="15" t="n">
        <v>2002</v>
      </c>
      <c r="L538" s="15" t="n">
        <v>6</v>
      </c>
      <c r="M538" s="15" t="n">
        <v>24</v>
      </c>
      <c r="N538" s="16" t="n">
        <v>0.0001105258402</v>
      </c>
      <c r="O538" s="11" t="n">
        <v>289.1644319</v>
      </c>
      <c r="P538" s="13">
        <f>N538*86400</f>
        <v/>
      </c>
      <c r="Q538" s="14">
        <f>O538-273.15</f>
        <v/>
      </c>
    </row>
    <row r="539">
      <c r="A539" s="9" t="n">
        <v>37426</v>
      </c>
      <c r="B539" s="7">
        <f>YEAR(A539)</f>
        <v/>
      </c>
      <c r="C539" s="7">
        <f>MONTH(A539)</f>
        <v/>
      </c>
      <c r="D539" s="10" t="n">
        <v>0.53843073</v>
      </c>
      <c r="E539" s="11" t="n">
        <v>16.62317983</v>
      </c>
      <c r="F539" s="12" t="n">
        <v>0.00246688044</v>
      </c>
      <c r="G539" s="11" t="n">
        <v>291.9835562</v>
      </c>
      <c r="H539" s="13">
        <f>F539*1000</f>
        <v/>
      </c>
      <c r="I539" s="14">
        <f>G539-273.15</f>
        <v/>
      </c>
      <c r="K539" s="15" t="n">
        <v>2002</v>
      </c>
      <c r="L539" s="15" t="n">
        <v>6</v>
      </c>
      <c r="M539" s="15" t="n">
        <v>25</v>
      </c>
      <c r="N539" s="16" t="n">
        <v>0.0002930755823</v>
      </c>
      <c r="O539" s="11" t="n">
        <v>288.4188731</v>
      </c>
      <c r="P539" s="13">
        <f>N539*86400</f>
        <v/>
      </c>
      <c r="Q539" s="14">
        <f>O539-273.15</f>
        <v/>
      </c>
    </row>
    <row r="540">
      <c r="A540" s="9" t="n">
        <v>37427</v>
      </c>
      <c r="B540" s="7">
        <f>YEAR(A540)</f>
        <v/>
      </c>
      <c r="C540" s="7">
        <f>MONTH(A540)</f>
        <v/>
      </c>
      <c r="D540" s="10" t="n">
        <v>0</v>
      </c>
      <c r="E540" s="11" t="n">
        <v>16.67283285</v>
      </c>
      <c r="F540" s="12" t="n">
        <v>0</v>
      </c>
      <c r="G540" s="11" t="n">
        <v>292.3448564</v>
      </c>
      <c r="H540" s="13">
        <f>F540*1000</f>
        <v/>
      </c>
      <c r="I540" s="14">
        <f>G540-273.15</f>
        <v/>
      </c>
      <c r="K540" s="15" t="n">
        <v>2002</v>
      </c>
      <c r="L540" s="15" t="n">
        <v>6</v>
      </c>
      <c r="M540" s="15" t="n">
        <v>26</v>
      </c>
      <c r="N540" s="16" t="n">
        <v>4.487835018e-05</v>
      </c>
      <c r="O540" s="11" t="n">
        <v>288.6713404</v>
      </c>
      <c r="P540" s="13">
        <f>N540*86400</f>
        <v/>
      </c>
      <c r="Q540" s="14">
        <f>O540-273.15</f>
        <v/>
      </c>
    </row>
    <row r="541">
      <c r="A541" s="9" t="n">
        <v>37428</v>
      </c>
      <c r="B541" s="7">
        <f>YEAR(A541)</f>
        <v/>
      </c>
      <c r="C541" s="7">
        <f>MONTH(A541)</f>
        <v/>
      </c>
      <c r="D541" s="10" t="n">
        <v>0</v>
      </c>
      <c r="E541" s="11" t="n">
        <v>17.43002542</v>
      </c>
      <c r="F541" s="12" t="n">
        <v>0.0003900795941</v>
      </c>
      <c r="G541" s="11" t="n">
        <v>292.6509715</v>
      </c>
      <c r="H541" s="13">
        <f>F541*1000</f>
        <v/>
      </c>
      <c r="I541" s="14">
        <f>G541-273.15</f>
        <v/>
      </c>
      <c r="K541" s="15" t="n">
        <v>2002</v>
      </c>
      <c r="L541" s="15" t="n">
        <v>6</v>
      </c>
      <c r="M541" s="15" t="n">
        <v>27</v>
      </c>
      <c r="N541" s="16" t="n">
        <v>4.542808479e-06</v>
      </c>
      <c r="O541" s="11" t="n">
        <v>286.7313075</v>
      </c>
      <c r="P541" s="13">
        <f>N541*86400</f>
        <v/>
      </c>
      <c r="Q541" s="14">
        <f>O541-273.15</f>
        <v/>
      </c>
    </row>
    <row r="542">
      <c r="A542" s="9" t="n">
        <v>37429</v>
      </c>
      <c r="B542" s="7">
        <f>YEAR(A542)</f>
        <v/>
      </c>
      <c r="C542" s="7">
        <f>MONTH(A542)</f>
        <v/>
      </c>
      <c r="D542" s="10" t="n">
        <v>0</v>
      </c>
      <c r="E542" s="11" t="n">
        <v>21.29006459</v>
      </c>
      <c r="F542" s="12" t="n">
        <v>0</v>
      </c>
      <c r="G542" s="11" t="n">
        <v>295.8484519</v>
      </c>
      <c r="H542" s="13">
        <f>F542*1000</f>
        <v/>
      </c>
      <c r="I542" s="14">
        <f>G542-273.15</f>
        <v/>
      </c>
      <c r="K542" s="15" t="n">
        <v>2002</v>
      </c>
      <c r="L542" s="15" t="n">
        <v>6</v>
      </c>
      <c r="M542" s="15" t="n">
        <v>28</v>
      </c>
      <c r="N542" s="16" t="n">
        <v>8.553846226e-06</v>
      </c>
      <c r="O542" s="11" t="n">
        <v>288.6552378</v>
      </c>
      <c r="P542" s="13">
        <f>N542*86400</f>
        <v/>
      </c>
      <c r="Q542" s="14">
        <f>O542-273.15</f>
        <v/>
      </c>
    </row>
    <row r="543">
      <c r="A543" s="9" t="n">
        <v>37430</v>
      </c>
      <c r="B543" s="7">
        <f>YEAR(A543)</f>
        <v/>
      </c>
      <c r="C543" s="7">
        <f>MONTH(A543)</f>
        <v/>
      </c>
      <c r="D543" s="10" t="n">
        <v>10.77365859</v>
      </c>
      <c r="E543" s="11" t="n">
        <v>19.66774526</v>
      </c>
      <c r="F543" s="12" t="n">
        <v>0.01661144643</v>
      </c>
      <c r="G543" s="11" t="n">
        <v>293.8077349</v>
      </c>
      <c r="H543" s="13">
        <f>F543*1000</f>
        <v/>
      </c>
      <c r="I543" s="14">
        <f>G543-273.15</f>
        <v/>
      </c>
      <c r="K543" s="15" t="n">
        <v>2002</v>
      </c>
      <c r="L543" s="15" t="n">
        <v>6</v>
      </c>
      <c r="M543" s="15" t="n">
        <v>29</v>
      </c>
      <c r="N543" s="16" t="n">
        <v>4.090128906e-06</v>
      </c>
      <c r="O543" s="11" t="n">
        <v>290.5036833</v>
      </c>
      <c r="P543" s="13">
        <f>N543*86400</f>
        <v/>
      </c>
      <c r="Q543" s="14">
        <f>O543-273.15</f>
        <v/>
      </c>
    </row>
    <row r="544">
      <c r="A544" s="9" t="n">
        <v>37431</v>
      </c>
      <c r="B544" s="7">
        <f>YEAR(A544)</f>
        <v/>
      </c>
      <c r="C544" s="7">
        <f>MONTH(A544)</f>
        <v/>
      </c>
      <c r="D544" s="10" t="n">
        <v>17.60539289</v>
      </c>
      <c r="E544" s="11" t="n">
        <v>20.06248407</v>
      </c>
      <c r="F544" s="12" t="n">
        <v>0.01402692761</v>
      </c>
      <c r="G544" s="11" t="n">
        <v>293.9252709</v>
      </c>
      <c r="H544" s="13">
        <f>F544*1000</f>
        <v/>
      </c>
      <c r="I544" s="14">
        <f>G544-273.15</f>
        <v/>
      </c>
      <c r="K544" s="15" t="n">
        <v>2002</v>
      </c>
      <c r="L544" s="15" t="n">
        <v>6</v>
      </c>
      <c r="M544" s="15" t="n">
        <v>30</v>
      </c>
      <c r="N544" s="16" t="n">
        <v>2.207301842e-05</v>
      </c>
      <c r="O544" s="11" t="n">
        <v>290.0500568</v>
      </c>
      <c r="P544" s="13">
        <f>N544*86400</f>
        <v/>
      </c>
      <c r="Q544" s="14">
        <f>O544-273.15</f>
        <v/>
      </c>
    </row>
    <row r="545">
      <c r="A545" s="9" t="n">
        <v>37432</v>
      </c>
      <c r="B545" s="7">
        <f>YEAR(A545)</f>
        <v/>
      </c>
      <c r="C545" s="7">
        <f>MONTH(A545)</f>
        <v/>
      </c>
      <c r="D545" s="10" t="n">
        <v>0</v>
      </c>
      <c r="E545" s="11" t="n">
        <v>15.82853466</v>
      </c>
      <c r="F545" s="12" t="n">
        <v>7.869495552999999e-06</v>
      </c>
      <c r="G545" s="11" t="n">
        <v>290.1260375</v>
      </c>
      <c r="H545" s="13">
        <f>F545*1000</f>
        <v/>
      </c>
      <c r="I545" s="14">
        <f>G545-273.15</f>
        <v/>
      </c>
      <c r="K545" s="15" t="n">
        <v>2002</v>
      </c>
      <c r="L545" s="15" t="n">
        <v>7</v>
      </c>
      <c r="M545" s="15" t="n">
        <v>1</v>
      </c>
      <c r="N545" s="16" t="n">
        <v>0.0001506721306</v>
      </c>
      <c r="O545" s="11" t="n">
        <v>290.4295895</v>
      </c>
      <c r="P545" s="13">
        <f>N545*86400</f>
        <v/>
      </c>
      <c r="Q545" s="14">
        <f>O545-273.15</f>
        <v/>
      </c>
    </row>
    <row r="546">
      <c r="A546" s="9" t="n">
        <v>37433</v>
      </c>
      <c r="B546" s="7">
        <f>YEAR(A546)</f>
        <v/>
      </c>
      <c r="C546" s="7">
        <f>MONTH(A546)</f>
        <v/>
      </c>
      <c r="D546" s="10" t="n">
        <v>2.925204822</v>
      </c>
      <c r="E546" s="11" t="n">
        <v>13.03609131</v>
      </c>
      <c r="F546" s="12" t="n">
        <v>0.0002653354917</v>
      </c>
      <c r="G546" s="11" t="n">
        <v>288.9797445</v>
      </c>
      <c r="H546" s="13">
        <f>F546*1000</f>
        <v/>
      </c>
      <c r="I546" s="14">
        <f>G546-273.15</f>
        <v/>
      </c>
      <c r="K546" s="15" t="n">
        <v>2002</v>
      </c>
      <c r="L546" s="15" t="n">
        <v>7</v>
      </c>
      <c r="M546" s="15" t="n">
        <v>2</v>
      </c>
      <c r="N546" s="16" t="n">
        <v>5.696716012e-05</v>
      </c>
      <c r="O546" s="11" t="n">
        <v>289.8082359</v>
      </c>
      <c r="P546" s="13">
        <f>N546*86400</f>
        <v/>
      </c>
      <c r="Q546" s="14">
        <f>O546-273.15</f>
        <v/>
      </c>
    </row>
    <row r="547">
      <c r="A547" s="9" t="n">
        <v>37434</v>
      </c>
      <c r="B547" s="7">
        <f>YEAR(A547)</f>
        <v/>
      </c>
      <c r="C547" s="7">
        <f>MONTH(A547)</f>
        <v/>
      </c>
      <c r="D547" s="10" t="n">
        <v>0</v>
      </c>
      <c r="E547" s="11" t="n">
        <v>13.6815849</v>
      </c>
      <c r="F547" s="12" t="n">
        <v>0.0003260447309</v>
      </c>
      <c r="G547" s="11" t="n">
        <v>289.7587668</v>
      </c>
      <c r="H547" s="13">
        <f>F547*1000</f>
        <v/>
      </c>
      <c r="I547" s="14">
        <f>G547-273.15</f>
        <v/>
      </c>
      <c r="K547" s="15" t="n">
        <v>2002</v>
      </c>
      <c r="L547" s="15" t="n">
        <v>7</v>
      </c>
      <c r="M547" s="15" t="n">
        <v>3</v>
      </c>
      <c r="N547" s="16" t="n">
        <v>1.372679415e-05</v>
      </c>
      <c r="O547" s="11" t="n">
        <v>290.3198075</v>
      </c>
      <c r="P547" s="13">
        <f>N547*86400</f>
        <v/>
      </c>
      <c r="Q547" s="14">
        <f>O547-273.15</f>
        <v/>
      </c>
    </row>
    <row r="548">
      <c r="A548" s="9" t="n">
        <v>37435</v>
      </c>
      <c r="B548" s="7">
        <f>YEAR(A548)</f>
        <v/>
      </c>
      <c r="C548" s="7">
        <f>MONTH(A548)</f>
        <v/>
      </c>
      <c r="D548" s="10" t="n">
        <v>4.516859452</v>
      </c>
      <c r="E548" s="11" t="n">
        <v>17.45292251</v>
      </c>
      <c r="F548" s="12" t="n">
        <v>0.0001900385618</v>
      </c>
      <c r="G548" s="11" t="n">
        <v>292.0160363</v>
      </c>
      <c r="H548" s="13">
        <f>F548*1000</f>
        <v/>
      </c>
      <c r="I548" s="14">
        <f>G548-273.15</f>
        <v/>
      </c>
      <c r="K548" s="15" t="n">
        <v>2002</v>
      </c>
      <c r="L548" s="15" t="n">
        <v>7</v>
      </c>
      <c r="M548" s="15" t="n">
        <v>4</v>
      </c>
      <c r="N548" s="16" t="n">
        <v>0.000105594423</v>
      </c>
      <c r="O548" s="11" t="n">
        <v>290.5634836</v>
      </c>
      <c r="P548" s="13">
        <f>N548*86400</f>
        <v/>
      </c>
      <c r="Q548" s="14">
        <f>O548-273.15</f>
        <v/>
      </c>
    </row>
    <row r="549">
      <c r="A549" s="9" t="n">
        <v>37436</v>
      </c>
      <c r="B549" s="7">
        <f>YEAR(A549)</f>
        <v/>
      </c>
      <c r="C549" s="7">
        <f>MONTH(A549)</f>
        <v/>
      </c>
      <c r="D549" s="10" t="n">
        <v>0</v>
      </c>
      <c r="E549" s="11" t="n">
        <v>19.04375291</v>
      </c>
      <c r="F549" s="12" t="n">
        <v>0.0003948234729</v>
      </c>
      <c r="G549" s="11" t="n">
        <v>294.6742998</v>
      </c>
      <c r="H549" s="13">
        <f>F549*1000</f>
        <v/>
      </c>
      <c r="I549" s="14">
        <f>G549-273.15</f>
        <v/>
      </c>
      <c r="K549" s="15" t="n">
        <v>2002</v>
      </c>
      <c r="L549" s="15" t="n">
        <v>7</v>
      </c>
      <c r="M549" s="15" t="n">
        <v>5</v>
      </c>
      <c r="N549" s="16" t="n">
        <v>0.0001277997743</v>
      </c>
      <c r="O549" s="11" t="n">
        <v>292.251002</v>
      </c>
      <c r="P549" s="13">
        <f>N549*86400</f>
        <v/>
      </c>
      <c r="Q549" s="14">
        <f>O549-273.15</f>
        <v/>
      </c>
    </row>
    <row r="550">
      <c r="A550" s="9" t="n">
        <v>37437</v>
      </c>
      <c r="B550" s="7">
        <f>YEAR(A550)</f>
        <v/>
      </c>
      <c r="C550" s="7">
        <f>MONTH(A550)</f>
        <v/>
      </c>
      <c r="D550" s="10" t="n">
        <v>0</v>
      </c>
      <c r="E550" s="11" t="n">
        <v>18.71364321</v>
      </c>
      <c r="F550" s="12" t="n">
        <v>0</v>
      </c>
      <c r="G550" s="11" t="n">
        <v>295.1627376</v>
      </c>
      <c r="H550" s="13">
        <f>F550*1000</f>
        <v/>
      </c>
      <c r="I550" s="14">
        <f>G550-273.15</f>
        <v/>
      </c>
      <c r="K550" s="15" t="n">
        <v>2002</v>
      </c>
      <c r="L550" s="15" t="n">
        <v>7</v>
      </c>
      <c r="M550" s="15" t="n">
        <v>6</v>
      </c>
      <c r="N550" s="16" t="n">
        <v>0.0003763102615</v>
      </c>
      <c r="O550" s="11" t="n">
        <v>289.6376853</v>
      </c>
      <c r="P550" s="13">
        <f>N550*86400</f>
        <v/>
      </c>
      <c r="Q550" s="14">
        <f>O550-273.15</f>
        <v/>
      </c>
    </row>
    <row r="551">
      <c r="A551" s="9" t="n">
        <v>37438</v>
      </c>
      <c r="B551" s="7">
        <f>YEAR(A551)</f>
        <v/>
      </c>
      <c r="C551" s="7">
        <f>MONTH(A551)</f>
        <v/>
      </c>
      <c r="D551" s="10" t="n">
        <v>0</v>
      </c>
      <c r="E551" s="11" t="n">
        <v>19.44047186</v>
      </c>
      <c r="F551" s="12" t="n">
        <v>0</v>
      </c>
      <c r="G551" s="11" t="n">
        <v>296.4185368</v>
      </c>
      <c r="H551" s="13">
        <f>F551*1000</f>
        <v/>
      </c>
      <c r="I551" s="14">
        <f>G551-273.15</f>
        <v/>
      </c>
      <c r="K551" s="15" t="n">
        <v>2002</v>
      </c>
      <c r="L551" s="15" t="n">
        <v>7</v>
      </c>
      <c r="M551" s="15" t="n">
        <v>7</v>
      </c>
      <c r="N551" s="16" t="n">
        <v>0.0003996165708</v>
      </c>
      <c r="O551" s="11" t="n">
        <v>290.6654979</v>
      </c>
      <c r="P551" s="13">
        <f>N551*86400</f>
        <v/>
      </c>
      <c r="Q551" s="14">
        <f>O551-273.15</f>
        <v/>
      </c>
    </row>
    <row r="552">
      <c r="A552" s="9" t="n">
        <v>37439</v>
      </c>
      <c r="B552" s="7">
        <f>YEAR(A552)</f>
        <v/>
      </c>
      <c r="C552" s="7">
        <f>MONTH(A552)</f>
        <v/>
      </c>
      <c r="D552" s="10" t="n">
        <v>0</v>
      </c>
      <c r="E552" s="11" t="n">
        <v>20.59219546</v>
      </c>
      <c r="F552" s="12" t="n">
        <v>0.0005923675914</v>
      </c>
      <c r="G552" s="11" t="n">
        <v>297.036461</v>
      </c>
      <c r="H552" s="13">
        <f>F552*1000</f>
        <v/>
      </c>
      <c r="I552" s="14">
        <f>G552-273.15</f>
        <v/>
      </c>
      <c r="K552" s="15" t="n">
        <v>2002</v>
      </c>
      <c r="L552" s="15" t="n">
        <v>7</v>
      </c>
      <c r="M552" s="15" t="n">
        <v>8</v>
      </c>
      <c r="N552" s="16" t="n">
        <v>0.0001697042835</v>
      </c>
      <c r="O552" s="11" t="n">
        <v>290.3086841</v>
      </c>
      <c r="P552" s="13">
        <f>N552*86400</f>
        <v/>
      </c>
      <c r="Q552" s="14">
        <f>O552-273.15</f>
        <v/>
      </c>
    </row>
    <row r="553">
      <c r="A553" s="9" t="n">
        <v>37440</v>
      </c>
      <c r="B553" s="7">
        <f>YEAR(A553)</f>
        <v/>
      </c>
      <c r="C553" s="7">
        <f>MONTH(A553)</f>
        <v/>
      </c>
      <c r="D553" s="10" t="n">
        <v>9.322939985</v>
      </c>
      <c r="E553" s="11" t="n">
        <v>18.60744666</v>
      </c>
      <c r="F553" s="12" t="n">
        <v>0.01750107531</v>
      </c>
      <c r="G553" s="11" t="n">
        <v>294.1986509</v>
      </c>
      <c r="H553" s="13">
        <f>F553*1000</f>
        <v/>
      </c>
      <c r="I553" s="14">
        <f>G553-273.15</f>
        <v/>
      </c>
      <c r="K553" s="15" t="n">
        <v>2002</v>
      </c>
      <c r="L553" s="15" t="n">
        <v>7</v>
      </c>
      <c r="M553" s="15" t="n">
        <v>9</v>
      </c>
      <c r="N553" s="16" t="n">
        <v>0.0001593277062</v>
      </c>
      <c r="O553" s="11" t="n">
        <v>291.1823288</v>
      </c>
      <c r="P553" s="13">
        <f>N553*86400</f>
        <v/>
      </c>
      <c r="Q553" s="14">
        <f>O553-273.15</f>
        <v/>
      </c>
    </row>
    <row r="554">
      <c r="A554" s="9" t="n">
        <v>37441</v>
      </c>
      <c r="B554" s="7">
        <f>YEAR(A554)</f>
        <v/>
      </c>
      <c r="C554" s="7">
        <f>MONTH(A554)</f>
        <v/>
      </c>
      <c r="D554" s="10" t="n">
        <v>36.73880064</v>
      </c>
      <c r="E554" s="11" t="n">
        <v>17.79873158</v>
      </c>
      <c r="F554" s="12" t="n">
        <v>0.03007515153</v>
      </c>
      <c r="G554" s="11" t="n">
        <v>292.791917</v>
      </c>
      <c r="H554" s="13">
        <f>F554*1000</f>
        <v/>
      </c>
      <c r="I554" s="14">
        <f>G554-273.15</f>
        <v/>
      </c>
      <c r="K554" s="15" t="n">
        <v>2002</v>
      </c>
      <c r="L554" s="15" t="n">
        <v>7</v>
      </c>
      <c r="M554" s="15" t="n">
        <v>10</v>
      </c>
      <c r="N554" s="16" t="n">
        <v>5.214963155e-07</v>
      </c>
      <c r="O554" s="11" t="n">
        <v>291.8048246</v>
      </c>
      <c r="P554" s="13">
        <f>N554*86400</f>
        <v/>
      </c>
      <c r="Q554" s="14">
        <f>O554-273.15</f>
        <v/>
      </c>
    </row>
    <row r="555">
      <c r="A555" s="9" t="n">
        <v>37442</v>
      </c>
      <c r="B555" s="7">
        <f>YEAR(A555)</f>
        <v/>
      </c>
      <c r="C555" s="7">
        <f>MONTH(A555)</f>
        <v/>
      </c>
      <c r="D555" s="10" t="n">
        <v>52.12891788</v>
      </c>
      <c r="E555" s="11" t="n">
        <v>16.76331982</v>
      </c>
      <c r="F555" s="12" t="n">
        <v>0.02093211181</v>
      </c>
      <c r="G555" s="11" t="n">
        <v>291.2678969</v>
      </c>
      <c r="H555" s="13">
        <f>F555*1000</f>
        <v/>
      </c>
      <c r="I555" s="14">
        <f>G555-273.15</f>
        <v/>
      </c>
      <c r="K555" s="15" t="n">
        <v>2002</v>
      </c>
      <c r="L555" s="15" t="n">
        <v>7</v>
      </c>
      <c r="M555" s="15" t="n">
        <v>11</v>
      </c>
      <c r="N555" s="16" t="n">
        <v>5.136914511e-06</v>
      </c>
      <c r="O555" s="11" t="n">
        <v>293.0199054</v>
      </c>
      <c r="P555" s="13">
        <f>N555*86400</f>
        <v/>
      </c>
      <c r="Q555" s="14">
        <f>O555-273.15</f>
        <v/>
      </c>
    </row>
    <row r="556">
      <c r="A556" s="9" t="n">
        <v>37443</v>
      </c>
      <c r="B556" s="7">
        <f>YEAR(A556)</f>
        <v/>
      </c>
      <c r="C556" s="7">
        <f>MONTH(A556)</f>
        <v/>
      </c>
      <c r="D556" s="10" t="n">
        <v>15.63774435</v>
      </c>
      <c r="E556" s="11" t="n">
        <v>17.95652303</v>
      </c>
      <c r="F556" s="12" t="n">
        <v>0.001432829888</v>
      </c>
      <c r="G556" s="11" t="n">
        <v>291.4579771</v>
      </c>
      <c r="H556" s="13">
        <f>F556*1000</f>
        <v/>
      </c>
      <c r="I556" s="14">
        <f>G556-273.15</f>
        <v/>
      </c>
      <c r="K556" s="15" t="n">
        <v>2002</v>
      </c>
      <c r="L556" s="15" t="n">
        <v>7</v>
      </c>
      <c r="M556" s="15" t="n">
        <v>12</v>
      </c>
      <c r="N556" s="16" t="n">
        <v>7.962063724e-05</v>
      </c>
      <c r="O556" s="11" t="n">
        <v>293.0941841</v>
      </c>
      <c r="P556" s="13">
        <f>N556*86400</f>
        <v/>
      </c>
      <c r="Q556" s="14">
        <f>O556-273.15</f>
        <v/>
      </c>
    </row>
    <row r="557">
      <c r="A557" s="9" t="n">
        <v>37444</v>
      </c>
      <c r="B557" s="7">
        <f>YEAR(A557)</f>
        <v/>
      </c>
      <c r="C557" s="7">
        <f>MONTH(A557)</f>
        <v/>
      </c>
      <c r="D557" s="10" t="n">
        <v>12.45300511</v>
      </c>
      <c r="E557" s="11" t="n">
        <v>16.57334346</v>
      </c>
      <c r="F557" s="12" t="n">
        <v>0.004560090544</v>
      </c>
      <c r="G557" s="11" t="n">
        <v>291.0635836</v>
      </c>
      <c r="H557" s="13">
        <f>F557*1000</f>
        <v/>
      </c>
      <c r="I557" s="14">
        <f>G557-273.15</f>
        <v/>
      </c>
      <c r="K557" s="15" t="n">
        <v>2002</v>
      </c>
      <c r="L557" s="15" t="n">
        <v>7</v>
      </c>
      <c r="M557" s="15" t="n">
        <v>13</v>
      </c>
      <c r="N557" s="16" t="n">
        <v>0.0002231890001</v>
      </c>
      <c r="O557" s="11" t="n">
        <v>292.810886</v>
      </c>
      <c r="P557" s="13">
        <f>N557*86400</f>
        <v/>
      </c>
      <c r="Q557" s="14">
        <f>O557-273.15</f>
        <v/>
      </c>
    </row>
    <row r="558">
      <c r="A558" s="9" t="n">
        <v>37445</v>
      </c>
      <c r="B558" s="7">
        <f>YEAR(A558)</f>
        <v/>
      </c>
      <c r="C558" s="7">
        <f>MONTH(A558)</f>
        <v/>
      </c>
      <c r="D558" s="10" t="n">
        <v>17.46149936</v>
      </c>
      <c r="E558" s="11" t="n">
        <v>14.40285276</v>
      </c>
      <c r="F558" s="12" t="n">
        <v>0.03169976885</v>
      </c>
      <c r="G558" s="11" t="n">
        <v>289.025743</v>
      </c>
      <c r="H558" s="13">
        <f>F558*1000</f>
        <v/>
      </c>
      <c r="I558" s="14">
        <f>G558-273.15</f>
        <v/>
      </c>
      <c r="K558" s="15" t="n">
        <v>2002</v>
      </c>
      <c r="L558" s="15" t="n">
        <v>7</v>
      </c>
      <c r="M558" s="15" t="n">
        <v>14</v>
      </c>
      <c r="N558" s="16" t="n">
        <v>7.249883183e-06</v>
      </c>
      <c r="O558" s="11" t="n">
        <v>292.8811377</v>
      </c>
      <c r="P558" s="13">
        <f>N558*86400</f>
        <v/>
      </c>
      <c r="Q558" s="14">
        <f>O558-273.15</f>
        <v/>
      </c>
    </row>
    <row r="559">
      <c r="A559" s="9" t="n">
        <v>37446</v>
      </c>
      <c r="B559" s="7">
        <f>YEAR(A559)</f>
        <v/>
      </c>
      <c r="C559" s="7">
        <f>MONTH(A559)</f>
        <v/>
      </c>
      <c r="D559" s="10" t="n">
        <v>7.757301779</v>
      </c>
      <c r="E559" s="11" t="n">
        <v>14.03238959</v>
      </c>
      <c r="F559" s="12" t="n">
        <v>0.01003255606</v>
      </c>
      <c r="G559" s="11" t="n">
        <v>288.4135779</v>
      </c>
      <c r="H559" s="13">
        <f>F559*1000</f>
        <v/>
      </c>
      <c r="I559" s="14">
        <f>G559-273.15</f>
        <v/>
      </c>
      <c r="K559" s="15" t="n">
        <v>2002</v>
      </c>
      <c r="L559" s="15" t="n">
        <v>7</v>
      </c>
      <c r="M559" s="15" t="n">
        <v>15</v>
      </c>
      <c r="N559" s="16" t="n">
        <v>0</v>
      </c>
      <c r="O559" s="11" t="n">
        <v>293.4030867</v>
      </c>
      <c r="P559" s="13">
        <f>N559*86400</f>
        <v/>
      </c>
      <c r="Q559" s="14">
        <f>O559-273.15</f>
        <v/>
      </c>
    </row>
    <row r="560">
      <c r="A560" s="9" t="n">
        <v>37447</v>
      </c>
      <c r="B560" s="7">
        <f>YEAR(A560)</f>
        <v/>
      </c>
      <c r="C560" s="7">
        <f>MONTH(A560)</f>
        <v/>
      </c>
      <c r="D560" s="10" t="n">
        <v>30.37842203</v>
      </c>
      <c r="E560" s="11" t="n">
        <v>12.58296962</v>
      </c>
      <c r="F560" s="12" t="n">
        <v>0.02725741959</v>
      </c>
      <c r="G560" s="11" t="n">
        <v>285.9172016</v>
      </c>
      <c r="H560" s="13">
        <f>F560*1000</f>
        <v/>
      </c>
      <c r="I560" s="14">
        <f>G560-273.15</f>
        <v/>
      </c>
      <c r="K560" s="15" t="n">
        <v>2002</v>
      </c>
      <c r="L560" s="15" t="n">
        <v>7</v>
      </c>
      <c r="M560" s="15" t="n">
        <v>16</v>
      </c>
      <c r="N560" s="16" t="n">
        <v>9.821182954999999e-06</v>
      </c>
      <c r="O560" s="11" t="n">
        <v>292.9745109</v>
      </c>
      <c r="P560" s="13">
        <f>N560*86400</f>
        <v/>
      </c>
      <c r="Q560" s="14">
        <f>O560-273.15</f>
        <v/>
      </c>
    </row>
    <row r="561">
      <c r="A561" s="9" t="n">
        <v>37448</v>
      </c>
      <c r="B561" s="7">
        <f>YEAR(A561)</f>
        <v/>
      </c>
      <c r="C561" s="7">
        <f>MONTH(A561)</f>
        <v/>
      </c>
      <c r="D561" s="10" t="n">
        <v>5.879807663</v>
      </c>
      <c r="E561" s="11" t="n">
        <v>15.27067785</v>
      </c>
      <c r="F561" s="12" t="n">
        <v>0.01994013218</v>
      </c>
      <c r="G561" s="11" t="n">
        <v>289.0190446</v>
      </c>
      <c r="H561" s="13">
        <f>F561*1000</f>
        <v/>
      </c>
      <c r="I561" s="14">
        <f>G561-273.15</f>
        <v/>
      </c>
      <c r="K561" s="15" t="n">
        <v>2002</v>
      </c>
      <c r="L561" s="15" t="n">
        <v>7</v>
      </c>
      <c r="M561" s="15" t="n">
        <v>17</v>
      </c>
      <c r="N561" s="16" t="n">
        <v>0</v>
      </c>
      <c r="O561" s="11" t="n">
        <v>293.3339826</v>
      </c>
      <c r="P561" s="13">
        <f>N561*86400</f>
        <v/>
      </c>
      <c r="Q561" s="14">
        <f>O561-273.15</f>
        <v/>
      </c>
    </row>
    <row r="562">
      <c r="A562" s="9" t="n">
        <v>37449</v>
      </c>
      <c r="B562" s="7">
        <f>YEAR(A562)</f>
        <v/>
      </c>
      <c r="C562" s="7">
        <f>MONTH(A562)</f>
        <v/>
      </c>
      <c r="D562" s="10" t="n">
        <v>10.57189988</v>
      </c>
      <c r="E562" s="11" t="n">
        <v>18.0358208</v>
      </c>
      <c r="F562" s="12" t="n">
        <v>0.01652835124</v>
      </c>
      <c r="G562" s="11" t="n">
        <v>292.2327671</v>
      </c>
      <c r="H562" s="13">
        <f>F562*1000</f>
        <v/>
      </c>
      <c r="I562" s="14">
        <f>G562-273.15</f>
        <v/>
      </c>
      <c r="K562" s="15" t="n">
        <v>2002</v>
      </c>
      <c r="L562" s="15" t="n">
        <v>7</v>
      </c>
      <c r="M562" s="15" t="n">
        <v>18</v>
      </c>
      <c r="N562" s="16" t="n">
        <v>0</v>
      </c>
      <c r="O562" s="11" t="n">
        <v>291.7697061</v>
      </c>
      <c r="P562" s="13">
        <f>N562*86400</f>
        <v/>
      </c>
      <c r="Q562" s="14">
        <f>O562-273.15</f>
        <v/>
      </c>
    </row>
    <row r="563">
      <c r="A563" s="9" t="n">
        <v>37450</v>
      </c>
      <c r="B563" s="7">
        <f>YEAR(A563)</f>
        <v/>
      </c>
      <c r="C563" s="7">
        <f>MONTH(A563)</f>
        <v/>
      </c>
      <c r="D563" s="10" t="n">
        <v>9.166908634</v>
      </c>
      <c r="E563" s="11" t="n">
        <v>17.04140837</v>
      </c>
      <c r="F563" s="12" t="n">
        <v>0.003478486644</v>
      </c>
      <c r="G563" s="11" t="n">
        <v>291.5456162</v>
      </c>
      <c r="H563" s="13">
        <f>F563*1000</f>
        <v/>
      </c>
      <c r="I563" s="14">
        <f>G563-273.15</f>
        <v/>
      </c>
      <c r="K563" s="15" t="n">
        <v>2002</v>
      </c>
      <c r="L563" s="15" t="n">
        <v>7</v>
      </c>
      <c r="M563" s="15" t="n">
        <v>19</v>
      </c>
      <c r="N563" s="16" t="n">
        <v>3.70505682e-05</v>
      </c>
      <c r="O563" s="11" t="n">
        <v>291.4255826</v>
      </c>
      <c r="P563" s="13">
        <f>N563*86400</f>
        <v/>
      </c>
      <c r="Q563" s="14">
        <f>O563-273.15</f>
        <v/>
      </c>
    </row>
    <row r="564">
      <c r="A564" s="9" t="n">
        <v>37451</v>
      </c>
      <c r="B564" s="7">
        <f>YEAR(A564)</f>
        <v/>
      </c>
      <c r="C564" s="7">
        <f>MONTH(A564)</f>
        <v/>
      </c>
      <c r="D564" s="10" t="n">
        <v>12.29085805</v>
      </c>
      <c r="E564" s="11" t="n">
        <v>19.88748384</v>
      </c>
      <c r="F564" s="12" t="n">
        <v>0.003461685597</v>
      </c>
      <c r="G564" s="11" t="n">
        <v>293.861437</v>
      </c>
      <c r="H564" s="13">
        <f>F564*1000</f>
        <v/>
      </c>
      <c r="I564" s="14">
        <f>G564-273.15</f>
        <v/>
      </c>
      <c r="K564" s="15" t="n">
        <v>2002</v>
      </c>
      <c r="L564" s="15" t="n">
        <v>7</v>
      </c>
      <c r="M564" s="15" t="n">
        <v>20</v>
      </c>
      <c r="N564" s="16" t="n">
        <v>2.605670664e-06</v>
      </c>
      <c r="O564" s="11" t="n">
        <v>291.5195311</v>
      </c>
      <c r="P564" s="13">
        <f>N564*86400</f>
        <v/>
      </c>
      <c r="Q564" s="14">
        <f>O564-273.15</f>
        <v/>
      </c>
    </row>
    <row r="565">
      <c r="A565" s="9" t="n">
        <v>37452</v>
      </c>
      <c r="B565" s="7">
        <f>YEAR(A565)</f>
        <v/>
      </c>
      <c r="C565" s="7">
        <f>MONTH(A565)</f>
        <v/>
      </c>
      <c r="D565" s="10" t="n">
        <v>45.31135023</v>
      </c>
      <c r="E565" s="11" t="n">
        <v>18.90764185</v>
      </c>
      <c r="F565" s="12" t="n">
        <v>0.02226627975</v>
      </c>
      <c r="G565" s="11" t="n">
        <v>292.3129734</v>
      </c>
      <c r="H565" s="13">
        <f>F565*1000</f>
        <v/>
      </c>
      <c r="I565" s="14">
        <f>G565-273.15</f>
        <v/>
      </c>
      <c r="K565" s="15" t="n">
        <v>2002</v>
      </c>
      <c r="L565" s="15" t="n">
        <v>7</v>
      </c>
      <c r="M565" s="15" t="n">
        <v>21</v>
      </c>
      <c r="N565" s="16" t="n">
        <v>0.0003380401247</v>
      </c>
      <c r="O565" s="11" t="n">
        <v>291.0853678</v>
      </c>
      <c r="P565" s="13">
        <f>N565*86400</f>
        <v/>
      </c>
      <c r="Q565" s="14">
        <f>O565-273.15</f>
        <v/>
      </c>
    </row>
    <row r="566">
      <c r="A566" s="9" t="n">
        <v>37453</v>
      </c>
      <c r="B566" s="7">
        <f>YEAR(A566)</f>
        <v/>
      </c>
      <c r="C566" s="7">
        <f>MONTH(A566)</f>
        <v/>
      </c>
      <c r="D566" s="10" t="n">
        <v>25.16482034</v>
      </c>
      <c r="E566" s="11" t="n">
        <v>17.79030835</v>
      </c>
      <c r="F566" s="12" t="n">
        <v>0.02504534868</v>
      </c>
      <c r="G566" s="11" t="n">
        <v>291.5862971</v>
      </c>
      <c r="H566" s="13">
        <f>F566*1000</f>
        <v/>
      </c>
      <c r="I566" s="14">
        <f>G566-273.15</f>
        <v/>
      </c>
      <c r="K566" s="15" t="n">
        <v>2002</v>
      </c>
      <c r="L566" s="15" t="n">
        <v>7</v>
      </c>
      <c r="M566" s="15" t="n">
        <v>22</v>
      </c>
      <c r="N566" s="16" t="n">
        <v>4.349240193e-07</v>
      </c>
      <c r="O566" s="11" t="n">
        <v>290.6481512</v>
      </c>
      <c r="P566" s="13">
        <f>N566*86400</f>
        <v/>
      </c>
      <c r="Q566" s="14">
        <f>O566-273.15</f>
        <v/>
      </c>
    </row>
    <row r="567">
      <c r="A567" s="9" t="n">
        <v>37454</v>
      </c>
      <c r="B567" s="7">
        <f>YEAR(A567)</f>
        <v/>
      </c>
      <c r="C567" s="7">
        <f>MONTH(A567)</f>
        <v/>
      </c>
      <c r="D567" s="10" t="n">
        <v>29.94324109</v>
      </c>
      <c r="E567" s="11" t="n">
        <v>17.91897548</v>
      </c>
      <c r="F567" s="12" t="n">
        <v>0.04072041389</v>
      </c>
      <c r="G567" s="11" t="n">
        <v>291.999712</v>
      </c>
      <c r="H567" s="13">
        <f>F567*1000</f>
        <v/>
      </c>
      <c r="I567" s="14">
        <f>G567-273.15</f>
        <v/>
      </c>
      <c r="K567" s="15" t="n">
        <v>2002</v>
      </c>
      <c r="L567" s="15" t="n">
        <v>7</v>
      </c>
      <c r="M567" s="15" t="n">
        <v>23</v>
      </c>
      <c r="N567" s="16" t="n">
        <v>8.85997492e-06</v>
      </c>
      <c r="O567" s="11" t="n">
        <v>291.436504</v>
      </c>
      <c r="P567" s="13">
        <f>N567*86400</f>
        <v/>
      </c>
      <c r="Q567" s="14">
        <f>O567-273.15</f>
        <v/>
      </c>
    </row>
    <row r="568">
      <c r="A568" s="9" t="n">
        <v>37455</v>
      </c>
      <c r="B568" s="7">
        <f>YEAR(A568)</f>
        <v/>
      </c>
      <c r="C568" s="7">
        <f>MONTH(A568)</f>
        <v/>
      </c>
      <c r="D568" s="10" t="n">
        <v>20.36473156</v>
      </c>
      <c r="E568" s="11" t="n">
        <v>17.03301629</v>
      </c>
      <c r="F568" s="12" t="n">
        <v>0.01175190289</v>
      </c>
      <c r="G568" s="11" t="n">
        <v>291.1001674</v>
      </c>
      <c r="H568" s="13">
        <f>F568*1000</f>
        <v/>
      </c>
      <c r="I568" s="14">
        <f>G568-273.15</f>
        <v/>
      </c>
      <c r="K568" s="15" t="n">
        <v>2002</v>
      </c>
      <c r="L568" s="15" t="n">
        <v>7</v>
      </c>
      <c r="M568" s="15" t="n">
        <v>24</v>
      </c>
      <c r="N568" s="16" t="n">
        <v>4.297356042e-06</v>
      </c>
      <c r="O568" s="11" t="n">
        <v>292.8408402</v>
      </c>
      <c r="P568" s="13">
        <f>N568*86400</f>
        <v/>
      </c>
      <c r="Q568" s="14">
        <f>O568-273.15</f>
        <v/>
      </c>
    </row>
    <row r="569">
      <c r="A569" s="9" t="n">
        <v>37456</v>
      </c>
      <c r="B569" s="7">
        <f>YEAR(A569)</f>
        <v/>
      </c>
      <c r="C569" s="7">
        <f>MONTH(A569)</f>
        <v/>
      </c>
      <c r="D569" s="10" t="n">
        <v>15.17556377</v>
      </c>
      <c r="E569" s="11" t="n">
        <v>14.90206011</v>
      </c>
      <c r="F569" s="12" t="n">
        <v>0.008404085581</v>
      </c>
      <c r="G569" s="11" t="n">
        <v>289.1457713</v>
      </c>
      <c r="H569" s="13">
        <f>F569*1000</f>
        <v/>
      </c>
      <c r="I569" s="14">
        <f>G569-273.15</f>
        <v/>
      </c>
      <c r="K569" s="15" t="n">
        <v>2002</v>
      </c>
      <c r="L569" s="15" t="n">
        <v>7</v>
      </c>
      <c r="M569" s="15" t="n">
        <v>25</v>
      </c>
      <c r="N569" s="16" t="n">
        <v>1.866004005e-05</v>
      </c>
      <c r="O569" s="11" t="n">
        <v>292.2411782</v>
      </c>
      <c r="P569" s="13">
        <f>N569*86400</f>
        <v/>
      </c>
      <c r="Q569" s="14">
        <f>O569-273.15</f>
        <v/>
      </c>
    </row>
    <row r="570">
      <c r="A570" s="9" t="n">
        <v>37457</v>
      </c>
      <c r="B570" s="7">
        <f>YEAR(A570)</f>
        <v/>
      </c>
      <c r="C570" s="7">
        <f>MONTH(A570)</f>
        <v/>
      </c>
      <c r="D570" s="10" t="n">
        <v>46.46863776</v>
      </c>
      <c r="E570" s="11" t="n">
        <v>15.58153485</v>
      </c>
      <c r="F570" s="12" t="n">
        <v>0.01999314289</v>
      </c>
      <c r="G570" s="11" t="n">
        <v>290.9531449</v>
      </c>
      <c r="H570" s="13">
        <f>F570*1000</f>
        <v/>
      </c>
      <c r="I570" s="14">
        <f>G570-273.15</f>
        <v/>
      </c>
      <c r="K570" s="15" t="n">
        <v>2002</v>
      </c>
      <c r="L570" s="15" t="n">
        <v>7</v>
      </c>
      <c r="M570" s="15" t="n">
        <v>26</v>
      </c>
      <c r="N570" s="16" t="n">
        <v>7.277730607e-05</v>
      </c>
      <c r="O570" s="11" t="n">
        <v>290.9999178</v>
      </c>
      <c r="P570" s="13">
        <f>N570*86400</f>
        <v/>
      </c>
      <c r="Q570" s="14">
        <f>O570-273.15</f>
        <v/>
      </c>
    </row>
    <row r="571">
      <c r="A571" s="9" t="n">
        <v>37458</v>
      </c>
      <c r="B571" s="7">
        <f>YEAR(A571)</f>
        <v/>
      </c>
      <c r="C571" s="7">
        <f>MONTH(A571)</f>
        <v/>
      </c>
      <c r="D571" s="10" t="n">
        <v>10.24028424</v>
      </c>
      <c r="E571" s="11" t="n">
        <v>14.83768115</v>
      </c>
      <c r="F571" s="12" t="n">
        <v>0.006813078609</v>
      </c>
      <c r="G571" s="11" t="n">
        <v>290.4017896</v>
      </c>
      <c r="H571" s="13">
        <f>F571*1000</f>
        <v/>
      </c>
      <c r="I571" s="14">
        <f>G571-273.15</f>
        <v/>
      </c>
      <c r="K571" s="15" t="n">
        <v>2002</v>
      </c>
      <c r="L571" s="15" t="n">
        <v>7</v>
      </c>
      <c r="M571" s="15" t="n">
        <v>27</v>
      </c>
      <c r="N571" s="16" t="n">
        <v>1.290075392e-06</v>
      </c>
      <c r="O571" s="11" t="n">
        <v>291.181406</v>
      </c>
      <c r="P571" s="13">
        <f>N571*86400</f>
        <v/>
      </c>
      <c r="Q571" s="14">
        <f>O571-273.15</f>
        <v/>
      </c>
    </row>
    <row r="572">
      <c r="A572" s="9" t="n">
        <v>37459</v>
      </c>
      <c r="B572" s="7">
        <f>YEAR(A572)</f>
        <v/>
      </c>
      <c r="C572" s="7">
        <f>MONTH(A572)</f>
        <v/>
      </c>
      <c r="D572" s="10" t="n">
        <v>7.576261464</v>
      </c>
      <c r="E572" s="11" t="n">
        <v>14.00734224</v>
      </c>
      <c r="F572" s="12" t="n">
        <v>0.01128892663</v>
      </c>
      <c r="G572" s="11" t="n">
        <v>290.377626</v>
      </c>
      <c r="H572" s="13">
        <f>F572*1000</f>
        <v/>
      </c>
      <c r="I572" s="14">
        <f>G572-273.15</f>
        <v/>
      </c>
      <c r="K572" s="15" t="n">
        <v>2002</v>
      </c>
      <c r="L572" s="15" t="n">
        <v>7</v>
      </c>
      <c r="M572" s="15" t="n">
        <v>28</v>
      </c>
      <c r="N572" s="16" t="n">
        <v>9.015883518e-05</v>
      </c>
      <c r="O572" s="11" t="n">
        <v>289.2635314</v>
      </c>
      <c r="P572" s="13">
        <f>N572*86400</f>
        <v/>
      </c>
      <c r="Q572" s="14">
        <f>O572-273.15</f>
        <v/>
      </c>
    </row>
    <row r="573">
      <c r="A573" s="9" t="n">
        <v>37460</v>
      </c>
      <c r="B573" s="7">
        <f>YEAR(A573)</f>
        <v/>
      </c>
      <c r="C573" s="7">
        <f>MONTH(A573)</f>
        <v/>
      </c>
      <c r="D573" s="10" t="n">
        <v>22.74587971</v>
      </c>
      <c r="E573" s="11" t="n">
        <v>14.40166006</v>
      </c>
      <c r="F573" s="12" t="n">
        <v>0.006825552927</v>
      </c>
      <c r="G573" s="11" t="n">
        <v>290.5000293</v>
      </c>
      <c r="H573" s="13">
        <f>F573*1000</f>
        <v/>
      </c>
      <c r="I573" s="14">
        <f>G573-273.15</f>
        <v/>
      </c>
      <c r="K573" s="15" t="n">
        <v>2002</v>
      </c>
      <c r="L573" s="15" t="n">
        <v>7</v>
      </c>
      <c r="M573" s="15" t="n">
        <v>29</v>
      </c>
      <c r="N573" s="16" t="n">
        <v>5.454945217e-05</v>
      </c>
      <c r="O573" s="11" t="n">
        <v>290.634435</v>
      </c>
      <c r="P573" s="13">
        <f>N573*86400</f>
        <v/>
      </c>
      <c r="Q573" s="14">
        <f>O573-273.15</f>
        <v/>
      </c>
    </row>
    <row r="574">
      <c r="A574" s="9" t="n">
        <v>37461</v>
      </c>
      <c r="B574" s="7">
        <f>YEAR(A574)</f>
        <v/>
      </c>
      <c r="C574" s="7">
        <f>MONTH(A574)</f>
        <v/>
      </c>
      <c r="D574" s="10" t="n">
        <v>23.23409326</v>
      </c>
      <c r="E574" s="11" t="n">
        <v>14.91344891</v>
      </c>
      <c r="F574" s="12" t="n">
        <v>0.01111369205</v>
      </c>
      <c r="G574" s="11" t="n">
        <v>290.9798755</v>
      </c>
      <c r="H574" s="13">
        <f>F574*1000</f>
        <v/>
      </c>
      <c r="I574" s="14">
        <f>G574-273.15</f>
        <v/>
      </c>
      <c r="K574" s="15" t="n">
        <v>2002</v>
      </c>
      <c r="L574" s="15" t="n">
        <v>7</v>
      </c>
      <c r="M574" s="15" t="n">
        <v>30</v>
      </c>
      <c r="N574" s="16" t="n">
        <v>0.0002617099945</v>
      </c>
      <c r="O574" s="11" t="n">
        <v>288.1320275</v>
      </c>
      <c r="P574" s="13">
        <f>N574*86400</f>
        <v/>
      </c>
      <c r="Q574" s="14">
        <f>O574-273.15</f>
        <v/>
      </c>
    </row>
    <row r="575">
      <c r="A575" s="9" t="n">
        <v>37462</v>
      </c>
      <c r="B575" s="7">
        <f>YEAR(A575)</f>
        <v/>
      </c>
      <c r="C575" s="7">
        <f>MONTH(A575)</f>
        <v/>
      </c>
      <c r="D575" s="10" t="n">
        <v>13.92940337</v>
      </c>
      <c r="E575" s="11" t="n">
        <v>16.93267544</v>
      </c>
      <c r="F575" s="12" t="n">
        <v>0.01842170312</v>
      </c>
      <c r="G575" s="11" t="n">
        <v>292.9094293</v>
      </c>
      <c r="H575" s="13">
        <f>F575*1000</f>
        <v/>
      </c>
      <c r="I575" s="14">
        <f>G575-273.15</f>
        <v/>
      </c>
      <c r="K575" s="15" t="n">
        <v>2002</v>
      </c>
      <c r="L575" s="15" t="n">
        <v>8</v>
      </c>
      <c r="M575" s="15" t="n">
        <v>1</v>
      </c>
      <c r="N575" s="16" t="n">
        <v>0.0002244540299</v>
      </c>
      <c r="O575" s="11" t="n">
        <v>289.0175598</v>
      </c>
      <c r="P575" s="13">
        <f>N575*86400</f>
        <v/>
      </c>
      <c r="Q575" s="14">
        <f>O575-273.15</f>
        <v/>
      </c>
    </row>
    <row r="576">
      <c r="A576" s="9" t="n">
        <v>37463</v>
      </c>
      <c r="B576" s="7">
        <f>YEAR(A576)</f>
        <v/>
      </c>
      <c r="C576" s="7">
        <f>MONTH(A576)</f>
        <v/>
      </c>
      <c r="D576" s="10" t="n">
        <v>6.673915071</v>
      </c>
      <c r="E576" s="11" t="n">
        <v>17.41017768</v>
      </c>
      <c r="F576" s="12" t="n">
        <v>0.01668035835</v>
      </c>
      <c r="G576" s="11" t="n">
        <v>292.6883125</v>
      </c>
      <c r="H576" s="13">
        <f>F576*1000</f>
        <v/>
      </c>
      <c r="I576" s="14">
        <f>G576-273.15</f>
        <v/>
      </c>
      <c r="K576" s="15" t="n">
        <v>2002</v>
      </c>
      <c r="L576" s="15" t="n">
        <v>8</v>
      </c>
      <c r="M576" s="15" t="n">
        <v>2</v>
      </c>
      <c r="N576" s="16" t="n">
        <v>0.000113508906</v>
      </c>
      <c r="O576" s="11" t="n">
        <v>288.6977524</v>
      </c>
      <c r="P576" s="13">
        <f>N576*86400</f>
        <v/>
      </c>
      <c r="Q576" s="14">
        <f>O576-273.15</f>
        <v/>
      </c>
    </row>
    <row r="577">
      <c r="A577" s="9" t="n">
        <v>37464</v>
      </c>
      <c r="B577" s="7">
        <f>YEAR(A577)</f>
        <v/>
      </c>
      <c r="C577" s="7">
        <f>MONTH(A577)</f>
        <v/>
      </c>
      <c r="D577" s="10" t="n">
        <v>0</v>
      </c>
      <c r="E577" s="11" t="n">
        <v>16.816186</v>
      </c>
      <c r="F577" s="12" t="n">
        <v>0.00421110829</v>
      </c>
      <c r="G577" s="11" t="n">
        <v>291.8451021</v>
      </c>
      <c r="H577" s="13">
        <f>F577*1000</f>
        <v/>
      </c>
      <c r="I577" s="14">
        <f>G577-273.15</f>
        <v/>
      </c>
      <c r="K577" s="15" t="n">
        <v>2002</v>
      </c>
      <c r="L577" s="15" t="n">
        <v>8</v>
      </c>
      <c r="M577" s="15" t="n">
        <v>3</v>
      </c>
      <c r="N577" s="16" t="n">
        <v>6.644982878e-06</v>
      </c>
      <c r="O577" s="11" t="n">
        <v>290.3689219</v>
      </c>
      <c r="P577" s="13">
        <f>N577*86400</f>
        <v/>
      </c>
      <c r="Q577" s="14">
        <f>O577-273.15</f>
        <v/>
      </c>
    </row>
    <row r="578">
      <c r="A578" s="9" t="n">
        <v>37465</v>
      </c>
      <c r="B578" s="7">
        <f>YEAR(A578)</f>
        <v/>
      </c>
      <c r="C578" s="7">
        <f>MONTH(A578)</f>
        <v/>
      </c>
      <c r="D578" s="10" t="n">
        <v>3.244459762</v>
      </c>
      <c r="E578" s="11" t="n">
        <v>17.66185403</v>
      </c>
      <c r="F578" s="12" t="n">
        <v>0.0001386445306</v>
      </c>
      <c r="G578" s="11" t="n">
        <v>292.3687682</v>
      </c>
      <c r="H578" s="13">
        <f>F578*1000</f>
        <v/>
      </c>
      <c r="I578" s="14">
        <f>G578-273.15</f>
        <v/>
      </c>
      <c r="K578" s="15" t="n">
        <v>2002</v>
      </c>
      <c r="L578" s="15" t="n">
        <v>8</v>
      </c>
      <c r="M578" s="15" t="n">
        <v>4</v>
      </c>
      <c r="N578" s="16" t="n">
        <v>2.832660725e-05</v>
      </c>
      <c r="O578" s="11" t="n">
        <v>289.6800398</v>
      </c>
      <c r="P578" s="13">
        <f>N578*86400</f>
        <v/>
      </c>
      <c r="Q578" s="14">
        <f>O578-273.15</f>
        <v/>
      </c>
    </row>
    <row r="579">
      <c r="A579" s="9" t="n">
        <v>37466</v>
      </c>
      <c r="B579" s="7">
        <f>YEAR(A579)</f>
        <v/>
      </c>
      <c r="C579" s="7">
        <f>MONTH(A579)</f>
        <v/>
      </c>
      <c r="D579" s="10" t="n">
        <v>0.7418708964</v>
      </c>
      <c r="E579" s="11" t="n">
        <v>15.99689069</v>
      </c>
      <c r="F579" s="12" t="n">
        <v>0.002374212244</v>
      </c>
      <c r="G579" s="11" t="n">
        <v>290.4360853</v>
      </c>
      <c r="H579" s="13">
        <f>F579*1000</f>
        <v/>
      </c>
      <c r="I579" s="14">
        <f>G579-273.15</f>
        <v/>
      </c>
      <c r="K579" s="15" t="n">
        <v>2002</v>
      </c>
      <c r="L579" s="15" t="n">
        <v>8</v>
      </c>
      <c r="M579" s="15" t="n">
        <v>5</v>
      </c>
      <c r="N579" s="16" t="n">
        <v>1.038099214e-06</v>
      </c>
      <c r="O579" s="11" t="n">
        <v>289.4273296</v>
      </c>
      <c r="P579" s="13">
        <f>N579*86400</f>
        <v/>
      </c>
      <c r="Q579" s="14">
        <f>O579-273.15</f>
        <v/>
      </c>
    </row>
    <row r="580">
      <c r="A580" s="9" t="n">
        <v>37467</v>
      </c>
      <c r="B580" s="7">
        <f>YEAR(A580)</f>
        <v/>
      </c>
      <c r="C580" s="7">
        <f>MONTH(A580)</f>
        <v/>
      </c>
      <c r="D580" s="10" t="n">
        <v>20.68506112</v>
      </c>
      <c r="E580" s="11" t="n">
        <v>16.77107422</v>
      </c>
      <c r="F580" s="12" t="n">
        <v>0.01984845668</v>
      </c>
      <c r="G580" s="11" t="n">
        <v>291.1441363</v>
      </c>
      <c r="H580" s="13">
        <f>F580*1000</f>
        <v/>
      </c>
      <c r="I580" s="14">
        <f>G580-273.15</f>
        <v/>
      </c>
      <c r="K580" s="15" t="n">
        <v>2002</v>
      </c>
      <c r="L580" s="15" t="n">
        <v>8</v>
      </c>
      <c r="M580" s="15" t="n">
        <v>6</v>
      </c>
      <c r="N580" s="16" t="n">
        <v>9.35042073e-06</v>
      </c>
      <c r="O580" s="11" t="n">
        <v>290.337829</v>
      </c>
      <c r="P580" s="13">
        <f>N580*86400</f>
        <v/>
      </c>
      <c r="Q580" s="14">
        <f>O580-273.15</f>
        <v/>
      </c>
    </row>
    <row r="581">
      <c r="A581" s="9" t="n">
        <v>37468</v>
      </c>
      <c r="B581" s="7">
        <f>YEAR(A581)</f>
        <v/>
      </c>
      <c r="C581" s="7">
        <f>MONTH(A581)</f>
        <v/>
      </c>
      <c r="D581" s="10" t="n">
        <v>19.27471912</v>
      </c>
      <c r="E581" s="11" t="n">
        <v>16.37258075</v>
      </c>
      <c r="F581" s="12" t="n">
        <v>0.005818024512</v>
      </c>
      <c r="G581" s="11" t="n">
        <v>291.5282999</v>
      </c>
      <c r="H581" s="13">
        <f>F581*1000</f>
        <v/>
      </c>
      <c r="I581" s="14">
        <f>G581-273.15</f>
        <v/>
      </c>
      <c r="K581" s="15" t="n">
        <v>2002</v>
      </c>
      <c r="L581" s="15" t="n">
        <v>8</v>
      </c>
      <c r="M581" s="15" t="n">
        <v>7</v>
      </c>
      <c r="N581" s="16" t="n">
        <v>0.0002101691337</v>
      </c>
      <c r="O581" s="11" t="n">
        <v>290.9941855</v>
      </c>
      <c r="P581" s="13">
        <f>N581*86400</f>
        <v/>
      </c>
      <c r="Q581" s="14">
        <f>O581-273.15</f>
        <v/>
      </c>
    </row>
    <row r="582">
      <c r="A582" s="9" t="n">
        <v>37469</v>
      </c>
      <c r="B582" s="7">
        <f>YEAR(A582)</f>
        <v/>
      </c>
      <c r="C582" s="7">
        <f>MONTH(A582)</f>
        <v/>
      </c>
      <c r="D582" s="10" t="n">
        <v>0</v>
      </c>
      <c r="E582" s="11" t="n">
        <v>15.69277332</v>
      </c>
      <c r="F582" s="12" t="n">
        <v>0</v>
      </c>
      <c r="G582" s="11" t="n">
        <v>291.0105466</v>
      </c>
      <c r="H582" s="13">
        <f>F582*1000</f>
        <v/>
      </c>
      <c r="I582" s="14">
        <f>G582-273.15</f>
        <v/>
      </c>
      <c r="K582" s="15" t="n">
        <v>2002</v>
      </c>
      <c r="L582" s="15" t="n">
        <v>8</v>
      </c>
      <c r="M582" s="15" t="n">
        <v>8</v>
      </c>
      <c r="N582" s="16" t="n">
        <v>5.384535637e-05</v>
      </c>
      <c r="O582" s="11" t="n">
        <v>291.0782021</v>
      </c>
      <c r="P582" s="13">
        <f>N582*86400</f>
        <v/>
      </c>
      <c r="Q582" s="14">
        <f>O582-273.15</f>
        <v/>
      </c>
    </row>
    <row r="583">
      <c r="A583" s="9" t="n">
        <v>37470</v>
      </c>
      <c r="B583" s="7">
        <f>YEAR(A583)</f>
        <v/>
      </c>
      <c r="C583" s="7">
        <f>MONTH(A583)</f>
        <v/>
      </c>
      <c r="D583" s="10" t="n">
        <v>1.096626524</v>
      </c>
      <c r="E583" s="11" t="n">
        <v>14.56693593</v>
      </c>
      <c r="F583" s="12" t="n">
        <v>0</v>
      </c>
      <c r="G583" s="11" t="n">
        <v>289.6312718</v>
      </c>
      <c r="H583" s="13">
        <f>F583*1000</f>
        <v/>
      </c>
      <c r="I583" s="14">
        <f>G583-273.15</f>
        <v/>
      </c>
      <c r="K583" s="15" t="n">
        <v>2002</v>
      </c>
      <c r="L583" s="15" t="n">
        <v>8</v>
      </c>
      <c r="M583" s="15" t="n">
        <v>9</v>
      </c>
      <c r="N583" s="16" t="n">
        <v>2.39194815e-05</v>
      </c>
      <c r="O583" s="11" t="n">
        <v>291.1775799</v>
      </c>
      <c r="P583" s="13">
        <f>N583*86400</f>
        <v/>
      </c>
      <c r="Q583" s="14">
        <f>O583-273.15</f>
        <v/>
      </c>
    </row>
    <row r="584">
      <c r="A584" s="9" t="n">
        <v>37471</v>
      </c>
      <c r="B584" s="7">
        <f>YEAR(A584)</f>
        <v/>
      </c>
      <c r="C584" s="7">
        <f>MONTH(A584)</f>
        <v/>
      </c>
      <c r="D584" s="10" t="n">
        <v>13.89411468</v>
      </c>
      <c r="E584" s="11" t="n">
        <v>15.22046573</v>
      </c>
      <c r="F584" s="12" t="n">
        <v>0.002696868749</v>
      </c>
      <c r="G584" s="11" t="n">
        <v>291.8146074</v>
      </c>
      <c r="H584" s="13">
        <f>F584*1000</f>
        <v/>
      </c>
      <c r="I584" s="14">
        <f>G584-273.15</f>
        <v/>
      </c>
      <c r="K584" s="15" t="n">
        <v>2002</v>
      </c>
      <c r="L584" s="15" t="n">
        <v>8</v>
      </c>
      <c r="M584" s="15" t="n">
        <v>10</v>
      </c>
      <c r="N584" s="16" t="n">
        <v>0</v>
      </c>
      <c r="O584" s="11" t="n">
        <v>290.3862469</v>
      </c>
      <c r="P584" s="13">
        <f>N584*86400</f>
        <v/>
      </c>
      <c r="Q584" s="14">
        <f>O584-273.15</f>
        <v/>
      </c>
    </row>
    <row r="585">
      <c r="A585" s="9" t="n">
        <v>37472</v>
      </c>
      <c r="B585" s="7">
        <f>YEAR(A585)</f>
        <v/>
      </c>
      <c r="C585" s="7">
        <f>MONTH(A585)</f>
        <v/>
      </c>
      <c r="D585" s="10" t="n">
        <v>6.597113257</v>
      </c>
      <c r="E585" s="11" t="n">
        <v>15.58782866</v>
      </c>
      <c r="F585" s="12" t="n">
        <v>0.003150328089</v>
      </c>
      <c r="G585" s="11" t="n">
        <v>291.3390375</v>
      </c>
      <c r="H585" s="13">
        <f>F585*1000</f>
        <v/>
      </c>
      <c r="I585" s="14">
        <f>G585-273.15</f>
        <v/>
      </c>
      <c r="K585" s="15" t="n">
        <v>2002</v>
      </c>
      <c r="L585" s="15" t="n">
        <v>8</v>
      </c>
      <c r="M585" s="15" t="n">
        <v>11</v>
      </c>
      <c r="N585" s="16" t="n">
        <v>0.0001449004736</v>
      </c>
      <c r="O585" s="11" t="n">
        <v>292.6794424</v>
      </c>
      <c r="P585" s="13">
        <f>N585*86400</f>
        <v/>
      </c>
      <c r="Q585" s="14">
        <f>O585-273.15</f>
        <v/>
      </c>
    </row>
    <row r="586">
      <c r="A586" s="9" t="n">
        <v>37473</v>
      </c>
      <c r="B586" s="7">
        <f>YEAR(A586)</f>
        <v/>
      </c>
      <c r="C586" s="7">
        <f>MONTH(A586)</f>
        <v/>
      </c>
      <c r="D586" s="10" t="n">
        <v>9.181611095999999</v>
      </c>
      <c r="E586" s="11" t="n">
        <v>17.32815985</v>
      </c>
      <c r="F586" s="12" t="n">
        <v>0.008779981415000001</v>
      </c>
      <c r="G586" s="11" t="n">
        <v>292.1190773</v>
      </c>
      <c r="H586" s="13">
        <f>F586*1000</f>
        <v/>
      </c>
      <c r="I586" s="14">
        <f>G586-273.15</f>
        <v/>
      </c>
      <c r="K586" s="15" t="n">
        <v>2002</v>
      </c>
      <c r="L586" s="15" t="n">
        <v>8</v>
      </c>
      <c r="M586" s="15" t="n">
        <v>12</v>
      </c>
      <c r="N586" s="16" t="n">
        <v>0.0002727086591</v>
      </c>
      <c r="O586" s="11" t="n">
        <v>290.7304011</v>
      </c>
      <c r="P586" s="13">
        <f>N586*86400</f>
        <v/>
      </c>
      <c r="Q586" s="14">
        <f>O586-273.15</f>
        <v/>
      </c>
    </row>
    <row r="587">
      <c r="A587" s="9" t="n">
        <v>37474</v>
      </c>
      <c r="B587" s="7">
        <f>YEAR(A587)</f>
        <v/>
      </c>
      <c r="C587" s="7">
        <f>MONTH(A587)</f>
        <v/>
      </c>
      <c r="D587" s="10" t="n">
        <v>11.6589418</v>
      </c>
      <c r="E587" s="11" t="n">
        <v>14.80779522</v>
      </c>
      <c r="F587" s="12" t="n">
        <v>0.01135323154</v>
      </c>
      <c r="G587" s="11" t="n">
        <v>289.7686907</v>
      </c>
      <c r="H587" s="13">
        <f>F587*1000</f>
        <v/>
      </c>
      <c r="I587" s="14">
        <f>G587-273.15</f>
        <v/>
      </c>
      <c r="K587" s="15" t="n">
        <v>2002</v>
      </c>
      <c r="L587" s="15" t="n">
        <v>8</v>
      </c>
      <c r="M587" s="15" t="n">
        <v>13</v>
      </c>
      <c r="N587" s="16" t="n">
        <v>4.399805991e-05</v>
      </c>
      <c r="O587" s="11" t="n">
        <v>288.8184358</v>
      </c>
      <c r="P587" s="13">
        <f>N587*86400</f>
        <v/>
      </c>
      <c r="Q587" s="14">
        <f>O587-273.15</f>
        <v/>
      </c>
    </row>
    <row r="588">
      <c r="A588" s="9" t="n">
        <v>37475</v>
      </c>
      <c r="B588" s="7">
        <f>YEAR(A588)</f>
        <v/>
      </c>
      <c r="C588" s="7">
        <f>MONTH(A588)</f>
        <v/>
      </c>
      <c r="D588" s="10" t="n">
        <v>15.25811748</v>
      </c>
      <c r="E588" s="11" t="n">
        <v>15.6694015</v>
      </c>
      <c r="F588" s="12" t="n">
        <v>0.01473126324</v>
      </c>
      <c r="G588" s="11" t="n">
        <v>291.6976856</v>
      </c>
      <c r="H588" s="13">
        <f>F588*1000</f>
        <v/>
      </c>
      <c r="I588" s="14">
        <f>G588-273.15</f>
        <v/>
      </c>
      <c r="K588" s="15" t="n">
        <v>2002</v>
      </c>
      <c r="L588" s="15" t="n">
        <v>8</v>
      </c>
      <c r="M588" s="15" t="n">
        <v>14</v>
      </c>
      <c r="N588" s="16" t="n">
        <v>6.931889487e-06</v>
      </c>
      <c r="O588" s="11" t="n">
        <v>289.2724266</v>
      </c>
      <c r="P588" s="13">
        <f>N588*86400</f>
        <v/>
      </c>
      <c r="Q588" s="14">
        <f>O588-273.15</f>
        <v/>
      </c>
    </row>
    <row r="589">
      <c r="A589" s="9" t="n">
        <v>37476</v>
      </c>
      <c r="B589" s="7">
        <f>YEAR(A589)</f>
        <v/>
      </c>
      <c r="C589" s="7">
        <f>MONTH(A589)</f>
        <v/>
      </c>
      <c r="D589" s="10" t="n">
        <v>0</v>
      </c>
      <c r="E589" s="11" t="n">
        <v>12.38212915</v>
      </c>
      <c r="F589" s="12" t="n">
        <v>0.00015896697</v>
      </c>
      <c r="G589" s="11" t="n">
        <v>289.0817337</v>
      </c>
      <c r="H589" s="13">
        <f>F589*1000</f>
        <v/>
      </c>
      <c r="I589" s="14">
        <f>G589-273.15</f>
        <v/>
      </c>
      <c r="K589" s="15" t="n">
        <v>2002</v>
      </c>
      <c r="L589" s="15" t="n">
        <v>8</v>
      </c>
      <c r="M589" s="15" t="n">
        <v>15</v>
      </c>
      <c r="N589" s="16" t="n">
        <v>0</v>
      </c>
      <c r="O589" s="11" t="n">
        <v>289.8442726</v>
      </c>
      <c r="P589" s="13">
        <f>N589*86400</f>
        <v/>
      </c>
      <c r="Q589" s="14">
        <f>O589-273.15</f>
        <v/>
      </c>
    </row>
    <row r="590">
      <c r="A590" s="9" t="n">
        <v>37477</v>
      </c>
      <c r="B590" s="7">
        <f>YEAR(A590)</f>
        <v/>
      </c>
      <c r="C590" s="7">
        <f>MONTH(A590)</f>
        <v/>
      </c>
      <c r="D590" s="10" t="n">
        <v>3.694068194</v>
      </c>
      <c r="E590" s="11" t="n">
        <v>13.02071912</v>
      </c>
      <c r="F590" s="12" t="n">
        <v>0.01160451341</v>
      </c>
      <c r="G590" s="11" t="n">
        <v>288.6597187</v>
      </c>
      <c r="H590" s="13">
        <f>F590*1000</f>
        <v/>
      </c>
      <c r="I590" s="14">
        <f>G590-273.15</f>
        <v/>
      </c>
      <c r="K590" s="15" t="n">
        <v>2002</v>
      </c>
      <c r="L590" s="15" t="n">
        <v>8</v>
      </c>
      <c r="M590" s="15" t="n">
        <v>16</v>
      </c>
      <c r="N590" s="16" t="n">
        <v>2.953685635e-05</v>
      </c>
      <c r="O590" s="11" t="n">
        <v>293.314936</v>
      </c>
      <c r="P590" s="13">
        <f>N590*86400</f>
        <v/>
      </c>
      <c r="Q590" s="14">
        <f>O590-273.15</f>
        <v/>
      </c>
    </row>
    <row r="591">
      <c r="A591" s="9" t="n">
        <v>37478</v>
      </c>
      <c r="B591" s="7">
        <f>YEAR(A591)</f>
        <v/>
      </c>
      <c r="C591" s="7">
        <f>MONTH(A591)</f>
        <v/>
      </c>
      <c r="D591" s="10" t="n">
        <v>28.2659242</v>
      </c>
      <c r="E591" s="11" t="n">
        <v>14.32245227</v>
      </c>
      <c r="F591" s="12" t="n">
        <v>0.01153502759</v>
      </c>
      <c r="G591" s="11" t="n">
        <v>290.5003604</v>
      </c>
      <c r="H591" s="13">
        <f>F591*1000</f>
        <v/>
      </c>
      <c r="I591" s="14">
        <f>G591-273.15</f>
        <v/>
      </c>
      <c r="K591" s="15" t="n">
        <v>2002</v>
      </c>
      <c r="L591" s="15" t="n">
        <v>8</v>
      </c>
      <c r="M591" s="15" t="n">
        <v>17</v>
      </c>
      <c r="N591" s="16" t="n">
        <v>6.479047397e-06</v>
      </c>
      <c r="O591" s="11" t="n">
        <v>291.9022828</v>
      </c>
      <c r="P591" s="13">
        <f>N591*86400</f>
        <v/>
      </c>
      <c r="Q591" s="14">
        <f>O591-273.15</f>
        <v/>
      </c>
    </row>
    <row r="592">
      <c r="A592" s="9" t="n">
        <v>37479</v>
      </c>
      <c r="B592" s="7">
        <f>YEAR(A592)</f>
        <v/>
      </c>
      <c r="C592" s="7">
        <f>MONTH(A592)</f>
        <v/>
      </c>
      <c r="D592" s="10" t="n">
        <v>0</v>
      </c>
      <c r="E592" s="11" t="n">
        <v>13.98011024</v>
      </c>
      <c r="F592" s="12" t="n">
        <v>0.001764227276</v>
      </c>
      <c r="G592" s="11" t="n">
        <v>289.0685261</v>
      </c>
      <c r="H592" s="13">
        <f>F592*1000</f>
        <v/>
      </c>
      <c r="I592" s="14">
        <f>G592-273.15</f>
        <v/>
      </c>
      <c r="K592" s="15" t="n">
        <v>2002</v>
      </c>
      <c r="L592" s="15" t="n">
        <v>8</v>
      </c>
      <c r="M592" s="15" t="n">
        <v>18</v>
      </c>
      <c r="N592" s="16" t="n">
        <v>1.127021027e-05</v>
      </c>
      <c r="O592" s="11" t="n">
        <v>293.601376</v>
      </c>
      <c r="P592" s="13">
        <f>N592*86400</f>
        <v/>
      </c>
      <c r="Q592" s="14">
        <f>O592-273.15</f>
        <v/>
      </c>
    </row>
    <row r="593">
      <c r="A593" s="9" t="n">
        <v>37480</v>
      </c>
      <c r="B593" s="7">
        <f>YEAR(A593)</f>
        <v/>
      </c>
      <c r="C593" s="7">
        <f>MONTH(A593)</f>
        <v/>
      </c>
      <c r="D593" s="10" t="n">
        <v>5.523600113</v>
      </c>
      <c r="E593" s="11" t="n">
        <v>12.92474693</v>
      </c>
      <c r="F593" s="12" t="n">
        <v>0.00576024915</v>
      </c>
      <c r="G593" s="11" t="n">
        <v>287.3521768</v>
      </c>
      <c r="H593" s="13">
        <f>F593*1000</f>
        <v/>
      </c>
      <c r="I593" s="14">
        <f>G593-273.15</f>
        <v/>
      </c>
      <c r="K593" s="15" t="n">
        <v>2002</v>
      </c>
      <c r="L593" s="15" t="n">
        <v>8</v>
      </c>
      <c r="M593" s="15" t="n">
        <v>19</v>
      </c>
      <c r="N593" s="16" t="n">
        <v>1.403167387e-05</v>
      </c>
      <c r="O593" s="11" t="n">
        <v>292.8958196</v>
      </c>
      <c r="P593" s="13">
        <f>N593*86400</f>
        <v/>
      </c>
      <c r="Q593" s="14">
        <f>O593-273.15</f>
        <v/>
      </c>
    </row>
    <row r="594">
      <c r="A594" s="9" t="n">
        <v>37481</v>
      </c>
      <c r="B594" s="7">
        <f>YEAR(A594)</f>
        <v/>
      </c>
      <c r="C594" s="7">
        <f>MONTH(A594)</f>
        <v/>
      </c>
      <c r="D594" s="10" t="n">
        <v>0</v>
      </c>
      <c r="E594" s="11" t="n">
        <v>13.04308572</v>
      </c>
      <c r="F594" s="12" t="n">
        <v>0</v>
      </c>
      <c r="G594" s="11" t="n">
        <v>288.143731</v>
      </c>
      <c r="H594" s="13">
        <f>F594*1000</f>
        <v/>
      </c>
      <c r="I594" s="14">
        <f>G594-273.15</f>
        <v/>
      </c>
      <c r="K594" s="15" t="n">
        <v>2002</v>
      </c>
      <c r="L594" s="15" t="n">
        <v>8</v>
      </c>
      <c r="M594" s="15" t="n">
        <v>20</v>
      </c>
      <c r="N594" s="16" t="n">
        <v>6.152490085e-05</v>
      </c>
      <c r="O594" s="11" t="n">
        <v>293.2291721</v>
      </c>
      <c r="P594" s="13">
        <f>N594*86400</f>
        <v/>
      </c>
      <c r="Q594" s="14">
        <f>O594-273.15</f>
        <v/>
      </c>
    </row>
    <row r="595">
      <c r="A595" s="9" t="n">
        <v>37482</v>
      </c>
      <c r="B595" s="7">
        <f>YEAR(A595)</f>
        <v/>
      </c>
      <c r="C595" s="7">
        <f>MONTH(A595)</f>
        <v/>
      </c>
      <c r="D595" s="10" t="n">
        <v>0</v>
      </c>
      <c r="E595" s="11" t="n">
        <v>13.78977867</v>
      </c>
      <c r="F595" s="12" t="n">
        <v>0.006032730684</v>
      </c>
      <c r="G595" s="11" t="n">
        <v>289.0318682</v>
      </c>
      <c r="H595" s="13">
        <f>F595*1000</f>
        <v/>
      </c>
      <c r="I595" s="14">
        <f>G595-273.15</f>
        <v/>
      </c>
      <c r="K595" s="15" t="n">
        <v>2002</v>
      </c>
      <c r="L595" s="15" t="n">
        <v>8</v>
      </c>
      <c r="M595" s="15" t="n">
        <v>21</v>
      </c>
      <c r="N595" s="16" t="n">
        <v>4.715705178e-06</v>
      </c>
      <c r="O595" s="11" t="n">
        <v>291.9854775</v>
      </c>
      <c r="P595" s="13">
        <f>N595*86400</f>
        <v/>
      </c>
      <c r="Q595" s="14">
        <f>O595-273.15</f>
        <v/>
      </c>
    </row>
    <row r="596">
      <c r="A596" s="9" t="n">
        <v>37483</v>
      </c>
      <c r="B596" s="7">
        <f>YEAR(A596)</f>
        <v/>
      </c>
      <c r="C596" s="7">
        <f>MONTH(A596)</f>
        <v/>
      </c>
      <c r="D596" s="10" t="n">
        <v>19.65368901</v>
      </c>
      <c r="E596" s="11" t="n">
        <v>11.83073682</v>
      </c>
      <c r="F596" s="12" t="n">
        <v>0.02107061317</v>
      </c>
      <c r="G596" s="11" t="n">
        <v>287.3352439</v>
      </c>
      <c r="H596" s="13">
        <f>F596*1000</f>
        <v/>
      </c>
      <c r="I596" s="14">
        <f>G596-273.15</f>
        <v/>
      </c>
      <c r="K596" s="15" t="n">
        <v>2002</v>
      </c>
      <c r="L596" s="15" t="n">
        <v>8</v>
      </c>
      <c r="M596" s="15" t="n">
        <v>22</v>
      </c>
      <c r="N596" s="16" t="n">
        <v>7.949020825e-06</v>
      </c>
      <c r="O596" s="11" t="n">
        <v>290.7901808</v>
      </c>
      <c r="P596" s="13">
        <f>N596*86400</f>
        <v/>
      </c>
      <c r="Q596" s="14">
        <f>O596-273.15</f>
        <v/>
      </c>
    </row>
    <row r="597">
      <c r="A597" s="9" t="n">
        <v>37484</v>
      </c>
      <c r="B597" s="7">
        <f>YEAR(A597)</f>
        <v/>
      </c>
      <c r="C597" s="7">
        <f>MONTH(A597)</f>
        <v/>
      </c>
      <c r="D597" s="10" t="n">
        <v>25.88936244</v>
      </c>
      <c r="E597" s="11" t="n">
        <v>14.37461624</v>
      </c>
      <c r="F597" s="12" t="n">
        <v>0.01287329042</v>
      </c>
      <c r="G597" s="11" t="n">
        <v>289.8291284</v>
      </c>
      <c r="H597" s="13">
        <f>F597*1000</f>
        <v/>
      </c>
      <c r="I597" s="14">
        <f>G597-273.15</f>
        <v/>
      </c>
      <c r="K597" s="15" t="n">
        <v>2002</v>
      </c>
      <c r="L597" s="15" t="n">
        <v>8</v>
      </c>
      <c r="M597" s="15" t="n">
        <v>23</v>
      </c>
      <c r="N597" s="16" t="n">
        <v>4.001839425e-06</v>
      </c>
      <c r="O597" s="11" t="n">
        <v>288.2661594</v>
      </c>
      <c r="P597" s="13">
        <f>N597*86400</f>
        <v/>
      </c>
      <c r="Q597" s="14">
        <f>O597-273.15</f>
        <v/>
      </c>
    </row>
    <row r="598">
      <c r="A598" s="9" t="n">
        <v>37485</v>
      </c>
      <c r="B598" s="7">
        <f>YEAR(A598)</f>
        <v/>
      </c>
      <c r="C598" s="7">
        <f>MONTH(A598)</f>
        <v/>
      </c>
      <c r="D598" s="10" t="n">
        <v>0</v>
      </c>
      <c r="E598" s="11" t="n">
        <v>12.49188167</v>
      </c>
      <c r="F598" s="12" t="n">
        <v>0.004605391669</v>
      </c>
      <c r="G598" s="11" t="n">
        <v>287.7388443</v>
      </c>
      <c r="H598" s="13">
        <f>F598*1000</f>
        <v/>
      </c>
      <c r="I598" s="14">
        <f>G598-273.15</f>
        <v/>
      </c>
      <c r="K598" s="15" t="n">
        <v>2002</v>
      </c>
      <c r="L598" s="15" t="n">
        <v>8</v>
      </c>
      <c r="M598" s="15" t="n">
        <v>24</v>
      </c>
      <c r="N598" s="16" t="n">
        <v>0.000130868437</v>
      </c>
      <c r="O598" s="11" t="n">
        <v>288.0121749</v>
      </c>
      <c r="P598" s="13">
        <f>N598*86400</f>
        <v/>
      </c>
      <c r="Q598" s="14">
        <f>O598-273.15</f>
        <v/>
      </c>
    </row>
    <row r="599">
      <c r="A599" s="9" t="n">
        <v>37486</v>
      </c>
      <c r="B599" s="7">
        <f>YEAR(A599)</f>
        <v/>
      </c>
      <c r="C599" s="7">
        <f>MONTH(A599)</f>
        <v/>
      </c>
      <c r="D599" s="10" t="n">
        <v>34.20070556</v>
      </c>
      <c r="E599" s="11" t="n">
        <v>12.07065932</v>
      </c>
      <c r="F599" s="12" t="n">
        <v>0.01455943404</v>
      </c>
      <c r="G599" s="11" t="n">
        <v>287.5438969</v>
      </c>
      <c r="H599" s="13">
        <f>F599*1000</f>
        <v/>
      </c>
      <c r="I599" s="14">
        <f>G599-273.15</f>
        <v/>
      </c>
      <c r="K599" s="15" t="n">
        <v>2002</v>
      </c>
      <c r="L599" s="15" t="n">
        <v>8</v>
      </c>
      <c r="M599" s="15" t="n">
        <v>25</v>
      </c>
      <c r="N599" s="16" t="n">
        <v>7.861889341e-05</v>
      </c>
      <c r="O599" s="11" t="n">
        <v>288.9880789</v>
      </c>
      <c r="P599" s="13">
        <f>N599*86400</f>
        <v/>
      </c>
      <c r="Q599" s="14">
        <f>O599-273.15</f>
        <v/>
      </c>
    </row>
    <row r="600">
      <c r="A600" s="9" t="n">
        <v>37487</v>
      </c>
      <c r="B600" s="7">
        <f>YEAR(A600)</f>
        <v/>
      </c>
      <c r="C600" s="7">
        <f>MONTH(A600)</f>
        <v/>
      </c>
      <c r="D600" s="10" t="n">
        <v>15.78709419</v>
      </c>
      <c r="E600" s="11" t="n">
        <v>12.62717465</v>
      </c>
      <c r="F600" s="12" t="n">
        <v>0.0007181289738</v>
      </c>
      <c r="G600" s="11" t="n">
        <v>287.3092328</v>
      </c>
      <c r="H600" s="13">
        <f>F600*1000</f>
        <v/>
      </c>
      <c r="I600" s="14">
        <f>G600-273.15</f>
        <v/>
      </c>
      <c r="K600" s="15" t="n">
        <v>2002</v>
      </c>
      <c r="L600" s="15" t="n">
        <v>8</v>
      </c>
      <c r="M600" s="15" t="n">
        <v>26</v>
      </c>
      <c r="N600" s="16" t="n">
        <v>0.0002689125911</v>
      </c>
      <c r="O600" s="11" t="n">
        <v>287.7125986</v>
      </c>
      <c r="P600" s="13">
        <f>N600*86400</f>
        <v/>
      </c>
      <c r="Q600" s="14">
        <f>O600-273.15</f>
        <v/>
      </c>
    </row>
    <row r="601">
      <c r="A601" s="9" t="n">
        <v>37488</v>
      </c>
      <c r="B601" s="7">
        <f>YEAR(A601)</f>
        <v/>
      </c>
      <c r="C601" s="7">
        <f>MONTH(A601)</f>
        <v/>
      </c>
      <c r="D601" s="10" t="n">
        <v>28.12468244</v>
      </c>
      <c r="E601" s="11" t="n">
        <v>9.739823547</v>
      </c>
      <c r="F601" s="12" t="n">
        <v>0.003579351732</v>
      </c>
      <c r="G601" s="11" t="n">
        <v>285.4066947</v>
      </c>
      <c r="H601" s="13">
        <f>F601*1000</f>
        <v/>
      </c>
      <c r="I601" s="14">
        <f>G601-273.15</f>
        <v/>
      </c>
      <c r="K601" s="15" t="n">
        <v>2002</v>
      </c>
      <c r="L601" s="15" t="n">
        <v>8</v>
      </c>
      <c r="M601" s="15" t="n">
        <v>27</v>
      </c>
      <c r="N601" s="16" t="n">
        <v>0.0001399019813</v>
      </c>
      <c r="O601" s="11" t="n">
        <v>286.7866862</v>
      </c>
      <c r="P601" s="13">
        <f>N601*86400</f>
        <v/>
      </c>
      <c r="Q601" s="14">
        <f>O601-273.15</f>
        <v/>
      </c>
    </row>
    <row r="602">
      <c r="A602" s="9" t="n">
        <v>37489</v>
      </c>
      <c r="B602" s="7">
        <f>YEAR(A602)</f>
        <v/>
      </c>
      <c r="C602" s="7">
        <f>MONTH(A602)</f>
        <v/>
      </c>
      <c r="D602" s="10" t="n">
        <v>0</v>
      </c>
      <c r="E602" s="11" t="n">
        <v>10.00332826</v>
      </c>
      <c r="F602" s="12" t="n">
        <v>0.0009069552009</v>
      </c>
      <c r="G602" s="11" t="n">
        <v>286.1508768</v>
      </c>
      <c r="H602" s="13">
        <f>F602*1000</f>
        <v/>
      </c>
      <c r="I602" s="14">
        <f>G602-273.15</f>
        <v/>
      </c>
      <c r="K602" s="15" t="n">
        <v>2002</v>
      </c>
      <c r="L602" s="15" t="n">
        <v>8</v>
      </c>
      <c r="M602" s="15" t="n">
        <v>28</v>
      </c>
      <c r="N602" s="16" t="n">
        <v>1.709678937e-06</v>
      </c>
      <c r="O602" s="11" t="n">
        <v>287.0001815</v>
      </c>
      <c r="P602" s="13">
        <f>N602*86400</f>
        <v/>
      </c>
      <c r="Q602" s="14">
        <f>O602-273.15</f>
        <v/>
      </c>
    </row>
    <row r="603">
      <c r="A603" s="9" t="n">
        <v>37490</v>
      </c>
      <c r="B603" s="7">
        <f>YEAR(A603)</f>
        <v/>
      </c>
      <c r="C603" s="7">
        <f>MONTH(A603)</f>
        <v/>
      </c>
      <c r="D603" s="10" t="n">
        <v>0</v>
      </c>
      <c r="E603" s="11" t="n">
        <v>8.551954887000001</v>
      </c>
      <c r="F603" s="12" t="n">
        <v>0.003124413088</v>
      </c>
      <c r="G603" s="11" t="n">
        <v>284.5054745</v>
      </c>
      <c r="H603" s="13">
        <f>F603*1000</f>
        <v/>
      </c>
      <c r="I603" s="14">
        <f>G603-273.15</f>
        <v/>
      </c>
      <c r="K603" s="15" t="n">
        <v>2002</v>
      </c>
      <c r="L603" s="15" t="n">
        <v>8</v>
      </c>
      <c r="M603" s="15" t="n">
        <v>29</v>
      </c>
      <c r="N603" s="16" t="n">
        <v>2.602262473e-05</v>
      </c>
      <c r="O603" s="11" t="n">
        <v>287.6784747</v>
      </c>
      <c r="P603" s="13">
        <f>N603*86400</f>
        <v/>
      </c>
      <c r="Q603" s="14">
        <f>O603-273.15</f>
        <v/>
      </c>
    </row>
    <row r="604">
      <c r="A604" s="9" t="n">
        <v>37491</v>
      </c>
      <c r="B604" s="7">
        <f>YEAR(A604)</f>
        <v/>
      </c>
      <c r="C604" s="7">
        <f>MONTH(A604)</f>
        <v/>
      </c>
      <c r="D604" s="10" t="n">
        <v>0</v>
      </c>
      <c r="E604" s="11" t="n">
        <v>9.880325192999999</v>
      </c>
      <c r="F604" s="12" t="n">
        <v>0.003113916549</v>
      </c>
      <c r="G604" s="11" t="n">
        <v>285.1168668</v>
      </c>
      <c r="H604" s="13">
        <f>F604*1000</f>
        <v/>
      </c>
      <c r="I604" s="14">
        <f>G604-273.15</f>
        <v/>
      </c>
      <c r="K604" s="15" t="n">
        <v>2002</v>
      </c>
      <c r="L604" s="15" t="n">
        <v>8</v>
      </c>
      <c r="M604" s="15" t="n">
        <v>30</v>
      </c>
      <c r="N604" s="16" t="n">
        <v>0.0001238336007</v>
      </c>
      <c r="O604" s="11" t="n">
        <v>286.7577545</v>
      </c>
      <c r="P604" s="13">
        <f>N604*86400</f>
        <v/>
      </c>
      <c r="Q604" s="14">
        <f>O604-273.15</f>
        <v/>
      </c>
    </row>
    <row r="605">
      <c r="A605" s="9" t="n">
        <v>37492</v>
      </c>
      <c r="B605" s="7">
        <f>YEAR(A605)</f>
        <v/>
      </c>
      <c r="C605" s="7">
        <f>MONTH(A605)</f>
        <v/>
      </c>
      <c r="D605" s="10" t="n">
        <v>0</v>
      </c>
      <c r="E605" s="11" t="n">
        <v>9.192626871</v>
      </c>
      <c r="F605" s="12" t="n">
        <v>0.002385090271</v>
      </c>
      <c r="G605" s="11" t="n">
        <v>284.3802743</v>
      </c>
      <c r="H605" s="13">
        <f>F605*1000</f>
        <v/>
      </c>
      <c r="I605" s="14">
        <f>G605-273.15</f>
        <v/>
      </c>
      <c r="K605" s="15" t="n">
        <v>2002</v>
      </c>
      <c r="L605" s="15" t="n">
        <v>9</v>
      </c>
      <c r="M605" s="15" t="n">
        <v>1</v>
      </c>
      <c r="N605" s="16" t="n">
        <v>0.0001143909626</v>
      </c>
      <c r="O605" s="11" t="n">
        <v>284.9835912</v>
      </c>
      <c r="P605" s="13">
        <f>N605*86400</f>
        <v/>
      </c>
      <c r="Q605" s="14">
        <f>O605-273.15</f>
        <v/>
      </c>
    </row>
    <row r="606">
      <c r="A606" s="9" t="n">
        <v>37493</v>
      </c>
      <c r="B606" s="7">
        <f>YEAR(A606)</f>
        <v/>
      </c>
      <c r="C606" s="7">
        <f>MONTH(A606)</f>
        <v/>
      </c>
      <c r="D606" s="10" t="n">
        <v>4.17993093</v>
      </c>
      <c r="E606" s="11" t="n">
        <v>10.64023261</v>
      </c>
      <c r="F606" s="12" t="n">
        <v>0.0002146361364</v>
      </c>
      <c r="G606" s="11" t="n">
        <v>286.4059626</v>
      </c>
      <c r="H606" s="13">
        <f>F606*1000</f>
        <v/>
      </c>
      <c r="I606" s="14">
        <f>G606-273.15</f>
        <v/>
      </c>
      <c r="K606" s="15" t="n">
        <v>2002</v>
      </c>
      <c r="L606" s="15" t="n">
        <v>9</v>
      </c>
      <c r="M606" s="15" t="n">
        <v>2</v>
      </c>
      <c r="N606" s="16" t="n">
        <v>6.723368964e-05</v>
      </c>
      <c r="O606" s="11" t="n">
        <v>284.0623495</v>
      </c>
      <c r="P606" s="13">
        <f>N606*86400</f>
        <v/>
      </c>
      <c r="Q606" s="14">
        <f>O606-273.15</f>
        <v/>
      </c>
    </row>
    <row r="607">
      <c r="A607" s="9" t="n">
        <v>37494</v>
      </c>
      <c r="B607" s="7">
        <f>YEAR(A607)</f>
        <v/>
      </c>
      <c r="C607" s="7">
        <f>MONTH(A607)</f>
        <v/>
      </c>
      <c r="D607" s="10" t="n">
        <v>0</v>
      </c>
      <c r="E607" s="11" t="n">
        <v>12.51226946</v>
      </c>
      <c r="F607" s="12" t="n">
        <v>0</v>
      </c>
      <c r="G607" s="11" t="n">
        <v>287.7724217</v>
      </c>
      <c r="H607" s="13">
        <f>F607*1000</f>
        <v/>
      </c>
      <c r="I607" s="14">
        <f>G607-273.15</f>
        <v/>
      </c>
      <c r="K607" s="15" t="n">
        <v>2002</v>
      </c>
      <c r="L607" s="15" t="n">
        <v>9</v>
      </c>
      <c r="M607" s="15" t="n">
        <v>3</v>
      </c>
      <c r="N607" s="16" t="n">
        <v>0.0002020732123</v>
      </c>
      <c r="O607" s="11" t="n">
        <v>284.5103646</v>
      </c>
      <c r="P607" s="13">
        <f>N607*86400</f>
        <v/>
      </c>
      <c r="Q607" s="14">
        <f>O607-273.15</f>
        <v/>
      </c>
    </row>
    <row r="608">
      <c r="A608" s="9" t="n">
        <v>37495</v>
      </c>
      <c r="B608" s="7">
        <f>YEAR(A608)</f>
        <v/>
      </c>
      <c r="C608" s="7">
        <f>MONTH(A608)</f>
        <v/>
      </c>
      <c r="D608" s="10" t="n">
        <v>0</v>
      </c>
      <c r="E608" s="11" t="n">
        <v>15.87352163</v>
      </c>
      <c r="F608" s="12" t="n">
        <v>4.662922665e-05</v>
      </c>
      <c r="G608" s="11" t="n">
        <v>291.1275867</v>
      </c>
      <c r="H608" s="13">
        <f>F608*1000</f>
        <v/>
      </c>
      <c r="I608" s="14">
        <f>G608-273.15</f>
        <v/>
      </c>
      <c r="K608" s="15" t="n">
        <v>2002</v>
      </c>
      <c r="L608" s="15" t="n">
        <v>9</v>
      </c>
      <c r="M608" s="15" t="n">
        <v>4</v>
      </c>
      <c r="N608" s="16" t="n">
        <v>1.392636234e-06</v>
      </c>
      <c r="O608" s="11" t="n">
        <v>284.8858506</v>
      </c>
      <c r="P608" s="13">
        <f>N608*86400</f>
        <v/>
      </c>
      <c r="Q608" s="14">
        <f>O608-273.15</f>
        <v/>
      </c>
    </row>
    <row r="609">
      <c r="A609" s="9" t="n">
        <v>37496</v>
      </c>
      <c r="B609" s="7">
        <f>YEAR(A609)</f>
        <v/>
      </c>
      <c r="C609" s="7">
        <f>MONTH(A609)</f>
        <v/>
      </c>
      <c r="D609" s="10" t="n">
        <v>7.193359118</v>
      </c>
      <c r="E609" s="11" t="n">
        <v>12.01817829</v>
      </c>
      <c r="F609" s="12" t="n">
        <v>0.01210373023</v>
      </c>
      <c r="G609" s="11" t="n">
        <v>286.7556505</v>
      </c>
      <c r="H609" s="13">
        <f>F609*1000</f>
        <v/>
      </c>
      <c r="I609" s="14">
        <f>G609-273.15</f>
        <v/>
      </c>
      <c r="K609" s="15" t="n">
        <v>2002</v>
      </c>
      <c r="L609" s="15" t="n">
        <v>9</v>
      </c>
      <c r="M609" s="15" t="n">
        <v>5</v>
      </c>
      <c r="N609" s="16" t="n">
        <v>2.257604541e-05</v>
      </c>
      <c r="O609" s="11" t="n">
        <v>284.9064487</v>
      </c>
      <c r="P609" s="13">
        <f>N609*86400</f>
        <v/>
      </c>
      <c r="Q609" s="14">
        <f>O609-273.15</f>
        <v/>
      </c>
    </row>
    <row r="610">
      <c r="A610" s="9" t="n">
        <v>37497</v>
      </c>
      <c r="B610" s="7">
        <f>YEAR(A610)</f>
        <v/>
      </c>
      <c r="C610" s="7">
        <f>MONTH(A610)</f>
        <v/>
      </c>
      <c r="D610" s="10" t="n">
        <v>16.83881837</v>
      </c>
      <c r="E610" s="11" t="n">
        <v>9.841033397</v>
      </c>
      <c r="F610" s="12" t="n">
        <v>0.008488037743</v>
      </c>
      <c r="G610" s="11" t="n">
        <v>285.322717</v>
      </c>
      <c r="H610" s="13">
        <f>F610*1000</f>
        <v/>
      </c>
      <c r="I610" s="14">
        <f>G610-273.15</f>
        <v/>
      </c>
      <c r="K610" s="15" t="n">
        <v>2002</v>
      </c>
      <c r="L610" s="15" t="n">
        <v>9</v>
      </c>
      <c r="M610" s="15" t="n">
        <v>6</v>
      </c>
      <c r="N610" s="16" t="n">
        <v>1.582542363e-05</v>
      </c>
      <c r="O610" s="11" t="n">
        <v>284.5615674</v>
      </c>
      <c r="P610" s="13">
        <f>N610*86400</f>
        <v/>
      </c>
      <c r="Q610" s="14">
        <f>O610-273.15</f>
        <v/>
      </c>
    </row>
    <row r="611">
      <c r="A611" s="9" t="n">
        <v>37498</v>
      </c>
      <c r="B611" s="7">
        <f>YEAR(A611)</f>
        <v/>
      </c>
      <c r="C611" s="7">
        <f>MONTH(A611)</f>
        <v/>
      </c>
      <c r="D611" s="10" t="n">
        <v>0.2325480098</v>
      </c>
      <c r="E611" s="11" t="n">
        <v>13.83097581</v>
      </c>
      <c r="F611" s="12" t="n">
        <v>0.01993984936</v>
      </c>
      <c r="G611" s="11" t="n">
        <v>289.1398621</v>
      </c>
      <c r="H611" s="13">
        <f>F611*1000</f>
        <v/>
      </c>
      <c r="I611" s="14">
        <f>G611-273.15</f>
        <v/>
      </c>
      <c r="K611" s="15" t="n">
        <v>2002</v>
      </c>
      <c r="L611" s="15" t="n">
        <v>9</v>
      </c>
      <c r="M611" s="15" t="n">
        <v>7</v>
      </c>
      <c r="N611" s="16" t="n">
        <v>7.213061926e-05</v>
      </c>
      <c r="O611" s="11" t="n">
        <v>285.9163788</v>
      </c>
      <c r="P611" s="13">
        <f>N611*86400</f>
        <v/>
      </c>
      <c r="Q611" s="14">
        <f>O611-273.15</f>
        <v/>
      </c>
    </row>
    <row r="612">
      <c r="A612" s="9" t="n">
        <v>37499</v>
      </c>
      <c r="B612" s="7">
        <f>YEAR(A612)</f>
        <v/>
      </c>
      <c r="C612" s="7">
        <f>MONTH(A612)</f>
        <v/>
      </c>
      <c r="D612" s="10" t="n">
        <v>0</v>
      </c>
      <c r="E612" s="11" t="n">
        <v>16.8529389</v>
      </c>
      <c r="F612" s="12" t="n">
        <v>0.000333183083</v>
      </c>
      <c r="G612" s="11" t="n">
        <v>291.2118813</v>
      </c>
      <c r="H612" s="13">
        <f>F612*1000</f>
        <v/>
      </c>
      <c r="I612" s="14">
        <f>G612-273.15</f>
        <v/>
      </c>
      <c r="K612" s="15" t="n">
        <v>2002</v>
      </c>
      <c r="L612" s="15" t="n">
        <v>9</v>
      </c>
      <c r="M612" s="15" t="n">
        <v>8</v>
      </c>
      <c r="N612" s="16" t="n">
        <v>1.15142493e-05</v>
      </c>
      <c r="O612" s="11" t="n">
        <v>286.2719792</v>
      </c>
      <c r="P612" s="13">
        <f>N612*86400</f>
        <v/>
      </c>
      <c r="Q612" s="14">
        <f>O612-273.15</f>
        <v/>
      </c>
    </row>
    <row r="613">
      <c r="A613" s="9" t="n">
        <v>37500</v>
      </c>
      <c r="B613" s="7">
        <f>YEAR(A613)</f>
        <v/>
      </c>
      <c r="C613" s="7">
        <f>MONTH(A613)</f>
        <v/>
      </c>
      <c r="D613" s="10" t="n">
        <v>12.87960567</v>
      </c>
      <c r="E613" s="11" t="n">
        <v>14.66976856</v>
      </c>
      <c r="F613" s="12" t="n">
        <v>0.007511588521</v>
      </c>
      <c r="G613" s="11" t="n">
        <v>289.0308516</v>
      </c>
      <c r="H613" s="13">
        <f>F613*1000</f>
        <v/>
      </c>
      <c r="I613" s="14">
        <f>G613-273.15</f>
        <v/>
      </c>
      <c r="K613" s="15" t="n">
        <v>2002</v>
      </c>
      <c r="L613" s="15" t="n">
        <v>9</v>
      </c>
      <c r="M613" s="15" t="n">
        <v>9</v>
      </c>
      <c r="N613" s="16" t="n">
        <v>3.118256107e-05</v>
      </c>
      <c r="O613" s="11" t="n">
        <v>285.8253819</v>
      </c>
      <c r="P613" s="13">
        <f>N613*86400</f>
        <v/>
      </c>
      <c r="Q613" s="14">
        <f>O613-273.15</f>
        <v/>
      </c>
    </row>
    <row r="614">
      <c r="A614" s="9" t="n">
        <v>37501</v>
      </c>
      <c r="B614" s="7">
        <f>YEAR(A614)</f>
        <v/>
      </c>
      <c r="C614" s="7">
        <f>MONTH(A614)</f>
        <v/>
      </c>
      <c r="D614" s="10" t="n">
        <v>5.750587945</v>
      </c>
      <c r="E614" s="11" t="n">
        <v>13.1821252</v>
      </c>
      <c r="F614" s="12" t="n">
        <v>0.0006541685765</v>
      </c>
      <c r="G614" s="11" t="n">
        <v>287.6930246</v>
      </c>
      <c r="H614" s="13">
        <f>F614*1000</f>
        <v/>
      </c>
      <c r="I614" s="14">
        <f>G614-273.15</f>
        <v/>
      </c>
      <c r="K614" s="15" t="n">
        <v>2002</v>
      </c>
      <c r="L614" s="15" t="n">
        <v>9</v>
      </c>
      <c r="M614" s="15" t="n">
        <v>10</v>
      </c>
      <c r="N614" s="16" t="n">
        <v>5.726325011e-06</v>
      </c>
      <c r="O614" s="11" t="n">
        <v>284.8840158</v>
      </c>
      <c r="P614" s="13">
        <f>N614*86400</f>
        <v/>
      </c>
      <c r="Q614" s="14">
        <f>O614-273.15</f>
        <v/>
      </c>
    </row>
    <row r="615">
      <c r="A615" s="9" t="n">
        <v>37502</v>
      </c>
      <c r="B615" s="7">
        <f>YEAR(A615)</f>
        <v/>
      </c>
      <c r="C615" s="7">
        <f>MONTH(A615)</f>
        <v/>
      </c>
      <c r="D615" s="10" t="n">
        <v>0</v>
      </c>
      <c r="E615" s="11" t="n">
        <v>10.96105887</v>
      </c>
      <c r="F615" s="12" t="n">
        <v>0.004948311292</v>
      </c>
      <c r="G615" s="11" t="n">
        <v>286.0841648</v>
      </c>
      <c r="H615" s="13">
        <f>F615*1000</f>
        <v/>
      </c>
      <c r="I615" s="14">
        <f>G615-273.15</f>
        <v/>
      </c>
      <c r="K615" s="15" t="n">
        <v>2002</v>
      </c>
      <c r="L615" s="15" t="n">
        <v>9</v>
      </c>
      <c r="M615" s="15" t="n">
        <v>11</v>
      </c>
      <c r="N615" s="16" t="n">
        <v>5.660788633e-07</v>
      </c>
      <c r="O615" s="11" t="n">
        <v>287.6507681</v>
      </c>
      <c r="P615" s="13">
        <f>N615*86400</f>
        <v/>
      </c>
      <c r="Q615" s="14">
        <f>O615-273.15</f>
        <v/>
      </c>
    </row>
    <row r="616">
      <c r="A616" s="9" t="n">
        <v>37503</v>
      </c>
      <c r="B616" s="7">
        <f>YEAR(A616)</f>
        <v/>
      </c>
      <c r="C616" s="7">
        <f>MONTH(A616)</f>
        <v/>
      </c>
      <c r="D616" s="10" t="n">
        <v>0</v>
      </c>
      <c r="E616" s="11" t="n">
        <v>8.798677186000001</v>
      </c>
      <c r="F616" s="12" t="n">
        <v>0.001982826672</v>
      </c>
      <c r="G616" s="11" t="n">
        <v>283.6264562</v>
      </c>
      <c r="H616" s="13">
        <f>F616*1000</f>
        <v/>
      </c>
      <c r="I616" s="14">
        <f>G616-273.15</f>
        <v/>
      </c>
      <c r="K616" s="15" t="n">
        <v>2002</v>
      </c>
      <c r="L616" s="15" t="n">
        <v>9</v>
      </c>
      <c r="M616" s="15" t="n">
        <v>12</v>
      </c>
      <c r="N616" s="16" t="n">
        <v>3.716002101e-06</v>
      </c>
      <c r="O616" s="11" t="n">
        <v>285.324883</v>
      </c>
      <c r="P616" s="13">
        <f>N616*86400</f>
        <v/>
      </c>
      <c r="Q616" s="14">
        <f>O616-273.15</f>
        <v/>
      </c>
    </row>
    <row r="617">
      <c r="A617" s="9" t="n">
        <v>37504</v>
      </c>
      <c r="B617" s="7">
        <f>YEAR(A617)</f>
        <v/>
      </c>
      <c r="C617" s="7">
        <f>MONTH(A617)</f>
        <v/>
      </c>
      <c r="D617" s="10" t="n">
        <v>0</v>
      </c>
      <c r="E617" s="11" t="n">
        <v>9.509939474999999</v>
      </c>
      <c r="F617" s="12" t="n">
        <v>5.652122818e-05</v>
      </c>
      <c r="G617" s="11" t="n">
        <v>284.776758</v>
      </c>
      <c r="H617" s="13">
        <f>F617*1000</f>
        <v/>
      </c>
      <c r="I617" s="14">
        <f>G617-273.15</f>
        <v/>
      </c>
      <c r="K617" s="15" t="n">
        <v>2002</v>
      </c>
      <c r="L617" s="15" t="n">
        <v>9</v>
      </c>
      <c r="M617" s="15" t="n">
        <v>13</v>
      </c>
      <c r="N617" s="16" t="n">
        <v>0</v>
      </c>
      <c r="O617" s="11" t="n">
        <v>285.6239507</v>
      </c>
      <c r="P617" s="13">
        <f>N617*86400</f>
        <v/>
      </c>
      <c r="Q617" s="14">
        <f>O617-273.15</f>
        <v/>
      </c>
    </row>
    <row r="618">
      <c r="A618" s="9" t="n">
        <v>37505</v>
      </c>
      <c r="B618" s="7">
        <f>YEAR(A618)</f>
        <v/>
      </c>
      <c r="C618" s="7">
        <f>MONTH(A618)</f>
        <v/>
      </c>
      <c r="D618" s="10" t="n">
        <v>0</v>
      </c>
      <c r="E618" s="11" t="n">
        <v>8.994346544000001</v>
      </c>
      <c r="F618" s="12" t="n">
        <v>0</v>
      </c>
      <c r="G618" s="11" t="n">
        <v>284.6418066</v>
      </c>
      <c r="H618" s="13">
        <f>F618*1000</f>
        <v/>
      </c>
      <c r="I618" s="14">
        <f>G618-273.15</f>
        <v/>
      </c>
      <c r="K618" s="15" t="n">
        <v>2002</v>
      </c>
      <c r="L618" s="15" t="n">
        <v>9</v>
      </c>
      <c r="M618" s="15" t="n">
        <v>14</v>
      </c>
      <c r="N618" s="16" t="n">
        <v>5.32551835e-05</v>
      </c>
      <c r="O618" s="11" t="n">
        <v>282.5357097</v>
      </c>
      <c r="P618" s="13">
        <f>N618*86400</f>
        <v/>
      </c>
      <c r="Q618" s="14">
        <f>O618-273.15</f>
        <v/>
      </c>
    </row>
    <row r="619">
      <c r="A619" s="9" t="n">
        <v>37506</v>
      </c>
      <c r="B619" s="7">
        <f>YEAR(A619)</f>
        <v/>
      </c>
      <c r="C619" s="7">
        <f>MONTH(A619)</f>
        <v/>
      </c>
      <c r="D619" s="10" t="n">
        <v>0</v>
      </c>
      <c r="E619" s="11" t="n">
        <v>8.951244918</v>
      </c>
      <c r="F619" s="12" t="n">
        <v>0</v>
      </c>
      <c r="G619" s="11" t="n">
        <v>284.3014844</v>
      </c>
      <c r="H619" s="13">
        <f>F619*1000</f>
        <v/>
      </c>
      <c r="I619" s="14">
        <f>G619-273.15</f>
        <v/>
      </c>
      <c r="K619" s="15" t="n">
        <v>2002</v>
      </c>
      <c r="L619" s="15" t="n">
        <v>9</v>
      </c>
      <c r="M619" s="15" t="n">
        <v>15</v>
      </c>
      <c r="N619" s="16" t="n">
        <v>2.522566585e-05</v>
      </c>
      <c r="O619" s="11" t="n">
        <v>281.4684487</v>
      </c>
      <c r="P619" s="13">
        <f>N619*86400</f>
        <v/>
      </c>
      <c r="Q619" s="14">
        <f>O619-273.15</f>
        <v/>
      </c>
    </row>
    <row r="620">
      <c r="A620" s="9" t="n">
        <v>37507</v>
      </c>
      <c r="B620" s="7">
        <f>YEAR(A620)</f>
        <v/>
      </c>
      <c r="C620" s="7">
        <f>MONTH(A620)</f>
        <v/>
      </c>
      <c r="D620" s="10" t="n">
        <v>0</v>
      </c>
      <c r="E620" s="11" t="n">
        <v>10.5447408</v>
      </c>
      <c r="F620" s="12" t="n">
        <v>0.001237328051</v>
      </c>
      <c r="G620" s="11" t="n">
        <v>286.209807</v>
      </c>
      <c r="H620" s="13">
        <f>F620*1000</f>
        <v/>
      </c>
      <c r="I620" s="14">
        <f>G620-273.15</f>
        <v/>
      </c>
      <c r="K620" s="15" t="n">
        <v>2002</v>
      </c>
      <c r="L620" s="15" t="n">
        <v>9</v>
      </c>
      <c r="M620" s="15" t="n">
        <v>16</v>
      </c>
      <c r="N620" s="16" t="n">
        <v>0.0001509691196</v>
      </c>
      <c r="O620" s="11" t="n">
        <v>282.7844937</v>
      </c>
      <c r="P620" s="13">
        <f>N620*86400</f>
        <v/>
      </c>
      <c r="Q620" s="14">
        <f>O620-273.15</f>
        <v/>
      </c>
    </row>
    <row r="621">
      <c r="A621" s="9" t="n">
        <v>37508</v>
      </c>
      <c r="B621" s="7">
        <f>YEAR(A621)</f>
        <v/>
      </c>
      <c r="C621" s="7">
        <f>MONTH(A621)</f>
        <v/>
      </c>
      <c r="D621" s="10" t="n">
        <v>0</v>
      </c>
      <c r="E621" s="11" t="n">
        <v>8.82430782</v>
      </c>
      <c r="F621" s="12" t="n">
        <v>0.0002664165393</v>
      </c>
      <c r="G621" s="11" t="n">
        <v>285.3639374</v>
      </c>
      <c r="H621" s="13">
        <f>F621*1000</f>
        <v/>
      </c>
      <c r="I621" s="14">
        <f>G621-273.15</f>
        <v/>
      </c>
      <c r="K621" s="15" t="n">
        <v>2002</v>
      </c>
      <c r="L621" s="15" t="n">
        <v>9</v>
      </c>
      <c r="M621" s="15" t="n">
        <v>17</v>
      </c>
      <c r="N621" s="16" t="n">
        <v>8.507898385e-06</v>
      </c>
      <c r="O621" s="11" t="n">
        <v>283.2885886</v>
      </c>
      <c r="P621" s="13">
        <f>N621*86400</f>
        <v/>
      </c>
      <c r="Q621" s="14">
        <f>O621-273.15</f>
        <v/>
      </c>
    </row>
    <row r="622">
      <c r="A622" s="9" t="n">
        <v>37509</v>
      </c>
      <c r="B622" s="7">
        <f>YEAR(A622)</f>
        <v/>
      </c>
      <c r="C622" s="7">
        <f>MONTH(A622)</f>
        <v/>
      </c>
      <c r="D622" s="10" t="n">
        <v>0</v>
      </c>
      <c r="E622" s="11" t="n">
        <v>7.611241872</v>
      </c>
      <c r="F622" s="12" t="n">
        <v>0.0006130614773</v>
      </c>
      <c r="G622" s="11" t="n">
        <v>284.6395658</v>
      </c>
      <c r="H622" s="13">
        <f>F622*1000</f>
        <v/>
      </c>
      <c r="I622" s="14">
        <f>G622-273.15</f>
        <v/>
      </c>
      <c r="K622" s="15" t="n">
        <v>2002</v>
      </c>
      <c r="L622" s="15" t="n">
        <v>9</v>
      </c>
      <c r="M622" s="15" t="n">
        <v>18</v>
      </c>
      <c r="N622" s="16" t="n">
        <v>1.336015064e-05</v>
      </c>
      <c r="O622" s="11" t="n">
        <v>282.5591072</v>
      </c>
      <c r="P622" s="13">
        <f>N622*86400</f>
        <v/>
      </c>
      <c r="Q622" s="14">
        <f>O622-273.15</f>
        <v/>
      </c>
    </row>
    <row r="623">
      <c r="A623" s="9" t="n">
        <v>37510</v>
      </c>
      <c r="B623" s="7">
        <f>YEAR(A623)</f>
        <v/>
      </c>
      <c r="C623" s="7">
        <f>MONTH(A623)</f>
        <v/>
      </c>
      <c r="D623" s="10" t="n">
        <v>0</v>
      </c>
      <c r="E623" s="11" t="n">
        <v>9.455060633</v>
      </c>
      <c r="F623" s="12" t="n">
        <v>0.002264454381</v>
      </c>
      <c r="G623" s="11" t="n">
        <v>285.3800364</v>
      </c>
      <c r="H623" s="13">
        <f>F623*1000</f>
        <v/>
      </c>
      <c r="I623" s="14">
        <f>G623-273.15</f>
        <v/>
      </c>
      <c r="K623" s="15" t="n">
        <v>2002</v>
      </c>
      <c r="L623" s="15" t="n">
        <v>9</v>
      </c>
      <c r="M623" s="15" t="n">
        <v>19</v>
      </c>
      <c r="N623" s="16" t="n">
        <v>0.0001259723105</v>
      </c>
      <c r="O623" s="11" t="n">
        <v>281.9384433</v>
      </c>
      <c r="P623" s="13">
        <f>N623*86400</f>
        <v/>
      </c>
      <c r="Q623" s="14">
        <f>O623-273.15</f>
        <v/>
      </c>
    </row>
    <row r="624">
      <c r="A624" s="9" t="n">
        <v>37511</v>
      </c>
      <c r="B624" s="7">
        <f>YEAR(A624)</f>
        <v/>
      </c>
      <c r="C624" s="7">
        <f>MONTH(A624)</f>
        <v/>
      </c>
      <c r="D624" s="10" t="n">
        <v>0</v>
      </c>
      <c r="E624" s="11" t="n">
        <v>7.600496701</v>
      </c>
      <c r="F624" s="12" t="n">
        <v>0</v>
      </c>
      <c r="G624" s="11" t="n">
        <v>283.3564922</v>
      </c>
      <c r="H624" s="13">
        <f>F624*1000</f>
        <v/>
      </c>
      <c r="I624" s="14">
        <f>G624-273.15</f>
        <v/>
      </c>
      <c r="K624" s="15" t="n">
        <v>2002</v>
      </c>
      <c r="L624" s="15" t="n">
        <v>9</v>
      </c>
      <c r="M624" s="15" t="n">
        <v>20</v>
      </c>
      <c r="N624" s="16" t="n">
        <v>0</v>
      </c>
      <c r="O624" s="11" t="n">
        <v>283.3179573</v>
      </c>
      <c r="P624" s="13">
        <f>N624*86400</f>
        <v/>
      </c>
      <c r="Q624" s="14">
        <f>O624-273.15</f>
        <v/>
      </c>
    </row>
    <row r="625">
      <c r="A625" s="9" t="n">
        <v>37512</v>
      </c>
      <c r="B625" s="7">
        <f>YEAR(A625)</f>
        <v/>
      </c>
      <c r="C625" s="7">
        <f>MONTH(A625)</f>
        <v/>
      </c>
      <c r="D625" s="10" t="n">
        <v>0</v>
      </c>
      <c r="E625" s="11" t="n">
        <v>7.744397054</v>
      </c>
      <c r="F625" s="12" t="n">
        <v>0</v>
      </c>
      <c r="G625" s="11" t="n">
        <v>282.8533978</v>
      </c>
      <c r="H625" s="13">
        <f>F625*1000</f>
        <v/>
      </c>
      <c r="I625" s="14">
        <f>G625-273.15</f>
        <v/>
      </c>
      <c r="K625" s="15" t="n">
        <v>2002</v>
      </c>
      <c r="L625" s="15" t="n">
        <v>9</v>
      </c>
      <c r="M625" s="15" t="n">
        <v>21</v>
      </c>
      <c r="N625" s="16" t="n">
        <v>1.602459686e-06</v>
      </c>
      <c r="O625" s="11" t="n">
        <v>284.2724348</v>
      </c>
      <c r="P625" s="13">
        <f>N625*86400</f>
        <v/>
      </c>
      <c r="Q625" s="14">
        <f>O625-273.15</f>
        <v/>
      </c>
    </row>
    <row r="626">
      <c r="A626" s="9" t="n">
        <v>37513</v>
      </c>
      <c r="B626" s="7">
        <f>YEAR(A626)</f>
        <v/>
      </c>
      <c r="C626" s="7">
        <f>MONTH(A626)</f>
        <v/>
      </c>
      <c r="D626" s="10" t="n">
        <v>0</v>
      </c>
      <c r="E626" s="11" t="n">
        <v>8.832668855</v>
      </c>
      <c r="F626" s="12" t="n">
        <v>0.01042881811</v>
      </c>
      <c r="G626" s="11" t="n">
        <v>283.2327795</v>
      </c>
      <c r="H626" s="13">
        <f>F626*1000</f>
        <v/>
      </c>
      <c r="I626" s="14">
        <f>G626-273.15</f>
        <v/>
      </c>
      <c r="K626" s="15" t="n">
        <v>2002</v>
      </c>
      <c r="L626" s="15" t="n">
        <v>9</v>
      </c>
      <c r="M626" s="15" t="n">
        <v>22</v>
      </c>
      <c r="N626" s="16" t="n">
        <v>4.38607656e-06</v>
      </c>
      <c r="O626" s="11" t="n">
        <v>284.4605106</v>
      </c>
      <c r="P626" s="13">
        <f>N626*86400</f>
        <v/>
      </c>
      <c r="Q626" s="14">
        <f>O626-273.15</f>
        <v/>
      </c>
    </row>
    <row r="627">
      <c r="A627" s="9" t="n">
        <v>37514</v>
      </c>
      <c r="B627" s="7">
        <f>YEAR(A627)</f>
        <v/>
      </c>
      <c r="C627" s="7">
        <f>MONTH(A627)</f>
        <v/>
      </c>
      <c r="D627" s="10" t="n">
        <v>0</v>
      </c>
      <c r="E627" s="11" t="n">
        <v>7.047687758</v>
      </c>
      <c r="F627" s="12" t="n">
        <v>0</v>
      </c>
      <c r="G627" s="11" t="n">
        <v>281.5687481</v>
      </c>
      <c r="H627" s="13">
        <f>F627*1000</f>
        <v/>
      </c>
      <c r="I627" s="14">
        <f>G627-273.15</f>
        <v/>
      </c>
      <c r="K627" s="15" t="n">
        <v>2002</v>
      </c>
      <c r="L627" s="15" t="n">
        <v>9</v>
      </c>
      <c r="M627" s="15" t="n">
        <v>23</v>
      </c>
      <c r="N627" s="16" t="n">
        <v>0</v>
      </c>
      <c r="O627" s="11" t="n">
        <v>285.0072086</v>
      </c>
      <c r="P627" s="13">
        <f>N627*86400</f>
        <v/>
      </c>
      <c r="Q627" s="14">
        <f>O627-273.15</f>
        <v/>
      </c>
    </row>
    <row r="628">
      <c r="A628" s="9" t="n">
        <v>37515</v>
      </c>
      <c r="B628" s="7">
        <f>YEAR(A628)</f>
        <v/>
      </c>
      <c r="C628" s="7">
        <f>MONTH(A628)</f>
        <v/>
      </c>
      <c r="D628" s="10" t="n">
        <v>0</v>
      </c>
      <c r="E628" s="11" t="n">
        <v>10.39404885</v>
      </c>
      <c r="F628" s="12" t="n">
        <v>3.560394151e-05</v>
      </c>
      <c r="G628" s="11" t="n">
        <v>284.8169166</v>
      </c>
      <c r="H628" s="13">
        <f>F628*1000</f>
        <v/>
      </c>
      <c r="I628" s="14">
        <f>G628-273.15</f>
        <v/>
      </c>
      <c r="K628" s="15" t="n">
        <v>2002</v>
      </c>
      <c r="L628" s="15" t="n">
        <v>9</v>
      </c>
      <c r="M628" s="15" t="n">
        <v>24</v>
      </c>
      <c r="N628" s="16" t="n">
        <v>1.22754232e-06</v>
      </c>
      <c r="O628" s="11" t="n">
        <v>285.8892836</v>
      </c>
      <c r="P628" s="13">
        <f>N628*86400</f>
        <v/>
      </c>
      <c r="Q628" s="14">
        <f>O628-273.15</f>
        <v/>
      </c>
    </row>
    <row r="629">
      <c r="A629" s="9" t="n">
        <v>37516</v>
      </c>
      <c r="B629" s="7">
        <f>YEAR(A629)</f>
        <v/>
      </c>
      <c r="C629" s="7">
        <f>MONTH(A629)</f>
        <v/>
      </c>
      <c r="D629" s="10" t="n">
        <v>16.47588644</v>
      </c>
      <c r="E629" s="11" t="n">
        <v>8.214833886999999</v>
      </c>
      <c r="F629" s="12" t="n">
        <v>0.01151131669</v>
      </c>
      <c r="G629" s="11" t="n">
        <v>282.6996206</v>
      </c>
      <c r="H629" s="13">
        <f>F629*1000</f>
        <v/>
      </c>
      <c r="I629" s="14">
        <f>G629-273.15</f>
        <v/>
      </c>
      <c r="K629" s="15" t="n">
        <v>2002</v>
      </c>
      <c r="L629" s="15" t="n">
        <v>9</v>
      </c>
      <c r="M629" s="15" t="n">
        <v>25</v>
      </c>
      <c r="N629" s="16" t="n">
        <v>7.085581696e-06</v>
      </c>
      <c r="O629" s="11" t="n">
        <v>286.7247401</v>
      </c>
      <c r="P629" s="13">
        <f>N629*86400</f>
        <v/>
      </c>
      <c r="Q629" s="14">
        <f>O629-273.15</f>
        <v/>
      </c>
    </row>
    <row r="630">
      <c r="A630" s="9" t="n">
        <v>37517</v>
      </c>
      <c r="B630" s="7">
        <f>YEAR(A630)</f>
        <v/>
      </c>
      <c r="C630" s="7">
        <f>MONTH(A630)</f>
        <v/>
      </c>
      <c r="D630" s="10" t="n">
        <v>0</v>
      </c>
      <c r="E630" s="11" t="n">
        <v>10.04732995</v>
      </c>
      <c r="F630" s="12" t="n">
        <v>0</v>
      </c>
      <c r="G630" s="11" t="n">
        <v>284.8521064</v>
      </c>
      <c r="H630" s="13">
        <f>F630*1000</f>
        <v/>
      </c>
      <c r="I630" s="14">
        <f>G630-273.15</f>
        <v/>
      </c>
      <c r="K630" s="15" t="n">
        <v>2002</v>
      </c>
      <c r="L630" s="15" t="n">
        <v>9</v>
      </c>
      <c r="M630" s="15" t="n">
        <v>26</v>
      </c>
      <c r="N630" s="16" t="n">
        <v>3.783147546e-06</v>
      </c>
      <c r="O630" s="11" t="n">
        <v>289.167555</v>
      </c>
      <c r="P630" s="13">
        <f>N630*86400</f>
        <v/>
      </c>
      <c r="Q630" s="14">
        <f>O630-273.15</f>
        <v/>
      </c>
    </row>
    <row r="631">
      <c r="A631" s="9" t="n">
        <v>37518</v>
      </c>
      <c r="B631" s="7">
        <f>YEAR(A631)</f>
        <v/>
      </c>
      <c r="C631" s="7">
        <f>MONTH(A631)</f>
        <v/>
      </c>
      <c r="D631" s="10" t="n">
        <v>0</v>
      </c>
      <c r="E631" s="11" t="n">
        <v>13.38201968</v>
      </c>
      <c r="F631" s="12" t="n">
        <v>0</v>
      </c>
      <c r="G631" s="11" t="n">
        <v>287.5120881</v>
      </c>
      <c r="H631" s="13">
        <f>F631*1000</f>
        <v/>
      </c>
      <c r="I631" s="14">
        <f>G631-273.15</f>
        <v/>
      </c>
      <c r="K631" s="15" t="n">
        <v>2002</v>
      </c>
      <c r="L631" s="15" t="n">
        <v>9</v>
      </c>
      <c r="M631" s="15" t="n">
        <v>27</v>
      </c>
      <c r="N631" s="16" t="n">
        <v>2.850068391e-05</v>
      </c>
      <c r="O631" s="11" t="n">
        <v>288.6327984</v>
      </c>
      <c r="P631" s="13">
        <f>N631*86400</f>
        <v/>
      </c>
      <c r="Q631" s="14">
        <f>O631-273.15</f>
        <v/>
      </c>
    </row>
    <row r="632">
      <c r="A632" s="9" t="n">
        <v>37519</v>
      </c>
      <c r="B632" s="7">
        <f>YEAR(A632)</f>
        <v/>
      </c>
      <c r="C632" s="7">
        <f>MONTH(A632)</f>
        <v/>
      </c>
      <c r="D632" s="10" t="n">
        <v>0</v>
      </c>
      <c r="E632" s="11" t="n">
        <v>10.99701353</v>
      </c>
      <c r="F632" s="12" t="n">
        <v>0</v>
      </c>
      <c r="G632" s="11" t="n">
        <v>286.1223867</v>
      </c>
      <c r="H632" s="13">
        <f>F632*1000</f>
        <v/>
      </c>
      <c r="I632" s="14">
        <f>G632-273.15</f>
        <v/>
      </c>
      <c r="K632" s="15" t="n">
        <v>2002</v>
      </c>
      <c r="L632" s="15" t="n">
        <v>9</v>
      </c>
      <c r="M632" s="15" t="n">
        <v>28</v>
      </c>
      <c r="N632" s="16" t="n">
        <v>8.186984527e-05</v>
      </c>
      <c r="O632" s="11" t="n">
        <v>287.7918587</v>
      </c>
      <c r="P632" s="13">
        <f>N632*86400</f>
        <v/>
      </c>
      <c r="Q632" s="14">
        <f>O632-273.15</f>
        <v/>
      </c>
    </row>
    <row r="633">
      <c r="A633" s="9" t="n">
        <v>37520</v>
      </c>
      <c r="B633" s="7">
        <f>YEAR(A633)</f>
        <v/>
      </c>
      <c r="C633" s="7">
        <f>MONTH(A633)</f>
        <v/>
      </c>
      <c r="D633" s="10" t="n">
        <v>0</v>
      </c>
      <c r="E633" s="11" t="n">
        <v>9.824917563</v>
      </c>
      <c r="F633" s="12" t="n">
        <v>0.0009708985416999999</v>
      </c>
      <c r="G633" s="11" t="n">
        <v>285.9475674</v>
      </c>
      <c r="H633" s="13">
        <f>F633*1000</f>
        <v/>
      </c>
      <c r="I633" s="14">
        <f>G633-273.15</f>
        <v/>
      </c>
      <c r="K633" s="15" t="n">
        <v>2002</v>
      </c>
      <c r="L633" s="15" t="n">
        <v>9</v>
      </c>
      <c r="M633" s="15" t="n">
        <v>29</v>
      </c>
      <c r="N633" s="16" t="n">
        <v>0</v>
      </c>
      <c r="O633" s="11" t="n">
        <v>287.8828677</v>
      </c>
      <c r="P633" s="13">
        <f>N633*86400</f>
        <v/>
      </c>
      <c r="Q633" s="14">
        <f>O633-273.15</f>
        <v/>
      </c>
    </row>
    <row r="634">
      <c r="A634" s="9" t="n">
        <v>37521</v>
      </c>
      <c r="B634" s="7">
        <f>YEAR(A634)</f>
        <v/>
      </c>
      <c r="C634" s="7">
        <f>MONTH(A634)</f>
        <v/>
      </c>
      <c r="D634" s="10" t="n">
        <v>0</v>
      </c>
      <c r="E634" s="11" t="n">
        <v>10.78312501</v>
      </c>
      <c r="F634" s="12" t="n">
        <v>0.00518745992</v>
      </c>
      <c r="G634" s="11" t="n">
        <v>286.9058768</v>
      </c>
      <c r="H634" s="13">
        <f>F634*1000</f>
        <v/>
      </c>
      <c r="I634" s="14">
        <f>G634-273.15</f>
        <v/>
      </c>
      <c r="K634" s="15" t="n">
        <v>2002</v>
      </c>
      <c r="L634" s="15" t="n">
        <v>9</v>
      </c>
      <c r="M634" s="15" t="n">
        <v>30</v>
      </c>
      <c r="N634" s="16" t="n">
        <v>0</v>
      </c>
      <c r="O634" s="11" t="n">
        <v>285.6438315</v>
      </c>
      <c r="P634" s="13">
        <f>N634*86400</f>
        <v/>
      </c>
      <c r="Q634" s="14">
        <f>O634-273.15</f>
        <v/>
      </c>
    </row>
    <row r="635">
      <c r="A635" s="9" t="n">
        <v>37522</v>
      </c>
      <c r="B635" s="7">
        <f>YEAR(A635)</f>
        <v/>
      </c>
      <c r="C635" s="7">
        <f>MONTH(A635)</f>
        <v/>
      </c>
      <c r="D635" s="10" t="n">
        <v>0</v>
      </c>
      <c r="E635" s="11" t="n">
        <v>11.65138186</v>
      </c>
      <c r="F635" s="12" t="n">
        <v>0.007108538864</v>
      </c>
      <c r="G635" s="11" t="n">
        <v>286.6991032</v>
      </c>
      <c r="H635" s="13">
        <f>F635*1000</f>
        <v/>
      </c>
      <c r="I635" s="14">
        <f>G635-273.15</f>
        <v/>
      </c>
      <c r="K635" s="15" t="n">
        <v>2002</v>
      </c>
      <c r="L635" s="15" t="n">
        <v>10</v>
      </c>
      <c r="M635" s="15" t="n">
        <v>1</v>
      </c>
      <c r="N635" s="16" t="n">
        <v>7.222463878e-05</v>
      </c>
      <c r="O635" s="11" t="n">
        <v>288.4575806</v>
      </c>
      <c r="P635" s="13">
        <f>N635*86400</f>
        <v/>
      </c>
      <c r="Q635" s="14">
        <f>O635-273.15</f>
        <v/>
      </c>
    </row>
    <row r="636">
      <c r="A636" s="9" t="n">
        <v>37523</v>
      </c>
      <c r="B636" s="7">
        <f>YEAR(A636)</f>
        <v/>
      </c>
      <c r="C636" s="7">
        <f>MONTH(A636)</f>
        <v/>
      </c>
      <c r="D636" s="10" t="n">
        <v>0</v>
      </c>
      <c r="E636" s="11" t="n">
        <v>11.9811314</v>
      </c>
      <c r="F636" s="12" t="n">
        <v>0.001330059899</v>
      </c>
      <c r="G636" s="11" t="n">
        <v>286.4425686</v>
      </c>
      <c r="H636" s="13">
        <f>F636*1000</f>
        <v/>
      </c>
      <c r="I636" s="14">
        <f>G636-273.15</f>
        <v/>
      </c>
      <c r="K636" s="15" t="n">
        <v>2002</v>
      </c>
      <c r="L636" s="15" t="n">
        <v>10</v>
      </c>
      <c r="M636" s="15" t="n">
        <v>2</v>
      </c>
      <c r="N636" s="16" t="n">
        <v>2.776640194e-06</v>
      </c>
      <c r="O636" s="11" t="n">
        <v>285.4604068</v>
      </c>
      <c r="P636" s="13">
        <f>N636*86400</f>
        <v/>
      </c>
      <c r="Q636" s="14">
        <f>O636-273.15</f>
        <v/>
      </c>
    </row>
    <row r="637">
      <c r="A637" s="9" t="n">
        <v>37524</v>
      </c>
      <c r="B637" s="7">
        <f>YEAR(A637)</f>
        <v/>
      </c>
      <c r="C637" s="7">
        <f>MONTH(A637)</f>
        <v/>
      </c>
      <c r="D637" s="10" t="n">
        <v>0</v>
      </c>
      <c r="E637" s="11" t="n">
        <v>11.47709725</v>
      </c>
      <c r="F637" s="12" t="n">
        <v>0.002827887682</v>
      </c>
      <c r="G637" s="11" t="n">
        <v>286.221456</v>
      </c>
      <c r="H637" s="13">
        <f>F637*1000</f>
        <v/>
      </c>
      <c r="I637" s="14">
        <f>G637-273.15</f>
        <v/>
      </c>
      <c r="K637" s="15" t="n">
        <v>2002</v>
      </c>
      <c r="L637" s="15" t="n">
        <v>10</v>
      </c>
      <c r="M637" s="15" t="n">
        <v>3</v>
      </c>
      <c r="N637" s="16" t="n">
        <v>5.556481388e-05</v>
      </c>
      <c r="O637" s="11" t="n">
        <v>286.3219849</v>
      </c>
      <c r="P637" s="13">
        <f>N637*86400</f>
        <v/>
      </c>
      <c r="Q637" s="14">
        <f>O637-273.15</f>
        <v/>
      </c>
    </row>
    <row r="638">
      <c r="A638" s="9" t="n">
        <v>37525</v>
      </c>
      <c r="B638" s="7">
        <f>YEAR(A638)</f>
        <v/>
      </c>
      <c r="C638" s="7">
        <f>MONTH(A638)</f>
        <v/>
      </c>
      <c r="D638" s="10" t="n">
        <v>0</v>
      </c>
      <c r="E638" s="11" t="n">
        <v>10.18488296</v>
      </c>
      <c r="F638" s="12" t="n">
        <v>0</v>
      </c>
      <c r="G638" s="11" t="n">
        <v>284.0097531</v>
      </c>
      <c r="H638" s="13">
        <f>F638*1000</f>
        <v/>
      </c>
      <c r="I638" s="14">
        <f>G638-273.15</f>
        <v/>
      </c>
      <c r="K638" s="15" t="n">
        <v>2002</v>
      </c>
      <c r="L638" s="15" t="n">
        <v>10</v>
      </c>
      <c r="M638" s="15" t="n">
        <v>4</v>
      </c>
      <c r="N638" s="16" t="n">
        <v>1.785322664e-05</v>
      </c>
      <c r="O638" s="11" t="n">
        <v>286.0200433</v>
      </c>
      <c r="P638" s="13">
        <f>N638*86400</f>
        <v/>
      </c>
      <c r="Q638" s="14">
        <f>O638-273.15</f>
        <v/>
      </c>
    </row>
    <row r="639">
      <c r="A639" s="9" t="n">
        <v>37526</v>
      </c>
      <c r="B639" s="7">
        <f>YEAR(A639)</f>
        <v/>
      </c>
      <c r="C639" s="7">
        <f>MONTH(A639)</f>
        <v/>
      </c>
      <c r="D639" s="10" t="n">
        <v>0</v>
      </c>
      <c r="E639" s="11" t="n">
        <v>8.59529002</v>
      </c>
      <c r="F639" s="12" t="n">
        <v>0</v>
      </c>
      <c r="G639" s="11" t="n">
        <v>282.4292009</v>
      </c>
      <c r="H639" s="13">
        <f>F639*1000</f>
        <v/>
      </c>
      <c r="I639" s="14">
        <f>G639-273.15</f>
        <v/>
      </c>
      <c r="K639" s="15" t="n">
        <v>2002</v>
      </c>
      <c r="L639" s="15" t="n">
        <v>10</v>
      </c>
      <c r="M639" s="15" t="n">
        <v>5</v>
      </c>
      <c r="N639" s="16" t="n">
        <v>0</v>
      </c>
      <c r="O639" s="11" t="n">
        <v>284.2505755</v>
      </c>
      <c r="P639" s="13">
        <f>N639*86400</f>
        <v/>
      </c>
      <c r="Q639" s="14">
        <f>O639-273.15</f>
        <v/>
      </c>
    </row>
    <row r="640">
      <c r="A640" s="9" t="n">
        <v>37527</v>
      </c>
      <c r="B640" s="7">
        <f>YEAR(A640)</f>
        <v/>
      </c>
      <c r="C640" s="7">
        <f>MONTH(A640)</f>
        <v/>
      </c>
      <c r="D640" s="10" t="n">
        <v>0</v>
      </c>
      <c r="E640" s="11" t="n">
        <v>6.453133621</v>
      </c>
      <c r="F640" s="12" t="n">
        <v>0</v>
      </c>
      <c r="G640" s="11" t="n">
        <v>280.8520277</v>
      </c>
      <c r="H640" s="13">
        <f>F640*1000</f>
        <v/>
      </c>
      <c r="I640" s="14">
        <f>G640-273.15</f>
        <v/>
      </c>
      <c r="K640" s="15" t="n">
        <v>2002</v>
      </c>
      <c r="L640" s="15" t="n">
        <v>10</v>
      </c>
      <c r="M640" s="15" t="n">
        <v>6</v>
      </c>
      <c r="N640" s="16" t="n">
        <v>4.620868712e-07</v>
      </c>
      <c r="O640" s="11" t="n">
        <v>286.2482575</v>
      </c>
      <c r="P640" s="13">
        <f>N640*86400</f>
        <v/>
      </c>
      <c r="Q640" s="14">
        <f>O640-273.15</f>
        <v/>
      </c>
    </row>
    <row r="641">
      <c r="A641" s="9" t="n">
        <v>37528</v>
      </c>
      <c r="B641" s="7">
        <f>YEAR(A641)</f>
        <v/>
      </c>
      <c r="C641" s="7">
        <f>MONTH(A641)</f>
        <v/>
      </c>
      <c r="D641" s="10" t="n">
        <v>0</v>
      </c>
      <c r="E641" s="11" t="n">
        <v>7.439219201</v>
      </c>
      <c r="F641" s="12" t="n">
        <v>0</v>
      </c>
      <c r="G641" s="11" t="n">
        <v>282.3094506</v>
      </c>
      <c r="H641" s="13">
        <f>F641*1000</f>
        <v/>
      </c>
      <c r="I641" s="14">
        <f>G641-273.15</f>
        <v/>
      </c>
      <c r="K641" s="15" t="n">
        <v>2002</v>
      </c>
      <c r="L641" s="15" t="n">
        <v>10</v>
      </c>
      <c r="M641" s="15" t="n">
        <v>7</v>
      </c>
      <c r="N641" s="16" t="n">
        <v>5.053767722e-05</v>
      </c>
      <c r="O641" s="11" t="n">
        <v>286.3417595</v>
      </c>
      <c r="P641" s="13">
        <f>N641*86400</f>
        <v/>
      </c>
      <c r="Q641" s="14">
        <f>O641-273.15</f>
        <v/>
      </c>
    </row>
    <row r="642">
      <c r="A642" s="9" t="n">
        <v>37529</v>
      </c>
      <c r="B642" s="7">
        <f>YEAR(A642)</f>
        <v/>
      </c>
      <c r="C642" s="7">
        <f>MONTH(A642)</f>
        <v/>
      </c>
      <c r="D642" s="10" t="n">
        <v>0</v>
      </c>
      <c r="E642" s="11" t="n">
        <v>7.938544363</v>
      </c>
      <c r="F642" s="12" t="n">
        <v>0</v>
      </c>
      <c r="G642" s="11" t="n">
        <v>282.6537698</v>
      </c>
      <c r="H642" s="13">
        <f>F642*1000</f>
        <v/>
      </c>
      <c r="I642" s="14">
        <f>G642-273.15</f>
        <v/>
      </c>
      <c r="K642" s="15" t="n">
        <v>2002</v>
      </c>
      <c r="L642" s="15" t="n">
        <v>10</v>
      </c>
      <c r="M642" s="15" t="n">
        <v>8</v>
      </c>
      <c r="N642" s="16" t="n">
        <v>3.540424991e-06</v>
      </c>
      <c r="O642" s="11" t="n">
        <v>285.6975229</v>
      </c>
      <c r="P642" s="13">
        <f>N642*86400</f>
        <v/>
      </c>
      <c r="Q642" s="14">
        <f>O642-273.15</f>
        <v/>
      </c>
    </row>
    <row r="643">
      <c r="A643" s="9" t="n">
        <v>37530</v>
      </c>
      <c r="B643" s="7">
        <f>YEAR(A643)</f>
        <v/>
      </c>
      <c r="C643" s="7">
        <f>MONTH(A643)</f>
        <v/>
      </c>
      <c r="D643" s="10" t="n">
        <v>0.009909038619000001</v>
      </c>
      <c r="E643" s="11" t="n">
        <v>7.493475383</v>
      </c>
      <c r="F643" s="12" t="n">
        <v>0.001496768165</v>
      </c>
      <c r="G643" s="11" t="n">
        <v>283.091667</v>
      </c>
      <c r="H643" s="13">
        <f>F643*1000</f>
        <v/>
      </c>
      <c r="I643" s="14">
        <f>G643-273.15</f>
        <v/>
      </c>
      <c r="K643" s="15" t="n">
        <v>2002</v>
      </c>
      <c r="L643" s="15" t="n">
        <v>10</v>
      </c>
      <c r="M643" s="15" t="n">
        <v>9</v>
      </c>
      <c r="N643" s="16" t="n">
        <v>0</v>
      </c>
      <c r="O643" s="11" t="n">
        <v>285.4573824</v>
      </c>
      <c r="P643" s="13">
        <f>N643*86400</f>
        <v/>
      </c>
      <c r="Q643" s="14">
        <f>O643-273.15</f>
        <v/>
      </c>
    </row>
    <row r="644">
      <c r="A644" s="9" t="n">
        <v>37531</v>
      </c>
      <c r="B644" s="7">
        <f>YEAR(A644)</f>
        <v/>
      </c>
      <c r="C644" s="7">
        <f>MONTH(A644)</f>
        <v/>
      </c>
      <c r="D644" s="10" t="n">
        <v>0</v>
      </c>
      <c r="E644" s="11" t="n">
        <v>7.879528783</v>
      </c>
      <c r="F644" s="12" t="n">
        <v>0</v>
      </c>
      <c r="G644" s="11" t="n">
        <v>282.7784498</v>
      </c>
      <c r="H644" s="13">
        <f>F644*1000</f>
        <v/>
      </c>
      <c r="I644" s="14">
        <f>G644-273.15</f>
        <v/>
      </c>
      <c r="K644" s="15" t="n">
        <v>2002</v>
      </c>
      <c r="L644" s="15" t="n">
        <v>10</v>
      </c>
      <c r="M644" s="15" t="n">
        <v>10</v>
      </c>
      <c r="N644" s="16" t="n">
        <v>2.869768195e-05</v>
      </c>
      <c r="O644" s="11" t="n">
        <v>287.8810375</v>
      </c>
      <c r="P644" s="13">
        <f>N644*86400</f>
        <v/>
      </c>
      <c r="Q644" s="14">
        <f>O644-273.15</f>
        <v/>
      </c>
    </row>
    <row r="645">
      <c r="A645" s="9" t="n">
        <v>37532</v>
      </c>
      <c r="B645" s="7">
        <f>YEAR(A645)</f>
        <v/>
      </c>
      <c r="C645" s="7">
        <f>MONTH(A645)</f>
        <v/>
      </c>
      <c r="D645" s="10" t="n">
        <v>0</v>
      </c>
      <c r="E645" s="11" t="n">
        <v>9.289046026999999</v>
      </c>
      <c r="F645" s="12" t="n">
        <v>0</v>
      </c>
      <c r="G645" s="11" t="n">
        <v>284.0242938</v>
      </c>
      <c r="H645" s="13">
        <f>F645*1000</f>
        <v/>
      </c>
      <c r="I645" s="14">
        <f>G645-273.15</f>
        <v/>
      </c>
      <c r="K645" s="15" t="n">
        <v>2002</v>
      </c>
      <c r="L645" s="15" t="n">
        <v>10</v>
      </c>
      <c r="M645" s="15" t="n">
        <v>11</v>
      </c>
      <c r="N645" s="16" t="n">
        <v>8.253505382000001e-05</v>
      </c>
      <c r="O645" s="11" t="n">
        <v>287.0819471</v>
      </c>
      <c r="P645" s="13">
        <f>N645*86400</f>
        <v/>
      </c>
      <c r="Q645" s="14">
        <f>O645-273.15</f>
        <v/>
      </c>
    </row>
    <row r="646">
      <c r="A646" s="9" t="n">
        <v>37533</v>
      </c>
      <c r="B646" s="7">
        <f>YEAR(A646)</f>
        <v/>
      </c>
      <c r="C646" s="7">
        <f>MONTH(A646)</f>
        <v/>
      </c>
      <c r="D646" s="10" t="n">
        <v>0</v>
      </c>
      <c r="E646" s="11" t="n">
        <v>11.87878058</v>
      </c>
      <c r="F646" s="12" t="n">
        <v>0</v>
      </c>
      <c r="G646" s="11" t="n">
        <v>285.6387199</v>
      </c>
      <c r="H646" s="13">
        <f>F646*1000</f>
        <v/>
      </c>
      <c r="I646" s="14">
        <f>G646-273.15</f>
        <v/>
      </c>
      <c r="K646" s="15" t="n">
        <v>2002</v>
      </c>
      <c r="L646" s="15" t="n">
        <v>10</v>
      </c>
      <c r="M646" s="15" t="n">
        <v>12</v>
      </c>
      <c r="N646" s="16" t="n">
        <v>8.033838105e-06</v>
      </c>
      <c r="O646" s="11" t="n">
        <v>285.5626639</v>
      </c>
      <c r="P646" s="13">
        <f>N646*86400</f>
        <v/>
      </c>
      <c r="Q646" s="14">
        <f>O646-273.15</f>
        <v/>
      </c>
    </row>
    <row r="647">
      <c r="A647" s="9" t="n">
        <v>37534</v>
      </c>
      <c r="B647" s="7">
        <f>YEAR(A647)</f>
        <v/>
      </c>
      <c r="C647" s="7">
        <f>MONTH(A647)</f>
        <v/>
      </c>
      <c r="D647" s="10" t="n">
        <v>0</v>
      </c>
      <c r="E647" s="11" t="n">
        <v>12.93118831</v>
      </c>
      <c r="F647" s="12" t="n">
        <v>0</v>
      </c>
      <c r="G647" s="11" t="n">
        <v>285.7734312</v>
      </c>
      <c r="H647" s="13">
        <f>F647*1000</f>
        <v/>
      </c>
      <c r="I647" s="14">
        <f>G647-273.15</f>
        <v/>
      </c>
      <c r="K647" s="15" t="n">
        <v>2002</v>
      </c>
      <c r="L647" s="15" t="n">
        <v>10</v>
      </c>
      <c r="M647" s="15" t="n">
        <v>13</v>
      </c>
      <c r="N647" s="16" t="n">
        <v>1.539772143e-05</v>
      </c>
      <c r="O647" s="11" t="n">
        <v>286.3519534</v>
      </c>
      <c r="P647" s="13">
        <f>N647*86400</f>
        <v/>
      </c>
      <c r="Q647" s="14">
        <f>O647-273.15</f>
        <v/>
      </c>
    </row>
    <row r="648">
      <c r="A648" s="9" t="n">
        <v>37535</v>
      </c>
      <c r="B648" s="7">
        <f>YEAR(A648)</f>
        <v/>
      </c>
      <c r="C648" s="7">
        <f>MONTH(A648)</f>
        <v/>
      </c>
      <c r="D648" s="10" t="n">
        <v>0</v>
      </c>
      <c r="E648" s="11" t="n">
        <v>8.859960766</v>
      </c>
      <c r="F648" s="12" t="n">
        <v>0</v>
      </c>
      <c r="G648" s="11" t="n">
        <v>282.0537955</v>
      </c>
      <c r="H648" s="13">
        <f>F648*1000</f>
        <v/>
      </c>
      <c r="I648" s="14">
        <f>G648-273.15</f>
        <v/>
      </c>
      <c r="K648" s="15" t="n">
        <v>2002</v>
      </c>
      <c r="L648" s="15" t="n">
        <v>10</v>
      </c>
      <c r="M648" s="15" t="n">
        <v>14</v>
      </c>
      <c r="N648" s="16" t="n">
        <v>2.465515461e-06</v>
      </c>
      <c r="O648" s="11" t="n">
        <v>286.9319445</v>
      </c>
      <c r="P648" s="13">
        <f>N648*86400</f>
        <v/>
      </c>
      <c r="Q648" s="14">
        <f>O648-273.15</f>
        <v/>
      </c>
    </row>
    <row r="649">
      <c r="A649" s="9" t="n">
        <v>37536</v>
      </c>
      <c r="B649" s="7">
        <f>YEAR(A649)</f>
        <v/>
      </c>
      <c r="C649" s="7">
        <f>MONTH(A649)</f>
        <v/>
      </c>
      <c r="D649" s="10" t="n">
        <v>0</v>
      </c>
      <c r="E649" s="11" t="n">
        <v>7.14664004</v>
      </c>
      <c r="F649" s="12" t="n">
        <v>0</v>
      </c>
      <c r="G649" s="11" t="n">
        <v>282.540721</v>
      </c>
      <c r="H649" s="13">
        <f>F649*1000</f>
        <v/>
      </c>
      <c r="I649" s="14">
        <f>G649-273.15</f>
        <v/>
      </c>
      <c r="K649" s="15" t="n">
        <v>2002</v>
      </c>
      <c r="L649" s="15" t="n">
        <v>10</v>
      </c>
      <c r="M649" s="15" t="n">
        <v>15</v>
      </c>
      <c r="N649" s="16" t="n">
        <v>2.110133326e-05</v>
      </c>
      <c r="O649" s="11" t="n">
        <v>282.9188516</v>
      </c>
      <c r="P649" s="13">
        <f>N649*86400</f>
        <v/>
      </c>
      <c r="Q649" s="14">
        <f>O649-273.15</f>
        <v/>
      </c>
    </row>
    <row r="650">
      <c r="A650" s="9" t="n">
        <v>37537</v>
      </c>
      <c r="B650" s="7">
        <f>YEAR(A650)</f>
        <v/>
      </c>
      <c r="C650" s="7">
        <f>MONTH(A650)</f>
        <v/>
      </c>
      <c r="D650" s="10" t="n">
        <v>0</v>
      </c>
      <c r="E650" s="11" t="n">
        <v>8.356483554</v>
      </c>
      <c r="F650" s="12" t="n">
        <v>0</v>
      </c>
      <c r="G650" s="11" t="n">
        <v>283.2497748</v>
      </c>
      <c r="H650" s="13">
        <f>F650*1000</f>
        <v/>
      </c>
      <c r="I650" s="14">
        <f>G650-273.15</f>
        <v/>
      </c>
      <c r="K650" s="15" t="n">
        <v>2002</v>
      </c>
      <c r="L650" s="15" t="n">
        <v>10</v>
      </c>
      <c r="M650" s="15" t="n">
        <v>16</v>
      </c>
      <c r="N650" s="16" t="n">
        <v>1.479272517e-05</v>
      </c>
      <c r="O650" s="11" t="n">
        <v>282.1647082</v>
      </c>
      <c r="P650" s="13">
        <f>N650*86400</f>
        <v/>
      </c>
      <c r="Q650" s="14">
        <f>O650-273.15</f>
        <v/>
      </c>
    </row>
    <row r="651">
      <c r="A651" s="9" t="n">
        <v>37538</v>
      </c>
      <c r="B651" s="7">
        <f>YEAR(A651)</f>
        <v/>
      </c>
      <c r="C651" s="7">
        <f>MONTH(A651)</f>
        <v/>
      </c>
      <c r="D651" s="10" t="n">
        <v>0</v>
      </c>
      <c r="E651" s="11" t="n">
        <v>8.727546477000001</v>
      </c>
      <c r="F651" s="12" t="n">
        <v>0</v>
      </c>
      <c r="G651" s="11" t="n">
        <v>283.327338</v>
      </c>
      <c r="H651" s="13">
        <f>F651*1000</f>
        <v/>
      </c>
      <c r="I651" s="14">
        <f>G651-273.15</f>
        <v/>
      </c>
      <c r="K651" s="15" t="n">
        <v>2002</v>
      </c>
      <c r="L651" s="15" t="n">
        <v>10</v>
      </c>
      <c r="M651" s="15" t="n">
        <v>17</v>
      </c>
      <c r="N651" s="16" t="n">
        <v>0</v>
      </c>
      <c r="O651" s="11" t="n">
        <v>281.185918</v>
      </c>
      <c r="P651" s="13">
        <f>N651*86400</f>
        <v/>
      </c>
      <c r="Q651" s="14">
        <f>O651-273.15</f>
        <v/>
      </c>
    </row>
    <row r="652">
      <c r="A652" s="9" t="n">
        <v>37539</v>
      </c>
      <c r="B652" s="7">
        <f>YEAR(A652)</f>
        <v/>
      </c>
      <c r="C652" s="7">
        <f>MONTH(A652)</f>
        <v/>
      </c>
      <c r="D652" s="10" t="n">
        <v>0</v>
      </c>
      <c r="E652" s="11" t="n">
        <v>6.495444146</v>
      </c>
      <c r="F652" s="12" t="n">
        <v>0</v>
      </c>
      <c r="G652" s="11" t="n">
        <v>281.2885013</v>
      </c>
      <c r="H652" s="13">
        <f>F652*1000</f>
        <v/>
      </c>
      <c r="I652" s="14">
        <f>G652-273.15</f>
        <v/>
      </c>
      <c r="K652" s="15" t="n">
        <v>2002</v>
      </c>
      <c r="L652" s="15" t="n">
        <v>10</v>
      </c>
      <c r="M652" s="15" t="n">
        <v>18</v>
      </c>
      <c r="N652" s="16" t="n">
        <v>0</v>
      </c>
      <c r="O652" s="11" t="n">
        <v>280.2813157</v>
      </c>
      <c r="P652" s="13">
        <f>N652*86400</f>
        <v/>
      </c>
      <c r="Q652" s="14">
        <f>O652-273.15</f>
        <v/>
      </c>
    </row>
    <row r="653">
      <c r="A653" s="9" t="n">
        <v>37540</v>
      </c>
      <c r="B653" s="7">
        <f>YEAR(A653)</f>
        <v/>
      </c>
      <c r="C653" s="7">
        <f>MONTH(A653)</f>
        <v/>
      </c>
      <c r="D653" s="10" t="n">
        <v>0</v>
      </c>
      <c r="E653" s="11" t="n">
        <v>7.671535913</v>
      </c>
      <c r="F653" s="12" t="n">
        <v>0</v>
      </c>
      <c r="G653" s="11" t="n">
        <v>282.3873321</v>
      </c>
      <c r="H653" s="13">
        <f>F653*1000</f>
        <v/>
      </c>
      <c r="I653" s="14">
        <f>G653-273.15</f>
        <v/>
      </c>
      <c r="K653" s="15" t="n">
        <v>2002</v>
      </c>
      <c r="L653" s="15" t="n">
        <v>10</v>
      </c>
      <c r="M653" s="15" t="n">
        <v>19</v>
      </c>
      <c r="N653" s="16" t="n">
        <v>0</v>
      </c>
      <c r="O653" s="11" t="n">
        <v>281.0179317</v>
      </c>
      <c r="P653" s="13">
        <f>N653*86400</f>
        <v/>
      </c>
      <c r="Q653" s="14">
        <f>O653-273.15</f>
        <v/>
      </c>
    </row>
    <row r="654">
      <c r="A654" s="9" t="n">
        <v>37541</v>
      </c>
      <c r="B654" s="7">
        <f>YEAR(A654)</f>
        <v/>
      </c>
      <c r="C654" s="7">
        <f>MONTH(A654)</f>
        <v/>
      </c>
      <c r="D654" s="10" t="n">
        <v>0</v>
      </c>
      <c r="E654" s="11" t="n">
        <v>6.982702557</v>
      </c>
      <c r="F654" s="12" t="n">
        <v>0</v>
      </c>
      <c r="G654" s="11" t="n">
        <v>282.2845727</v>
      </c>
      <c r="H654" s="13">
        <f>F654*1000</f>
        <v/>
      </c>
      <c r="I654" s="14">
        <f>G654-273.15</f>
        <v/>
      </c>
      <c r="K654" s="15" t="n">
        <v>2002</v>
      </c>
      <c r="L654" s="15" t="n">
        <v>10</v>
      </c>
      <c r="M654" s="15" t="n">
        <v>20</v>
      </c>
      <c r="N654" s="16" t="n">
        <v>0</v>
      </c>
      <c r="O654" s="11" t="n">
        <v>280.842746</v>
      </c>
      <c r="P654" s="13">
        <f>N654*86400</f>
        <v/>
      </c>
      <c r="Q654" s="14">
        <f>O654-273.15</f>
        <v/>
      </c>
    </row>
    <row r="655">
      <c r="A655" s="9" t="n">
        <v>37542</v>
      </c>
      <c r="B655" s="7">
        <f>YEAR(A655)</f>
        <v/>
      </c>
      <c r="C655" s="7">
        <f>MONTH(A655)</f>
        <v/>
      </c>
      <c r="D655" s="10" t="n">
        <v>0</v>
      </c>
      <c r="E655" s="11" t="n">
        <v>4.48099017</v>
      </c>
      <c r="F655" s="12" t="n">
        <v>0.0002980184647</v>
      </c>
      <c r="G655" s="11" t="n">
        <v>280.8734341</v>
      </c>
      <c r="H655" s="13">
        <f>F655*1000</f>
        <v/>
      </c>
      <c r="I655" s="14">
        <f>G655-273.15</f>
        <v/>
      </c>
      <c r="K655" s="15" t="n">
        <v>2002</v>
      </c>
      <c r="L655" s="15" t="n">
        <v>10</v>
      </c>
      <c r="M655" s="15" t="n">
        <v>21</v>
      </c>
      <c r="N655" s="16" t="n">
        <v>2.282664262e-08</v>
      </c>
      <c r="O655" s="11" t="n">
        <v>282.2926963</v>
      </c>
      <c r="P655" s="13">
        <f>N655*86400</f>
        <v/>
      </c>
      <c r="Q655" s="14">
        <f>O655-273.15</f>
        <v/>
      </c>
    </row>
    <row r="656">
      <c r="A656" s="9" t="n">
        <v>37543</v>
      </c>
      <c r="B656" s="7">
        <f>YEAR(A656)</f>
        <v/>
      </c>
      <c r="C656" s="7">
        <f>MONTH(A656)</f>
        <v/>
      </c>
      <c r="D656" s="10" t="n">
        <v>0.2221852512</v>
      </c>
      <c r="E656" s="11" t="n">
        <v>5.669704333</v>
      </c>
      <c r="F656" s="12" t="n">
        <v>0</v>
      </c>
      <c r="G656" s="11" t="n">
        <v>281.5926076</v>
      </c>
      <c r="H656" s="13">
        <f>F656*1000</f>
        <v/>
      </c>
      <c r="I656" s="14">
        <f>G656-273.15</f>
        <v/>
      </c>
      <c r="K656" s="15" t="n">
        <v>2002</v>
      </c>
      <c r="L656" s="15" t="n">
        <v>10</v>
      </c>
      <c r="M656" s="15" t="n">
        <v>22</v>
      </c>
      <c r="N656" s="16" t="n">
        <v>6.623171983e-06</v>
      </c>
      <c r="O656" s="11" t="n">
        <v>283.3894267</v>
      </c>
      <c r="P656" s="13">
        <f>N656*86400</f>
        <v/>
      </c>
      <c r="Q656" s="14">
        <f>O656-273.15</f>
        <v/>
      </c>
    </row>
    <row r="657">
      <c r="A657" s="9" t="n">
        <v>37544</v>
      </c>
      <c r="B657" s="7">
        <f>YEAR(A657)</f>
        <v/>
      </c>
      <c r="C657" s="7">
        <f>MONTH(A657)</f>
        <v/>
      </c>
      <c r="D657" s="10" t="n">
        <v>0</v>
      </c>
      <c r="E657" s="11" t="n">
        <v>5.998774855</v>
      </c>
      <c r="F657" s="12" t="n">
        <v>0.0005222920363000001</v>
      </c>
      <c r="G657" s="11" t="n">
        <v>281.8475873</v>
      </c>
      <c r="H657" s="13">
        <f>F657*1000</f>
        <v/>
      </c>
      <c r="I657" s="14">
        <f>G657-273.15</f>
        <v/>
      </c>
      <c r="K657" s="15" t="n">
        <v>2002</v>
      </c>
      <c r="L657" s="15" t="n">
        <v>10</v>
      </c>
      <c r="M657" s="15" t="n">
        <v>23</v>
      </c>
      <c r="N657" s="16" t="n">
        <v>0</v>
      </c>
      <c r="O657" s="11" t="n">
        <v>281.9811893</v>
      </c>
      <c r="P657" s="13">
        <f>N657*86400</f>
        <v/>
      </c>
      <c r="Q657" s="14">
        <f>O657-273.15</f>
        <v/>
      </c>
    </row>
    <row r="658">
      <c r="A658" s="9" t="n">
        <v>37545</v>
      </c>
      <c r="B658" s="7">
        <f>YEAR(A658)</f>
        <v/>
      </c>
      <c r="C658" s="7">
        <f>MONTH(A658)</f>
        <v/>
      </c>
      <c r="D658" s="10" t="n">
        <v>0</v>
      </c>
      <c r="E658" s="11" t="n">
        <v>4.786136761</v>
      </c>
      <c r="F658" s="12" t="n">
        <v>0</v>
      </c>
      <c r="G658" s="11" t="n">
        <v>280.434698</v>
      </c>
      <c r="H658" s="13">
        <f>F658*1000</f>
        <v/>
      </c>
      <c r="I658" s="14">
        <f>G658-273.15</f>
        <v/>
      </c>
      <c r="K658" s="15" t="n">
        <v>2002</v>
      </c>
      <c r="L658" s="15" t="n">
        <v>10</v>
      </c>
      <c r="M658" s="15" t="n">
        <v>24</v>
      </c>
      <c r="N658" s="16" t="n">
        <v>0</v>
      </c>
      <c r="O658" s="11" t="n">
        <v>282.2898399</v>
      </c>
      <c r="P658" s="13">
        <f>N658*86400</f>
        <v/>
      </c>
      <c r="Q658" s="14">
        <f>O658-273.15</f>
        <v/>
      </c>
    </row>
    <row r="659">
      <c r="A659" s="9" t="n">
        <v>37546</v>
      </c>
      <c r="B659" s="7">
        <f>YEAR(A659)</f>
        <v/>
      </c>
      <c r="C659" s="7">
        <f>MONTH(A659)</f>
        <v/>
      </c>
      <c r="D659" s="10" t="n">
        <v>2.842451445</v>
      </c>
      <c r="E659" s="11" t="n">
        <v>7.615904318</v>
      </c>
      <c r="F659" s="12" t="n">
        <v>0.0007050933416</v>
      </c>
      <c r="G659" s="11" t="n">
        <v>282.6025362</v>
      </c>
      <c r="H659" s="13">
        <f>F659*1000</f>
        <v/>
      </c>
      <c r="I659" s="14">
        <f>G659-273.15</f>
        <v/>
      </c>
      <c r="K659" s="15" t="n">
        <v>2002</v>
      </c>
      <c r="L659" s="15" t="n">
        <v>10</v>
      </c>
      <c r="M659" s="15" t="n">
        <v>25</v>
      </c>
      <c r="N659" s="16" t="n">
        <v>0</v>
      </c>
      <c r="O659" s="11" t="n">
        <v>282.0740519</v>
      </c>
      <c r="P659" s="13">
        <f>N659*86400</f>
        <v/>
      </c>
      <c r="Q659" s="14">
        <f>O659-273.15</f>
        <v/>
      </c>
    </row>
    <row r="660">
      <c r="A660" s="9" t="n">
        <v>37547</v>
      </c>
      <c r="B660" s="7">
        <f>YEAR(A660)</f>
        <v/>
      </c>
      <c r="C660" s="7">
        <f>MONTH(A660)</f>
        <v/>
      </c>
      <c r="D660" s="10" t="n">
        <v>19.14165215</v>
      </c>
      <c r="E660" s="11" t="n">
        <v>5.207471197</v>
      </c>
      <c r="F660" s="12" t="n">
        <v>0.009020823977999999</v>
      </c>
      <c r="G660" s="11" t="n">
        <v>281.1559841</v>
      </c>
      <c r="H660" s="13">
        <f>F660*1000</f>
        <v/>
      </c>
      <c r="I660" s="14">
        <f>G660-273.15</f>
        <v/>
      </c>
      <c r="K660" s="15" t="n">
        <v>2002</v>
      </c>
      <c r="L660" s="15" t="n">
        <v>10</v>
      </c>
      <c r="M660" s="15" t="n">
        <v>26</v>
      </c>
      <c r="N660" s="16" t="n">
        <v>0</v>
      </c>
      <c r="O660" s="11" t="n">
        <v>282.0045256</v>
      </c>
      <c r="P660" s="13">
        <f>N660*86400</f>
        <v/>
      </c>
      <c r="Q660" s="14">
        <f>O660-273.15</f>
        <v/>
      </c>
    </row>
    <row r="661">
      <c r="A661" s="9" t="n">
        <v>37548</v>
      </c>
      <c r="B661" s="7">
        <f>YEAR(A661)</f>
        <v/>
      </c>
      <c r="C661" s="7">
        <f>MONTH(A661)</f>
        <v/>
      </c>
      <c r="D661" s="10" t="n">
        <v>6.408800372</v>
      </c>
      <c r="E661" s="11" t="n">
        <v>6.769065612</v>
      </c>
      <c r="F661" s="12" t="n">
        <v>0.005967495938</v>
      </c>
      <c r="G661" s="11" t="n">
        <v>282.5317865</v>
      </c>
      <c r="H661" s="13">
        <f>F661*1000</f>
        <v/>
      </c>
      <c r="I661" s="14">
        <f>G661-273.15</f>
        <v/>
      </c>
      <c r="K661" s="15" t="n">
        <v>2002</v>
      </c>
      <c r="L661" s="15" t="n">
        <v>10</v>
      </c>
      <c r="M661" s="15" t="n">
        <v>27</v>
      </c>
      <c r="N661" s="16" t="n">
        <v>8.541231703000001e-06</v>
      </c>
      <c r="O661" s="11" t="n">
        <v>279.8925915</v>
      </c>
      <c r="P661" s="13">
        <f>N661*86400</f>
        <v/>
      </c>
      <c r="Q661" s="14">
        <f>O661-273.15</f>
        <v/>
      </c>
    </row>
    <row r="662">
      <c r="A662" s="9" t="n">
        <v>37549</v>
      </c>
      <c r="B662" s="7">
        <f>YEAR(A662)</f>
        <v/>
      </c>
      <c r="C662" s="7">
        <f>MONTH(A662)</f>
        <v/>
      </c>
      <c r="D662" s="10" t="n">
        <v>0</v>
      </c>
      <c r="E662" s="11" t="n">
        <v>3.772816758</v>
      </c>
      <c r="F662" s="12" t="n">
        <v>0</v>
      </c>
      <c r="G662" s="11" t="n">
        <v>279.453143</v>
      </c>
      <c r="H662" s="13">
        <f>F662*1000</f>
        <v/>
      </c>
      <c r="I662" s="14">
        <f>G662-273.15</f>
        <v/>
      </c>
      <c r="K662" s="15" t="n">
        <v>2002</v>
      </c>
      <c r="L662" s="15" t="n">
        <v>10</v>
      </c>
      <c r="M662" s="15" t="n">
        <v>28</v>
      </c>
      <c r="N662" s="16" t="n">
        <v>6.633383605e-07</v>
      </c>
      <c r="O662" s="11" t="n">
        <v>282.0218297</v>
      </c>
      <c r="P662" s="13">
        <f>N662*86400</f>
        <v/>
      </c>
      <c r="Q662" s="14">
        <f>O662-273.15</f>
        <v/>
      </c>
    </row>
    <row r="663">
      <c r="A663" s="9" t="n">
        <v>37550</v>
      </c>
      <c r="B663" s="7">
        <f>YEAR(A663)</f>
        <v/>
      </c>
      <c r="C663" s="7">
        <f>MONTH(A663)</f>
        <v/>
      </c>
      <c r="D663" s="10" t="n">
        <v>0</v>
      </c>
      <c r="E663" s="11" t="n">
        <v>5.182776301</v>
      </c>
      <c r="F663" s="12" t="n">
        <v>0</v>
      </c>
      <c r="G663" s="11" t="n">
        <v>279.5560606</v>
      </c>
      <c r="H663" s="13">
        <f>F663*1000</f>
        <v/>
      </c>
      <c r="I663" s="14">
        <f>G663-273.15</f>
        <v/>
      </c>
      <c r="K663" s="15" t="n">
        <v>2002</v>
      </c>
      <c r="L663" s="15" t="n">
        <v>10</v>
      </c>
      <c r="M663" s="15" t="n">
        <v>29</v>
      </c>
      <c r="N663" s="16" t="n">
        <v>3.090094053e-05</v>
      </c>
      <c r="O663" s="11" t="n">
        <v>284.1180217</v>
      </c>
      <c r="P663" s="13">
        <f>N663*86400</f>
        <v/>
      </c>
      <c r="Q663" s="14">
        <f>O663-273.15</f>
        <v/>
      </c>
    </row>
    <row r="664">
      <c r="A664" s="9" t="n">
        <v>37551</v>
      </c>
      <c r="B664" s="7">
        <f>YEAR(A664)</f>
        <v/>
      </c>
      <c r="C664" s="7">
        <f>MONTH(A664)</f>
        <v/>
      </c>
      <c r="D664" s="10" t="n">
        <v>0</v>
      </c>
      <c r="E664" s="11" t="n">
        <v>7.865768406</v>
      </c>
      <c r="F664" s="12" t="n">
        <v>0.0001013229924</v>
      </c>
      <c r="G664" s="11" t="n">
        <v>281.9677207</v>
      </c>
      <c r="H664" s="13">
        <f>F664*1000</f>
        <v/>
      </c>
      <c r="I664" s="14">
        <f>G664-273.15</f>
        <v/>
      </c>
      <c r="K664" s="15" t="n">
        <v>2002</v>
      </c>
      <c r="L664" s="15" t="n">
        <v>10</v>
      </c>
      <c r="M664" s="15" t="n">
        <v>30</v>
      </c>
      <c r="N664" s="16" t="n">
        <v>1.104382981e-05</v>
      </c>
      <c r="O664" s="11" t="n">
        <v>282.4882589</v>
      </c>
      <c r="P664" s="13">
        <f>N664*86400</f>
        <v/>
      </c>
      <c r="Q664" s="14">
        <f>O664-273.15</f>
        <v/>
      </c>
    </row>
    <row r="665">
      <c r="A665" s="9" t="n">
        <v>37552</v>
      </c>
      <c r="B665" s="7">
        <f>YEAR(A665)</f>
        <v/>
      </c>
      <c r="C665" s="7">
        <f>MONTH(A665)</f>
        <v/>
      </c>
      <c r="D665" s="10" t="n">
        <v>0</v>
      </c>
      <c r="E665" s="11" t="n">
        <v>9.918984177</v>
      </c>
      <c r="F665" s="12" t="n">
        <v>0</v>
      </c>
      <c r="G665" s="11" t="n">
        <v>283.9933519</v>
      </c>
      <c r="H665" s="13">
        <f>F665*1000</f>
        <v/>
      </c>
      <c r="I665" s="14">
        <f>G665-273.15</f>
        <v/>
      </c>
      <c r="K665" s="15" t="n">
        <v>2002</v>
      </c>
      <c r="L665" s="15" t="n">
        <v>11</v>
      </c>
      <c r="M665" s="15" t="n">
        <v>1</v>
      </c>
      <c r="N665" s="16" t="n">
        <v>0</v>
      </c>
      <c r="O665" s="11" t="n">
        <v>280.8212053</v>
      </c>
      <c r="P665" s="13">
        <f>N665*86400</f>
        <v/>
      </c>
      <c r="Q665" s="14">
        <f>O665-273.15</f>
        <v/>
      </c>
    </row>
    <row r="666">
      <c r="A666" s="9" t="n">
        <v>37553</v>
      </c>
      <c r="B666" s="7">
        <f>YEAR(A666)</f>
        <v/>
      </c>
      <c r="C666" s="7">
        <f>MONTH(A666)</f>
        <v/>
      </c>
      <c r="D666" s="10" t="n">
        <v>0</v>
      </c>
      <c r="E666" s="11" t="n">
        <v>8.886386784000001</v>
      </c>
      <c r="F666" s="12" t="n">
        <v>0</v>
      </c>
      <c r="G666" s="11" t="n">
        <v>282.81671</v>
      </c>
      <c r="H666" s="13">
        <f>F666*1000</f>
        <v/>
      </c>
      <c r="I666" s="14">
        <f>G666-273.15</f>
        <v/>
      </c>
      <c r="K666" s="15" t="n">
        <v>2002</v>
      </c>
      <c r="L666" s="15" t="n">
        <v>11</v>
      </c>
      <c r="M666" s="15" t="n">
        <v>2</v>
      </c>
      <c r="N666" s="16" t="n">
        <v>1.441134402e-05</v>
      </c>
      <c r="O666" s="11" t="n">
        <v>280.7421222</v>
      </c>
      <c r="P666" s="13">
        <f>N666*86400</f>
        <v/>
      </c>
      <c r="Q666" s="14">
        <f>O666-273.15</f>
        <v/>
      </c>
    </row>
    <row r="667">
      <c r="A667" s="9" t="n">
        <v>37554</v>
      </c>
      <c r="B667" s="7">
        <f>YEAR(A667)</f>
        <v/>
      </c>
      <c r="C667" s="7">
        <f>MONTH(A667)</f>
        <v/>
      </c>
      <c r="D667" s="10" t="n">
        <v>0.5623955993999999</v>
      </c>
      <c r="E667" s="11" t="n">
        <v>6.869181451</v>
      </c>
      <c r="F667" s="12" t="n">
        <v>0.0001066018848</v>
      </c>
      <c r="G667" s="11" t="n">
        <v>282.3192771</v>
      </c>
      <c r="H667" s="13">
        <f>F667*1000</f>
        <v/>
      </c>
      <c r="I667" s="14">
        <f>G667-273.15</f>
        <v/>
      </c>
      <c r="K667" s="15" t="n">
        <v>2002</v>
      </c>
      <c r="L667" s="15" t="n">
        <v>11</v>
      </c>
      <c r="M667" s="15" t="n">
        <v>3</v>
      </c>
      <c r="N667" s="16" t="n">
        <v>0</v>
      </c>
      <c r="O667" s="11" t="n">
        <v>282.8639338</v>
      </c>
      <c r="P667" s="13">
        <f>N667*86400</f>
        <v/>
      </c>
      <c r="Q667" s="14">
        <f>O667-273.15</f>
        <v/>
      </c>
    </row>
    <row r="668">
      <c r="A668" s="9" t="n">
        <v>37555</v>
      </c>
      <c r="B668" s="7">
        <f>YEAR(A668)</f>
        <v/>
      </c>
      <c r="C668" s="7">
        <f>MONTH(A668)</f>
        <v/>
      </c>
      <c r="D668" s="10" t="n">
        <v>0</v>
      </c>
      <c r="E668" s="11" t="n">
        <v>5.14603256</v>
      </c>
      <c r="F668" s="12" t="n">
        <v>0</v>
      </c>
      <c r="G668" s="11" t="n">
        <v>280.7425089</v>
      </c>
      <c r="H668" s="13">
        <f>F668*1000</f>
        <v/>
      </c>
      <c r="I668" s="14">
        <f>G668-273.15</f>
        <v/>
      </c>
      <c r="K668" s="15" t="n">
        <v>2002</v>
      </c>
      <c r="L668" s="15" t="n">
        <v>11</v>
      </c>
      <c r="M668" s="15" t="n">
        <v>4</v>
      </c>
      <c r="N668" s="16" t="n">
        <v>4.873974767e-06</v>
      </c>
      <c r="O668" s="11" t="n">
        <v>284.284801</v>
      </c>
      <c r="P668" s="13">
        <f>N668*86400</f>
        <v/>
      </c>
      <c r="Q668" s="14">
        <f>O668-273.15</f>
        <v/>
      </c>
    </row>
    <row r="669">
      <c r="A669" s="9" t="n">
        <v>37556</v>
      </c>
      <c r="B669" s="7">
        <f>YEAR(A669)</f>
        <v/>
      </c>
      <c r="C669" s="7">
        <f>MONTH(A669)</f>
        <v/>
      </c>
      <c r="D669" s="10" t="n">
        <v>0</v>
      </c>
      <c r="E669" s="11" t="n">
        <v>7.591429452</v>
      </c>
      <c r="F669" s="12" t="n">
        <v>0</v>
      </c>
      <c r="G669" s="11" t="n">
        <v>282.4145105</v>
      </c>
      <c r="H669" s="13">
        <f>F669*1000</f>
        <v/>
      </c>
      <c r="I669" s="14">
        <f>G669-273.15</f>
        <v/>
      </c>
      <c r="K669" s="15" t="n">
        <v>2002</v>
      </c>
      <c r="L669" s="15" t="n">
        <v>11</v>
      </c>
      <c r="M669" s="15" t="n">
        <v>5</v>
      </c>
      <c r="N669" s="16" t="n">
        <v>6.413939196e-06</v>
      </c>
      <c r="O669" s="11" t="n">
        <v>284.6553194</v>
      </c>
      <c r="P669" s="13">
        <f>N669*86400</f>
        <v/>
      </c>
      <c r="Q669" s="14">
        <f>O669-273.15</f>
        <v/>
      </c>
    </row>
    <row r="670">
      <c r="A670" s="9" t="n">
        <v>37557</v>
      </c>
      <c r="B670" s="7">
        <f>YEAR(A670)</f>
        <v/>
      </c>
      <c r="C670" s="7">
        <f>MONTH(A670)</f>
        <v/>
      </c>
      <c r="D670" s="10" t="n">
        <v>0</v>
      </c>
      <c r="E670" s="11" t="n">
        <v>6.968888272</v>
      </c>
      <c r="F670" s="12" t="n">
        <v>0</v>
      </c>
      <c r="G670" s="11" t="n">
        <v>282.4153297</v>
      </c>
      <c r="H670" s="13">
        <f>F670*1000</f>
        <v/>
      </c>
      <c r="I670" s="14">
        <f>G670-273.15</f>
        <v/>
      </c>
      <c r="K670" s="15" t="n">
        <v>2002</v>
      </c>
      <c r="L670" s="15" t="n">
        <v>11</v>
      </c>
      <c r="M670" s="15" t="n">
        <v>6</v>
      </c>
      <c r="N670" s="16" t="n">
        <v>0.0001247249623</v>
      </c>
      <c r="O670" s="11" t="n">
        <v>284.3380262</v>
      </c>
      <c r="P670" s="13">
        <f>N670*86400</f>
        <v/>
      </c>
      <c r="Q670" s="14">
        <f>O670-273.15</f>
        <v/>
      </c>
    </row>
    <row r="671">
      <c r="A671" s="9" t="n">
        <v>37558</v>
      </c>
      <c r="B671" s="7">
        <f>YEAR(A671)</f>
        <v/>
      </c>
      <c r="C671" s="7">
        <f>MONTH(A671)</f>
        <v/>
      </c>
      <c r="D671" s="10" t="n">
        <v>0</v>
      </c>
      <c r="E671" s="11" t="n">
        <v>5.226700307</v>
      </c>
      <c r="F671" s="12" t="n">
        <v>0</v>
      </c>
      <c r="G671" s="11" t="n">
        <v>280.0914013</v>
      </c>
      <c r="H671" s="13">
        <f>F671*1000</f>
        <v/>
      </c>
      <c r="I671" s="14">
        <f>G671-273.15</f>
        <v/>
      </c>
      <c r="K671" s="15" t="n">
        <v>2002</v>
      </c>
      <c r="L671" s="15" t="n">
        <v>11</v>
      </c>
      <c r="M671" s="15" t="n">
        <v>7</v>
      </c>
      <c r="N671" s="16" t="n">
        <v>9.445213578999999e-06</v>
      </c>
      <c r="O671" s="11" t="n">
        <v>283.0825982</v>
      </c>
      <c r="P671" s="13">
        <f>N671*86400</f>
        <v/>
      </c>
      <c r="Q671" s="14">
        <f>O671-273.15</f>
        <v/>
      </c>
    </row>
    <row r="672">
      <c r="A672" s="9" t="n">
        <v>37559</v>
      </c>
      <c r="B672" s="7">
        <f>YEAR(A672)</f>
        <v/>
      </c>
      <c r="C672" s="7">
        <f>MONTH(A672)</f>
        <v/>
      </c>
      <c r="D672" s="10" t="n">
        <v>2.492466422</v>
      </c>
      <c r="E672" s="11" t="n">
        <v>7.405168141</v>
      </c>
      <c r="F672" s="12" t="n">
        <v>0.0003741660241</v>
      </c>
      <c r="G672" s="11" t="n">
        <v>282.4706354</v>
      </c>
      <c r="H672" s="13">
        <f>F672*1000</f>
        <v/>
      </c>
      <c r="I672" s="14">
        <f>G672-273.15</f>
        <v/>
      </c>
      <c r="K672" s="15" t="n">
        <v>2002</v>
      </c>
      <c r="L672" s="15" t="n">
        <v>11</v>
      </c>
      <c r="M672" s="15" t="n">
        <v>8</v>
      </c>
      <c r="N672" s="16" t="n">
        <v>0</v>
      </c>
      <c r="O672" s="11" t="n">
        <v>282.5758012</v>
      </c>
      <c r="P672" s="13">
        <f>N672*86400</f>
        <v/>
      </c>
      <c r="Q672" s="14">
        <f>O672-273.15</f>
        <v/>
      </c>
    </row>
    <row r="673">
      <c r="A673" s="9" t="n">
        <v>37560</v>
      </c>
      <c r="B673" s="7">
        <f>YEAR(A673)</f>
        <v/>
      </c>
      <c r="C673" s="7">
        <f>MONTH(A673)</f>
        <v/>
      </c>
      <c r="D673" s="10" t="n">
        <v>0</v>
      </c>
      <c r="E673" s="11" t="n">
        <v>6.161736445</v>
      </c>
      <c r="F673" s="12" t="n">
        <v>0</v>
      </c>
      <c r="G673" s="11" t="n">
        <v>281.0193672</v>
      </c>
      <c r="H673" s="13">
        <f>F673*1000</f>
        <v/>
      </c>
      <c r="I673" s="14">
        <f>G673-273.15</f>
        <v/>
      </c>
      <c r="K673" s="15" t="n">
        <v>2002</v>
      </c>
      <c r="L673" s="15" t="n">
        <v>11</v>
      </c>
      <c r="M673" s="15" t="n">
        <v>9</v>
      </c>
      <c r="N673" s="16" t="n">
        <v>0</v>
      </c>
      <c r="O673" s="11" t="n">
        <v>282.7888827</v>
      </c>
      <c r="P673" s="13">
        <f>N673*86400</f>
        <v/>
      </c>
      <c r="Q673" s="14">
        <f>O673-273.15</f>
        <v/>
      </c>
    </row>
    <row r="674">
      <c r="A674" s="9" t="n">
        <v>37561</v>
      </c>
      <c r="B674" s="7">
        <f>YEAR(A674)</f>
        <v/>
      </c>
      <c r="C674" s="7">
        <f>MONTH(A674)</f>
        <v/>
      </c>
      <c r="D674" s="10" t="n">
        <v>0</v>
      </c>
      <c r="E674" s="11" t="n">
        <v>4.392445029</v>
      </c>
      <c r="F674" s="12" t="n">
        <v>0.0001637437091</v>
      </c>
      <c r="G674" s="11" t="n">
        <v>279.289906</v>
      </c>
      <c r="H674" s="13">
        <f>F674*1000</f>
        <v/>
      </c>
      <c r="I674" s="14">
        <f>G674-273.15</f>
        <v/>
      </c>
      <c r="K674" s="15" t="n">
        <v>2002</v>
      </c>
      <c r="L674" s="15" t="n">
        <v>11</v>
      </c>
      <c r="M674" s="15" t="n">
        <v>10</v>
      </c>
      <c r="N674" s="16" t="n">
        <v>8.919303608e-07</v>
      </c>
      <c r="O674" s="11" t="n">
        <v>282.7556794</v>
      </c>
      <c r="P674" s="13">
        <f>N674*86400</f>
        <v/>
      </c>
      <c r="Q674" s="14">
        <f>O674-273.15</f>
        <v/>
      </c>
    </row>
    <row r="675">
      <c r="A675" s="9" t="n">
        <v>37562</v>
      </c>
      <c r="B675" s="7">
        <f>YEAR(A675)</f>
        <v/>
      </c>
      <c r="C675" s="7">
        <f>MONTH(A675)</f>
        <v/>
      </c>
      <c r="D675" s="10" t="n">
        <v>0.5785673398</v>
      </c>
      <c r="E675" s="11" t="n">
        <v>3.349919811</v>
      </c>
      <c r="F675" s="12" t="n">
        <v>0.008786647312</v>
      </c>
      <c r="G675" s="11" t="n">
        <v>279.356801</v>
      </c>
      <c r="H675" s="13">
        <f>F675*1000</f>
        <v/>
      </c>
      <c r="I675" s="14">
        <f>G675-273.15</f>
        <v/>
      </c>
      <c r="K675" s="15" t="n">
        <v>2002</v>
      </c>
      <c r="L675" s="15" t="n">
        <v>11</v>
      </c>
      <c r="M675" s="15" t="n">
        <v>11</v>
      </c>
      <c r="N675" s="16" t="n">
        <v>1.949183549e-08</v>
      </c>
      <c r="O675" s="11" t="n">
        <v>281.0278599</v>
      </c>
      <c r="P675" s="13">
        <f>N675*86400</f>
        <v/>
      </c>
      <c r="Q675" s="14">
        <f>O675-273.15</f>
        <v/>
      </c>
    </row>
    <row r="676">
      <c r="A676" s="9" t="n">
        <v>37563</v>
      </c>
      <c r="B676" s="7">
        <f>YEAR(A676)</f>
        <v/>
      </c>
      <c r="C676" s="7">
        <f>MONTH(A676)</f>
        <v/>
      </c>
      <c r="D676" s="10" t="n">
        <v>0</v>
      </c>
      <c r="E676" s="11" t="n">
        <v>2.69086208</v>
      </c>
      <c r="F676" s="12" t="n">
        <v>0.0002524092845</v>
      </c>
      <c r="G676" s="11" t="n">
        <v>278.9142222</v>
      </c>
      <c r="H676" s="13">
        <f>F676*1000</f>
        <v/>
      </c>
      <c r="I676" s="14">
        <f>G676-273.15</f>
        <v/>
      </c>
      <c r="K676" s="15" t="n">
        <v>2002</v>
      </c>
      <c r="L676" s="15" t="n">
        <v>11</v>
      </c>
      <c r="M676" s="15" t="n">
        <v>12</v>
      </c>
      <c r="N676" s="16" t="n">
        <v>0</v>
      </c>
      <c r="O676" s="11" t="n">
        <v>279.61424</v>
      </c>
      <c r="P676" s="13">
        <f>N676*86400</f>
        <v/>
      </c>
      <c r="Q676" s="14">
        <f>O676-273.15</f>
        <v/>
      </c>
    </row>
    <row r="677">
      <c r="A677" s="9" t="n">
        <v>37564</v>
      </c>
      <c r="B677" s="7">
        <f>YEAR(A677)</f>
        <v/>
      </c>
      <c r="C677" s="7">
        <f>MONTH(A677)</f>
        <v/>
      </c>
      <c r="D677" s="10" t="n">
        <v>0</v>
      </c>
      <c r="E677" s="11" t="n">
        <v>5.643623211</v>
      </c>
      <c r="F677" s="12" t="n">
        <v>2.235067074e-05</v>
      </c>
      <c r="G677" s="11" t="n">
        <v>280.7060799</v>
      </c>
      <c r="H677" s="13">
        <f>F677*1000</f>
        <v/>
      </c>
      <c r="I677" s="14">
        <f>G677-273.15</f>
        <v/>
      </c>
      <c r="K677" s="15" t="n">
        <v>2002</v>
      </c>
      <c r="L677" s="15" t="n">
        <v>11</v>
      </c>
      <c r="M677" s="15" t="n">
        <v>13</v>
      </c>
      <c r="N677" s="16" t="n">
        <v>0</v>
      </c>
      <c r="O677" s="11" t="n">
        <v>281.6846182</v>
      </c>
      <c r="P677" s="13">
        <f>N677*86400</f>
        <v/>
      </c>
      <c r="Q677" s="14">
        <f>O677-273.15</f>
        <v/>
      </c>
    </row>
    <row r="678">
      <c r="A678" s="9" t="n">
        <v>37565</v>
      </c>
      <c r="B678" s="7">
        <f>YEAR(A678)</f>
        <v/>
      </c>
      <c r="C678" s="7">
        <f>MONTH(A678)</f>
        <v/>
      </c>
      <c r="D678" s="10" t="n">
        <v>0</v>
      </c>
      <c r="E678" s="11" t="n">
        <v>6.092723284</v>
      </c>
      <c r="F678" s="12" t="n">
        <v>0</v>
      </c>
      <c r="G678" s="11" t="n">
        <v>281.5372898</v>
      </c>
      <c r="H678" s="13">
        <f>F678*1000</f>
        <v/>
      </c>
      <c r="I678" s="14">
        <f>G678-273.15</f>
        <v/>
      </c>
      <c r="K678" s="15" t="n">
        <v>2002</v>
      </c>
      <c r="L678" s="15" t="n">
        <v>11</v>
      </c>
      <c r="M678" s="15" t="n">
        <v>14</v>
      </c>
      <c r="N678" s="16" t="n">
        <v>0</v>
      </c>
      <c r="O678" s="11" t="n">
        <v>280.9227089</v>
      </c>
      <c r="P678" s="13">
        <f>N678*86400</f>
        <v/>
      </c>
      <c r="Q678" s="14">
        <f>O678-273.15</f>
        <v/>
      </c>
    </row>
    <row r="679">
      <c r="A679" s="9" t="n">
        <v>37566</v>
      </c>
      <c r="B679" s="7">
        <f>YEAR(A679)</f>
        <v/>
      </c>
      <c r="C679" s="7">
        <f>MONTH(A679)</f>
        <v/>
      </c>
      <c r="D679" s="10" t="n">
        <v>0</v>
      </c>
      <c r="E679" s="11" t="n">
        <v>4.353826311</v>
      </c>
      <c r="F679" s="12" t="n">
        <v>0</v>
      </c>
      <c r="G679" s="11" t="n">
        <v>279.994562</v>
      </c>
      <c r="H679" s="13">
        <f>F679*1000</f>
        <v/>
      </c>
      <c r="I679" s="14">
        <f>G679-273.15</f>
        <v/>
      </c>
      <c r="K679" s="15" t="n">
        <v>2002</v>
      </c>
      <c r="L679" s="15" t="n">
        <v>11</v>
      </c>
      <c r="M679" s="15" t="n">
        <v>15</v>
      </c>
      <c r="N679" s="16" t="n">
        <v>0</v>
      </c>
      <c r="O679" s="11" t="n">
        <v>282.0546879</v>
      </c>
      <c r="P679" s="13">
        <f>N679*86400</f>
        <v/>
      </c>
      <c r="Q679" s="14">
        <f>O679-273.15</f>
        <v/>
      </c>
    </row>
    <row r="680">
      <c r="A680" s="9" t="n">
        <v>37567</v>
      </c>
      <c r="B680" s="7">
        <f>YEAR(A680)</f>
        <v/>
      </c>
      <c r="C680" s="7">
        <f>MONTH(A680)</f>
        <v/>
      </c>
      <c r="D680" s="10" t="n">
        <v>0</v>
      </c>
      <c r="E680" s="11" t="n">
        <v>4.636102065</v>
      </c>
      <c r="F680" s="12" t="n">
        <v>0</v>
      </c>
      <c r="G680" s="11" t="n">
        <v>280.459924</v>
      </c>
      <c r="H680" s="13">
        <f>F680*1000</f>
        <v/>
      </c>
      <c r="I680" s="14">
        <f>G680-273.15</f>
        <v/>
      </c>
      <c r="K680" s="15" t="n">
        <v>2002</v>
      </c>
      <c r="L680" s="15" t="n">
        <v>11</v>
      </c>
      <c r="M680" s="15" t="n">
        <v>16</v>
      </c>
      <c r="N680" s="16" t="n">
        <v>0</v>
      </c>
      <c r="O680" s="11" t="n">
        <v>281.1004109</v>
      </c>
      <c r="P680" s="13">
        <f>N680*86400</f>
        <v/>
      </c>
      <c r="Q680" s="14">
        <f>O680-273.15</f>
        <v/>
      </c>
    </row>
    <row r="681">
      <c r="A681" s="9" t="n">
        <v>37568</v>
      </c>
      <c r="B681" s="7">
        <f>YEAR(A681)</f>
        <v/>
      </c>
      <c r="C681" s="7">
        <f>MONTH(A681)</f>
        <v/>
      </c>
      <c r="D681" s="10" t="n">
        <v>0</v>
      </c>
      <c r="E681" s="11" t="n">
        <v>5.873641286</v>
      </c>
      <c r="F681" s="12" t="n">
        <v>0</v>
      </c>
      <c r="G681" s="11" t="n">
        <v>280.6861591</v>
      </c>
      <c r="H681" s="13">
        <f>F681*1000</f>
        <v/>
      </c>
      <c r="I681" s="14">
        <f>G681-273.15</f>
        <v/>
      </c>
      <c r="K681" s="15" t="n">
        <v>2002</v>
      </c>
      <c r="L681" s="15" t="n">
        <v>11</v>
      </c>
      <c r="M681" s="15" t="n">
        <v>17</v>
      </c>
      <c r="N681" s="16" t="n">
        <v>0</v>
      </c>
      <c r="O681" s="11" t="n">
        <v>278.8514695</v>
      </c>
      <c r="P681" s="13">
        <f>N681*86400</f>
        <v/>
      </c>
      <c r="Q681" s="14">
        <f>O681-273.15</f>
        <v/>
      </c>
    </row>
    <row r="682">
      <c r="A682" s="9" t="n">
        <v>37569</v>
      </c>
      <c r="B682" s="7">
        <f>YEAR(A682)</f>
        <v/>
      </c>
      <c r="C682" s="7">
        <f>MONTH(A682)</f>
        <v/>
      </c>
      <c r="D682" s="10" t="n">
        <v>0</v>
      </c>
      <c r="E682" s="11" t="n">
        <v>6.547943911</v>
      </c>
      <c r="F682" s="12" t="n">
        <v>0</v>
      </c>
      <c r="G682" s="11" t="n">
        <v>281.9384335</v>
      </c>
      <c r="H682" s="13">
        <f>F682*1000</f>
        <v/>
      </c>
      <c r="I682" s="14">
        <f>G682-273.15</f>
        <v/>
      </c>
      <c r="K682" s="15" t="n">
        <v>2002</v>
      </c>
      <c r="L682" s="15" t="n">
        <v>11</v>
      </c>
      <c r="M682" s="15" t="n">
        <v>18</v>
      </c>
      <c r="N682" s="16" t="n">
        <v>0</v>
      </c>
      <c r="O682" s="11" t="n">
        <v>279.8664878</v>
      </c>
      <c r="P682" s="13">
        <f>N682*86400</f>
        <v/>
      </c>
      <c r="Q682" s="14">
        <f>O682-273.15</f>
        <v/>
      </c>
    </row>
    <row r="683">
      <c r="A683" s="9" t="n">
        <v>37570</v>
      </c>
      <c r="B683" s="7">
        <f>YEAR(A683)</f>
        <v/>
      </c>
      <c r="C683" s="7">
        <f>MONTH(A683)</f>
        <v/>
      </c>
      <c r="D683" s="10" t="n">
        <v>0.4119395502</v>
      </c>
      <c r="E683" s="11" t="n">
        <v>5.422621416</v>
      </c>
      <c r="F683" s="12" t="n">
        <v>0.000143533927</v>
      </c>
      <c r="G683" s="11" t="n">
        <v>280.7360456</v>
      </c>
      <c r="H683" s="13">
        <f>F683*1000</f>
        <v/>
      </c>
      <c r="I683" s="14">
        <f>G683-273.15</f>
        <v/>
      </c>
      <c r="K683" s="15" t="n">
        <v>2002</v>
      </c>
      <c r="L683" s="15" t="n">
        <v>11</v>
      </c>
      <c r="M683" s="15" t="n">
        <v>19</v>
      </c>
      <c r="N683" s="16" t="n">
        <v>0</v>
      </c>
      <c r="O683" s="11" t="n">
        <v>281.3192491</v>
      </c>
      <c r="P683" s="13">
        <f>N683*86400</f>
        <v/>
      </c>
      <c r="Q683" s="14">
        <f>O683-273.15</f>
        <v/>
      </c>
    </row>
    <row r="684">
      <c r="A684" s="9" t="n">
        <v>37571</v>
      </c>
      <c r="B684" s="7">
        <f>YEAR(A684)</f>
        <v/>
      </c>
      <c r="C684" s="7">
        <f>MONTH(A684)</f>
        <v/>
      </c>
      <c r="D684" s="10" t="n">
        <v>0</v>
      </c>
      <c r="E684" s="11" t="n">
        <v>4.820093294</v>
      </c>
      <c r="F684" s="12" t="n">
        <v>0</v>
      </c>
      <c r="G684" s="11" t="n">
        <v>280.0058653</v>
      </c>
      <c r="H684" s="13">
        <f>F684*1000</f>
        <v/>
      </c>
      <c r="I684" s="14">
        <f>G684-273.15</f>
        <v/>
      </c>
      <c r="K684" s="15" t="n">
        <v>2002</v>
      </c>
      <c r="L684" s="15" t="n">
        <v>11</v>
      </c>
      <c r="M684" s="15" t="n">
        <v>20</v>
      </c>
      <c r="N684" s="16" t="n">
        <v>7.95473006e-05</v>
      </c>
      <c r="O684" s="11" t="n">
        <v>281.8899705</v>
      </c>
      <c r="P684" s="13">
        <f>N684*86400</f>
        <v/>
      </c>
      <c r="Q684" s="14">
        <f>O684-273.15</f>
        <v/>
      </c>
    </row>
    <row r="685">
      <c r="A685" s="9" t="n">
        <v>37572</v>
      </c>
      <c r="B685" s="7">
        <f>YEAR(A685)</f>
        <v/>
      </c>
      <c r="C685" s="7">
        <f>MONTH(A685)</f>
        <v/>
      </c>
      <c r="D685" s="10" t="n">
        <v>0</v>
      </c>
      <c r="E685" s="11" t="n">
        <v>5.262678331</v>
      </c>
      <c r="F685" s="12" t="n">
        <v>0.00166539937</v>
      </c>
      <c r="G685" s="11" t="n">
        <v>278.8391299</v>
      </c>
      <c r="H685" s="13">
        <f>F685*1000</f>
        <v/>
      </c>
      <c r="I685" s="14">
        <f>G685-273.15</f>
        <v/>
      </c>
      <c r="K685" s="15" t="n">
        <v>2002</v>
      </c>
      <c r="L685" s="15" t="n">
        <v>11</v>
      </c>
      <c r="M685" s="15" t="n">
        <v>21</v>
      </c>
      <c r="N685" s="16" t="n">
        <v>1.405046378e-06</v>
      </c>
      <c r="O685" s="11" t="n">
        <v>281.7447839</v>
      </c>
      <c r="P685" s="13">
        <f>N685*86400</f>
        <v/>
      </c>
      <c r="Q685" s="14">
        <f>O685-273.15</f>
        <v/>
      </c>
    </row>
    <row r="686">
      <c r="A686" s="9" t="n">
        <v>37573</v>
      </c>
      <c r="B686" s="7">
        <f>YEAR(A686)</f>
        <v/>
      </c>
      <c r="C686" s="7">
        <f>MONTH(A686)</f>
        <v/>
      </c>
      <c r="D686" s="10" t="n">
        <v>0</v>
      </c>
      <c r="E686" s="11" t="n">
        <v>3.916863475</v>
      </c>
      <c r="F686" s="12" t="n">
        <v>0</v>
      </c>
      <c r="G686" s="11" t="n">
        <v>278.7481055</v>
      </c>
      <c r="H686" s="13">
        <f>F686*1000</f>
        <v/>
      </c>
      <c r="I686" s="14">
        <f>G686-273.15</f>
        <v/>
      </c>
      <c r="K686" s="15" t="n">
        <v>2002</v>
      </c>
      <c r="L686" s="15" t="n">
        <v>11</v>
      </c>
      <c r="M686" s="15" t="n">
        <v>22</v>
      </c>
      <c r="N686" s="16" t="n">
        <v>0</v>
      </c>
      <c r="O686" s="11" t="n">
        <v>282.5693605</v>
      </c>
      <c r="P686" s="13">
        <f>N686*86400</f>
        <v/>
      </c>
      <c r="Q686" s="14">
        <f>O686-273.15</f>
        <v/>
      </c>
    </row>
    <row r="687">
      <c r="A687" s="9" t="n">
        <v>37574</v>
      </c>
      <c r="B687" s="7">
        <f>YEAR(A687)</f>
        <v/>
      </c>
      <c r="C687" s="7">
        <f>MONTH(A687)</f>
        <v/>
      </c>
      <c r="D687" s="10" t="n">
        <v>0</v>
      </c>
      <c r="E687" s="11" t="n">
        <v>2.867057882</v>
      </c>
      <c r="F687" s="12" t="n">
        <v>0.002574675484</v>
      </c>
      <c r="G687" s="11" t="n">
        <v>277.9361242</v>
      </c>
      <c r="H687" s="13">
        <f>F687*1000</f>
        <v/>
      </c>
      <c r="I687" s="14">
        <f>G687-273.15</f>
        <v/>
      </c>
      <c r="K687" s="15" t="n">
        <v>2002</v>
      </c>
      <c r="L687" s="15" t="n">
        <v>11</v>
      </c>
      <c r="M687" s="15" t="n">
        <v>23</v>
      </c>
      <c r="N687" s="16" t="n">
        <v>1.789796873e-06</v>
      </c>
      <c r="O687" s="11" t="n">
        <v>281.1934881</v>
      </c>
      <c r="P687" s="13">
        <f>N687*86400</f>
        <v/>
      </c>
      <c r="Q687" s="14">
        <f>O687-273.15</f>
        <v/>
      </c>
    </row>
    <row r="688">
      <c r="A688" s="9" t="n">
        <v>37575</v>
      </c>
      <c r="B688" s="7">
        <f>YEAR(A688)</f>
        <v/>
      </c>
      <c r="C688" s="7">
        <f>MONTH(A688)</f>
        <v/>
      </c>
      <c r="D688" s="10" t="n">
        <v>0</v>
      </c>
      <c r="E688" s="11" t="n">
        <v>3.092743076</v>
      </c>
      <c r="F688" s="12" t="n">
        <v>0.0009268145061</v>
      </c>
      <c r="G688" s="11" t="n">
        <v>278.8392795</v>
      </c>
      <c r="H688" s="13">
        <f>F688*1000</f>
        <v/>
      </c>
      <c r="I688" s="14">
        <f>G688-273.15</f>
        <v/>
      </c>
      <c r="K688" s="15" t="n">
        <v>2002</v>
      </c>
      <c r="L688" s="15" t="n">
        <v>11</v>
      </c>
      <c r="M688" s="15" t="n">
        <v>24</v>
      </c>
      <c r="N688" s="16" t="n">
        <v>1.96534137e-05</v>
      </c>
      <c r="O688" s="11" t="n">
        <v>281.440506</v>
      </c>
      <c r="P688" s="13">
        <f>N688*86400</f>
        <v/>
      </c>
      <c r="Q688" s="14">
        <f>O688-273.15</f>
        <v/>
      </c>
    </row>
    <row r="689">
      <c r="A689" s="9" t="n">
        <v>37576</v>
      </c>
      <c r="B689" s="7">
        <f>YEAR(A689)</f>
        <v/>
      </c>
      <c r="C689" s="7">
        <f>MONTH(A689)</f>
        <v/>
      </c>
      <c r="D689" s="10" t="n">
        <v>9.015839285</v>
      </c>
      <c r="E689" s="11" t="n">
        <v>2.154209301</v>
      </c>
      <c r="F689" s="12" t="n">
        <v>0.01207316578</v>
      </c>
      <c r="G689" s="11" t="n">
        <v>276.5573253</v>
      </c>
      <c r="H689" s="13">
        <f>F689*1000</f>
        <v/>
      </c>
      <c r="I689" s="14">
        <f>G689-273.15</f>
        <v/>
      </c>
      <c r="K689" s="15" t="n">
        <v>2002</v>
      </c>
      <c r="L689" s="15" t="n">
        <v>11</v>
      </c>
      <c r="M689" s="15" t="n">
        <v>25</v>
      </c>
      <c r="N689" s="16" t="n">
        <v>0</v>
      </c>
      <c r="O689" s="11" t="n">
        <v>279.4819137</v>
      </c>
      <c r="P689" s="13">
        <f>N689*86400</f>
        <v/>
      </c>
      <c r="Q689" s="14">
        <f>O689-273.15</f>
        <v/>
      </c>
    </row>
    <row r="690">
      <c r="A690" s="9" t="n">
        <v>37577</v>
      </c>
      <c r="B690" s="7">
        <f>YEAR(A690)</f>
        <v/>
      </c>
      <c r="C690" s="7">
        <f>MONTH(A690)</f>
        <v/>
      </c>
      <c r="D690" s="10" t="n">
        <v>0</v>
      </c>
      <c r="E690" s="11" t="n">
        <v>4.258544566</v>
      </c>
      <c r="F690" s="12" t="n">
        <v>0</v>
      </c>
      <c r="G690" s="11" t="n">
        <v>279.4211784</v>
      </c>
      <c r="H690" s="13">
        <f>F690*1000</f>
        <v/>
      </c>
      <c r="I690" s="14">
        <f>G690-273.15</f>
        <v/>
      </c>
      <c r="K690" s="15" t="n">
        <v>2002</v>
      </c>
      <c r="L690" s="15" t="n">
        <v>11</v>
      </c>
      <c r="M690" s="15" t="n">
        <v>26</v>
      </c>
      <c r="N690" s="16" t="n">
        <v>2.484754993e-07</v>
      </c>
      <c r="O690" s="11" t="n">
        <v>278.9409343</v>
      </c>
      <c r="P690" s="13">
        <f>N690*86400</f>
        <v/>
      </c>
      <c r="Q690" s="14">
        <f>O690-273.15</f>
        <v/>
      </c>
    </row>
    <row r="691">
      <c r="A691" s="9" t="n">
        <v>37578</v>
      </c>
      <c r="B691" s="7">
        <f>YEAR(A691)</f>
        <v/>
      </c>
      <c r="C691" s="7">
        <f>MONTH(A691)</f>
        <v/>
      </c>
      <c r="D691" s="10" t="n">
        <v>0</v>
      </c>
      <c r="E691" s="11" t="n">
        <v>2.121959627</v>
      </c>
      <c r="F691" s="12" t="n">
        <v>0</v>
      </c>
      <c r="G691" s="11" t="n">
        <v>277.811574</v>
      </c>
      <c r="H691" s="13">
        <f>F691*1000</f>
        <v/>
      </c>
      <c r="I691" s="14">
        <f>G691-273.15</f>
        <v/>
      </c>
      <c r="K691" s="15" t="n">
        <v>2002</v>
      </c>
      <c r="L691" s="15" t="n">
        <v>11</v>
      </c>
      <c r="M691" s="15" t="n">
        <v>27</v>
      </c>
      <c r="N691" s="16" t="n">
        <v>4.410152721e-06</v>
      </c>
      <c r="O691" s="11" t="n">
        <v>279.8110133</v>
      </c>
      <c r="P691" s="13">
        <f>N691*86400</f>
        <v/>
      </c>
      <c r="Q691" s="14">
        <f>O691-273.15</f>
        <v/>
      </c>
    </row>
    <row r="692">
      <c r="A692" s="9" t="n">
        <v>37579</v>
      </c>
      <c r="B692" s="7">
        <f>YEAR(A692)</f>
        <v/>
      </c>
      <c r="C692" s="7">
        <f>MONTH(A692)</f>
        <v/>
      </c>
      <c r="D692" s="10" t="n">
        <v>0</v>
      </c>
      <c r="E692" s="11" t="n">
        <v>3.3381731</v>
      </c>
      <c r="F692" s="12" t="n">
        <v>0</v>
      </c>
      <c r="G692" s="11" t="n">
        <v>278.8911802</v>
      </c>
      <c r="H692" s="13">
        <f>F692*1000</f>
        <v/>
      </c>
      <c r="I692" s="14">
        <f>G692-273.15</f>
        <v/>
      </c>
      <c r="K692" s="15" t="n">
        <v>2002</v>
      </c>
      <c r="L692" s="15" t="n">
        <v>11</v>
      </c>
      <c r="M692" s="15" t="n">
        <v>28</v>
      </c>
      <c r="N692" s="16" t="n">
        <v>0</v>
      </c>
      <c r="O692" s="11" t="n">
        <v>279.7165748</v>
      </c>
      <c r="P692" s="13">
        <f>N692*86400</f>
        <v/>
      </c>
      <c r="Q692" s="14">
        <f>O692-273.15</f>
        <v/>
      </c>
    </row>
    <row r="693">
      <c r="A693" s="9" t="n">
        <v>37580</v>
      </c>
      <c r="B693" s="7">
        <f>YEAR(A693)</f>
        <v/>
      </c>
      <c r="C693" s="7">
        <f>MONTH(A693)</f>
        <v/>
      </c>
      <c r="D693" s="10" t="n">
        <v>0</v>
      </c>
      <c r="E693" s="11" t="n">
        <v>3.310870516</v>
      </c>
      <c r="F693" s="12" t="n">
        <v>0</v>
      </c>
      <c r="G693" s="11" t="n">
        <v>278.24558</v>
      </c>
      <c r="H693" s="13">
        <f>F693*1000</f>
        <v/>
      </c>
      <c r="I693" s="14">
        <f>G693-273.15</f>
        <v/>
      </c>
      <c r="K693" s="15" t="n">
        <v>2002</v>
      </c>
      <c r="L693" s="15" t="n">
        <v>11</v>
      </c>
      <c r="M693" s="15" t="n">
        <v>29</v>
      </c>
      <c r="N693" s="16" t="n">
        <v>0</v>
      </c>
      <c r="O693" s="11" t="n">
        <v>276.7538073</v>
      </c>
      <c r="P693" s="13">
        <f>N693*86400</f>
        <v/>
      </c>
      <c r="Q693" s="14">
        <f>O693-273.15</f>
        <v/>
      </c>
    </row>
    <row r="694">
      <c r="A694" s="9" t="n">
        <v>37581</v>
      </c>
      <c r="B694" s="7">
        <f>YEAR(A694)</f>
        <v/>
      </c>
      <c r="C694" s="7">
        <f>MONTH(A694)</f>
        <v/>
      </c>
      <c r="D694" s="10" t="n">
        <v>0</v>
      </c>
      <c r="E694" s="11" t="n">
        <v>3.471176147</v>
      </c>
      <c r="F694" s="12" t="n">
        <v>0</v>
      </c>
      <c r="G694" s="11" t="n">
        <v>277.576502</v>
      </c>
      <c r="H694" s="13">
        <f>F694*1000</f>
        <v/>
      </c>
      <c r="I694" s="14">
        <f>G694-273.15</f>
        <v/>
      </c>
      <c r="K694" s="15" t="n">
        <v>2002</v>
      </c>
      <c r="L694" s="15" t="n">
        <v>11</v>
      </c>
      <c r="M694" s="15" t="n">
        <v>30</v>
      </c>
      <c r="N694" s="16" t="n">
        <v>4.500624585e-07</v>
      </c>
      <c r="O694" s="11" t="n">
        <v>279.956228</v>
      </c>
      <c r="P694" s="13">
        <f>N694*86400</f>
        <v/>
      </c>
      <c r="Q694" s="14">
        <f>O694-273.15</f>
        <v/>
      </c>
    </row>
    <row r="695">
      <c r="A695" s="9" t="n">
        <v>37582</v>
      </c>
      <c r="B695" s="7">
        <f>YEAR(A695)</f>
        <v/>
      </c>
      <c r="C695" s="7">
        <f>MONTH(A695)</f>
        <v/>
      </c>
      <c r="D695" s="10" t="n">
        <v>0</v>
      </c>
      <c r="E695" s="11" t="n">
        <v>2.93475516</v>
      </c>
      <c r="F695" s="12" t="n">
        <v>0.001012297591</v>
      </c>
      <c r="G695" s="11" t="n">
        <v>277.0807663</v>
      </c>
      <c r="H695" s="13">
        <f>F695*1000</f>
        <v/>
      </c>
      <c r="I695" s="14">
        <f>G695-273.15</f>
        <v/>
      </c>
      <c r="K695" s="15" t="n">
        <v>2002</v>
      </c>
      <c r="L695" s="15" t="n">
        <v>12</v>
      </c>
      <c r="M695" s="15" t="n">
        <v>1</v>
      </c>
      <c r="N695" s="16" t="n">
        <v>0</v>
      </c>
      <c r="O695" s="11" t="n">
        <v>281.7735901</v>
      </c>
      <c r="P695" s="13">
        <f>N695*86400</f>
        <v/>
      </c>
      <c r="Q695" s="14">
        <f>O695-273.15</f>
        <v/>
      </c>
    </row>
    <row r="696">
      <c r="A696" s="9" t="n">
        <v>37583</v>
      </c>
      <c r="B696" s="7">
        <f>YEAR(A696)</f>
        <v/>
      </c>
      <c r="C696" s="7">
        <f>MONTH(A696)</f>
        <v/>
      </c>
      <c r="D696" s="10" t="n">
        <v>0</v>
      </c>
      <c r="E696" s="11" t="n">
        <v>-0.929966165</v>
      </c>
      <c r="F696" s="12" t="n">
        <v>0</v>
      </c>
      <c r="G696" s="11" t="n">
        <v>273.5207104</v>
      </c>
      <c r="H696" s="13">
        <f>F696*1000</f>
        <v/>
      </c>
      <c r="I696" s="14">
        <f>G696-273.15</f>
        <v/>
      </c>
      <c r="K696" s="15" t="n">
        <v>2002</v>
      </c>
      <c r="L696" s="15" t="n">
        <v>12</v>
      </c>
      <c r="M696" s="15" t="n">
        <v>2</v>
      </c>
      <c r="N696" s="16" t="n">
        <v>0</v>
      </c>
      <c r="O696" s="11" t="n">
        <v>278.8662648</v>
      </c>
      <c r="P696" s="13">
        <f>N696*86400</f>
        <v/>
      </c>
      <c r="Q696" s="14">
        <f>O696-273.15</f>
        <v/>
      </c>
    </row>
    <row r="697">
      <c r="A697" s="9" t="n">
        <v>37584</v>
      </c>
      <c r="B697" s="7">
        <f>YEAR(A697)</f>
        <v/>
      </c>
      <c r="C697" s="7">
        <f>MONTH(A697)</f>
        <v/>
      </c>
      <c r="D697" s="10" t="n">
        <v>0</v>
      </c>
      <c r="E697" s="11" t="n">
        <v>1.990007528</v>
      </c>
      <c r="F697" s="12" t="n">
        <v>0</v>
      </c>
      <c r="G697" s="11" t="n">
        <v>276.7070916</v>
      </c>
      <c r="H697" s="13">
        <f>F697*1000</f>
        <v/>
      </c>
      <c r="I697" s="14">
        <f>G697-273.15</f>
        <v/>
      </c>
      <c r="K697" s="15" t="n">
        <v>2002</v>
      </c>
      <c r="L697" s="15" t="n">
        <v>12</v>
      </c>
      <c r="M697" s="15" t="n">
        <v>3</v>
      </c>
      <c r="N697" s="16" t="n">
        <v>0</v>
      </c>
      <c r="O697" s="11" t="n">
        <v>281.4315471</v>
      </c>
      <c r="P697" s="13">
        <f>N697*86400</f>
        <v/>
      </c>
      <c r="Q697" s="14">
        <f>O697-273.15</f>
        <v/>
      </c>
    </row>
    <row r="698">
      <c r="A698" s="9" t="n">
        <v>37585</v>
      </c>
      <c r="B698" s="7">
        <f>YEAR(A698)</f>
        <v/>
      </c>
      <c r="C698" s="7">
        <f>MONTH(A698)</f>
        <v/>
      </c>
      <c r="D698" s="10" t="n">
        <v>0</v>
      </c>
      <c r="E698" s="11" t="n">
        <v>4.143983385</v>
      </c>
      <c r="F698" s="12" t="n">
        <v>0</v>
      </c>
      <c r="G698" s="11" t="n">
        <v>278.4510495</v>
      </c>
      <c r="H698" s="13">
        <f>F698*1000</f>
        <v/>
      </c>
      <c r="I698" s="14">
        <f>G698-273.15</f>
        <v/>
      </c>
      <c r="K698" s="15" t="n">
        <v>2002</v>
      </c>
      <c r="L698" s="15" t="n">
        <v>12</v>
      </c>
      <c r="M698" s="15" t="n">
        <v>4</v>
      </c>
      <c r="N698" s="16" t="n">
        <v>0</v>
      </c>
      <c r="O698" s="11" t="n">
        <v>279.7550533</v>
      </c>
      <c r="P698" s="13">
        <f>N698*86400</f>
        <v/>
      </c>
      <c r="Q698" s="14">
        <f>O698-273.15</f>
        <v/>
      </c>
    </row>
    <row r="699">
      <c r="A699" s="9" t="n">
        <v>37586</v>
      </c>
      <c r="B699" s="7">
        <f>YEAR(A699)</f>
        <v/>
      </c>
      <c r="C699" s="7">
        <f>MONTH(A699)</f>
        <v/>
      </c>
      <c r="D699" s="10" t="n">
        <v>0</v>
      </c>
      <c r="E699" s="11" t="n">
        <v>1.881369395</v>
      </c>
      <c r="F699" s="12" t="n">
        <v>0.0004269125869</v>
      </c>
      <c r="G699" s="11" t="n">
        <v>276.6118403</v>
      </c>
      <c r="H699" s="13">
        <f>F699*1000</f>
        <v/>
      </c>
      <c r="I699" s="14">
        <f>G699-273.15</f>
        <v/>
      </c>
      <c r="K699" s="15" t="n">
        <v>2002</v>
      </c>
      <c r="L699" s="15" t="n">
        <v>12</v>
      </c>
      <c r="M699" s="15" t="n">
        <v>5</v>
      </c>
      <c r="N699" s="16" t="n">
        <v>1.830131059e-05</v>
      </c>
      <c r="O699" s="11" t="n">
        <v>281.908992</v>
      </c>
      <c r="P699" s="13">
        <f>N699*86400</f>
        <v/>
      </c>
      <c r="Q699" s="14">
        <f>O699-273.15</f>
        <v/>
      </c>
    </row>
    <row r="700">
      <c r="A700" s="9" t="n">
        <v>37587</v>
      </c>
      <c r="B700" s="7">
        <f>YEAR(A700)</f>
        <v/>
      </c>
      <c r="C700" s="7">
        <f>MONTH(A700)</f>
        <v/>
      </c>
      <c r="D700" s="10" t="n">
        <v>0</v>
      </c>
      <c r="E700" s="11" t="n">
        <v>0.8122777416</v>
      </c>
      <c r="F700" s="12" t="n">
        <v>0</v>
      </c>
      <c r="G700" s="11" t="n">
        <v>276.0373626</v>
      </c>
      <c r="H700" s="13">
        <f>F700*1000</f>
        <v/>
      </c>
      <c r="I700" s="14">
        <f>G700-273.15</f>
        <v/>
      </c>
      <c r="K700" s="15" t="n">
        <v>2002</v>
      </c>
      <c r="L700" s="15" t="n">
        <v>12</v>
      </c>
      <c r="M700" s="15" t="n">
        <v>6</v>
      </c>
      <c r="N700" s="16" t="n">
        <v>1.212093082e-05</v>
      </c>
      <c r="O700" s="11" t="n">
        <v>281.4908129</v>
      </c>
      <c r="P700" s="13">
        <f>N700*86400</f>
        <v/>
      </c>
      <c r="Q700" s="14">
        <f>O700-273.15</f>
        <v/>
      </c>
    </row>
    <row r="701">
      <c r="A701" s="9" t="n">
        <v>37588</v>
      </c>
      <c r="B701" s="7">
        <f>YEAR(A701)</f>
        <v/>
      </c>
      <c r="C701" s="7">
        <f>MONTH(A701)</f>
        <v/>
      </c>
      <c r="D701" s="10" t="n">
        <v>0</v>
      </c>
      <c r="E701" s="11" t="n">
        <v>0.7788315944999999</v>
      </c>
      <c r="F701" s="12" t="n">
        <v>0</v>
      </c>
      <c r="G701" s="11" t="n">
        <v>276.0090893</v>
      </c>
      <c r="H701" s="13">
        <f>F701*1000</f>
        <v/>
      </c>
      <c r="I701" s="14">
        <f>G701-273.15</f>
        <v/>
      </c>
      <c r="K701" s="15" t="n">
        <v>2002</v>
      </c>
      <c r="L701" s="15" t="n">
        <v>12</v>
      </c>
      <c r="M701" s="15" t="n">
        <v>7</v>
      </c>
      <c r="N701" s="16" t="n">
        <v>1.608959755e-06</v>
      </c>
      <c r="O701" s="11" t="n">
        <v>281.2625743</v>
      </c>
      <c r="P701" s="13">
        <f>N701*86400</f>
        <v/>
      </c>
      <c r="Q701" s="14">
        <f>O701-273.15</f>
        <v/>
      </c>
    </row>
    <row r="702">
      <c r="A702" s="9" t="n">
        <v>37589</v>
      </c>
      <c r="B702" s="7">
        <f>YEAR(A702)</f>
        <v/>
      </c>
      <c r="C702" s="7">
        <f>MONTH(A702)</f>
        <v/>
      </c>
      <c r="D702" s="10" t="n">
        <v>0</v>
      </c>
      <c r="E702" s="11" t="n">
        <v>0.3997782676</v>
      </c>
      <c r="F702" s="12" t="n">
        <v>0</v>
      </c>
      <c r="G702" s="11" t="n">
        <v>275.6415763</v>
      </c>
      <c r="H702" s="13">
        <f>F702*1000</f>
        <v/>
      </c>
      <c r="I702" s="14">
        <f>G702-273.15</f>
        <v/>
      </c>
      <c r="K702" s="15" t="n">
        <v>2002</v>
      </c>
      <c r="L702" s="15" t="n">
        <v>12</v>
      </c>
      <c r="M702" s="15" t="n">
        <v>8</v>
      </c>
      <c r="N702" s="16" t="n">
        <v>3.81511651e-05</v>
      </c>
      <c r="O702" s="11" t="n">
        <v>279.2254719</v>
      </c>
      <c r="P702" s="13">
        <f>N702*86400</f>
        <v/>
      </c>
      <c r="Q702" s="14">
        <f>O702-273.15</f>
        <v/>
      </c>
    </row>
    <row r="703">
      <c r="A703" s="9" t="n">
        <v>37590</v>
      </c>
      <c r="B703" s="7">
        <f>YEAR(A703)</f>
        <v/>
      </c>
      <c r="C703" s="7">
        <f>MONTH(A703)</f>
        <v/>
      </c>
      <c r="D703" s="10" t="n">
        <v>0</v>
      </c>
      <c r="E703" s="11" t="n">
        <v>1.29387084</v>
      </c>
      <c r="F703" s="12" t="n">
        <v>0.0003756492125</v>
      </c>
      <c r="G703" s="11" t="n">
        <v>276.3093323</v>
      </c>
      <c r="H703" s="13">
        <f>F703*1000</f>
        <v/>
      </c>
      <c r="I703" s="14">
        <f>G703-273.15</f>
        <v/>
      </c>
      <c r="K703" s="15" t="n">
        <v>2002</v>
      </c>
      <c r="L703" s="15" t="n">
        <v>12</v>
      </c>
      <c r="M703" s="15" t="n">
        <v>9</v>
      </c>
      <c r="N703" s="16" t="n">
        <v>9.122593813e-08</v>
      </c>
      <c r="O703" s="11" t="n">
        <v>278.9423841</v>
      </c>
      <c r="P703" s="13">
        <f>N703*86400</f>
        <v/>
      </c>
      <c r="Q703" s="14">
        <f>O703-273.15</f>
        <v/>
      </c>
    </row>
    <row r="704">
      <c r="A704" s="9" t="n">
        <v>37591</v>
      </c>
      <c r="B704" s="7">
        <f>YEAR(A704)</f>
        <v/>
      </c>
      <c r="C704" s="7">
        <f>MONTH(A704)</f>
        <v/>
      </c>
      <c r="D704" s="10" t="n">
        <v>0</v>
      </c>
      <c r="E704" s="11" t="n">
        <v>2.857540337</v>
      </c>
      <c r="F704" s="12" t="n">
        <v>0</v>
      </c>
      <c r="G704" s="11" t="n">
        <v>276.367197</v>
      </c>
      <c r="H704" s="13">
        <f>F704*1000</f>
        <v/>
      </c>
      <c r="I704" s="14">
        <f>G704-273.15</f>
        <v/>
      </c>
      <c r="K704" s="15" t="n">
        <v>2002</v>
      </c>
      <c r="L704" s="15" t="n">
        <v>12</v>
      </c>
      <c r="M704" s="15" t="n">
        <v>10</v>
      </c>
      <c r="N704" s="16" t="n">
        <v>2.895680105e-05</v>
      </c>
      <c r="O704" s="11" t="n">
        <v>278.3450897</v>
      </c>
      <c r="P704" s="13">
        <f>N704*86400</f>
        <v/>
      </c>
      <c r="Q704" s="14">
        <f>O704-273.15</f>
        <v/>
      </c>
    </row>
    <row r="705">
      <c r="A705" s="9" t="n">
        <v>37592</v>
      </c>
      <c r="B705" s="7">
        <f>YEAR(A705)</f>
        <v/>
      </c>
      <c r="C705" s="7">
        <f>MONTH(A705)</f>
        <v/>
      </c>
      <c r="D705" s="10" t="n">
        <v>2.84488973</v>
      </c>
      <c r="E705" s="11" t="n">
        <v>2.811177439</v>
      </c>
      <c r="F705" s="12" t="n">
        <v>0.006169921669</v>
      </c>
      <c r="G705" s="11" t="n">
        <v>276.7025024</v>
      </c>
      <c r="H705" s="13">
        <f>F705*1000</f>
        <v/>
      </c>
      <c r="I705" s="14">
        <f>G705-273.15</f>
        <v/>
      </c>
      <c r="K705" s="15" t="n">
        <v>2002</v>
      </c>
      <c r="L705" s="15" t="n">
        <v>12</v>
      </c>
      <c r="M705" s="15" t="n">
        <v>11</v>
      </c>
      <c r="N705" s="16" t="n">
        <v>1.224841593e-05</v>
      </c>
      <c r="O705" s="11" t="n">
        <v>276.1096016</v>
      </c>
      <c r="P705" s="13">
        <f>N705*86400</f>
        <v/>
      </c>
      <c r="Q705" s="14">
        <f>O705-273.15</f>
        <v/>
      </c>
    </row>
    <row r="706">
      <c r="A706" s="9" t="n">
        <v>37593</v>
      </c>
      <c r="B706" s="7">
        <f>YEAR(A706)</f>
        <v/>
      </c>
      <c r="C706" s="7">
        <f>MONTH(A706)</f>
        <v/>
      </c>
      <c r="D706" s="10" t="n">
        <v>0</v>
      </c>
      <c r="E706" s="11" t="n">
        <v>2.621363009</v>
      </c>
      <c r="F706" s="12" t="n">
        <v>0</v>
      </c>
      <c r="G706" s="11" t="n">
        <v>276.355899</v>
      </c>
      <c r="H706" s="13">
        <f>F706*1000</f>
        <v/>
      </c>
      <c r="I706" s="14">
        <f>G706-273.15</f>
        <v/>
      </c>
      <c r="K706" s="15" t="n">
        <v>2002</v>
      </c>
      <c r="L706" s="15" t="n">
        <v>12</v>
      </c>
      <c r="M706" s="15" t="n">
        <v>12</v>
      </c>
      <c r="N706" s="16" t="n">
        <v>3.74803752e-06</v>
      </c>
      <c r="O706" s="11" t="n">
        <v>278.0635707</v>
      </c>
      <c r="P706" s="13">
        <f>N706*86400</f>
        <v/>
      </c>
      <c r="Q706" s="14">
        <f>O706-273.15</f>
        <v/>
      </c>
    </row>
    <row r="707">
      <c r="A707" s="9" t="n">
        <v>37594</v>
      </c>
      <c r="B707" s="7">
        <f>YEAR(A707)</f>
        <v/>
      </c>
      <c r="C707" s="7">
        <f>MONTH(A707)</f>
        <v/>
      </c>
      <c r="D707" s="10" t="n">
        <v>0</v>
      </c>
      <c r="E707" s="11" t="n">
        <v>3.672927926</v>
      </c>
      <c r="F707" s="12" t="n">
        <v>0</v>
      </c>
      <c r="G707" s="11" t="n">
        <v>277.655119</v>
      </c>
      <c r="H707" s="13">
        <f>F707*1000</f>
        <v/>
      </c>
      <c r="I707" s="14">
        <f>G707-273.15</f>
        <v/>
      </c>
      <c r="K707" s="15" t="n">
        <v>2002</v>
      </c>
      <c r="L707" s="15" t="n">
        <v>12</v>
      </c>
      <c r="M707" s="15" t="n">
        <v>13</v>
      </c>
      <c r="N707" s="16" t="n">
        <v>0</v>
      </c>
      <c r="O707" s="11" t="n">
        <v>277.3077582</v>
      </c>
      <c r="P707" s="13">
        <f>N707*86400</f>
        <v/>
      </c>
      <c r="Q707" s="14">
        <f>O707-273.15</f>
        <v/>
      </c>
    </row>
    <row r="708">
      <c r="A708" s="9" t="n">
        <v>37595</v>
      </c>
      <c r="B708" s="7">
        <f>YEAR(A708)</f>
        <v/>
      </c>
      <c r="C708" s="7">
        <f>MONTH(A708)</f>
        <v/>
      </c>
      <c r="D708" s="10" t="n">
        <v>0</v>
      </c>
      <c r="E708" s="11" t="n">
        <v>5.17881912</v>
      </c>
      <c r="F708" s="12" t="n">
        <v>0</v>
      </c>
      <c r="G708" s="11" t="n">
        <v>279.1277663</v>
      </c>
      <c r="H708" s="13">
        <f>F708*1000</f>
        <v/>
      </c>
      <c r="I708" s="14">
        <f>G708-273.15</f>
        <v/>
      </c>
      <c r="K708" s="15" t="n">
        <v>2002</v>
      </c>
      <c r="L708" s="15" t="n">
        <v>12</v>
      </c>
      <c r="M708" s="15" t="n">
        <v>14</v>
      </c>
      <c r="N708" s="16" t="n">
        <v>0</v>
      </c>
      <c r="O708" s="11" t="n">
        <v>277.4251799</v>
      </c>
      <c r="P708" s="13">
        <f>N708*86400</f>
        <v/>
      </c>
      <c r="Q708" s="14">
        <f>O708-273.15</f>
        <v/>
      </c>
    </row>
    <row r="709">
      <c r="A709" s="9" t="n">
        <v>37596</v>
      </c>
      <c r="B709" s="7">
        <f>YEAR(A709)</f>
        <v/>
      </c>
      <c r="C709" s="7">
        <f>MONTH(A709)</f>
        <v/>
      </c>
      <c r="D709" s="10" t="n">
        <v>0</v>
      </c>
      <c r="E709" s="11" t="n">
        <v>4.415684769</v>
      </c>
      <c r="F709" s="12" t="n">
        <v>0</v>
      </c>
      <c r="G709" s="11" t="n">
        <v>277.8499839</v>
      </c>
      <c r="H709" s="13">
        <f>F709*1000</f>
        <v/>
      </c>
      <c r="I709" s="14">
        <f>G709-273.15</f>
        <v/>
      </c>
      <c r="K709" s="15" t="n">
        <v>2002</v>
      </c>
      <c r="L709" s="15" t="n">
        <v>12</v>
      </c>
      <c r="M709" s="15" t="n">
        <v>15</v>
      </c>
      <c r="N709" s="16" t="n">
        <v>0</v>
      </c>
      <c r="O709" s="11" t="n">
        <v>277.4003478</v>
      </c>
      <c r="P709" s="13">
        <f>N709*86400</f>
        <v/>
      </c>
      <c r="Q709" s="14">
        <f>O709-273.15</f>
        <v/>
      </c>
    </row>
    <row r="710">
      <c r="A710" s="9" t="n">
        <v>37597</v>
      </c>
      <c r="B710" s="7">
        <f>YEAR(A710)</f>
        <v/>
      </c>
      <c r="C710" s="7">
        <f>MONTH(A710)</f>
        <v/>
      </c>
      <c r="D710" s="10" t="n">
        <v>0</v>
      </c>
      <c r="E710" s="11" t="n">
        <v>4.338598534</v>
      </c>
      <c r="F710" s="12" t="n">
        <v>0</v>
      </c>
      <c r="G710" s="11" t="n">
        <v>279.4183035</v>
      </c>
      <c r="H710" s="13">
        <f>F710*1000</f>
        <v/>
      </c>
      <c r="I710" s="14">
        <f>G710-273.15</f>
        <v/>
      </c>
      <c r="K710" s="15" t="n">
        <v>2002</v>
      </c>
      <c r="L710" s="15" t="n">
        <v>12</v>
      </c>
      <c r="M710" s="15" t="n">
        <v>16</v>
      </c>
      <c r="N710" s="16" t="n">
        <v>0</v>
      </c>
      <c r="O710" s="11" t="n">
        <v>279.0434592</v>
      </c>
      <c r="P710" s="13">
        <f>N710*86400</f>
        <v/>
      </c>
      <c r="Q710" s="14">
        <f>O710-273.15</f>
        <v/>
      </c>
    </row>
    <row r="711">
      <c r="A711" s="9" t="n">
        <v>37598</v>
      </c>
      <c r="B711" s="7">
        <f>YEAR(A711)</f>
        <v/>
      </c>
      <c r="C711" s="7">
        <f>MONTH(A711)</f>
        <v/>
      </c>
      <c r="D711" s="10" t="n">
        <v>0</v>
      </c>
      <c r="E711" s="11" t="n">
        <v>5.714115556</v>
      </c>
      <c r="F711" s="12" t="n">
        <v>0</v>
      </c>
      <c r="G711" s="11" t="n">
        <v>280.9982806</v>
      </c>
      <c r="H711" s="13">
        <f>F711*1000</f>
        <v/>
      </c>
      <c r="I711" s="14">
        <f>G711-273.15</f>
        <v/>
      </c>
      <c r="K711" s="15" t="n">
        <v>2002</v>
      </c>
      <c r="L711" s="15" t="n">
        <v>12</v>
      </c>
      <c r="M711" s="15" t="n">
        <v>17</v>
      </c>
      <c r="N711" s="16" t="n">
        <v>0</v>
      </c>
      <c r="O711" s="11" t="n">
        <v>277.9210755</v>
      </c>
      <c r="P711" s="13">
        <f>N711*86400</f>
        <v/>
      </c>
      <c r="Q711" s="14">
        <f>O711-273.15</f>
        <v/>
      </c>
    </row>
    <row r="712">
      <c r="A712" s="9" t="n">
        <v>37599</v>
      </c>
      <c r="B712" s="7">
        <f>YEAR(A712)</f>
        <v/>
      </c>
      <c r="C712" s="7">
        <f>MONTH(A712)</f>
        <v/>
      </c>
      <c r="D712" s="10" t="n">
        <v>0</v>
      </c>
      <c r="E712" s="11" t="n">
        <v>2.711674234</v>
      </c>
      <c r="F712" s="12" t="n">
        <v>0</v>
      </c>
      <c r="G712" s="11" t="n">
        <v>277.9881432</v>
      </c>
      <c r="H712" s="13">
        <f>F712*1000</f>
        <v/>
      </c>
      <c r="I712" s="14">
        <f>G712-273.15</f>
        <v/>
      </c>
      <c r="K712" s="15" t="n">
        <v>2002</v>
      </c>
      <c r="L712" s="15" t="n">
        <v>12</v>
      </c>
      <c r="M712" s="15" t="n">
        <v>18</v>
      </c>
      <c r="N712" s="16" t="n">
        <v>5.736496024e-06</v>
      </c>
      <c r="O712" s="11" t="n">
        <v>279.0777771</v>
      </c>
      <c r="P712" s="13">
        <f>N712*86400</f>
        <v/>
      </c>
      <c r="Q712" s="14">
        <f>O712-273.15</f>
        <v/>
      </c>
    </row>
    <row r="713">
      <c r="A713" s="9" t="n">
        <v>37600</v>
      </c>
      <c r="B713" s="7">
        <f>YEAR(A713)</f>
        <v/>
      </c>
      <c r="C713" s="7">
        <f>MONTH(A713)</f>
        <v/>
      </c>
      <c r="D713" s="10" t="n">
        <v>0</v>
      </c>
      <c r="E713" s="11" t="n">
        <v>2.46806843</v>
      </c>
      <c r="F713" s="12" t="n">
        <v>0.0001143673983</v>
      </c>
      <c r="G713" s="11" t="n">
        <v>277.6636017</v>
      </c>
      <c r="H713" s="13">
        <f>F713*1000</f>
        <v/>
      </c>
      <c r="I713" s="14">
        <f>G713-273.15</f>
        <v/>
      </c>
      <c r="K713" s="15" t="n">
        <v>2002</v>
      </c>
      <c r="L713" s="15" t="n">
        <v>12</v>
      </c>
      <c r="M713" s="15" t="n">
        <v>19</v>
      </c>
      <c r="N713" s="16" t="n">
        <v>6.487839864e-06</v>
      </c>
      <c r="O713" s="11" t="n">
        <v>277.483104</v>
      </c>
      <c r="P713" s="13">
        <f>N713*86400</f>
        <v/>
      </c>
      <c r="Q713" s="14">
        <f>O713-273.15</f>
        <v/>
      </c>
    </row>
    <row r="714">
      <c r="A714" s="9" t="n">
        <v>37601</v>
      </c>
      <c r="B714" s="7">
        <f>YEAR(A714)</f>
        <v/>
      </c>
      <c r="C714" s="7">
        <f>MONTH(A714)</f>
        <v/>
      </c>
      <c r="D714" s="10" t="n">
        <v>0</v>
      </c>
      <c r="E714" s="11" t="n">
        <v>1.155332269</v>
      </c>
      <c r="F714" s="12" t="n">
        <v>0</v>
      </c>
      <c r="G714" s="11" t="n">
        <v>276.3289968</v>
      </c>
      <c r="H714" s="13">
        <f>F714*1000</f>
        <v/>
      </c>
      <c r="I714" s="14">
        <f>G714-273.15</f>
        <v/>
      </c>
      <c r="K714" s="15" t="n">
        <v>2002</v>
      </c>
      <c r="L714" s="15" t="n">
        <v>12</v>
      </c>
      <c r="M714" s="15" t="n">
        <v>20</v>
      </c>
      <c r="N714" s="16" t="n">
        <v>0</v>
      </c>
      <c r="O714" s="11" t="n">
        <v>278.8007835</v>
      </c>
      <c r="P714" s="13">
        <f>N714*86400</f>
        <v/>
      </c>
      <c r="Q714" s="14">
        <f>O714-273.15</f>
        <v/>
      </c>
    </row>
    <row r="715">
      <c r="A715" s="9" t="n">
        <v>37602</v>
      </c>
      <c r="B715" s="7">
        <f>YEAR(A715)</f>
        <v/>
      </c>
      <c r="C715" s="7">
        <f>MONTH(A715)</f>
        <v/>
      </c>
      <c r="D715" s="10" t="n">
        <v>0</v>
      </c>
      <c r="E715" s="11" t="n">
        <v>0.6102537615</v>
      </c>
      <c r="F715" s="12" t="n">
        <v>0</v>
      </c>
      <c r="G715" s="11" t="n">
        <v>276.4854733</v>
      </c>
      <c r="H715" s="13">
        <f>F715*1000</f>
        <v/>
      </c>
      <c r="I715" s="14">
        <f>G715-273.15</f>
        <v/>
      </c>
      <c r="K715" s="15" t="n">
        <v>2002</v>
      </c>
      <c r="L715" s="15" t="n">
        <v>12</v>
      </c>
      <c r="M715" s="15" t="n">
        <v>21</v>
      </c>
      <c r="N715" s="16" t="n">
        <v>0</v>
      </c>
      <c r="O715" s="11" t="n">
        <v>279.5629788</v>
      </c>
      <c r="P715" s="13">
        <f>N715*86400</f>
        <v/>
      </c>
      <c r="Q715" s="14">
        <f>O715-273.15</f>
        <v/>
      </c>
    </row>
    <row r="716">
      <c r="A716" s="9" t="n">
        <v>37603</v>
      </c>
      <c r="B716" s="7">
        <f>YEAR(A716)</f>
        <v/>
      </c>
      <c r="C716" s="7">
        <f>MONTH(A716)</f>
        <v/>
      </c>
      <c r="D716" s="10" t="n">
        <v>0</v>
      </c>
      <c r="E716" s="11" t="n">
        <v>0.4357778608</v>
      </c>
      <c r="F716" s="12" t="n">
        <v>0</v>
      </c>
      <c r="G716" s="11" t="n">
        <v>275.1215178</v>
      </c>
      <c r="H716" s="13">
        <f>F716*1000</f>
        <v/>
      </c>
      <c r="I716" s="14">
        <f>G716-273.15</f>
        <v/>
      </c>
      <c r="K716" s="15" t="n">
        <v>2002</v>
      </c>
      <c r="L716" s="15" t="n">
        <v>12</v>
      </c>
      <c r="M716" s="15" t="n">
        <v>22</v>
      </c>
      <c r="N716" s="16" t="n">
        <v>0</v>
      </c>
      <c r="O716" s="11" t="n">
        <v>279.4097472</v>
      </c>
      <c r="P716" s="13">
        <f>N716*86400</f>
        <v/>
      </c>
      <c r="Q716" s="14">
        <f>O716-273.15</f>
        <v/>
      </c>
    </row>
    <row r="717">
      <c r="A717" s="9" t="n">
        <v>37604</v>
      </c>
      <c r="B717" s="7">
        <f>YEAR(A717)</f>
        <v/>
      </c>
      <c r="C717" s="7">
        <f>MONTH(A717)</f>
        <v/>
      </c>
      <c r="D717" s="10" t="n">
        <v>0</v>
      </c>
      <c r="E717" s="11" t="n">
        <v>-1.538304605</v>
      </c>
      <c r="F717" s="12" t="n">
        <v>0</v>
      </c>
      <c r="G717" s="11" t="n">
        <v>273.0777871</v>
      </c>
      <c r="H717" s="13">
        <f>F717*1000</f>
        <v/>
      </c>
      <c r="I717" s="14">
        <f>G717-273.15</f>
        <v/>
      </c>
      <c r="K717" s="15" t="n">
        <v>2002</v>
      </c>
      <c r="L717" s="15" t="n">
        <v>12</v>
      </c>
      <c r="M717" s="15" t="n">
        <v>23</v>
      </c>
      <c r="N717" s="16" t="n">
        <v>0</v>
      </c>
      <c r="O717" s="11" t="n">
        <v>279.9091107</v>
      </c>
      <c r="P717" s="13">
        <f>N717*86400</f>
        <v/>
      </c>
      <c r="Q717" s="14">
        <f>O717-273.15</f>
        <v/>
      </c>
    </row>
    <row r="718">
      <c r="A718" s="9" t="n">
        <v>37605</v>
      </c>
      <c r="B718" s="7">
        <f>YEAR(A718)</f>
        <v/>
      </c>
      <c r="C718" s="7">
        <f>MONTH(A718)</f>
        <v/>
      </c>
      <c r="D718" s="10" t="n">
        <v>0</v>
      </c>
      <c r="E718" s="11" t="n">
        <v>-1.113592638</v>
      </c>
      <c r="F718" s="12" t="n">
        <v>0</v>
      </c>
      <c r="G718" s="11" t="n">
        <v>273.1362103</v>
      </c>
      <c r="H718" s="13">
        <f>F718*1000</f>
        <v/>
      </c>
      <c r="I718" s="14">
        <f>G718-273.15</f>
        <v/>
      </c>
      <c r="K718" s="15" t="n">
        <v>2002</v>
      </c>
      <c r="L718" s="15" t="n">
        <v>12</v>
      </c>
      <c r="M718" s="15" t="n">
        <v>24</v>
      </c>
      <c r="N718" s="16" t="n">
        <v>4.237710778e-06</v>
      </c>
      <c r="O718" s="11" t="n">
        <v>279.5738325</v>
      </c>
      <c r="P718" s="13">
        <f>N718*86400</f>
        <v/>
      </c>
      <c r="Q718" s="14">
        <f>O718-273.15</f>
        <v/>
      </c>
    </row>
    <row r="719">
      <c r="A719" s="9" t="n">
        <v>37606</v>
      </c>
      <c r="B719" s="7">
        <f>YEAR(A719)</f>
        <v/>
      </c>
      <c r="C719" s="7">
        <f>MONTH(A719)</f>
        <v/>
      </c>
      <c r="D719" s="10" t="n">
        <v>0</v>
      </c>
      <c r="E719" s="11" t="n">
        <v>0.1813612649</v>
      </c>
      <c r="F719" s="12" t="n">
        <v>0</v>
      </c>
      <c r="G719" s="11" t="n">
        <v>274.1882608</v>
      </c>
      <c r="H719" s="13">
        <f>F719*1000</f>
        <v/>
      </c>
      <c r="I719" s="14">
        <f>G719-273.15</f>
        <v/>
      </c>
      <c r="K719" s="15" t="n">
        <v>2002</v>
      </c>
      <c r="L719" s="15" t="n">
        <v>12</v>
      </c>
      <c r="M719" s="15" t="n">
        <v>25</v>
      </c>
      <c r="N719" s="16" t="n">
        <v>1.445452094e-05</v>
      </c>
      <c r="O719" s="11" t="n">
        <v>280.7567201</v>
      </c>
      <c r="P719" s="13">
        <f>N719*86400</f>
        <v/>
      </c>
      <c r="Q719" s="14">
        <f>O719-273.15</f>
        <v/>
      </c>
    </row>
    <row r="720">
      <c r="A720" s="9" t="n">
        <v>37607</v>
      </c>
      <c r="B720" s="7">
        <f>YEAR(A720)</f>
        <v/>
      </c>
      <c r="C720" s="7">
        <f>MONTH(A720)</f>
        <v/>
      </c>
      <c r="D720" s="10" t="n">
        <v>0</v>
      </c>
      <c r="E720" s="11" t="n">
        <v>2.931134363</v>
      </c>
      <c r="F720" s="12" t="n">
        <v>0.002222861199</v>
      </c>
      <c r="G720" s="11" t="n">
        <v>276.8214771</v>
      </c>
      <c r="H720" s="13">
        <f>F720*1000</f>
        <v/>
      </c>
      <c r="I720" s="14">
        <f>G720-273.15</f>
        <v/>
      </c>
      <c r="K720" s="15" t="n">
        <v>2002</v>
      </c>
      <c r="L720" s="15" t="n">
        <v>12</v>
      </c>
      <c r="M720" s="15" t="n">
        <v>26</v>
      </c>
      <c r="N720" s="16" t="n">
        <v>0</v>
      </c>
      <c r="O720" s="11" t="n">
        <v>277.8405326</v>
      </c>
      <c r="P720" s="13">
        <f>N720*86400</f>
        <v/>
      </c>
      <c r="Q720" s="14">
        <f>O720-273.15</f>
        <v/>
      </c>
    </row>
    <row r="721">
      <c r="A721" s="9" t="n">
        <v>37608</v>
      </c>
      <c r="B721" s="7">
        <f>YEAR(A721)</f>
        <v/>
      </c>
      <c r="C721" s="7">
        <f>MONTH(A721)</f>
        <v/>
      </c>
      <c r="D721" s="10" t="n">
        <v>0</v>
      </c>
      <c r="E721" s="11" t="n">
        <v>1.651555852</v>
      </c>
      <c r="F721" s="12" t="n">
        <v>0</v>
      </c>
      <c r="G721" s="11" t="n">
        <v>275.3062628</v>
      </c>
      <c r="H721" s="13">
        <f>F721*1000</f>
        <v/>
      </c>
      <c r="I721" s="14">
        <f>G721-273.15</f>
        <v/>
      </c>
      <c r="K721" s="15" t="n">
        <v>2002</v>
      </c>
      <c r="L721" s="15" t="n">
        <v>12</v>
      </c>
      <c r="M721" s="15" t="n">
        <v>27</v>
      </c>
      <c r="N721" s="16" t="n">
        <v>3.766844815e-07</v>
      </c>
      <c r="O721" s="11" t="n">
        <v>277.4300969</v>
      </c>
      <c r="P721" s="13">
        <f>N721*86400</f>
        <v/>
      </c>
      <c r="Q721" s="14">
        <f>O721-273.15</f>
        <v/>
      </c>
    </row>
    <row r="722">
      <c r="A722" s="9" t="n">
        <v>37609</v>
      </c>
      <c r="B722" s="7">
        <f>YEAR(A722)</f>
        <v/>
      </c>
      <c r="C722" s="7">
        <f>MONTH(A722)</f>
        <v/>
      </c>
      <c r="D722" s="10" t="n">
        <v>0</v>
      </c>
      <c r="E722" s="11" t="n">
        <v>2.44763132</v>
      </c>
      <c r="F722" s="12" t="n">
        <v>0</v>
      </c>
      <c r="G722" s="11" t="n">
        <v>275.8299497</v>
      </c>
      <c r="H722" s="13">
        <f>F722*1000</f>
        <v/>
      </c>
      <c r="I722" s="14">
        <f>G722-273.15</f>
        <v/>
      </c>
      <c r="K722" s="15" t="n">
        <v>2002</v>
      </c>
      <c r="L722" s="15" t="n">
        <v>12</v>
      </c>
      <c r="M722" s="15" t="n">
        <v>28</v>
      </c>
      <c r="N722" s="16" t="n">
        <v>1.301567061e-07</v>
      </c>
      <c r="O722" s="11" t="n">
        <v>278.7803914</v>
      </c>
      <c r="P722" s="13">
        <f>N722*86400</f>
        <v/>
      </c>
      <c r="Q722" s="14">
        <f>O722-273.15</f>
        <v/>
      </c>
    </row>
    <row r="723">
      <c r="A723" s="9" t="n">
        <v>37610</v>
      </c>
      <c r="B723" s="7">
        <f>YEAR(A723)</f>
        <v/>
      </c>
      <c r="C723" s="7">
        <f>MONTH(A723)</f>
        <v/>
      </c>
      <c r="D723" s="10" t="n">
        <v>0</v>
      </c>
      <c r="E723" s="11" t="n">
        <v>2.154416054</v>
      </c>
      <c r="F723" s="12" t="n">
        <v>0</v>
      </c>
      <c r="G723" s="11" t="n">
        <v>275.4586597</v>
      </c>
      <c r="H723" s="13">
        <f>F723*1000</f>
        <v/>
      </c>
      <c r="I723" s="14">
        <f>G723-273.15</f>
        <v/>
      </c>
      <c r="K723" s="15" t="n">
        <v>2002</v>
      </c>
      <c r="L723" s="15" t="n">
        <v>12</v>
      </c>
      <c r="M723" s="15" t="n">
        <v>29</v>
      </c>
      <c r="N723" s="16" t="n">
        <v>8.723383433000001e-08</v>
      </c>
      <c r="O723" s="11" t="n">
        <v>278.2102838</v>
      </c>
      <c r="P723" s="13">
        <f>N723*86400</f>
        <v/>
      </c>
      <c r="Q723" s="14">
        <f>O723-273.15</f>
        <v/>
      </c>
    </row>
    <row r="724">
      <c r="A724" s="9" t="n">
        <v>37611</v>
      </c>
      <c r="B724" s="7">
        <f>YEAR(A724)</f>
        <v/>
      </c>
      <c r="C724" s="7">
        <f>MONTH(A724)</f>
        <v/>
      </c>
      <c r="D724" s="10" t="n">
        <v>0</v>
      </c>
      <c r="E724" s="11" t="n">
        <v>0.6120727132</v>
      </c>
      <c r="F724" s="12" t="n">
        <v>0</v>
      </c>
      <c r="G724" s="11" t="n">
        <v>274.1588463</v>
      </c>
      <c r="H724" s="13">
        <f>F724*1000</f>
        <v/>
      </c>
      <c r="I724" s="14">
        <f>G724-273.15</f>
        <v/>
      </c>
      <c r="K724" s="15" t="n">
        <v>2002</v>
      </c>
      <c r="L724" s="15" t="n">
        <v>12</v>
      </c>
      <c r="M724" s="15" t="n">
        <v>30</v>
      </c>
      <c r="N724" s="16" t="n">
        <v>2.012411154e-05</v>
      </c>
      <c r="O724" s="11" t="n">
        <v>277.5922106</v>
      </c>
      <c r="P724" s="13">
        <f>N724*86400</f>
        <v/>
      </c>
      <c r="Q724" s="14">
        <f>O724-273.15</f>
        <v/>
      </c>
    </row>
    <row r="725">
      <c r="A725" s="9" t="n">
        <v>37612</v>
      </c>
      <c r="B725" s="7">
        <f>YEAR(A725)</f>
        <v/>
      </c>
      <c r="C725" s="7">
        <f>MONTH(A725)</f>
        <v/>
      </c>
      <c r="D725" s="10" t="n">
        <v>0</v>
      </c>
      <c r="E725" s="11" t="n">
        <v>1.742221466</v>
      </c>
      <c r="F725" s="12" t="n">
        <v>0.0005122006731</v>
      </c>
      <c r="G725" s="11" t="n">
        <v>275.9205457</v>
      </c>
      <c r="H725" s="13">
        <f>F725*1000</f>
        <v/>
      </c>
      <c r="I725" s="14">
        <f>G725-273.15</f>
        <v/>
      </c>
      <c r="K725" s="15" t="n">
        <v>2003</v>
      </c>
      <c r="L725" s="15" t="n">
        <v>1</v>
      </c>
      <c r="M725" s="15" t="n">
        <v>1</v>
      </c>
      <c r="N725" s="16" t="n">
        <v>4.428270853e-05</v>
      </c>
      <c r="O725" s="11" t="n">
        <v>278.1756543</v>
      </c>
      <c r="P725" s="13">
        <f>N725*86400</f>
        <v/>
      </c>
      <c r="Q725" s="14">
        <f>O725-273.15</f>
        <v/>
      </c>
    </row>
    <row r="726">
      <c r="A726" s="9" t="n">
        <v>37613</v>
      </c>
      <c r="B726" s="7">
        <f>YEAR(A726)</f>
        <v/>
      </c>
      <c r="C726" s="7">
        <f>MONTH(A726)</f>
        <v/>
      </c>
      <c r="D726" s="10" t="n">
        <v>0</v>
      </c>
      <c r="E726" s="11" t="n">
        <v>5.540812104</v>
      </c>
      <c r="F726" s="12" t="n">
        <v>0</v>
      </c>
      <c r="G726" s="11" t="n">
        <v>278.5685172</v>
      </c>
      <c r="H726" s="13">
        <f>F726*1000</f>
        <v/>
      </c>
      <c r="I726" s="14">
        <f>G726-273.15</f>
        <v/>
      </c>
      <c r="K726" s="15" t="n">
        <v>2003</v>
      </c>
      <c r="L726" s="15" t="n">
        <v>1</v>
      </c>
      <c r="M726" s="15" t="n">
        <v>2</v>
      </c>
      <c r="N726" s="16" t="n">
        <v>0</v>
      </c>
      <c r="O726" s="11" t="n">
        <v>277.8764712</v>
      </c>
      <c r="P726" s="13">
        <f>N726*86400</f>
        <v/>
      </c>
      <c r="Q726" s="14">
        <f>O726-273.15</f>
        <v/>
      </c>
    </row>
    <row r="727">
      <c r="A727" s="9" t="n">
        <v>37614</v>
      </c>
      <c r="B727" s="7">
        <f>YEAR(A727)</f>
        <v/>
      </c>
      <c r="C727" s="7">
        <f>MONTH(A727)</f>
        <v/>
      </c>
      <c r="D727" s="10" t="n">
        <v>0</v>
      </c>
      <c r="E727" s="11" t="n">
        <v>5.68230941</v>
      </c>
      <c r="F727" s="12" t="n">
        <v>0.000854094999</v>
      </c>
      <c r="G727" s="11" t="n">
        <v>279.0759911</v>
      </c>
      <c r="H727" s="13">
        <f>F727*1000</f>
        <v/>
      </c>
      <c r="I727" s="14">
        <f>G727-273.15</f>
        <v/>
      </c>
      <c r="K727" s="15" t="n">
        <v>2003</v>
      </c>
      <c r="L727" s="15" t="n">
        <v>1</v>
      </c>
      <c r="M727" s="15" t="n">
        <v>3</v>
      </c>
      <c r="N727" s="16" t="n">
        <v>4.656686253e-07</v>
      </c>
      <c r="O727" s="11" t="n">
        <v>280.2081782</v>
      </c>
      <c r="P727" s="13">
        <f>N727*86400</f>
        <v/>
      </c>
      <c r="Q727" s="14">
        <f>O727-273.15</f>
        <v/>
      </c>
    </row>
    <row r="728">
      <c r="A728" s="9" t="n">
        <v>37615</v>
      </c>
      <c r="B728" s="7">
        <f>YEAR(A728)</f>
        <v/>
      </c>
      <c r="C728" s="7">
        <f>MONTH(A728)</f>
        <v/>
      </c>
      <c r="D728" s="10" t="n">
        <v>3.056463012</v>
      </c>
      <c r="E728" s="11" t="n">
        <v>2.923286809</v>
      </c>
      <c r="F728" s="12" t="n">
        <v>0.000601963831</v>
      </c>
      <c r="G728" s="11" t="n">
        <v>278.3865265</v>
      </c>
      <c r="H728" s="13">
        <f>F728*1000</f>
        <v/>
      </c>
      <c r="I728" s="14">
        <f>G728-273.15</f>
        <v/>
      </c>
      <c r="K728" s="15" t="n">
        <v>2003</v>
      </c>
      <c r="L728" s="15" t="n">
        <v>1</v>
      </c>
      <c r="M728" s="15" t="n">
        <v>4</v>
      </c>
      <c r="N728" s="16" t="n">
        <v>0</v>
      </c>
      <c r="O728" s="11" t="n">
        <v>280.2253629</v>
      </c>
      <c r="P728" s="13">
        <f>N728*86400</f>
        <v/>
      </c>
      <c r="Q728" s="14">
        <f>O728-273.15</f>
        <v/>
      </c>
    </row>
    <row r="729">
      <c r="A729" s="9" t="n">
        <v>37616</v>
      </c>
      <c r="B729" s="7">
        <f>YEAR(A729)</f>
        <v/>
      </c>
      <c r="C729" s="7">
        <f>MONTH(A729)</f>
        <v/>
      </c>
      <c r="D729" s="10" t="n">
        <v>0</v>
      </c>
      <c r="E729" s="11" t="n">
        <v>3.196989214</v>
      </c>
      <c r="F729" s="12" t="n">
        <v>4.423310428e-05</v>
      </c>
      <c r="G729" s="11" t="n">
        <v>278.3719625</v>
      </c>
      <c r="H729" s="13">
        <f>F729*1000</f>
        <v/>
      </c>
      <c r="I729" s="14">
        <f>G729-273.15</f>
        <v/>
      </c>
      <c r="K729" s="15" t="n">
        <v>2003</v>
      </c>
      <c r="L729" s="15" t="n">
        <v>1</v>
      </c>
      <c r="M729" s="15" t="n">
        <v>5</v>
      </c>
      <c r="N729" s="16" t="n">
        <v>0</v>
      </c>
      <c r="O729" s="11" t="n">
        <v>278.6180778</v>
      </c>
      <c r="P729" s="13">
        <f>N729*86400</f>
        <v/>
      </c>
      <c r="Q729" s="14">
        <f>O729-273.15</f>
        <v/>
      </c>
    </row>
    <row r="730">
      <c r="A730" s="9" t="n">
        <v>37617</v>
      </c>
      <c r="B730" s="7">
        <f>YEAR(A730)</f>
        <v/>
      </c>
      <c r="C730" s="7">
        <f>MONTH(A730)</f>
        <v/>
      </c>
      <c r="D730" s="10" t="n">
        <v>0.2113896466</v>
      </c>
      <c r="E730" s="11" t="n">
        <v>1.481292503</v>
      </c>
      <c r="F730" s="12" t="n">
        <v>0.0003712804505</v>
      </c>
      <c r="G730" s="11" t="n">
        <v>276.6075792</v>
      </c>
      <c r="H730" s="13">
        <f>F730*1000</f>
        <v/>
      </c>
      <c r="I730" s="14">
        <f>G730-273.15</f>
        <v/>
      </c>
      <c r="K730" s="15" t="n">
        <v>2003</v>
      </c>
      <c r="L730" s="15" t="n">
        <v>1</v>
      </c>
      <c r="M730" s="15" t="n">
        <v>6</v>
      </c>
      <c r="N730" s="16" t="n">
        <v>1.913489712e-06</v>
      </c>
      <c r="O730" s="11" t="n">
        <v>279.8089602</v>
      </c>
      <c r="P730" s="13">
        <f>N730*86400</f>
        <v/>
      </c>
      <c r="Q730" s="14">
        <f>O730-273.15</f>
        <v/>
      </c>
    </row>
    <row r="731">
      <c r="A731" s="9" t="n">
        <v>37618</v>
      </c>
      <c r="B731" s="7">
        <f>YEAR(A731)</f>
        <v/>
      </c>
      <c r="C731" s="7">
        <f>MONTH(A731)</f>
        <v/>
      </c>
      <c r="D731" s="10" t="n">
        <v>0</v>
      </c>
      <c r="E731" s="11" t="n">
        <v>1.23547843</v>
      </c>
      <c r="F731" s="12" t="n">
        <v>0.0001667048809</v>
      </c>
      <c r="G731" s="11" t="n">
        <v>275.9729795</v>
      </c>
      <c r="H731" s="13">
        <f>F731*1000</f>
        <v/>
      </c>
      <c r="I731" s="14">
        <f>G731-273.15</f>
        <v/>
      </c>
      <c r="K731" s="15" t="n">
        <v>2003</v>
      </c>
      <c r="L731" s="15" t="n">
        <v>1</v>
      </c>
      <c r="M731" s="15" t="n">
        <v>7</v>
      </c>
      <c r="N731" s="16" t="n">
        <v>0</v>
      </c>
      <c r="O731" s="11" t="n">
        <v>280.0576413</v>
      </c>
      <c r="P731" s="13">
        <f>N731*86400</f>
        <v/>
      </c>
      <c r="Q731" s="14">
        <f>O731-273.15</f>
        <v/>
      </c>
    </row>
    <row r="732">
      <c r="A732" s="9" t="n">
        <v>37619</v>
      </c>
      <c r="B732" s="7">
        <f>YEAR(A732)</f>
        <v/>
      </c>
      <c r="C732" s="7">
        <f>MONTH(A732)</f>
        <v/>
      </c>
      <c r="D732" s="10" t="n">
        <v>0</v>
      </c>
      <c r="E732" s="11" t="n">
        <v>2.986276675</v>
      </c>
      <c r="F732" s="12" t="n">
        <v>0.001653657525</v>
      </c>
      <c r="G732" s="11" t="n">
        <v>277.4653336</v>
      </c>
      <c r="H732" s="13">
        <f>F732*1000</f>
        <v/>
      </c>
      <c r="I732" s="14">
        <f>G732-273.15</f>
        <v/>
      </c>
      <c r="K732" s="15" t="n">
        <v>2003</v>
      </c>
      <c r="L732" s="15" t="n">
        <v>1</v>
      </c>
      <c r="M732" s="15" t="n">
        <v>8</v>
      </c>
      <c r="N732" s="16" t="n">
        <v>0</v>
      </c>
      <c r="O732" s="11" t="n">
        <v>280.2292697</v>
      </c>
      <c r="P732" s="13">
        <f>N732*86400</f>
        <v/>
      </c>
      <c r="Q732" s="14">
        <f>O732-273.15</f>
        <v/>
      </c>
    </row>
    <row r="733">
      <c r="A733" s="9" t="n">
        <v>37620</v>
      </c>
      <c r="B733" s="7">
        <f>YEAR(A733)</f>
        <v/>
      </c>
      <c r="C733" s="7">
        <f>MONTH(A733)</f>
        <v/>
      </c>
      <c r="D733" s="10" t="n">
        <v>4.306022605</v>
      </c>
      <c r="E733" s="11" t="n">
        <v>2.445009325</v>
      </c>
      <c r="F733" s="12" t="n">
        <v>0.005388702134</v>
      </c>
      <c r="G733" s="11" t="n">
        <v>277.0992251</v>
      </c>
      <c r="H733" s="13">
        <f>F733*1000</f>
        <v/>
      </c>
      <c r="I733" s="14">
        <f>G733-273.15</f>
        <v/>
      </c>
      <c r="K733" s="15" t="n">
        <v>2003</v>
      </c>
      <c r="L733" s="15" t="n">
        <v>1</v>
      </c>
      <c r="M733" s="15" t="n">
        <v>9</v>
      </c>
      <c r="N733" s="16" t="n">
        <v>0</v>
      </c>
      <c r="O733" s="11" t="n">
        <v>281.6689011</v>
      </c>
      <c r="P733" s="13">
        <f>N733*86400</f>
        <v/>
      </c>
      <c r="Q733" s="14">
        <f>O733-273.15</f>
        <v/>
      </c>
    </row>
    <row r="734">
      <c r="A734" s="9" t="n">
        <v>37621</v>
      </c>
      <c r="B734" s="7">
        <f>YEAR(A734)</f>
        <v/>
      </c>
      <c r="C734" s="7">
        <f>MONTH(A734)</f>
        <v/>
      </c>
      <c r="D734" s="10" t="n">
        <v>1.574081131</v>
      </c>
      <c r="E734" s="11" t="n">
        <v>2.455126221</v>
      </c>
      <c r="F734" s="12" t="n">
        <v>0.003624009227</v>
      </c>
      <c r="G734" s="11" t="n">
        <v>278.004112</v>
      </c>
      <c r="H734" s="13">
        <f>F734*1000</f>
        <v/>
      </c>
      <c r="I734" s="14">
        <f>G734-273.15</f>
        <v/>
      </c>
      <c r="K734" s="15" t="n">
        <v>2003</v>
      </c>
      <c r="L734" s="15" t="n">
        <v>1</v>
      </c>
      <c r="M734" s="15" t="n">
        <v>10</v>
      </c>
      <c r="N734" s="16" t="n">
        <v>2.799190373e-06</v>
      </c>
      <c r="O734" s="11" t="n">
        <v>278.1294416</v>
      </c>
      <c r="P734" s="13">
        <f>N734*86400</f>
        <v/>
      </c>
      <c r="Q734" s="14">
        <f>O734-273.15</f>
        <v/>
      </c>
    </row>
    <row r="735">
      <c r="A735" s="9" t="n">
        <v>37622</v>
      </c>
      <c r="B735" s="7">
        <f>YEAR(A735)</f>
        <v/>
      </c>
      <c r="C735" s="7">
        <f>MONTH(A735)</f>
        <v/>
      </c>
      <c r="D735" s="10" t="n">
        <v>0</v>
      </c>
      <c r="E735" s="11" t="n">
        <v>1.416260822</v>
      </c>
      <c r="F735" s="12" t="n">
        <v>0</v>
      </c>
      <c r="G735" s="11" t="n">
        <v>277.4351061</v>
      </c>
      <c r="H735" s="13">
        <f>F735*1000</f>
        <v/>
      </c>
      <c r="I735" s="14">
        <f>G735-273.15</f>
        <v/>
      </c>
      <c r="K735" s="15" t="n">
        <v>2003</v>
      </c>
      <c r="L735" s="15" t="n">
        <v>1</v>
      </c>
      <c r="M735" s="15" t="n">
        <v>11</v>
      </c>
      <c r="N735" s="16" t="n">
        <v>0</v>
      </c>
      <c r="O735" s="11" t="n">
        <v>279.5932093</v>
      </c>
      <c r="P735" s="13">
        <f>N735*86400</f>
        <v/>
      </c>
      <c r="Q735" s="14">
        <f>O735-273.15</f>
        <v/>
      </c>
    </row>
    <row r="736">
      <c r="A736" s="9" t="n">
        <v>37623</v>
      </c>
      <c r="B736" s="7">
        <f>YEAR(A736)</f>
        <v/>
      </c>
      <c r="C736" s="7">
        <f>MONTH(A736)</f>
        <v/>
      </c>
      <c r="D736" s="10" t="n">
        <v>0</v>
      </c>
      <c r="E736" s="11" t="n">
        <v>1.945241502</v>
      </c>
      <c r="F736" s="12" t="n">
        <v>0</v>
      </c>
      <c r="G736" s="11" t="n">
        <v>278.3415026</v>
      </c>
      <c r="H736" s="13">
        <f>F736*1000</f>
        <v/>
      </c>
      <c r="I736" s="14">
        <f>G736-273.15</f>
        <v/>
      </c>
      <c r="K736" s="15" t="n">
        <v>2003</v>
      </c>
      <c r="L736" s="15" t="n">
        <v>1</v>
      </c>
      <c r="M736" s="15" t="n">
        <v>12</v>
      </c>
      <c r="N736" s="16" t="n">
        <v>4.296211198e-08</v>
      </c>
      <c r="O736" s="11" t="n">
        <v>280.762237</v>
      </c>
      <c r="P736" s="13">
        <f>N736*86400</f>
        <v/>
      </c>
      <c r="Q736" s="14">
        <f>O736-273.15</f>
        <v/>
      </c>
    </row>
    <row r="737">
      <c r="A737" s="9" t="n">
        <v>37624</v>
      </c>
      <c r="B737" s="7">
        <f>YEAR(A737)</f>
        <v/>
      </c>
      <c r="C737" s="7">
        <f>MONTH(A737)</f>
        <v/>
      </c>
      <c r="D737" s="10" t="n">
        <v>0</v>
      </c>
      <c r="E737" s="11" t="n">
        <v>4.818461455</v>
      </c>
      <c r="F737" s="12" t="n">
        <v>0</v>
      </c>
      <c r="G737" s="11" t="n">
        <v>281.0516792</v>
      </c>
      <c r="H737" s="13">
        <f>F737*1000</f>
        <v/>
      </c>
      <c r="I737" s="14">
        <f>G737-273.15</f>
        <v/>
      </c>
      <c r="K737" s="15" t="n">
        <v>2003</v>
      </c>
      <c r="L737" s="15" t="n">
        <v>1</v>
      </c>
      <c r="M737" s="15" t="n">
        <v>13</v>
      </c>
      <c r="N737" s="16" t="n">
        <v>0</v>
      </c>
      <c r="O737" s="11" t="n">
        <v>282.7463074</v>
      </c>
      <c r="P737" s="13">
        <f>N737*86400</f>
        <v/>
      </c>
      <c r="Q737" s="14">
        <f>O737-273.15</f>
        <v/>
      </c>
    </row>
    <row r="738">
      <c r="A738" s="9" t="n">
        <v>37625</v>
      </c>
      <c r="B738" s="7">
        <f>YEAR(A738)</f>
        <v/>
      </c>
      <c r="C738" s="7">
        <f>MONTH(A738)</f>
        <v/>
      </c>
      <c r="D738" s="10" t="n">
        <v>0</v>
      </c>
      <c r="E738" s="11" t="n">
        <v>5.010747571</v>
      </c>
      <c r="F738" s="12" t="n">
        <v>0</v>
      </c>
      <c r="G738" s="11" t="n">
        <v>281.1033397</v>
      </c>
      <c r="H738" s="13">
        <f>F738*1000</f>
        <v/>
      </c>
      <c r="I738" s="14">
        <f>G738-273.15</f>
        <v/>
      </c>
      <c r="K738" s="15" t="n">
        <v>2003</v>
      </c>
      <c r="L738" s="15" t="n">
        <v>1</v>
      </c>
      <c r="M738" s="15" t="n">
        <v>14</v>
      </c>
      <c r="N738" s="16" t="n">
        <v>0</v>
      </c>
      <c r="O738" s="11" t="n">
        <v>281.6907844</v>
      </c>
      <c r="P738" s="13">
        <f>N738*86400</f>
        <v/>
      </c>
      <c r="Q738" s="14">
        <f>O738-273.15</f>
        <v/>
      </c>
    </row>
    <row r="739">
      <c r="A739" s="9" t="n">
        <v>37626</v>
      </c>
      <c r="B739" s="7">
        <f>YEAR(A739)</f>
        <v/>
      </c>
      <c r="C739" s="7">
        <f>MONTH(A739)</f>
        <v/>
      </c>
      <c r="D739" s="10" t="n">
        <v>0</v>
      </c>
      <c r="E739" s="11" t="n">
        <v>3.627060246</v>
      </c>
      <c r="F739" s="12" t="n">
        <v>0</v>
      </c>
      <c r="G739" s="11" t="n">
        <v>279.9173686</v>
      </c>
      <c r="H739" s="13">
        <f>F739*1000</f>
        <v/>
      </c>
      <c r="I739" s="14">
        <f>G739-273.15</f>
        <v/>
      </c>
      <c r="K739" s="15" t="n">
        <v>2003</v>
      </c>
      <c r="L739" s="15" t="n">
        <v>1</v>
      </c>
      <c r="M739" s="15" t="n">
        <v>15</v>
      </c>
      <c r="N739" s="16" t="n">
        <v>0</v>
      </c>
      <c r="O739" s="11" t="n">
        <v>280.7877797</v>
      </c>
      <c r="P739" s="13">
        <f>N739*86400</f>
        <v/>
      </c>
      <c r="Q739" s="14">
        <f>O739-273.15</f>
        <v/>
      </c>
    </row>
    <row r="740">
      <c r="A740" s="9" t="n">
        <v>37627</v>
      </c>
      <c r="B740" s="7">
        <f>YEAR(A740)</f>
        <v/>
      </c>
      <c r="C740" s="7">
        <f>MONTH(A740)</f>
        <v/>
      </c>
      <c r="D740" s="10" t="n">
        <v>0</v>
      </c>
      <c r="E740" s="11" t="n">
        <v>4.246401576</v>
      </c>
      <c r="F740" s="12" t="n">
        <v>0</v>
      </c>
      <c r="G740" s="11" t="n">
        <v>279.8095291</v>
      </c>
      <c r="H740" s="13">
        <f>F740*1000</f>
        <v/>
      </c>
      <c r="I740" s="14">
        <f>G740-273.15</f>
        <v/>
      </c>
      <c r="K740" s="15" t="n">
        <v>2003</v>
      </c>
      <c r="L740" s="15" t="n">
        <v>1</v>
      </c>
      <c r="M740" s="15" t="n">
        <v>16</v>
      </c>
      <c r="N740" s="16" t="n">
        <v>5.114013686e-07</v>
      </c>
      <c r="O740" s="11" t="n">
        <v>280.437209</v>
      </c>
      <c r="P740" s="13">
        <f>N740*86400</f>
        <v/>
      </c>
      <c r="Q740" s="14">
        <f>O740-273.15</f>
        <v/>
      </c>
    </row>
    <row r="741">
      <c r="A741" s="9" t="n">
        <v>37628</v>
      </c>
      <c r="B741" s="7">
        <f>YEAR(A741)</f>
        <v/>
      </c>
      <c r="C741" s="7">
        <f>MONTH(A741)</f>
        <v/>
      </c>
      <c r="D741" s="10" t="n">
        <v>0</v>
      </c>
      <c r="E741" s="11" t="n">
        <v>2.586558531</v>
      </c>
      <c r="F741" s="12" t="n">
        <v>0</v>
      </c>
      <c r="G741" s="11" t="n">
        <v>277.7744694</v>
      </c>
      <c r="H741" s="13">
        <f>F741*1000</f>
        <v/>
      </c>
      <c r="I741" s="14">
        <f>G741-273.15</f>
        <v/>
      </c>
      <c r="K741" s="15" t="n">
        <v>2003</v>
      </c>
      <c r="L741" s="15" t="n">
        <v>1</v>
      </c>
      <c r="M741" s="15" t="n">
        <v>17</v>
      </c>
      <c r="N741" s="16" t="n">
        <v>0</v>
      </c>
      <c r="O741" s="11" t="n">
        <v>280.5142673</v>
      </c>
      <c r="P741" s="13">
        <f>N741*86400</f>
        <v/>
      </c>
      <c r="Q741" s="14">
        <f>O741-273.15</f>
        <v/>
      </c>
    </row>
    <row r="742">
      <c r="A742" s="9" t="n">
        <v>37629</v>
      </c>
      <c r="B742" s="7">
        <f>YEAR(A742)</f>
        <v/>
      </c>
      <c r="C742" s="7">
        <f>MONTH(A742)</f>
        <v/>
      </c>
      <c r="D742" s="10" t="n">
        <v>0</v>
      </c>
      <c r="E742" s="11" t="n">
        <v>3.680406859</v>
      </c>
      <c r="F742" s="12" t="n">
        <v>0</v>
      </c>
      <c r="G742" s="11" t="n">
        <v>278.5723346</v>
      </c>
      <c r="H742" s="13">
        <f>F742*1000</f>
        <v/>
      </c>
      <c r="I742" s="14">
        <f>G742-273.15</f>
        <v/>
      </c>
      <c r="K742" s="15" t="n">
        <v>2003</v>
      </c>
      <c r="L742" s="15" t="n">
        <v>1</v>
      </c>
      <c r="M742" s="15" t="n">
        <v>18</v>
      </c>
      <c r="N742" s="16" t="n">
        <v>6.954194343e-06</v>
      </c>
      <c r="O742" s="11" t="n">
        <v>279.980448</v>
      </c>
      <c r="P742" s="13">
        <f>N742*86400</f>
        <v/>
      </c>
      <c r="Q742" s="14">
        <f>O742-273.15</f>
        <v/>
      </c>
    </row>
    <row r="743">
      <c r="A743" s="9" t="n">
        <v>37630</v>
      </c>
      <c r="B743" s="7">
        <f>YEAR(A743)</f>
        <v/>
      </c>
      <c r="C743" s="7">
        <f>MONTH(A743)</f>
        <v/>
      </c>
      <c r="D743" s="10" t="n">
        <v>0</v>
      </c>
      <c r="E743" s="11" t="n">
        <v>4.430417208</v>
      </c>
      <c r="F743" s="12" t="n">
        <v>0</v>
      </c>
      <c r="G743" s="11" t="n">
        <v>279.5449527</v>
      </c>
      <c r="H743" s="13">
        <f>F743*1000</f>
        <v/>
      </c>
      <c r="I743" s="14">
        <f>G743-273.15</f>
        <v/>
      </c>
      <c r="K743" s="15" t="n">
        <v>2003</v>
      </c>
      <c r="L743" s="15" t="n">
        <v>1</v>
      </c>
      <c r="M743" s="15" t="n">
        <v>19</v>
      </c>
      <c r="N743" s="16" t="n">
        <v>0</v>
      </c>
      <c r="O743" s="11" t="n">
        <v>280.3578231</v>
      </c>
      <c r="P743" s="13">
        <f>N743*86400</f>
        <v/>
      </c>
      <c r="Q743" s="14">
        <f>O743-273.15</f>
        <v/>
      </c>
    </row>
    <row r="744">
      <c r="A744" s="9" t="n">
        <v>37631</v>
      </c>
      <c r="B744" s="7">
        <f>YEAR(A744)</f>
        <v/>
      </c>
      <c r="C744" s="7">
        <f>MONTH(A744)</f>
        <v/>
      </c>
      <c r="D744" s="10" t="n">
        <v>0</v>
      </c>
      <c r="E744" s="11" t="n">
        <v>3.065196145</v>
      </c>
      <c r="F744" s="12" t="n">
        <v>8.348065043e-07</v>
      </c>
      <c r="G744" s="11" t="n">
        <v>277.6879514</v>
      </c>
      <c r="H744" s="13">
        <f>F744*1000</f>
        <v/>
      </c>
      <c r="I744" s="14">
        <f>G744-273.15</f>
        <v/>
      </c>
      <c r="K744" s="15" t="n">
        <v>2003</v>
      </c>
      <c r="L744" s="15" t="n">
        <v>1</v>
      </c>
      <c r="M744" s="15" t="n">
        <v>20</v>
      </c>
      <c r="N744" s="16" t="n">
        <v>4.534777645e-05</v>
      </c>
      <c r="O744" s="11" t="n">
        <v>280.0091735</v>
      </c>
      <c r="P744" s="13">
        <f>N744*86400</f>
        <v/>
      </c>
      <c r="Q744" s="14">
        <f>O744-273.15</f>
        <v/>
      </c>
    </row>
    <row r="745">
      <c r="A745" s="9" t="n">
        <v>37632</v>
      </c>
      <c r="B745" s="7">
        <f>YEAR(A745)</f>
        <v/>
      </c>
      <c r="C745" s="7">
        <f>MONTH(A745)</f>
        <v/>
      </c>
      <c r="D745" s="10" t="n">
        <v>0</v>
      </c>
      <c r="E745" s="11" t="n">
        <v>5.578182005</v>
      </c>
      <c r="F745" s="12" t="n">
        <v>4.447804515e-05</v>
      </c>
      <c r="G745" s="11" t="n">
        <v>279.4820992</v>
      </c>
      <c r="H745" s="13">
        <f>F745*1000</f>
        <v/>
      </c>
      <c r="I745" s="14">
        <f>G745-273.15</f>
        <v/>
      </c>
      <c r="K745" s="15" t="n">
        <v>2003</v>
      </c>
      <c r="L745" s="15" t="n">
        <v>1</v>
      </c>
      <c r="M745" s="15" t="n">
        <v>21</v>
      </c>
      <c r="N745" s="16" t="n">
        <v>2.68169426e-05</v>
      </c>
      <c r="O745" s="11" t="n">
        <v>278.6999985</v>
      </c>
      <c r="P745" s="13">
        <f>N745*86400</f>
        <v/>
      </c>
      <c r="Q745" s="14">
        <f>O745-273.15</f>
        <v/>
      </c>
    </row>
    <row r="746">
      <c r="A746" s="9" t="n">
        <v>37633</v>
      </c>
      <c r="B746" s="7">
        <f>YEAR(A746)</f>
        <v/>
      </c>
      <c r="C746" s="7">
        <f>MONTH(A746)</f>
        <v/>
      </c>
      <c r="D746" s="10" t="n">
        <v>0</v>
      </c>
      <c r="E746" s="11" t="n">
        <v>4.518612965</v>
      </c>
      <c r="F746" s="12" t="n">
        <v>0.001204604858</v>
      </c>
      <c r="G746" s="11" t="n">
        <v>279.0462492</v>
      </c>
      <c r="H746" s="13">
        <f>F746*1000</f>
        <v/>
      </c>
      <c r="I746" s="14">
        <f>G746-273.15</f>
        <v/>
      </c>
      <c r="K746" s="15" t="n">
        <v>2003</v>
      </c>
      <c r="L746" s="15" t="n">
        <v>1</v>
      </c>
      <c r="M746" s="15" t="n">
        <v>22</v>
      </c>
      <c r="N746" s="16" t="n">
        <v>0.000104100516</v>
      </c>
      <c r="O746" s="11" t="n">
        <v>279.8297913</v>
      </c>
      <c r="P746" s="13">
        <f>N746*86400</f>
        <v/>
      </c>
      <c r="Q746" s="14">
        <f>O746-273.15</f>
        <v/>
      </c>
    </row>
    <row r="747">
      <c r="A747" s="9" t="n">
        <v>37634</v>
      </c>
      <c r="B747" s="7">
        <f>YEAR(A747)</f>
        <v/>
      </c>
      <c r="C747" s="7">
        <f>MONTH(A747)</f>
        <v/>
      </c>
      <c r="D747" s="10" t="n">
        <v>23.14082161</v>
      </c>
      <c r="E747" s="11" t="n">
        <v>5.877907244</v>
      </c>
      <c r="F747" s="12" t="n">
        <v>0.01630994691</v>
      </c>
      <c r="G747" s="11" t="n">
        <v>279.7692988</v>
      </c>
      <c r="H747" s="13">
        <f>F747*1000</f>
        <v/>
      </c>
      <c r="I747" s="14">
        <f>G747-273.15</f>
        <v/>
      </c>
      <c r="K747" s="15" t="n">
        <v>2003</v>
      </c>
      <c r="L747" s="15" t="n">
        <v>1</v>
      </c>
      <c r="M747" s="15" t="n">
        <v>23</v>
      </c>
      <c r="N747" s="16" t="n">
        <v>3.196030163e-05</v>
      </c>
      <c r="O747" s="11" t="n">
        <v>281.1235574</v>
      </c>
      <c r="P747" s="13">
        <f>N747*86400</f>
        <v/>
      </c>
      <c r="Q747" s="14">
        <f>O747-273.15</f>
        <v/>
      </c>
    </row>
    <row r="748">
      <c r="A748" s="9" t="n">
        <v>37635</v>
      </c>
      <c r="B748" s="7">
        <f>YEAR(A748)</f>
        <v/>
      </c>
      <c r="C748" s="7">
        <f>MONTH(A748)</f>
        <v/>
      </c>
      <c r="D748" s="10" t="n">
        <v>0</v>
      </c>
      <c r="E748" s="11" t="n">
        <v>5.266542513</v>
      </c>
      <c r="F748" s="12" t="n">
        <v>0.0005509030905</v>
      </c>
      <c r="G748" s="11" t="n">
        <v>280.1495205</v>
      </c>
      <c r="H748" s="13">
        <f>F748*1000</f>
        <v/>
      </c>
      <c r="I748" s="14">
        <f>G748-273.15</f>
        <v/>
      </c>
      <c r="K748" s="15" t="n">
        <v>2003</v>
      </c>
      <c r="L748" s="15" t="n">
        <v>1</v>
      </c>
      <c r="M748" s="15" t="n">
        <v>24</v>
      </c>
      <c r="N748" s="16" t="n">
        <v>6.707035868e-06</v>
      </c>
      <c r="O748" s="11" t="n">
        <v>280.3246133</v>
      </c>
      <c r="P748" s="13">
        <f>N748*86400</f>
        <v/>
      </c>
      <c r="Q748" s="14">
        <f>O748-273.15</f>
        <v/>
      </c>
    </row>
    <row r="749">
      <c r="A749" s="9" t="n">
        <v>37636</v>
      </c>
      <c r="B749" s="7">
        <f>YEAR(A749)</f>
        <v/>
      </c>
      <c r="C749" s="7">
        <f>MONTH(A749)</f>
        <v/>
      </c>
      <c r="D749" s="10" t="n">
        <v>0</v>
      </c>
      <c r="E749" s="11" t="n">
        <v>5.892470681</v>
      </c>
      <c r="F749" s="12" t="n">
        <v>0.000224219782</v>
      </c>
      <c r="G749" s="11" t="n">
        <v>280.7732084</v>
      </c>
      <c r="H749" s="13">
        <f>F749*1000</f>
        <v/>
      </c>
      <c r="I749" s="14">
        <f>G749-273.15</f>
        <v/>
      </c>
      <c r="K749" s="15" t="n">
        <v>2003</v>
      </c>
      <c r="L749" s="15" t="n">
        <v>1</v>
      </c>
      <c r="M749" s="15" t="n">
        <v>25</v>
      </c>
      <c r="N749" s="16" t="n">
        <v>0</v>
      </c>
      <c r="O749" s="11" t="n">
        <v>279.2124671</v>
      </c>
      <c r="P749" s="13">
        <f>N749*86400</f>
        <v/>
      </c>
      <c r="Q749" s="14">
        <f>O749-273.15</f>
        <v/>
      </c>
    </row>
    <row r="750">
      <c r="A750" s="9" t="n">
        <v>37637</v>
      </c>
      <c r="B750" s="7">
        <f>YEAR(A750)</f>
        <v/>
      </c>
      <c r="C750" s="7">
        <f>MONTH(A750)</f>
        <v/>
      </c>
      <c r="D750" s="10" t="n">
        <v>0</v>
      </c>
      <c r="E750" s="11" t="n">
        <v>4.58726363</v>
      </c>
      <c r="F750" s="12" t="n">
        <v>0</v>
      </c>
      <c r="G750" s="11" t="n">
        <v>279.1151138</v>
      </c>
      <c r="H750" s="13">
        <f>F750*1000</f>
        <v/>
      </c>
      <c r="I750" s="14">
        <f>G750-273.15</f>
        <v/>
      </c>
      <c r="K750" s="15" t="n">
        <v>2003</v>
      </c>
      <c r="L750" s="15" t="n">
        <v>1</v>
      </c>
      <c r="M750" s="15" t="n">
        <v>26</v>
      </c>
      <c r="N750" s="16" t="n">
        <v>0</v>
      </c>
      <c r="O750" s="11" t="n">
        <v>279.5912286</v>
      </c>
      <c r="P750" s="13">
        <f>N750*86400</f>
        <v/>
      </c>
      <c r="Q750" s="14">
        <f>O750-273.15</f>
        <v/>
      </c>
    </row>
    <row r="751">
      <c r="A751" s="9" t="n">
        <v>37638</v>
      </c>
      <c r="B751" s="7">
        <f>YEAR(A751)</f>
        <v/>
      </c>
      <c r="C751" s="7">
        <f>MONTH(A751)</f>
        <v/>
      </c>
      <c r="D751" s="10" t="n">
        <v>0</v>
      </c>
      <c r="E751" s="11" t="n">
        <v>5.066385864</v>
      </c>
      <c r="F751" s="12" t="n">
        <v>0</v>
      </c>
      <c r="G751" s="11" t="n">
        <v>280.2978092</v>
      </c>
      <c r="H751" s="13">
        <f>F751*1000</f>
        <v/>
      </c>
      <c r="I751" s="14">
        <f>G751-273.15</f>
        <v/>
      </c>
      <c r="K751" s="15" t="n">
        <v>2003</v>
      </c>
      <c r="L751" s="15" t="n">
        <v>1</v>
      </c>
      <c r="M751" s="15" t="n">
        <v>27</v>
      </c>
      <c r="N751" s="16" t="n">
        <v>4.523055679e-06</v>
      </c>
      <c r="O751" s="11" t="n">
        <v>280.6098823</v>
      </c>
      <c r="P751" s="13">
        <f>N751*86400</f>
        <v/>
      </c>
      <c r="Q751" s="14">
        <f>O751-273.15</f>
        <v/>
      </c>
    </row>
    <row r="752">
      <c r="A752" s="9" t="n">
        <v>37639</v>
      </c>
      <c r="B752" s="7">
        <f>YEAR(A752)</f>
        <v/>
      </c>
      <c r="C752" s="7">
        <f>MONTH(A752)</f>
        <v/>
      </c>
      <c r="D752" s="10" t="n">
        <v>0</v>
      </c>
      <c r="E752" s="11" t="n">
        <v>3.597006644</v>
      </c>
      <c r="F752" s="12" t="n">
        <v>0</v>
      </c>
      <c r="G752" s="11" t="n">
        <v>279.0406058</v>
      </c>
      <c r="H752" s="13">
        <f>F752*1000</f>
        <v/>
      </c>
      <c r="I752" s="14">
        <f>G752-273.15</f>
        <v/>
      </c>
      <c r="K752" s="15" t="n">
        <v>2003</v>
      </c>
      <c r="L752" s="15" t="n">
        <v>1</v>
      </c>
      <c r="M752" s="15" t="n">
        <v>28</v>
      </c>
      <c r="N752" s="16" t="n">
        <v>1.736200424e-06</v>
      </c>
      <c r="O752" s="11" t="n">
        <v>280.8852309</v>
      </c>
      <c r="P752" s="13">
        <f>N752*86400</f>
        <v/>
      </c>
      <c r="Q752" s="14">
        <f>O752-273.15</f>
        <v/>
      </c>
    </row>
    <row r="753">
      <c r="A753" s="9" t="n">
        <v>37640</v>
      </c>
      <c r="B753" s="7">
        <f>YEAR(A753)</f>
        <v/>
      </c>
      <c r="C753" s="7">
        <f>MONTH(A753)</f>
        <v/>
      </c>
      <c r="D753" s="10" t="n">
        <v>0</v>
      </c>
      <c r="E753" s="11" t="n">
        <v>0.9831566442</v>
      </c>
      <c r="F753" s="12" t="n">
        <v>0</v>
      </c>
      <c r="G753" s="11" t="n">
        <v>277.5253106</v>
      </c>
      <c r="H753" s="13">
        <f>F753*1000</f>
        <v/>
      </c>
      <c r="I753" s="14">
        <f>G753-273.15</f>
        <v/>
      </c>
      <c r="K753" s="15" t="n">
        <v>2003</v>
      </c>
      <c r="L753" s="15" t="n">
        <v>1</v>
      </c>
      <c r="M753" s="15" t="n">
        <v>29</v>
      </c>
      <c r="N753" s="16" t="n">
        <v>0</v>
      </c>
      <c r="O753" s="11" t="n">
        <v>281.013115</v>
      </c>
      <c r="P753" s="13">
        <f>N753*86400</f>
        <v/>
      </c>
      <c r="Q753" s="14">
        <f>O753-273.15</f>
        <v/>
      </c>
    </row>
    <row r="754">
      <c r="A754" s="9" t="n">
        <v>37641</v>
      </c>
      <c r="B754" s="7">
        <f>YEAR(A754)</f>
        <v/>
      </c>
      <c r="C754" s="7">
        <f>MONTH(A754)</f>
        <v/>
      </c>
      <c r="D754" s="10" t="n">
        <v>0</v>
      </c>
      <c r="E754" s="11" t="n">
        <v>2.445116121</v>
      </c>
      <c r="F754" s="12" t="n">
        <v>0</v>
      </c>
      <c r="G754" s="11" t="n">
        <v>277.9416479</v>
      </c>
      <c r="H754" s="13">
        <f>F754*1000</f>
        <v/>
      </c>
      <c r="I754" s="14">
        <f>G754-273.15</f>
        <v/>
      </c>
      <c r="K754" s="15" t="n">
        <v>2003</v>
      </c>
      <c r="L754" s="15" t="n">
        <v>1</v>
      </c>
      <c r="M754" s="15" t="n">
        <v>30</v>
      </c>
      <c r="N754" s="16" t="n">
        <v>6.73704265e-06</v>
      </c>
      <c r="O754" s="11" t="n">
        <v>280.3596131</v>
      </c>
      <c r="P754" s="13">
        <f>N754*86400</f>
        <v/>
      </c>
      <c r="Q754" s="14">
        <f>O754-273.15</f>
        <v/>
      </c>
    </row>
    <row r="755">
      <c r="A755" s="9" t="n">
        <v>37642</v>
      </c>
      <c r="B755" s="7">
        <f>YEAR(A755)</f>
        <v/>
      </c>
      <c r="C755" s="7">
        <f>MONTH(A755)</f>
        <v/>
      </c>
      <c r="D755" s="10" t="n">
        <v>0</v>
      </c>
      <c r="E755" s="11" t="n">
        <v>3.746147971</v>
      </c>
      <c r="F755" s="12" t="n">
        <v>0</v>
      </c>
      <c r="G755" s="11" t="n">
        <v>279.4137668</v>
      </c>
      <c r="H755" s="13">
        <f>F755*1000</f>
        <v/>
      </c>
      <c r="I755" s="14">
        <f>G755-273.15</f>
        <v/>
      </c>
      <c r="K755" s="15" t="n">
        <v>2003</v>
      </c>
      <c r="L755" s="15" t="n">
        <v>2</v>
      </c>
      <c r="M755" s="15" t="n">
        <v>1</v>
      </c>
      <c r="N755" s="16" t="n">
        <v>1.903477066e-06</v>
      </c>
      <c r="O755" s="11" t="n">
        <v>279.8454601</v>
      </c>
      <c r="P755" s="13">
        <f>N755*86400</f>
        <v/>
      </c>
      <c r="Q755" s="14">
        <f>O755-273.15</f>
        <v/>
      </c>
    </row>
    <row r="756">
      <c r="A756" s="9" t="n">
        <v>37643</v>
      </c>
      <c r="B756" s="7">
        <f>YEAR(A756)</f>
        <v/>
      </c>
      <c r="C756" s="7">
        <f>MONTH(A756)</f>
        <v/>
      </c>
      <c r="D756" s="10" t="n">
        <v>2.416683218</v>
      </c>
      <c r="E756" s="11" t="n">
        <v>2.789780175</v>
      </c>
      <c r="F756" s="12" t="n">
        <v>0.00433406419</v>
      </c>
      <c r="G756" s="11" t="n">
        <v>278.3820959</v>
      </c>
      <c r="H756" s="13">
        <f>F756*1000</f>
        <v/>
      </c>
      <c r="I756" s="14">
        <f>G756-273.15</f>
        <v/>
      </c>
      <c r="K756" s="15" t="n">
        <v>2003</v>
      </c>
      <c r="L756" s="15" t="n">
        <v>2</v>
      </c>
      <c r="M756" s="15" t="n">
        <v>2</v>
      </c>
      <c r="N756" s="16" t="n">
        <v>1.02178561e-06</v>
      </c>
      <c r="O756" s="11" t="n">
        <v>282.2909177</v>
      </c>
      <c r="P756" s="13">
        <f>N756*86400</f>
        <v/>
      </c>
      <c r="Q756" s="14">
        <f>O756-273.15</f>
        <v/>
      </c>
    </row>
    <row r="757">
      <c r="A757" s="9" t="n">
        <v>37644</v>
      </c>
      <c r="B757" s="7">
        <f>YEAR(A757)</f>
        <v/>
      </c>
      <c r="C757" s="7">
        <f>MONTH(A757)</f>
        <v/>
      </c>
      <c r="D757" s="10" t="n">
        <v>0</v>
      </c>
      <c r="E757" s="11" t="n">
        <v>3.938504083</v>
      </c>
      <c r="F757" s="12" t="n">
        <v>0.001334118008</v>
      </c>
      <c r="G757" s="11" t="n">
        <v>279.2064563</v>
      </c>
      <c r="H757" s="13">
        <f>F757*1000</f>
        <v/>
      </c>
      <c r="I757" s="14">
        <f>G757-273.15</f>
        <v/>
      </c>
      <c r="K757" s="15" t="n">
        <v>2003</v>
      </c>
      <c r="L757" s="15" t="n">
        <v>2</v>
      </c>
      <c r="M757" s="15" t="n">
        <v>3</v>
      </c>
      <c r="N757" s="16" t="n">
        <v>0</v>
      </c>
      <c r="O757" s="11" t="n">
        <v>280.1820695</v>
      </c>
      <c r="P757" s="13">
        <f>N757*86400</f>
        <v/>
      </c>
      <c r="Q757" s="14">
        <f>O757-273.15</f>
        <v/>
      </c>
    </row>
    <row r="758">
      <c r="A758" s="9" t="n">
        <v>37645</v>
      </c>
      <c r="B758" s="7">
        <f>YEAR(A758)</f>
        <v/>
      </c>
      <c r="C758" s="7">
        <f>MONTH(A758)</f>
        <v/>
      </c>
      <c r="D758" s="10" t="n">
        <v>0</v>
      </c>
      <c r="E758" s="11" t="n">
        <v>5.14634598</v>
      </c>
      <c r="F758" s="12" t="n">
        <v>0.001147237477</v>
      </c>
      <c r="G758" s="11" t="n">
        <v>280.309463</v>
      </c>
      <c r="H758" s="13">
        <f>F758*1000</f>
        <v/>
      </c>
      <c r="I758" s="14">
        <f>G758-273.15</f>
        <v/>
      </c>
      <c r="K758" s="15" t="n">
        <v>2003</v>
      </c>
      <c r="L758" s="15" t="n">
        <v>2</v>
      </c>
      <c r="M758" s="15" t="n">
        <v>4</v>
      </c>
      <c r="N758" s="16" t="n">
        <v>0</v>
      </c>
      <c r="O758" s="11" t="n">
        <v>279.6601407</v>
      </c>
      <c r="P758" s="13">
        <f>N758*86400</f>
        <v/>
      </c>
      <c r="Q758" s="14">
        <f>O758-273.15</f>
        <v/>
      </c>
    </row>
    <row r="759">
      <c r="A759" s="9" t="n">
        <v>37646</v>
      </c>
      <c r="B759" s="7">
        <f>YEAR(A759)</f>
        <v/>
      </c>
      <c r="C759" s="7">
        <f>MONTH(A759)</f>
        <v/>
      </c>
      <c r="D759" s="10" t="n">
        <v>0</v>
      </c>
      <c r="E759" s="11" t="n">
        <v>2.799038119</v>
      </c>
      <c r="F759" s="12" t="n">
        <v>1.532516118e-06</v>
      </c>
      <c r="G759" s="11" t="n">
        <v>278.9800872</v>
      </c>
      <c r="H759" s="13">
        <f>F759*1000</f>
        <v/>
      </c>
      <c r="I759" s="14">
        <f>G759-273.15</f>
        <v/>
      </c>
      <c r="K759" s="15" t="n">
        <v>2003</v>
      </c>
      <c r="L759" s="15" t="n">
        <v>2</v>
      </c>
      <c r="M759" s="15" t="n">
        <v>5</v>
      </c>
      <c r="N759" s="16" t="n">
        <v>7.436347362e-08</v>
      </c>
      <c r="O759" s="11" t="n">
        <v>280.6305302</v>
      </c>
      <c r="P759" s="13">
        <f>N759*86400</f>
        <v/>
      </c>
      <c r="Q759" s="14">
        <f>O759-273.15</f>
        <v/>
      </c>
    </row>
    <row r="760">
      <c r="A760" s="9" t="n">
        <v>37647</v>
      </c>
      <c r="B760" s="7">
        <f>YEAR(A760)</f>
        <v/>
      </c>
      <c r="C760" s="7">
        <f>MONTH(A760)</f>
        <v/>
      </c>
      <c r="D760" s="10" t="n">
        <v>0</v>
      </c>
      <c r="E760" s="11" t="n">
        <v>2.242298414</v>
      </c>
      <c r="F760" s="12" t="n">
        <v>0</v>
      </c>
      <c r="G760" s="11" t="n">
        <v>279.3887278</v>
      </c>
      <c r="H760" s="13">
        <f>F760*1000</f>
        <v/>
      </c>
      <c r="I760" s="14">
        <f>G760-273.15</f>
        <v/>
      </c>
      <c r="K760" s="15" t="n">
        <v>2003</v>
      </c>
      <c r="L760" s="15" t="n">
        <v>2</v>
      </c>
      <c r="M760" s="15" t="n">
        <v>6</v>
      </c>
      <c r="N760" s="16" t="n">
        <v>0</v>
      </c>
      <c r="O760" s="11" t="n">
        <v>282.6749892</v>
      </c>
      <c r="P760" s="13">
        <f>N760*86400</f>
        <v/>
      </c>
      <c r="Q760" s="14">
        <f>O760-273.15</f>
        <v/>
      </c>
    </row>
    <row r="761">
      <c r="A761" s="9" t="n">
        <v>37648</v>
      </c>
      <c r="B761" s="7">
        <f>YEAR(A761)</f>
        <v/>
      </c>
      <c r="C761" s="7">
        <f>MONTH(A761)</f>
        <v/>
      </c>
      <c r="D761" s="10" t="n">
        <v>0</v>
      </c>
      <c r="E761" s="11" t="n">
        <v>0.7572619783</v>
      </c>
      <c r="F761" s="12" t="n">
        <v>0</v>
      </c>
      <c r="G761" s="11" t="n">
        <v>277.1430357</v>
      </c>
      <c r="H761" s="13">
        <f>F761*1000</f>
        <v/>
      </c>
      <c r="I761" s="14">
        <f>G761-273.15</f>
        <v/>
      </c>
      <c r="K761" s="15" t="n">
        <v>2003</v>
      </c>
      <c r="L761" s="15" t="n">
        <v>2</v>
      </c>
      <c r="M761" s="15" t="n">
        <v>7</v>
      </c>
      <c r="N761" s="16" t="n">
        <v>0</v>
      </c>
      <c r="O761" s="11" t="n">
        <v>282.4708308</v>
      </c>
      <c r="P761" s="13">
        <f>N761*86400</f>
        <v/>
      </c>
      <c r="Q761" s="14">
        <f>O761-273.15</f>
        <v/>
      </c>
    </row>
    <row r="762">
      <c r="A762" s="9" t="n">
        <v>37649</v>
      </c>
      <c r="B762" s="7">
        <f>YEAR(A762)</f>
        <v/>
      </c>
      <c r="C762" s="7">
        <f>MONTH(A762)</f>
        <v/>
      </c>
      <c r="D762" s="10" t="n">
        <v>0</v>
      </c>
      <c r="E762" s="11" t="n">
        <v>2.469158508</v>
      </c>
      <c r="F762" s="12" t="n">
        <v>0</v>
      </c>
      <c r="G762" s="11" t="n">
        <v>278.9161077</v>
      </c>
      <c r="H762" s="13">
        <f>F762*1000</f>
        <v/>
      </c>
      <c r="I762" s="14">
        <f>G762-273.15</f>
        <v/>
      </c>
      <c r="K762" s="15" t="n">
        <v>2003</v>
      </c>
      <c r="L762" s="15" t="n">
        <v>2</v>
      </c>
      <c r="M762" s="15" t="n">
        <v>8</v>
      </c>
      <c r="N762" s="16" t="n">
        <v>2.341155068e-05</v>
      </c>
      <c r="O762" s="11" t="n">
        <v>282.8414786</v>
      </c>
      <c r="P762" s="13">
        <f>N762*86400</f>
        <v/>
      </c>
      <c r="Q762" s="14">
        <f>O762-273.15</f>
        <v/>
      </c>
    </row>
    <row r="763">
      <c r="A763" s="9" t="n">
        <v>37650</v>
      </c>
      <c r="B763" s="7">
        <f>YEAR(A763)</f>
        <v/>
      </c>
      <c r="C763" s="7">
        <f>MONTH(A763)</f>
        <v/>
      </c>
      <c r="D763" s="10" t="n">
        <v>0</v>
      </c>
      <c r="E763" s="11" t="n">
        <v>1.809331068</v>
      </c>
      <c r="F763" s="12" t="n">
        <v>0</v>
      </c>
      <c r="G763" s="11" t="n">
        <v>277.8159841</v>
      </c>
      <c r="H763" s="13">
        <f>F763*1000</f>
        <v/>
      </c>
      <c r="I763" s="14">
        <f>G763-273.15</f>
        <v/>
      </c>
      <c r="K763" s="15" t="n">
        <v>2003</v>
      </c>
      <c r="L763" s="15" t="n">
        <v>2</v>
      </c>
      <c r="M763" s="15" t="n">
        <v>9</v>
      </c>
      <c r="N763" s="16" t="n">
        <v>7.024929868999999e-07</v>
      </c>
      <c r="O763" s="11" t="n">
        <v>283.1989077</v>
      </c>
      <c r="P763" s="13">
        <f>N763*86400</f>
        <v/>
      </c>
      <c r="Q763" s="14">
        <f>O763-273.15</f>
        <v/>
      </c>
    </row>
    <row r="764">
      <c r="A764" s="9" t="n">
        <v>37651</v>
      </c>
      <c r="B764" s="7">
        <f>YEAR(A764)</f>
        <v/>
      </c>
      <c r="C764" s="7">
        <f>MONTH(A764)</f>
        <v/>
      </c>
      <c r="D764" s="10" t="n">
        <v>0</v>
      </c>
      <c r="E764" s="11" t="n">
        <v>2.312170679</v>
      </c>
      <c r="F764" s="12" t="n">
        <v>5.387720655e-05</v>
      </c>
      <c r="G764" s="11" t="n">
        <v>278.0667244</v>
      </c>
      <c r="H764" s="13">
        <f>F764*1000</f>
        <v/>
      </c>
      <c r="I764" s="14">
        <f>G764-273.15</f>
        <v/>
      </c>
      <c r="K764" s="15" t="n">
        <v>2003</v>
      </c>
      <c r="L764" s="15" t="n">
        <v>2</v>
      </c>
      <c r="M764" s="15" t="n">
        <v>10</v>
      </c>
      <c r="N764" s="16" t="n">
        <v>0</v>
      </c>
      <c r="O764" s="11" t="n">
        <v>283.1376574</v>
      </c>
      <c r="P764" s="13">
        <f>N764*86400</f>
        <v/>
      </c>
      <c r="Q764" s="14">
        <f>O764-273.15</f>
        <v/>
      </c>
    </row>
    <row r="765">
      <c r="A765" s="9" t="n">
        <v>37652</v>
      </c>
      <c r="B765" s="7">
        <f>YEAR(A765)</f>
        <v/>
      </c>
      <c r="C765" s="7">
        <f>MONTH(A765)</f>
        <v/>
      </c>
      <c r="D765" s="10" t="n">
        <v>0</v>
      </c>
      <c r="E765" s="11" t="n">
        <v>3.681719124</v>
      </c>
      <c r="F765" s="12" t="n">
        <v>0</v>
      </c>
      <c r="G765" s="11" t="n">
        <v>278.9116919</v>
      </c>
      <c r="H765" s="13">
        <f>F765*1000</f>
        <v/>
      </c>
      <c r="I765" s="14">
        <f>G765-273.15</f>
        <v/>
      </c>
      <c r="K765" s="15" t="n">
        <v>2003</v>
      </c>
      <c r="L765" s="15" t="n">
        <v>2</v>
      </c>
      <c r="M765" s="15" t="n">
        <v>11</v>
      </c>
      <c r="N765" s="16" t="n">
        <v>0</v>
      </c>
      <c r="O765" s="11" t="n">
        <v>283.5361142</v>
      </c>
      <c r="P765" s="13">
        <f>N765*86400</f>
        <v/>
      </c>
      <c r="Q765" s="14">
        <f>O765-273.15</f>
        <v/>
      </c>
    </row>
    <row r="766">
      <c r="A766" s="9" t="n">
        <v>37653</v>
      </c>
      <c r="B766" s="7">
        <f>YEAR(A766)</f>
        <v/>
      </c>
      <c r="C766" s="7">
        <f>MONTH(A766)</f>
        <v/>
      </c>
      <c r="D766" s="10" t="n">
        <v>0.1755513293</v>
      </c>
      <c r="E766" s="11" t="n">
        <v>5.718067613</v>
      </c>
      <c r="F766" s="12" t="n">
        <v>0</v>
      </c>
      <c r="G766" s="11" t="n">
        <v>281.7584802</v>
      </c>
      <c r="H766" s="13">
        <f>F766*1000</f>
        <v/>
      </c>
      <c r="I766" s="14">
        <f>G766-273.15</f>
        <v/>
      </c>
      <c r="K766" s="15" t="n">
        <v>2003</v>
      </c>
      <c r="L766" s="15" t="n">
        <v>2</v>
      </c>
      <c r="M766" s="15" t="n">
        <v>12</v>
      </c>
      <c r="N766" s="16" t="n">
        <v>0</v>
      </c>
      <c r="O766" s="11" t="n">
        <v>282.1191039</v>
      </c>
      <c r="P766" s="13">
        <f>N766*86400</f>
        <v/>
      </c>
      <c r="Q766" s="14">
        <f>O766-273.15</f>
        <v/>
      </c>
    </row>
    <row r="767">
      <c r="A767" s="9" t="n">
        <v>37654</v>
      </c>
      <c r="B767" s="7">
        <f>YEAR(A767)</f>
        <v/>
      </c>
      <c r="C767" s="7">
        <f>MONTH(A767)</f>
        <v/>
      </c>
      <c r="D767" s="10" t="n">
        <v>0</v>
      </c>
      <c r="E767" s="11" t="n">
        <v>2.97033986</v>
      </c>
      <c r="F767" s="12" t="n">
        <v>1.593978407e-05</v>
      </c>
      <c r="G767" s="11" t="n">
        <v>279.6215217</v>
      </c>
      <c r="H767" s="13">
        <f>F767*1000</f>
        <v/>
      </c>
      <c r="I767" s="14">
        <f>G767-273.15</f>
        <v/>
      </c>
      <c r="K767" s="15" t="n">
        <v>2003</v>
      </c>
      <c r="L767" s="15" t="n">
        <v>2</v>
      </c>
      <c r="M767" s="15" t="n">
        <v>13</v>
      </c>
      <c r="N767" s="16" t="n">
        <v>0</v>
      </c>
      <c r="O767" s="11" t="n">
        <v>281.5899434</v>
      </c>
      <c r="P767" s="13">
        <f>N767*86400</f>
        <v/>
      </c>
      <c r="Q767" s="14">
        <f>O767-273.15</f>
        <v/>
      </c>
    </row>
    <row r="768">
      <c r="A768" s="9" t="n">
        <v>37655</v>
      </c>
      <c r="B768" s="7">
        <f>YEAR(A768)</f>
        <v/>
      </c>
      <c r="C768" s="7">
        <f>MONTH(A768)</f>
        <v/>
      </c>
      <c r="D768" s="10" t="n">
        <v>0</v>
      </c>
      <c r="E768" s="11" t="n">
        <v>6.696230303</v>
      </c>
      <c r="F768" s="12" t="n">
        <v>0.000685375566</v>
      </c>
      <c r="G768" s="11" t="n">
        <v>281.4594533</v>
      </c>
      <c r="H768" s="13">
        <f>F768*1000</f>
        <v/>
      </c>
      <c r="I768" s="14">
        <f>G768-273.15</f>
        <v/>
      </c>
      <c r="K768" s="15" t="n">
        <v>2003</v>
      </c>
      <c r="L768" s="15" t="n">
        <v>2</v>
      </c>
      <c r="M768" s="15" t="n">
        <v>14</v>
      </c>
      <c r="N768" s="16" t="n">
        <v>0</v>
      </c>
      <c r="O768" s="11" t="n">
        <v>285.298877</v>
      </c>
      <c r="P768" s="13">
        <f>N768*86400</f>
        <v/>
      </c>
      <c r="Q768" s="14">
        <f>O768-273.15</f>
        <v/>
      </c>
    </row>
    <row r="769">
      <c r="A769" s="9" t="n">
        <v>37656</v>
      </c>
      <c r="B769" s="7">
        <f>YEAR(A769)</f>
        <v/>
      </c>
      <c r="C769" s="7">
        <f>MONTH(A769)</f>
        <v/>
      </c>
      <c r="D769" s="10" t="n">
        <v>0</v>
      </c>
      <c r="E769" s="11" t="n">
        <v>4.456781034</v>
      </c>
      <c r="F769" s="12" t="n">
        <v>6.226244884e-06</v>
      </c>
      <c r="G769" s="11" t="n">
        <v>280.2076996</v>
      </c>
      <c r="H769" s="13">
        <f>F769*1000</f>
        <v/>
      </c>
      <c r="I769" s="14">
        <f>G769-273.15</f>
        <v/>
      </c>
      <c r="K769" s="15" t="n">
        <v>2003</v>
      </c>
      <c r="L769" s="15" t="n">
        <v>2</v>
      </c>
      <c r="M769" s="15" t="n">
        <v>15</v>
      </c>
      <c r="N769" s="16" t="n">
        <v>1.019766515e-06</v>
      </c>
      <c r="O769" s="11" t="n">
        <v>287.349002</v>
      </c>
      <c r="P769" s="13">
        <f>N769*86400</f>
        <v/>
      </c>
      <c r="Q769" s="14">
        <f>O769-273.15</f>
        <v/>
      </c>
    </row>
    <row r="770">
      <c r="A770" s="9" t="n">
        <v>37657</v>
      </c>
      <c r="B770" s="7">
        <f>YEAR(A770)</f>
        <v/>
      </c>
      <c r="C770" s="7">
        <f>MONTH(A770)</f>
        <v/>
      </c>
      <c r="D770" s="10" t="n">
        <v>0</v>
      </c>
      <c r="E770" s="11" t="n">
        <v>4.982059144</v>
      </c>
      <c r="F770" s="12" t="n">
        <v>4.857464023e-05</v>
      </c>
      <c r="G770" s="11" t="n">
        <v>280.1316411</v>
      </c>
      <c r="H770" s="13">
        <f>F770*1000</f>
        <v/>
      </c>
      <c r="I770" s="14">
        <f>G770-273.15</f>
        <v/>
      </c>
      <c r="K770" s="15" t="n">
        <v>2003</v>
      </c>
      <c r="L770" s="15" t="n">
        <v>2</v>
      </c>
      <c r="M770" s="15" t="n">
        <v>16</v>
      </c>
      <c r="N770" s="16" t="n">
        <v>1.227072973e-06</v>
      </c>
      <c r="O770" s="11" t="n">
        <v>287.507585</v>
      </c>
      <c r="P770" s="13">
        <f>N770*86400</f>
        <v/>
      </c>
      <c r="Q770" s="14">
        <f>O770-273.15</f>
        <v/>
      </c>
    </row>
    <row r="771">
      <c r="A771" s="9" t="n">
        <v>37658</v>
      </c>
      <c r="B771" s="7">
        <f>YEAR(A771)</f>
        <v/>
      </c>
      <c r="C771" s="7">
        <f>MONTH(A771)</f>
        <v/>
      </c>
      <c r="D771" s="10" t="n">
        <v>0</v>
      </c>
      <c r="E771" s="11" t="n">
        <v>5.755091034</v>
      </c>
      <c r="F771" s="12" t="n">
        <v>0</v>
      </c>
      <c r="G771" s="11" t="n">
        <v>280.68922</v>
      </c>
      <c r="H771" s="13">
        <f>F771*1000</f>
        <v/>
      </c>
      <c r="I771" s="14">
        <f>G771-273.15</f>
        <v/>
      </c>
      <c r="K771" s="15" t="n">
        <v>2003</v>
      </c>
      <c r="L771" s="15" t="n">
        <v>2</v>
      </c>
      <c r="M771" s="15" t="n">
        <v>17</v>
      </c>
      <c r="N771" s="16" t="n">
        <v>2.238369521e-06</v>
      </c>
      <c r="O771" s="11" t="n">
        <v>284.9256253</v>
      </c>
      <c r="P771" s="13">
        <f>N771*86400</f>
        <v/>
      </c>
      <c r="Q771" s="14">
        <f>O771-273.15</f>
        <v/>
      </c>
    </row>
    <row r="772">
      <c r="A772" s="9" t="n">
        <v>37659</v>
      </c>
      <c r="B772" s="7">
        <f>YEAR(A772)</f>
        <v/>
      </c>
      <c r="C772" s="7">
        <f>MONTH(A772)</f>
        <v/>
      </c>
      <c r="D772" s="10" t="n">
        <v>0</v>
      </c>
      <c r="E772" s="11" t="n">
        <v>4.863760961</v>
      </c>
      <c r="F772" s="12" t="n">
        <v>0</v>
      </c>
      <c r="G772" s="11" t="n">
        <v>278.9977833</v>
      </c>
      <c r="H772" s="13">
        <f>F772*1000</f>
        <v/>
      </c>
      <c r="I772" s="14">
        <f>G772-273.15</f>
        <v/>
      </c>
      <c r="K772" s="15" t="n">
        <v>2003</v>
      </c>
      <c r="L772" s="15" t="n">
        <v>2</v>
      </c>
      <c r="M772" s="15" t="n">
        <v>18</v>
      </c>
      <c r="N772" s="16" t="n">
        <v>9.031312755e-07</v>
      </c>
      <c r="O772" s="11" t="n">
        <v>283.0703539</v>
      </c>
      <c r="P772" s="13">
        <f>N772*86400</f>
        <v/>
      </c>
      <c r="Q772" s="14">
        <f>O772-273.15</f>
        <v/>
      </c>
    </row>
    <row r="773">
      <c r="A773" s="9" t="n">
        <v>37660</v>
      </c>
      <c r="B773" s="7">
        <f>YEAR(A773)</f>
        <v/>
      </c>
      <c r="C773" s="7">
        <f>MONTH(A773)</f>
        <v/>
      </c>
      <c r="D773" s="10" t="n">
        <v>0</v>
      </c>
      <c r="E773" s="11" t="n">
        <v>4.519186958</v>
      </c>
      <c r="F773" s="12" t="n">
        <v>0</v>
      </c>
      <c r="G773" s="11" t="n">
        <v>279.5837293</v>
      </c>
      <c r="H773" s="13">
        <f>F773*1000</f>
        <v/>
      </c>
      <c r="I773" s="14">
        <f>G773-273.15</f>
        <v/>
      </c>
      <c r="K773" s="15" t="n">
        <v>2003</v>
      </c>
      <c r="L773" s="15" t="n">
        <v>2</v>
      </c>
      <c r="M773" s="15" t="n">
        <v>19</v>
      </c>
      <c r="N773" s="16" t="n">
        <v>0</v>
      </c>
      <c r="O773" s="11" t="n">
        <v>282.6104663</v>
      </c>
      <c r="P773" s="13">
        <f>N773*86400</f>
        <v/>
      </c>
      <c r="Q773" s="14">
        <f>O773-273.15</f>
        <v/>
      </c>
    </row>
    <row r="774">
      <c r="A774" s="9" t="n">
        <v>37661</v>
      </c>
      <c r="B774" s="7">
        <f>YEAR(A774)</f>
        <v/>
      </c>
      <c r="C774" s="7">
        <f>MONTH(A774)</f>
        <v/>
      </c>
      <c r="D774" s="10" t="n">
        <v>0</v>
      </c>
      <c r="E774" s="11" t="n">
        <v>4.195508344</v>
      </c>
      <c r="F774" s="12" t="n">
        <v>0</v>
      </c>
      <c r="G774" s="11" t="n">
        <v>279.6583134</v>
      </c>
      <c r="H774" s="13">
        <f>F774*1000</f>
        <v/>
      </c>
      <c r="I774" s="14">
        <f>G774-273.15</f>
        <v/>
      </c>
      <c r="K774" s="15" t="n">
        <v>2003</v>
      </c>
      <c r="L774" s="15" t="n">
        <v>2</v>
      </c>
      <c r="M774" s="15" t="n">
        <v>20</v>
      </c>
      <c r="N774" s="16" t="n">
        <v>0</v>
      </c>
      <c r="O774" s="11" t="n">
        <v>281.4262895</v>
      </c>
      <c r="P774" s="13">
        <f>N774*86400</f>
        <v/>
      </c>
      <c r="Q774" s="14">
        <f>O774-273.15</f>
        <v/>
      </c>
    </row>
    <row r="775">
      <c r="A775" s="9" t="n">
        <v>37662</v>
      </c>
      <c r="B775" s="7">
        <f>YEAR(A775)</f>
        <v/>
      </c>
      <c r="C775" s="7">
        <f>MONTH(A775)</f>
        <v/>
      </c>
      <c r="D775" s="10" t="n">
        <v>0</v>
      </c>
      <c r="E775" s="11" t="n">
        <v>5.536285052</v>
      </c>
      <c r="F775" s="12" t="n">
        <v>0</v>
      </c>
      <c r="G775" s="11" t="n">
        <v>280.320262</v>
      </c>
      <c r="H775" s="13">
        <f>F775*1000</f>
        <v/>
      </c>
      <c r="I775" s="14">
        <f>G775-273.15</f>
        <v/>
      </c>
      <c r="K775" s="15" t="n">
        <v>2003</v>
      </c>
      <c r="L775" s="15" t="n">
        <v>2</v>
      </c>
      <c r="M775" s="15" t="n">
        <v>21</v>
      </c>
      <c r="N775" s="16" t="n">
        <v>0</v>
      </c>
      <c r="O775" s="11" t="n">
        <v>281.6923169</v>
      </c>
      <c r="P775" s="13">
        <f>N775*86400</f>
        <v/>
      </c>
      <c r="Q775" s="14">
        <f>O775-273.15</f>
        <v/>
      </c>
    </row>
    <row r="776">
      <c r="A776" s="9" t="n">
        <v>37663</v>
      </c>
      <c r="B776" s="7">
        <f>YEAR(A776)</f>
        <v/>
      </c>
      <c r="C776" s="7">
        <f>MONTH(A776)</f>
        <v/>
      </c>
      <c r="D776" s="10" t="n">
        <v>0</v>
      </c>
      <c r="E776" s="11" t="n">
        <v>7.838545469</v>
      </c>
      <c r="F776" s="12" t="n">
        <v>7.961128768e-05</v>
      </c>
      <c r="G776" s="11" t="n">
        <v>282.8588153</v>
      </c>
      <c r="H776" s="13">
        <f>F776*1000</f>
        <v/>
      </c>
      <c r="I776" s="14">
        <f>G776-273.15</f>
        <v/>
      </c>
      <c r="K776" s="15" t="n">
        <v>2003</v>
      </c>
      <c r="L776" s="15" t="n">
        <v>2</v>
      </c>
      <c r="M776" s="15" t="n">
        <v>22</v>
      </c>
      <c r="N776" s="16" t="n">
        <v>3.436173658e-07</v>
      </c>
      <c r="O776" s="11" t="n">
        <v>282.5533075</v>
      </c>
      <c r="P776" s="13">
        <f>N776*86400</f>
        <v/>
      </c>
      <c r="Q776" s="14">
        <f>O776-273.15</f>
        <v/>
      </c>
    </row>
    <row r="777">
      <c r="A777" s="9" t="n">
        <v>37664</v>
      </c>
      <c r="B777" s="7">
        <f>YEAR(A777)</f>
        <v/>
      </c>
      <c r="C777" s="7">
        <f>MONTH(A777)</f>
        <v/>
      </c>
      <c r="D777" s="10" t="n">
        <v>0</v>
      </c>
      <c r="E777" s="11" t="n">
        <v>6.246914538</v>
      </c>
      <c r="F777" s="12" t="n">
        <v>0</v>
      </c>
      <c r="G777" s="11" t="n">
        <v>281.2270621</v>
      </c>
      <c r="H777" s="13">
        <f>F777*1000</f>
        <v/>
      </c>
      <c r="I777" s="14">
        <f>G777-273.15</f>
        <v/>
      </c>
      <c r="K777" s="15" t="n">
        <v>2003</v>
      </c>
      <c r="L777" s="15" t="n">
        <v>2</v>
      </c>
      <c r="M777" s="15" t="n">
        <v>23</v>
      </c>
      <c r="N777" s="16" t="n">
        <v>4.738697154e-06</v>
      </c>
      <c r="O777" s="11" t="n">
        <v>284.3111234</v>
      </c>
      <c r="P777" s="13">
        <f>N777*86400</f>
        <v/>
      </c>
      <c r="Q777" s="14">
        <f>O777-273.15</f>
        <v/>
      </c>
    </row>
    <row r="778">
      <c r="A778" s="9" t="n">
        <v>37665</v>
      </c>
      <c r="B778" s="7">
        <f>YEAR(A778)</f>
        <v/>
      </c>
      <c r="C778" s="7">
        <f>MONTH(A778)</f>
        <v/>
      </c>
      <c r="D778" s="10" t="n">
        <v>0</v>
      </c>
      <c r="E778" s="11" t="n">
        <v>6.91693777</v>
      </c>
      <c r="F778" s="12" t="n">
        <v>0</v>
      </c>
      <c r="G778" s="11" t="n">
        <v>281.6541618</v>
      </c>
      <c r="H778" s="13">
        <f>F778*1000</f>
        <v/>
      </c>
      <c r="I778" s="14">
        <f>G778-273.15</f>
        <v/>
      </c>
      <c r="K778" s="15" t="n">
        <v>2003</v>
      </c>
      <c r="L778" s="15" t="n">
        <v>2</v>
      </c>
      <c r="M778" s="15" t="n">
        <v>24</v>
      </c>
      <c r="N778" s="16" t="n">
        <v>0</v>
      </c>
      <c r="O778" s="11" t="n">
        <v>284.1503122</v>
      </c>
      <c r="P778" s="13">
        <f>N778*86400</f>
        <v/>
      </c>
      <c r="Q778" s="14">
        <f>O778-273.15</f>
        <v/>
      </c>
    </row>
    <row r="779">
      <c r="A779" s="9" t="n">
        <v>37666</v>
      </c>
      <c r="B779" s="7">
        <f>YEAR(A779)</f>
        <v/>
      </c>
      <c r="C779" s="7">
        <f>MONTH(A779)</f>
        <v/>
      </c>
      <c r="D779" s="10" t="n">
        <v>0</v>
      </c>
      <c r="E779" s="11" t="n">
        <v>6.000884509</v>
      </c>
      <c r="F779" s="12" t="n">
        <v>0</v>
      </c>
      <c r="G779" s="11" t="n">
        <v>281.1907214</v>
      </c>
      <c r="H779" s="13">
        <f>F779*1000</f>
        <v/>
      </c>
      <c r="I779" s="14">
        <f>G779-273.15</f>
        <v/>
      </c>
      <c r="K779" s="15" t="n">
        <v>2003</v>
      </c>
      <c r="L779" s="15" t="n">
        <v>2</v>
      </c>
      <c r="M779" s="15" t="n">
        <v>25</v>
      </c>
      <c r="N779" s="16" t="n">
        <v>0</v>
      </c>
      <c r="O779" s="11" t="n">
        <v>282.4421118</v>
      </c>
      <c r="P779" s="13">
        <f>N779*86400</f>
        <v/>
      </c>
      <c r="Q779" s="14">
        <f>O779-273.15</f>
        <v/>
      </c>
    </row>
    <row r="780">
      <c r="A780" s="9" t="n">
        <v>37667</v>
      </c>
      <c r="B780" s="7">
        <f>YEAR(A780)</f>
        <v/>
      </c>
      <c r="C780" s="7">
        <f>MONTH(A780)</f>
        <v/>
      </c>
      <c r="D780" s="10" t="n">
        <v>0</v>
      </c>
      <c r="E780" s="11" t="n">
        <v>6.093971068</v>
      </c>
      <c r="F780" s="12" t="n">
        <v>0</v>
      </c>
      <c r="G780" s="11" t="n">
        <v>280.6838087</v>
      </c>
      <c r="H780" s="13">
        <f>F780*1000</f>
        <v/>
      </c>
      <c r="I780" s="14">
        <f>G780-273.15</f>
        <v/>
      </c>
      <c r="K780" s="15" t="n">
        <v>2003</v>
      </c>
      <c r="L780" s="15" t="n">
        <v>2</v>
      </c>
      <c r="M780" s="15" t="n">
        <v>26</v>
      </c>
      <c r="N780" s="16" t="n">
        <v>0</v>
      </c>
      <c r="O780" s="11" t="n">
        <v>282.7940279</v>
      </c>
      <c r="P780" s="13">
        <f>N780*86400</f>
        <v/>
      </c>
      <c r="Q780" s="14">
        <f>O780-273.15</f>
        <v/>
      </c>
    </row>
    <row r="781">
      <c r="A781" s="9" t="n">
        <v>37668</v>
      </c>
      <c r="B781" s="7">
        <f>YEAR(A781)</f>
        <v/>
      </c>
      <c r="C781" s="7">
        <f>MONTH(A781)</f>
        <v/>
      </c>
      <c r="D781" s="10" t="n">
        <v>0</v>
      </c>
      <c r="E781" s="11" t="n">
        <v>7.233857565</v>
      </c>
      <c r="F781" s="12" t="n">
        <v>0</v>
      </c>
      <c r="G781" s="11" t="n">
        <v>281.8844623</v>
      </c>
      <c r="H781" s="13">
        <f>F781*1000</f>
        <v/>
      </c>
      <c r="I781" s="14">
        <f>G781-273.15</f>
        <v/>
      </c>
      <c r="K781" s="15" t="n">
        <v>2003</v>
      </c>
      <c r="L781" s="15" t="n">
        <v>2</v>
      </c>
      <c r="M781" s="15" t="n">
        <v>27</v>
      </c>
      <c r="N781" s="16" t="n">
        <v>0</v>
      </c>
      <c r="O781" s="11" t="n">
        <v>281.0730186</v>
      </c>
      <c r="P781" s="13">
        <f>N781*86400</f>
        <v/>
      </c>
      <c r="Q781" s="14">
        <f>O781-273.15</f>
        <v/>
      </c>
    </row>
    <row r="782">
      <c r="A782" s="9" t="n">
        <v>37669</v>
      </c>
      <c r="B782" s="7">
        <f>YEAR(A782)</f>
        <v/>
      </c>
      <c r="C782" s="7">
        <f>MONTH(A782)</f>
        <v/>
      </c>
      <c r="D782" s="10" t="n">
        <v>0</v>
      </c>
      <c r="E782" s="11" t="n">
        <v>6.365907518</v>
      </c>
      <c r="F782" s="12" t="n">
        <v>0</v>
      </c>
      <c r="G782" s="11" t="n">
        <v>279.7525646</v>
      </c>
      <c r="H782" s="13">
        <f>F782*1000</f>
        <v/>
      </c>
      <c r="I782" s="14">
        <f>G782-273.15</f>
        <v/>
      </c>
      <c r="K782" s="15" t="n">
        <v>2003</v>
      </c>
      <c r="L782" s="15" t="n">
        <v>2</v>
      </c>
      <c r="M782" s="15" t="n">
        <v>28</v>
      </c>
      <c r="N782" s="16" t="n">
        <v>0</v>
      </c>
      <c r="O782" s="11" t="n">
        <v>280.6606489</v>
      </c>
      <c r="P782" s="13">
        <f>N782*86400</f>
        <v/>
      </c>
      <c r="Q782" s="14">
        <f>O782-273.15</f>
        <v/>
      </c>
    </row>
    <row r="783">
      <c r="A783" s="9" t="n">
        <v>37670</v>
      </c>
      <c r="B783" s="7">
        <f>YEAR(A783)</f>
        <v/>
      </c>
      <c r="C783" s="7">
        <f>MONTH(A783)</f>
        <v/>
      </c>
      <c r="D783" s="10" t="n">
        <v>0</v>
      </c>
      <c r="E783" s="11" t="n">
        <v>4.202166111</v>
      </c>
      <c r="F783" s="12" t="n">
        <v>0.0004249819752</v>
      </c>
      <c r="G783" s="11" t="n">
        <v>279.252248</v>
      </c>
      <c r="H783" s="13">
        <f>F783*1000</f>
        <v/>
      </c>
      <c r="I783" s="14">
        <f>G783-273.15</f>
        <v/>
      </c>
      <c r="K783" s="15" t="n">
        <v>2003</v>
      </c>
      <c r="L783" s="15" t="n">
        <v>2</v>
      </c>
      <c r="M783" s="15" t="n">
        <v>29</v>
      </c>
      <c r="N783" s="16" t="n">
        <v>0</v>
      </c>
      <c r="O783" s="11" t="n">
        <v>283.1701974</v>
      </c>
      <c r="P783" s="13">
        <f>N783*86400</f>
        <v/>
      </c>
      <c r="Q783" s="14">
        <f>O783-273.15</f>
        <v/>
      </c>
    </row>
    <row r="784">
      <c r="A784" s="9" t="n">
        <v>37671</v>
      </c>
      <c r="B784" s="7">
        <f>YEAR(A784)</f>
        <v/>
      </c>
      <c r="C784" s="7">
        <f>MONTH(A784)</f>
        <v/>
      </c>
      <c r="D784" s="10" t="n">
        <v>0</v>
      </c>
      <c r="E784" s="11" t="n">
        <v>7.697963479</v>
      </c>
      <c r="F784" s="12" t="n">
        <v>6.852020313999999e-05</v>
      </c>
      <c r="G784" s="11" t="n">
        <v>283.0646755</v>
      </c>
      <c r="H784" s="13">
        <f>F784*1000</f>
        <v/>
      </c>
      <c r="I784" s="14">
        <f>G784-273.15</f>
        <v/>
      </c>
      <c r="K784" s="15" t="n">
        <v>2003</v>
      </c>
      <c r="L784" s="15" t="n">
        <v>2</v>
      </c>
      <c r="M784" s="15" t="n">
        <v>30</v>
      </c>
      <c r="N784" s="16" t="n">
        <v>3.727709758e-06</v>
      </c>
      <c r="O784" s="11" t="n">
        <v>282.786416</v>
      </c>
      <c r="P784" s="13">
        <f>N784*86400</f>
        <v/>
      </c>
      <c r="Q784" s="14">
        <f>O784-273.15</f>
        <v/>
      </c>
    </row>
    <row r="785">
      <c r="A785" s="9" t="n">
        <v>37672</v>
      </c>
      <c r="B785" s="7">
        <f>YEAR(A785)</f>
        <v/>
      </c>
      <c r="C785" s="7">
        <f>MONTH(A785)</f>
        <v/>
      </c>
      <c r="D785" s="10" t="n">
        <v>0</v>
      </c>
      <c r="E785" s="11" t="n">
        <v>8.968034638000001</v>
      </c>
      <c r="F785" s="12" t="n">
        <v>0</v>
      </c>
      <c r="G785" s="11" t="n">
        <v>283.5805109</v>
      </c>
      <c r="H785" s="13">
        <f>F785*1000</f>
        <v/>
      </c>
      <c r="I785" s="14">
        <f>G785-273.15</f>
        <v/>
      </c>
      <c r="K785" s="15" t="n">
        <v>2003</v>
      </c>
      <c r="L785" s="15" t="n">
        <v>3</v>
      </c>
      <c r="M785" s="15" t="n">
        <v>1</v>
      </c>
      <c r="N785" s="16" t="n">
        <v>0</v>
      </c>
      <c r="O785" s="11" t="n">
        <v>283.286988</v>
      </c>
      <c r="P785" s="13">
        <f>N785*86400</f>
        <v/>
      </c>
      <c r="Q785" s="14">
        <f>O785-273.15</f>
        <v/>
      </c>
    </row>
    <row r="786">
      <c r="A786" s="9" t="n">
        <v>37673</v>
      </c>
      <c r="B786" s="7">
        <f>YEAR(A786)</f>
        <v/>
      </c>
      <c r="C786" s="7">
        <f>MONTH(A786)</f>
        <v/>
      </c>
      <c r="D786" s="10" t="n">
        <v>0</v>
      </c>
      <c r="E786" s="11" t="n">
        <v>10.60901156</v>
      </c>
      <c r="F786" s="12" t="n">
        <v>0</v>
      </c>
      <c r="G786" s="11" t="n">
        <v>286.1352235</v>
      </c>
      <c r="H786" s="13">
        <f>F786*1000</f>
        <v/>
      </c>
      <c r="I786" s="14">
        <f>G786-273.15</f>
        <v/>
      </c>
      <c r="K786" s="15" t="n">
        <v>2003</v>
      </c>
      <c r="L786" s="15" t="n">
        <v>3</v>
      </c>
      <c r="M786" s="15" t="n">
        <v>2</v>
      </c>
      <c r="N786" s="16" t="n">
        <v>1.584944894e-05</v>
      </c>
      <c r="O786" s="11" t="n">
        <v>282.8025761</v>
      </c>
      <c r="P786" s="13">
        <f>N786*86400</f>
        <v/>
      </c>
      <c r="Q786" s="14">
        <f>O786-273.15</f>
        <v/>
      </c>
    </row>
    <row r="787">
      <c r="A787" s="9" t="n">
        <v>37674</v>
      </c>
      <c r="B787" s="7">
        <f>YEAR(A787)</f>
        <v/>
      </c>
      <c r="C787" s="7">
        <f>MONTH(A787)</f>
        <v/>
      </c>
      <c r="D787" s="10" t="n">
        <v>2.889897506</v>
      </c>
      <c r="E787" s="11" t="n">
        <v>9.15998888</v>
      </c>
      <c r="F787" s="12" t="n">
        <v>0.001678407414</v>
      </c>
      <c r="G787" s="11" t="n">
        <v>283.5663766</v>
      </c>
      <c r="H787" s="13">
        <f>F787*1000</f>
        <v/>
      </c>
      <c r="I787" s="14">
        <f>G787-273.15</f>
        <v/>
      </c>
      <c r="K787" s="15" t="n">
        <v>2003</v>
      </c>
      <c r="L787" s="15" t="n">
        <v>3</v>
      </c>
      <c r="M787" s="15" t="n">
        <v>3</v>
      </c>
      <c r="N787" s="16" t="n">
        <v>1.068892694e-05</v>
      </c>
      <c r="O787" s="11" t="n">
        <v>281.7751383</v>
      </c>
      <c r="P787" s="13">
        <f>N787*86400</f>
        <v/>
      </c>
      <c r="Q787" s="14">
        <f>O787-273.15</f>
        <v/>
      </c>
    </row>
    <row r="788">
      <c r="A788" s="9" t="n">
        <v>37675</v>
      </c>
      <c r="B788" s="7">
        <f>YEAR(A788)</f>
        <v/>
      </c>
      <c r="C788" s="7">
        <f>MONTH(A788)</f>
        <v/>
      </c>
      <c r="D788" s="10" t="n">
        <v>1.203825765</v>
      </c>
      <c r="E788" s="11" t="n">
        <v>7.35037166</v>
      </c>
      <c r="F788" s="12" t="n">
        <v>0.003328749286</v>
      </c>
      <c r="G788" s="11" t="n">
        <v>281.7164698</v>
      </c>
      <c r="H788" s="13">
        <f>F788*1000</f>
        <v/>
      </c>
      <c r="I788" s="14">
        <f>G788-273.15</f>
        <v/>
      </c>
      <c r="K788" s="15" t="n">
        <v>2003</v>
      </c>
      <c r="L788" s="15" t="n">
        <v>3</v>
      </c>
      <c r="M788" s="15" t="n">
        <v>4</v>
      </c>
      <c r="N788" s="16" t="n">
        <v>5.944933551e-06</v>
      </c>
      <c r="O788" s="11" t="n">
        <v>283.8306931</v>
      </c>
      <c r="P788" s="13">
        <f>N788*86400</f>
        <v/>
      </c>
      <c r="Q788" s="14">
        <f>O788-273.15</f>
        <v/>
      </c>
    </row>
    <row r="789">
      <c r="A789" s="9" t="n">
        <v>37676</v>
      </c>
      <c r="B789" s="7">
        <f>YEAR(A789)</f>
        <v/>
      </c>
      <c r="C789" s="7">
        <f>MONTH(A789)</f>
        <v/>
      </c>
      <c r="D789" s="10" t="n">
        <v>0</v>
      </c>
      <c r="E789" s="11" t="n">
        <v>6.998492503</v>
      </c>
      <c r="F789" s="12" t="n">
        <v>0</v>
      </c>
      <c r="G789" s="11" t="n">
        <v>280.6967919</v>
      </c>
      <c r="H789" s="13">
        <f>F789*1000</f>
        <v/>
      </c>
      <c r="I789" s="14">
        <f>G789-273.15</f>
        <v/>
      </c>
      <c r="K789" s="15" t="n">
        <v>2003</v>
      </c>
      <c r="L789" s="15" t="n">
        <v>3</v>
      </c>
      <c r="M789" s="15" t="n">
        <v>5</v>
      </c>
      <c r="N789" s="16" t="n">
        <v>4.470666745e-06</v>
      </c>
      <c r="O789" s="11" t="n">
        <v>279.9534049</v>
      </c>
      <c r="P789" s="13">
        <f>N789*86400</f>
        <v/>
      </c>
      <c r="Q789" s="14">
        <f>O789-273.15</f>
        <v/>
      </c>
    </row>
    <row r="790">
      <c r="A790" s="9" t="n">
        <v>37677</v>
      </c>
      <c r="B790" s="7">
        <f>YEAR(A790)</f>
        <v/>
      </c>
      <c r="C790" s="7">
        <f>MONTH(A790)</f>
        <v/>
      </c>
      <c r="D790" s="10" t="n">
        <v>9.950599063</v>
      </c>
      <c r="E790" s="11" t="n">
        <v>6.437532387</v>
      </c>
      <c r="F790" s="12" t="n">
        <v>0.01119434591</v>
      </c>
      <c r="G790" s="11" t="n">
        <v>280.1835385</v>
      </c>
      <c r="H790" s="13">
        <f>F790*1000</f>
        <v/>
      </c>
      <c r="I790" s="14">
        <f>G790-273.15</f>
        <v/>
      </c>
      <c r="K790" s="15" t="n">
        <v>2003</v>
      </c>
      <c r="L790" s="15" t="n">
        <v>3</v>
      </c>
      <c r="M790" s="15" t="n">
        <v>6</v>
      </c>
      <c r="N790" s="16" t="n">
        <v>0</v>
      </c>
      <c r="O790" s="11" t="n">
        <v>281.1600435</v>
      </c>
      <c r="P790" s="13">
        <f>N790*86400</f>
        <v/>
      </c>
      <c r="Q790" s="14">
        <f>O790-273.15</f>
        <v/>
      </c>
    </row>
    <row r="791">
      <c r="A791" s="9" t="n">
        <v>37678</v>
      </c>
      <c r="B791" s="7">
        <f>YEAR(A791)</f>
        <v/>
      </c>
      <c r="C791" s="7">
        <f>MONTH(A791)</f>
        <v/>
      </c>
      <c r="D791" s="10" t="n">
        <v>0</v>
      </c>
      <c r="E791" s="11" t="n">
        <v>7.445172995</v>
      </c>
      <c r="F791" s="12" t="n">
        <v>0.0009741218825</v>
      </c>
      <c r="G791" s="11" t="n">
        <v>282.708367</v>
      </c>
      <c r="H791" s="13">
        <f>F791*1000</f>
        <v/>
      </c>
      <c r="I791" s="14">
        <f>G791-273.15</f>
        <v/>
      </c>
      <c r="K791" s="15" t="n">
        <v>2003</v>
      </c>
      <c r="L791" s="15" t="n">
        <v>3</v>
      </c>
      <c r="M791" s="15" t="n">
        <v>7</v>
      </c>
      <c r="N791" s="16" t="n">
        <v>0</v>
      </c>
      <c r="O791" s="11" t="n">
        <v>281.4211096</v>
      </c>
      <c r="P791" s="13">
        <f>N791*86400</f>
        <v/>
      </c>
      <c r="Q791" s="14">
        <f>O791-273.15</f>
        <v/>
      </c>
    </row>
    <row r="792">
      <c r="A792" s="9" t="n">
        <v>37679</v>
      </c>
      <c r="B792" s="7">
        <f>YEAR(A792)</f>
        <v/>
      </c>
      <c r="C792" s="7">
        <f>MONTH(A792)</f>
        <v/>
      </c>
      <c r="D792" s="10" t="n">
        <v>0</v>
      </c>
      <c r="E792" s="11" t="n">
        <v>9.868775414</v>
      </c>
      <c r="F792" s="12" t="n">
        <v>0</v>
      </c>
      <c r="G792" s="11" t="n">
        <v>285.7486858</v>
      </c>
      <c r="H792" s="13">
        <f>F792*1000</f>
        <v/>
      </c>
      <c r="I792" s="14">
        <f>G792-273.15</f>
        <v/>
      </c>
      <c r="K792" s="15" t="n">
        <v>2003</v>
      </c>
      <c r="L792" s="15" t="n">
        <v>3</v>
      </c>
      <c r="M792" s="15" t="n">
        <v>8</v>
      </c>
      <c r="N792" s="16" t="n">
        <v>6.494568275e-07</v>
      </c>
      <c r="O792" s="11" t="n">
        <v>283.5222069</v>
      </c>
      <c r="P792" s="13">
        <f>N792*86400</f>
        <v/>
      </c>
      <c r="Q792" s="14">
        <f>O792-273.15</f>
        <v/>
      </c>
    </row>
    <row r="793">
      <c r="A793" s="9" t="n">
        <v>37680</v>
      </c>
      <c r="B793" s="7">
        <f>YEAR(A793)</f>
        <v/>
      </c>
      <c r="C793" s="7">
        <f>MONTH(A793)</f>
        <v/>
      </c>
      <c r="D793" s="10" t="n">
        <v>0</v>
      </c>
      <c r="E793" s="11" t="n">
        <v>8.394234871</v>
      </c>
      <c r="F793" s="12" t="n">
        <v>0.002959994518</v>
      </c>
      <c r="G793" s="11" t="n">
        <v>283.0938666</v>
      </c>
      <c r="H793" s="13">
        <f>F793*1000</f>
        <v/>
      </c>
      <c r="I793" s="14">
        <f>G793-273.15</f>
        <v/>
      </c>
      <c r="K793" s="15" t="n">
        <v>2003</v>
      </c>
      <c r="L793" s="15" t="n">
        <v>3</v>
      </c>
      <c r="M793" s="15" t="n">
        <v>9</v>
      </c>
      <c r="N793" s="16" t="n">
        <v>1.188387797e-06</v>
      </c>
      <c r="O793" s="11" t="n">
        <v>285.135229</v>
      </c>
      <c r="P793" s="13">
        <f>N793*86400</f>
        <v/>
      </c>
      <c r="Q793" s="14">
        <f>O793-273.15</f>
        <v/>
      </c>
    </row>
    <row r="794">
      <c r="A794" s="9" t="n">
        <v>37681</v>
      </c>
      <c r="B794" s="7">
        <f>YEAR(A794)</f>
        <v/>
      </c>
      <c r="C794" s="7">
        <f>MONTH(A794)</f>
        <v/>
      </c>
      <c r="D794" s="10" t="n">
        <v>0</v>
      </c>
      <c r="E794" s="11" t="n">
        <v>8.645772529</v>
      </c>
      <c r="F794" s="12" t="n">
        <v>0.002340875322</v>
      </c>
      <c r="G794" s="11" t="n">
        <v>284.180915</v>
      </c>
      <c r="H794" s="13">
        <f>F794*1000</f>
        <v/>
      </c>
      <c r="I794" s="14">
        <f>G794-273.15</f>
        <v/>
      </c>
      <c r="K794" s="15" t="n">
        <v>2003</v>
      </c>
      <c r="L794" s="15" t="n">
        <v>3</v>
      </c>
      <c r="M794" s="15" t="n">
        <v>10</v>
      </c>
      <c r="N794" s="16" t="n">
        <v>7.768562718e-06</v>
      </c>
      <c r="O794" s="11" t="n">
        <v>287.6471792</v>
      </c>
      <c r="P794" s="13">
        <f>N794*86400</f>
        <v/>
      </c>
      <c r="Q794" s="14">
        <f>O794-273.15</f>
        <v/>
      </c>
    </row>
    <row r="795">
      <c r="A795" s="9" t="n">
        <v>37682</v>
      </c>
      <c r="B795" s="7">
        <f>YEAR(A795)</f>
        <v/>
      </c>
      <c r="C795" s="7">
        <f>MONTH(A795)</f>
        <v/>
      </c>
      <c r="D795" s="10" t="n">
        <v>0</v>
      </c>
      <c r="E795" s="11" t="n">
        <v>9.192886682999999</v>
      </c>
      <c r="F795" s="12" t="n">
        <v>9.622117389e-05</v>
      </c>
      <c r="G795" s="11" t="n">
        <v>283.8034944</v>
      </c>
      <c r="H795" s="13">
        <f>F795*1000</f>
        <v/>
      </c>
      <c r="I795" s="14">
        <f>G795-273.15</f>
        <v/>
      </c>
      <c r="K795" s="15" t="n">
        <v>2003</v>
      </c>
      <c r="L795" s="15" t="n">
        <v>3</v>
      </c>
      <c r="M795" s="15" t="n">
        <v>11</v>
      </c>
      <c r="N795" s="16" t="n">
        <v>1.691378836e-07</v>
      </c>
      <c r="O795" s="11" t="n">
        <v>287.3817399</v>
      </c>
      <c r="P795" s="13">
        <f>N795*86400</f>
        <v/>
      </c>
      <c r="Q795" s="14">
        <f>O795-273.15</f>
        <v/>
      </c>
    </row>
    <row r="796">
      <c r="A796" s="9" t="n">
        <v>37683</v>
      </c>
      <c r="B796" s="7">
        <f>YEAR(A796)</f>
        <v/>
      </c>
      <c r="C796" s="7">
        <f>MONTH(A796)</f>
        <v/>
      </c>
      <c r="D796" s="10" t="n">
        <v>0</v>
      </c>
      <c r="E796" s="11" t="n">
        <v>8.617753455000001</v>
      </c>
      <c r="F796" s="12" t="n">
        <v>0</v>
      </c>
      <c r="G796" s="11" t="n">
        <v>282.815643</v>
      </c>
      <c r="H796" s="13">
        <f>F796*1000</f>
        <v/>
      </c>
      <c r="I796" s="14">
        <f>G796-273.15</f>
        <v/>
      </c>
      <c r="K796" s="15" t="n">
        <v>2003</v>
      </c>
      <c r="L796" s="15" t="n">
        <v>3</v>
      </c>
      <c r="M796" s="15" t="n">
        <v>12</v>
      </c>
      <c r="N796" s="16" t="n">
        <v>9.964522253e-08</v>
      </c>
      <c r="O796" s="11" t="n">
        <v>285.9491067</v>
      </c>
      <c r="P796" s="13">
        <f>N796*86400</f>
        <v/>
      </c>
      <c r="Q796" s="14">
        <f>O796-273.15</f>
        <v/>
      </c>
    </row>
    <row r="797">
      <c r="A797" s="9" t="n">
        <v>37684</v>
      </c>
      <c r="B797" s="7">
        <f>YEAR(A797)</f>
        <v/>
      </c>
      <c r="C797" s="7">
        <f>MONTH(A797)</f>
        <v/>
      </c>
      <c r="D797" s="10" t="n">
        <v>0</v>
      </c>
      <c r="E797" s="11" t="n">
        <v>10.09798248</v>
      </c>
      <c r="F797" s="12" t="n">
        <v>0</v>
      </c>
      <c r="G797" s="11" t="n">
        <v>284.8004706</v>
      </c>
      <c r="H797" s="13">
        <f>F797*1000</f>
        <v/>
      </c>
      <c r="I797" s="14">
        <f>G797-273.15</f>
        <v/>
      </c>
      <c r="K797" s="15" t="n">
        <v>2003</v>
      </c>
      <c r="L797" s="15" t="n">
        <v>3</v>
      </c>
      <c r="M797" s="15" t="n">
        <v>13</v>
      </c>
      <c r="N797" s="16" t="n">
        <v>1.620755263e-06</v>
      </c>
      <c r="O797" s="11" t="n">
        <v>285.0515369</v>
      </c>
      <c r="P797" s="13">
        <f>N797*86400</f>
        <v/>
      </c>
      <c r="Q797" s="14">
        <f>O797-273.15</f>
        <v/>
      </c>
    </row>
    <row r="798">
      <c r="A798" s="9" t="n">
        <v>37685</v>
      </c>
      <c r="B798" s="7">
        <f>YEAR(A798)</f>
        <v/>
      </c>
      <c r="C798" s="7">
        <f>MONTH(A798)</f>
        <v/>
      </c>
      <c r="D798" s="10" t="n">
        <v>0</v>
      </c>
      <c r="E798" s="11" t="n">
        <v>9.785797422</v>
      </c>
      <c r="F798" s="12" t="n">
        <v>0</v>
      </c>
      <c r="G798" s="11" t="n">
        <v>285.5067731</v>
      </c>
      <c r="H798" s="13">
        <f>F798*1000</f>
        <v/>
      </c>
      <c r="I798" s="14">
        <f>G798-273.15</f>
        <v/>
      </c>
      <c r="K798" s="15" t="n">
        <v>2003</v>
      </c>
      <c r="L798" s="15" t="n">
        <v>3</v>
      </c>
      <c r="M798" s="15" t="n">
        <v>14</v>
      </c>
      <c r="N798" s="16" t="n">
        <v>8.246938708e-06</v>
      </c>
      <c r="O798" s="11" t="n">
        <v>284.0122245</v>
      </c>
      <c r="P798" s="13">
        <f>N798*86400</f>
        <v/>
      </c>
      <c r="Q798" s="14">
        <f>O798-273.15</f>
        <v/>
      </c>
    </row>
    <row r="799">
      <c r="A799" s="9" t="n">
        <v>37686</v>
      </c>
      <c r="B799" s="7">
        <f>YEAR(A799)</f>
        <v/>
      </c>
      <c r="C799" s="7">
        <f>MONTH(A799)</f>
        <v/>
      </c>
      <c r="D799" s="10" t="n">
        <v>0</v>
      </c>
      <c r="E799" s="11" t="n">
        <v>8.774644291</v>
      </c>
      <c r="F799" s="12" t="n">
        <v>0</v>
      </c>
      <c r="G799" s="11" t="n">
        <v>284.8344731</v>
      </c>
      <c r="H799" s="13">
        <f>F799*1000</f>
        <v/>
      </c>
      <c r="I799" s="14">
        <f>G799-273.15</f>
        <v/>
      </c>
      <c r="K799" s="15" t="n">
        <v>2003</v>
      </c>
      <c r="L799" s="15" t="n">
        <v>3</v>
      </c>
      <c r="M799" s="15" t="n">
        <v>15</v>
      </c>
      <c r="N799" s="16" t="n">
        <v>3.842399365e-05</v>
      </c>
      <c r="O799" s="11" t="n">
        <v>283.7200674</v>
      </c>
      <c r="P799" s="13">
        <f>N799*86400</f>
        <v/>
      </c>
      <c r="Q799" s="14">
        <f>O799-273.15</f>
        <v/>
      </c>
    </row>
    <row r="800">
      <c r="A800" s="9" t="n">
        <v>37687</v>
      </c>
      <c r="B800" s="7">
        <f>YEAR(A800)</f>
        <v/>
      </c>
      <c r="C800" s="7">
        <f>MONTH(A800)</f>
        <v/>
      </c>
      <c r="D800" s="10" t="n">
        <v>0</v>
      </c>
      <c r="E800" s="11" t="n">
        <v>7.292897663</v>
      </c>
      <c r="F800" s="12" t="n">
        <v>0</v>
      </c>
      <c r="G800" s="11" t="n">
        <v>281.6832747</v>
      </c>
      <c r="H800" s="13">
        <f>F800*1000</f>
        <v/>
      </c>
      <c r="I800" s="14">
        <f>G800-273.15</f>
        <v/>
      </c>
      <c r="K800" s="15" t="n">
        <v>2003</v>
      </c>
      <c r="L800" s="15" t="n">
        <v>3</v>
      </c>
      <c r="M800" s="15" t="n">
        <v>16</v>
      </c>
      <c r="N800" s="16" t="n">
        <v>3.254425491e-05</v>
      </c>
      <c r="O800" s="11" t="n">
        <v>284.8421161</v>
      </c>
      <c r="P800" s="13">
        <f>N800*86400</f>
        <v/>
      </c>
      <c r="Q800" s="14">
        <f>O800-273.15</f>
        <v/>
      </c>
    </row>
    <row r="801">
      <c r="A801" s="9" t="n">
        <v>37688</v>
      </c>
      <c r="B801" s="7">
        <f>YEAR(A801)</f>
        <v/>
      </c>
      <c r="C801" s="7">
        <f>MONTH(A801)</f>
        <v/>
      </c>
      <c r="D801" s="10" t="n">
        <v>0</v>
      </c>
      <c r="E801" s="11" t="n">
        <v>7.225514071</v>
      </c>
      <c r="F801" s="12" t="n">
        <v>0</v>
      </c>
      <c r="G801" s="11" t="n">
        <v>282.2005559</v>
      </c>
      <c r="H801" s="13">
        <f>F801*1000</f>
        <v/>
      </c>
      <c r="I801" s="14">
        <f>G801-273.15</f>
        <v/>
      </c>
      <c r="K801" s="15" t="n">
        <v>2003</v>
      </c>
      <c r="L801" s="15" t="n">
        <v>3</v>
      </c>
      <c r="M801" s="15" t="n">
        <v>17</v>
      </c>
      <c r="N801" s="16" t="n">
        <v>0</v>
      </c>
      <c r="O801" s="11" t="n">
        <v>285.5701354</v>
      </c>
      <c r="P801" s="13">
        <f>N801*86400</f>
        <v/>
      </c>
      <c r="Q801" s="14">
        <f>O801-273.15</f>
        <v/>
      </c>
    </row>
    <row r="802">
      <c r="A802" s="9" t="n">
        <v>37689</v>
      </c>
      <c r="B802" s="7">
        <f>YEAR(A802)</f>
        <v/>
      </c>
      <c r="C802" s="7">
        <f>MONTH(A802)</f>
        <v/>
      </c>
      <c r="D802" s="10" t="n">
        <v>0</v>
      </c>
      <c r="E802" s="11" t="n">
        <v>8.144439896</v>
      </c>
      <c r="F802" s="12" t="n">
        <v>0.0009425961912</v>
      </c>
      <c r="G802" s="11" t="n">
        <v>282.3733178</v>
      </c>
      <c r="H802" s="13">
        <f>F802*1000</f>
        <v/>
      </c>
      <c r="I802" s="14">
        <f>G802-273.15</f>
        <v/>
      </c>
      <c r="K802" s="15" t="n">
        <v>2003</v>
      </c>
      <c r="L802" s="15" t="n">
        <v>3</v>
      </c>
      <c r="M802" s="15" t="n">
        <v>18</v>
      </c>
      <c r="N802" s="16" t="n">
        <v>0</v>
      </c>
      <c r="O802" s="11" t="n">
        <v>285.6975224</v>
      </c>
      <c r="P802" s="13">
        <f>N802*86400</f>
        <v/>
      </c>
      <c r="Q802" s="14">
        <f>O802-273.15</f>
        <v/>
      </c>
    </row>
    <row r="803">
      <c r="A803" s="9" t="n">
        <v>37690</v>
      </c>
      <c r="B803" s="7">
        <f>YEAR(A803)</f>
        <v/>
      </c>
      <c r="C803" s="7">
        <f>MONTH(A803)</f>
        <v/>
      </c>
      <c r="D803" s="10" t="n">
        <v>0</v>
      </c>
      <c r="E803" s="11" t="n">
        <v>6.64209466</v>
      </c>
      <c r="F803" s="12" t="n">
        <v>0.006683857649</v>
      </c>
      <c r="G803" s="11" t="n">
        <v>280.9606327</v>
      </c>
      <c r="H803" s="13">
        <f>F803*1000</f>
        <v/>
      </c>
      <c r="I803" s="14">
        <f>G803-273.15</f>
        <v/>
      </c>
      <c r="K803" s="15" t="n">
        <v>2003</v>
      </c>
      <c r="L803" s="15" t="n">
        <v>3</v>
      </c>
      <c r="M803" s="15" t="n">
        <v>19</v>
      </c>
      <c r="N803" s="16" t="n">
        <v>0</v>
      </c>
      <c r="O803" s="11" t="n">
        <v>288.1091914</v>
      </c>
      <c r="P803" s="13">
        <f>N803*86400</f>
        <v/>
      </c>
      <c r="Q803" s="14">
        <f>O803-273.15</f>
        <v/>
      </c>
    </row>
    <row r="804">
      <c r="A804" s="9" t="n">
        <v>37691</v>
      </c>
      <c r="B804" s="7">
        <f>YEAR(A804)</f>
        <v/>
      </c>
      <c r="C804" s="7">
        <f>MONTH(A804)</f>
        <v/>
      </c>
      <c r="D804" s="10" t="n">
        <v>0</v>
      </c>
      <c r="E804" s="11" t="n">
        <v>9.327636985</v>
      </c>
      <c r="F804" s="12" t="n">
        <v>0</v>
      </c>
      <c r="G804" s="11" t="n">
        <v>283.4667385</v>
      </c>
      <c r="H804" s="13">
        <f>F804*1000</f>
        <v/>
      </c>
      <c r="I804" s="14">
        <f>G804-273.15</f>
        <v/>
      </c>
      <c r="K804" s="15" t="n">
        <v>2003</v>
      </c>
      <c r="L804" s="15" t="n">
        <v>3</v>
      </c>
      <c r="M804" s="15" t="n">
        <v>20</v>
      </c>
      <c r="N804" s="16" t="n">
        <v>0</v>
      </c>
      <c r="O804" s="11" t="n">
        <v>286.8947516</v>
      </c>
      <c r="P804" s="13">
        <f>N804*86400</f>
        <v/>
      </c>
      <c r="Q804" s="14">
        <f>O804-273.15</f>
        <v/>
      </c>
    </row>
    <row r="805">
      <c r="A805" s="9" t="n">
        <v>37692</v>
      </c>
      <c r="B805" s="7">
        <f>YEAR(A805)</f>
        <v/>
      </c>
      <c r="C805" s="7">
        <f>MONTH(A805)</f>
        <v/>
      </c>
      <c r="D805" s="10" t="n">
        <v>0</v>
      </c>
      <c r="E805" s="11" t="n">
        <v>11.10337982</v>
      </c>
      <c r="F805" s="12" t="n">
        <v>8.063656274e-05</v>
      </c>
      <c r="G805" s="11" t="n">
        <v>286.1484197</v>
      </c>
      <c r="H805" s="13">
        <f>F805*1000</f>
        <v/>
      </c>
      <c r="I805" s="14">
        <f>G805-273.15</f>
        <v/>
      </c>
      <c r="K805" s="15" t="n">
        <v>2003</v>
      </c>
      <c r="L805" s="15" t="n">
        <v>3</v>
      </c>
      <c r="M805" s="15" t="n">
        <v>21</v>
      </c>
      <c r="N805" s="16" t="n">
        <v>1.404880791e-07</v>
      </c>
      <c r="O805" s="11" t="n">
        <v>286.6096509</v>
      </c>
      <c r="P805" s="13">
        <f>N805*86400</f>
        <v/>
      </c>
      <c r="Q805" s="14">
        <f>O805-273.15</f>
        <v/>
      </c>
    </row>
    <row r="806">
      <c r="A806" s="9" t="n">
        <v>37693</v>
      </c>
      <c r="B806" s="7">
        <f>YEAR(A806)</f>
        <v/>
      </c>
      <c r="C806" s="7">
        <f>MONTH(A806)</f>
        <v/>
      </c>
      <c r="D806" s="10" t="n">
        <v>0</v>
      </c>
      <c r="E806" s="11" t="n">
        <v>9.275558985</v>
      </c>
      <c r="F806" s="12" t="n">
        <v>0</v>
      </c>
      <c r="G806" s="11" t="n">
        <v>284.7050615</v>
      </c>
      <c r="H806" s="13">
        <f>F806*1000</f>
        <v/>
      </c>
      <c r="I806" s="14">
        <f>G806-273.15</f>
        <v/>
      </c>
      <c r="K806" s="15" t="n">
        <v>2003</v>
      </c>
      <c r="L806" s="15" t="n">
        <v>3</v>
      </c>
      <c r="M806" s="15" t="n">
        <v>22</v>
      </c>
      <c r="N806" s="16" t="n">
        <v>6.666965487e-06</v>
      </c>
      <c r="O806" s="11" t="n">
        <v>286.796446</v>
      </c>
      <c r="P806" s="13">
        <f>N806*86400</f>
        <v/>
      </c>
      <c r="Q806" s="14">
        <f>O806-273.15</f>
        <v/>
      </c>
    </row>
    <row r="807">
      <c r="A807" s="9" t="n">
        <v>37694</v>
      </c>
      <c r="B807" s="7">
        <f>YEAR(A807)</f>
        <v/>
      </c>
      <c r="C807" s="7">
        <f>MONTH(A807)</f>
        <v/>
      </c>
      <c r="D807" s="10" t="n">
        <v>0</v>
      </c>
      <c r="E807" s="11" t="n">
        <v>7.063220742</v>
      </c>
      <c r="F807" s="12" t="n">
        <v>0</v>
      </c>
      <c r="G807" s="11" t="n">
        <v>282.5279953</v>
      </c>
      <c r="H807" s="13">
        <f>F807*1000</f>
        <v/>
      </c>
      <c r="I807" s="14">
        <f>G807-273.15</f>
        <v/>
      </c>
      <c r="K807" s="15" t="n">
        <v>2003</v>
      </c>
      <c r="L807" s="15" t="n">
        <v>3</v>
      </c>
      <c r="M807" s="15" t="n">
        <v>23</v>
      </c>
      <c r="N807" s="16" t="n">
        <v>0</v>
      </c>
      <c r="O807" s="11" t="n">
        <v>287.6401967</v>
      </c>
      <c r="P807" s="13">
        <f>N807*86400</f>
        <v/>
      </c>
      <c r="Q807" s="14">
        <f>O807-273.15</f>
        <v/>
      </c>
    </row>
    <row r="808">
      <c r="A808" s="9" t="n">
        <v>37695</v>
      </c>
      <c r="B808" s="7">
        <f>YEAR(A808)</f>
        <v/>
      </c>
      <c r="C808" s="7">
        <f>MONTH(A808)</f>
        <v/>
      </c>
      <c r="D808" s="10" t="n">
        <v>0.2845876741</v>
      </c>
      <c r="E808" s="11" t="n">
        <v>9.437110363</v>
      </c>
      <c r="F808" s="12" t="n">
        <v>0.002262568415</v>
      </c>
      <c r="G808" s="11" t="n">
        <v>285.044288</v>
      </c>
      <c r="H808" s="13">
        <f>F808*1000</f>
        <v/>
      </c>
      <c r="I808" s="14">
        <f>G808-273.15</f>
        <v/>
      </c>
      <c r="K808" s="15" t="n">
        <v>2003</v>
      </c>
      <c r="L808" s="15" t="n">
        <v>3</v>
      </c>
      <c r="M808" s="15" t="n">
        <v>24</v>
      </c>
      <c r="N808" s="16" t="n">
        <v>0</v>
      </c>
      <c r="O808" s="11" t="n">
        <v>288.4314137</v>
      </c>
      <c r="P808" s="13">
        <f>N808*86400</f>
        <v/>
      </c>
      <c r="Q808" s="14">
        <f>O808-273.15</f>
        <v/>
      </c>
    </row>
    <row r="809">
      <c r="A809" s="9" t="n">
        <v>37696</v>
      </c>
      <c r="B809" s="7">
        <f>YEAR(A809)</f>
        <v/>
      </c>
      <c r="C809" s="7">
        <f>MONTH(A809)</f>
        <v/>
      </c>
      <c r="D809" s="10" t="n">
        <v>0.8898428532</v>
      </c>
      <c r="E809" s="11" t="n">
        <v>9.043149358000001</v>
      </c>
      <c r="F809" s="12" t="n">
        <v>0.002406485236</v>
      </c>
      <c r="G809" s="11" t="n">
        <v>285.1920066</v>
      </c>
      <c r="H809" s="13">
        <f>F809*1000</f>
        <v/>
      </c>
      <c r="I809" s="14">
        <f>G809-273.15</f>
        <v/>
      </c>
      <c r="K809" s="15" t="n">
        <v>2003</v>
      </c>
      <c r="L809" s="15" t="n">
        <v>3</v>
      </c>
      <c r="M809" s="15" t="n">
        <v>25</v>
      </c>
      <c r="N809" s="16" t="n">
        <v>2.131269869e-06</v>
      </c>
      <c r="O809" s="11" t="n">
        <v>289.5234185</v>
      </c>
      <c r="P809" s="13">
        <f>N809*86400</f>
        <v/>
      </c>
      <c r="Q809" s="14">
        <f>O809-273.15</f>
        <v/>
      </c>
    </row>
    <row r="810">
      <c r="A810" s="9" t="n">
        <v>37697</v>
      </c>
      <c r="B810" s="7">
        <f>YEAR(A810)</f>
        <v/>
      </c>
      <c r="C810" s="7">
        <f>MONTH(A810)</f>
        <v/>
      </c>
      <c r="D810" s="10" t="n">
        <v>0</v>
      </c>
      <c r="E810" s="11" t="n">
        <v>11.30330853</v>
      </c>
      <c r="F810" s="12" t="n">
        <v>7.811223175e-05</v>
      </c>
      <c r="G810" s="11" t="n">
        <v>287.3045797</v>
      </c>
      <c r="H810" s="13">
        <f>F810*1000</f>
        <v/>
      </c>
      <c r="I810" s="14">
        <f>G810-273.15</f>
        <v/>
      </c>
      <c r="K810" s="15" t="n">
        <v>2003</v>
      </c>
      <c r="L810" s="15" t="n">
        <v>3</v>
      </c>
      <c r="M810" s="15" t="n">
        <v>26</v>
      </c>
      <c r="N810" s="16" t="n">
        <v>0</v>
      </c>
      <c r="O810" s="11" t="n">
        <v>289.2227469</v>
      </c>
      <c r="P810" s="13">
        <f>N810*86400</f>
        <v/>
      </c>
      <c r="Q810" s="14">
        <f>O810-273.15</f>
        <v/>
      </c>
    </row>
    <row r="811">
      <c r="A811" s="9" t="n">
        <v>37698</v>
      </c>
      <c r="B811" s="7">
        <f>YEAR(A811)</f>
        <v/>
      </c>
      <c r="C811" s="7">
        <f>MONTH(A811)</f>
        <v/>
      </c>
      <c r="D811" s="10" t="n">
        <v>0</v>
      </c>
      <c r="E811" s="11" t="n">
        <v>10.13555757</v>
      </c>
      <c r="F811" s="12" t="n">
        <v>0</v>
      </c>
      <c r="G811" s="11" t="n">
        <v>285.1670018</v>
      </c>
      <c r="H811" s="13">
        <f>F811*1000</f>
        <v/>
      </c>
      <c r="I811" s="14">
        <f>G811-273.15</f>
        <v/>
      </c>
      <c r="K811" s="15" t="n">
        <v>2003</v>
      </c>
      <c r="L811" s="15" t="n">
        <v>3</v>
      </c>
      <c r="M811" s="15" t="n">
        <v>27</v>
      </c>
      <c r="N811" s="16" t="n">
        <v>0</v>
      </c>
      <c r="O811" s="11" t="n">
        <v>286.8514184</v>
      </c>
      <c r="P811" s="13">
        <f>N811*86400</f>
        <v/>
      </c>
      <c r="Q811" s="14">
        <f>O811-273.15</f>
        <v/>
      </c>
    </row>
    <row r="812">
      <c r="A812" s="9" t="n">
        <v>37699</v>
      </c>
      <c r="B812" s="7">
        <f>YEAR(A812)</f>
        <v/>
      </c>
      <c r="C812" s="7">
        <f>MONTH(A812)</f>
        <v/>
      </c>
      <c r="D812" s="10" t="n">
        <v>0</v>
      </c>
      <c r="E812" s="11" t="n">
        <v>9.695884679000001</v>
      </c>
      <c r="F812" s="12" t="n">
        <v>0</v>
      </c>
      <c r="G812" s="11" t="n">
        <v>284.7045745</v>
      </c>
      <c r="H812" s="13">
        <f>F812*1000</f>
        <v/>
      </c>
      <c r="I812" s="14">
        <f>G812-273.15</f>
        <v/>
      </c>
      <c r="K812" s="15" t="n">
        <v>2003</v>
      </c>
      <c r="L812" s="15" t="n">
        <v>3</v>
      </c>
      <c r="M812" s="15" t="n">
        <v>28</v>
      </c>
      <c r="N812" s="16" t="n">
        <v>2.529003322e-05</v>
      </c>
      <c r="O812" s="11" t="n">
        <v>288.1897845</v>
      </c>
      <c r="P812" s="13">
        <f>N812*86400</f>
        <v/>
      </c>
      <c r="Q812" s="14">
        <f>O812-273.15</f>
        <v/>
      </c>
    </row>
    <row r="813">
      <c r="A813" s="9" t="n">
        <v>37700</v>
      </c>
      <c r="B813" s="7">
        <f>YEAR(A813)</f>
        <v/>
      </c>
      <c r="C813" s="7">
        <f>MONTH(A813)</f>
        <v/>
      </c>
      <c r="D813" s="10" t="n">
        <v>0</v>
      </c>
      <c r="E813" s="11" t="n">
        <v>10.35893672</v>
      </c>
      <c r="F813" s="12" t="n">
        <v>0</v>
      </c>
      <c r="G813" s="11" t="n">
        <v>285.8600488</v>
      </c>
      <c r="H813" s="13">
        <f>F813*1000</f>
        <v/>
      </c>
      <c r="I813" s="14">
        <f>G813-273.15</f>
        <v/>
      </c>
      <c r="K813" s="15" t="n">
        <v>2003</v>
      </c>
      <c r="L813" s="15" t="n">
        <v>3</v>
      </c>
      <c r="M813" s="15" t="n">
        <v>29</v>
      </c>
      <c r="N813" s="16" t="n">
        <v>6.256794401e-06</v>
      </c>
      <c r="O813" s="11" t="n">
        <v>288.54398</v>
      </c>
      <c r="P813" s="13">
        <f>N813*86400</f>
        <v/>
      </c>
      <c r="Q813" s="14">
        <f>O813-273.15</f>
        <v/>
      </c>
    </row>
    <row r="814">
      <c r="A814" s="9" t="n">
        <v>37701</v>
      </c>
      <c r="B814" s="7">
        <f>YEAR(A814)</f>
        <v/>
      </c>
      <c r="C814" s="7">
        <f>MONTH(A814)</f>
        <v/>
      </c>
      <c r="D814" s="10" t="n">
        <v>0</v>
      </c>
      <c r="E814" s="11" t="n">
        <v>7.023633148</v>
      </c>
      <c r="F814" s="12" t="n">
        <v>0</v>
      </c>
      <c r="G814" s="11" t="n">
        <v>282.4141913</v>
      </c>
      <c r="H814" s="13">
        <f>F814*1000</f>
        <v/>
      </c>
      <c r="I814" s="14">
        <f>G814-273.15</f>
        <v/>
      </c>
      <c r="K814" s="15" t="n">
        <v>2003</v>
      </c>
      <c r="L814" s="15" t="n">
        <v>3</v>
      </c>
      <c r="M814" s="15" t="n">
        <v>30</v>
      </c>
      <c r="N814" s="16" t="n">
        <v>1.323868762e-06</v>
      </c>
      <c r="O814" s="11" t="n">
        <v>287.0261643</v>
      </c>
      <c r="P814" s="13">
        <f>N814*86400</f>
        <v/>
      </c>
      <c r="Q814" s="14">
        <f>O814-273.15</f>
        <v/>
      </c>
    </row>
    <row r="815">
      <c r="A815" s="9" t="n">
        <v>37702</v>
      </c>
      <c r="B815" s="7">
        <f>YEAR(A815)</f>
        <v/>
      </c>
      <c r="C815" s="7">
        <f>MONTH(A815)</f>
        <v/>
      </c>
      <c r="D815" s="10" t="n">
        <v>0</v>
      </c>
      <c r="E815" s="11" t="n">
        <v>10.38717562</v>
      </c>
      <c r="F815" s="12" t="n">
        <v>0</v>
      </c>
      <c r="G815" s="11" t="n">
        <v>284.2093448</v>
      </c>
      <c r="H815" s="13">
        <f>F815*1000</f>
        <v/>
      </c>
      <c r="I815" s="14">
        <f>G815-273.15</f>
        <v/>
      </c>
      <c r="K815" s="15" t="n">
        <v>2003</v>
      </c>
      <c r="L815" s="15" t="n">
        <v>4</v>
      </c>
      <c r="M815" s="15" t="n">
        <v>1</v>
      </c>
      <c r="N815" s="16" t="n">
        <v>0</v>
      </c>
      <c r="O815" s="11" t="n">
        <v>287.4676001</v>
      </c>
      <c r="P815" s="13">
        <f>N815*86400</f>
        <v/>
      </c>
      <c r="Q815" s="14">
        <f>O815-273.15</f>
        <v/>
      </c>
    </row>
    <row r="816">
      <c r="A816" s="9" t="n">
        <v>37703</v>
      </c>
      <c r="B816" s="7">
        <f>YEAR(A816)</f>
        <v/>
      </c>
      <c r="C816" s="7">
        <f>MONTH(A816)</f>
        <v/>
      </c>
      <c r="D816" s="10" t="n">
        <v>0</v>
      </c>
      <c r="E816" s="11" t="n">
        <v>13.10115007</v>
      </c>
      <c r="F816" s="12" t="n">
        <v>0.0006478758525</v>
      </c>
      <c r="G816" s="11" t="n">
        <v>287.0169741</v>
      </c>
      <c r="H816" s="13">
        <f>F816*1000</f>
        <v/>
      </c>
      <c r="I816" s="14">
        <f>G816-273.15</f>
        <v/>
      </c>
      <c r="K816" s="15" t="n">
        <v>2003</v>
      </c>
      <c r="L816" s="15" t="n">
        <v>4</v>
      </c>
      <c r="M816" s="15" t="n">
        <v>2</v>
      </c>
      <c r="N816" s="16" t="n">
        <v>1.016465367e-06</v>
      </c>
      <c r="O816" s="11" t="n">
        <v>291.3130709</v>
      </c>
      <c r="P816" s="13">
        <f>N816*86400</f>
        <v/>
      </c>
      <c r="Q816" s="14">
        <f>O816-273.15</f>
        <v/>
      </c>
    </row>
    <row r="817">
      <c r="A817" s="9" t="n">
        <v>37704</v>
      </c>
      <c r="B817" s="7">
        <f>YEAR(A817)</f>
        <v/>
      </c>
      <c r="C817" s="7">
        <f>MONTH(A817)</f>
        <v/>
      </c>
      <c r="D817" s="10" t="n">
        <v>0</v>
      </c>
      <c r="E817" s="11" t="n">
        <v>15.48068498</v>
      </c>
      <c r="F817" s="12" t="n">
        <v>0.004151602293</v>
      </c>
      <c r="G817" s="11" t="n">
        <v>288.6171934</v>
      </c>
      <c r="H817" s="13">
        <f>F817*1000</f>
        <v/>
      </c>
      <c r="I817" s="14">
        <f>G817-273.15</f>
        <v/>
      </c>
      <c r="K817" s="15" t="n">
        <v>2003</v>
      </c>
      <c r="L817" s="15" t="n">
        <v>4</v>
      </c>
      <c r="M817" s="15" t="n">
        <v>3</v>
      </c>
      <c r="N817" s="16" t="n">
        <v>0</v>
      </c>
      <c r="O817" s="11" t="n">
        <v>291.8873581</v>
      </c>
      <c r="P817" s="13">
        <f>N817*86400</f>
        <v/>
      </c>
      <c r="Q817" s="14">
        <f>O817-273.15</f>
        <v/>
      </c>
    </row>
    <row r="818">
      <c r="A818" s="9" t="n">
        <v>37705</v>
      </c>
      <c r="B818" s="7">
        <f>YEAR(A818)</f>
        <v/>
      </c>
      <c r="C818" s="7">
        <f>MONTH(A818)</f>
        <v/>
      </c>
      <c r="D818" s="10" t="n">
        <v>0</v>
      </c>
      <c r="E818" s="11" t="n">
        <v>13.28225622</v>
      </c>
      <c r="F818" s="12" t="n">
        <v>0.0006279328646</v>
      </c>
      <c r="G818" s="11" t="n">
        <v>286.8810292</v>
      </c>
      <c r="H818" s="13">
        <f>F818*1000</f>
        <v/>
      </c>
      <c r="I818" s="14">
        <f>G818-273.15</f>
        <v/>
      </c>
      <c r="K818" s="15" t="n">
        <v>2003</v>
      </c>
      <c r="L818" s="15" t="n">
        <v>4</v>
      </c>
      <c r="M818" s="15" t="n">
        <v>4</v>
      </c>
      <c r="N818" s="16" t="n">
        <v>9.653460173000001e-07</v>
      </c>
      <c r="O818" s="11" t="n">
        <v>287.7222369</v>
      </c>
      <c r="P818" s="13">
        <f>N818*86400</f>
        <v/>
      </c>
      <c r="Q818" s="14">
        <f>O818-273.15</f>
        <v/>
      </c>
    </row>
    <row r="819">
      <c r="A819" s="9" t="n">
        <v>37706</v>
      </c>
      <c r="B819" s="7">
        <f>YEAR(A819)</f>
        <v/>
      </c>
      <c r="C819" s="7">
        <f>MONTH(A819)</f>
        <v/>
      </c>
      <c r="D819" s="10" t="n">
        <v>0</v>
      </c>
      <c r="E819" s="11" t="n">
        <v>13.16279941</v>
      </c>
      <c r="F819" s="12" t="n">
        <v>0</v>
      </c>
      <c r="G819" s="11" t="n">
        <v>287.4850872</v>
      </c>
      <c r="H819" s="13">
        <f>F819*1000</f>
        <v/>
      </c>
      <c r="I819" s="14">
        <f>G819-273.15</f>
        <v/>
      </c>
      <c r="K819" s="15" t="n">
        <v>2003</v>
      </c>
      <c r="L819" s="15" t="n">
        <v>4</v>
      </c>
      <c r="M819" s="15" t="n">
        <v>5</v>
      </c>
      <c r="N819" s="16" t="n">
        <v>1.992494713e-06</v>
      </c>
      <c r="O819" s="11" t="n">
        <v>289.20502</v>
      </c>
      <c r="P819" s="13">
        <f>N819*86400</f>
        <v/>
      </c>
      <c r="Q819" s="14">
        <f>O819-273.15</f>
        <v/>
      </c>
    </row>
    <row r="820">
      <c r="A820" s="9" t="n">
        <v>37707</v>
      </c>
      <c r="B820" s="7">
        <f>YEAR(A820)</f>
        <v/>
      </c>
      <c r="C820" s="7">
        <f>MONTH(A820)</f>
        <v/>
      </c>
      <c r="D820" s="10" t="n">
        <v>0</v>
      </c>
      <c r="E820" s="11" t="n">
        <v>12.92494693</v>
      </c>
      <c r="F820" s="12" t="n">
        <v>1.175870153e-05</v>
      </c>
      <c r="G820" s="11" t="n">
        <v>286.929887</v>
      </c>
      <c r="H820" s="13">
        <f>F820*1000</f>
        <v/>
      </c>
      <c r="I820" s="14">
        <f>G820-273.15</f>
        <v/>
      </c>
      <c r="K820" s="15" t="n">
        <v>2003</v>
      </c>
      <c r="L820" s="15" t="n">
        <v>4</v>
      </c>
      <c r="M820" s="15" t="n">
        <v>6</v>
      </c>
      <c r="N820" s="16" t="n">
        <v>0</v>
      </c>
      <c r="O820" s="11" t="n">
        <v>288.6553465</v>
      </c>
      <c r="P820" s="13">
        <f>N820*86400</f>
        <v/>
      </c>
      <c r="Q820" s="14">
        <f>O820-273.15</f>
        <v/>
      </c>
    </row>
    <row r="821">
      <c r="A821" s="9" t="n">
        <v>37708</v>
      </c>
      <c r="B821" s="7">
        <f>YEAR(A821)</f>
        <v/>
      </c>
      <c r="C821" s="7">
        <f>MONTH(A821)</f>
        <v/>
      </c>
      <c r="D821" s="10" t="n">
        <v>0</v>
      </c>
      <c r="E821" s="11" t="n">
        <v>10.78709841</v>
      </c>
      <c r="F821" s="12" t="n">
        <v>0</v>
      </c>
      <c r="G821" s="11" t="n">
        <v>285.8212854</v>
      </c>
      <c r="H821" s="13">
        <f>F821*1000</f>
        <v/>
      </c>
      <c r="I821" s="14">
        <f>G821-273.15</f>
        <v/>
      </c>
      <c r="K821" s="15" t="n">
        <v>2003</v>
      </c>
      <c r="L821" s="15" t="n">
        <v>4</v>
      </c>
      <c r="M821" s="15" t="n">
        <v>7</v>
      </c>
      <c r="N821" s="16" t="n">
        <v>0</v>
      </c>
      <c r="O821" s="11" t="n">
        <v>287.6539614</v>
      </c>
      <c r="P821" s="13">
        <f>N821*86400</f>
        <v/>
      </c>
      <c r="Q821" s="14">
        <f>O821-273.15</f>
        <v/>
      </c>
    </row>
    <row r="822">
      <c r="A822" s="9" t="n">
        <v>37709</v>
      </c>
      <c r="B822" s="7">
        <f>YEAR(A822)</f>
        <v/>
      </c>
      <c r="C822" s="7">
        <f>MONTH(A822)</f>
        <v/>
      </c>
      <c r="D822" s="10" t="n">
        <v>0</v>
      </c>
      <c r="E822" s="11" t="n">
        <v>12.73473932</v>
      </c>
      <c r="F822" s="12" t="n">
        <v>0.002040861037</v>
      </c>
      <c r="G822" s="11" t="n">
        <v>287.1986682</v>
      </c>
      <c r="H822" s="13">
        <f>F822*1000</f>
        <v/>
      </c>
      <c r="I822" s="14">
        <f>G822-273.15</f>
        <v/>
      </c>
      <c r="K822" s="15" t="n">
        <v>2003</v>
      </c>
      <c r="L822" s="15" t="n">
        <v>4</v>
      </c>
      <c r="M822" s="15" t="n">
        <v>8</v>
      </c>
      <c r="N822" s="16" t="n">
        <v>6.784117627e-07</v>
      </c>
      <c r="O822" s="11" t="n">
        <v>287.827133</v>
      </c>
      <c r="P822" s="13">
        <f>N822*86400</f>
        <v/>
      </c>
      <c r="Q822" s="14">
        <f>O822-273.15</f>
        <v/>
      </c>
    </row>
    <row r="823">
      <c r="A823" s="9" t="n">
        <v>37710</v>
      </c>
      <c r="B823" s="7">
        <f>YEAR(A823)</f>
        <v/>
      </c>
      <c r="C823" s="7">
        <f>MONTH(A823)</f>
        <v/>
      </c>
      <c r="D823" s="10" t="n">
        <v>9.699802063</v>
      </c>
      <c r="E823" s="11" t="n">
        <v>12.04336513</v>
      </c>
      <c r="F823" s="12" t="n">
        <v>0.00618965469</v>
      </c>
      <c r="G823" s="11" t="n">
        <v>286.7538587</v>
      </c>
      <c r="H823" s="13">
        <f>F823*1000</f>
        <v/>
      </c>
      <c r="I823" s="14">
        <f>G823-273.15</f>
        <v/>
      </c>
      <c r="K823" s="15" t="n">
        <v>2003</v>
      </c>
      <c r="L823" s="15" t="n">
        <v>4</v>
      </c>
      <c r="M823" s="15" t="n">
        <v>9</v>
      </c>
      <c r="N823" s="16" t="n">
        <v>1.846484566e-05</v>
      </c>
      <c r="O823" s="11" t="n">
        <v>287.2951179</v>
      </c>
      <c r="P823" s="13">
        <f>N823*86400</f>
        <v/>
      </c>
      <c r="Q823" s="14">
        <f>O823-273.15</f>
        <v/>
      </c>
    </row>
    <row r="824">
      <c r="A824" s="9" t="n">
        <v>37711</v>
      </c>
      <c r="B824" s="7">
        <f>YEAR(A824)</f>
        <v/>
      </c>
      <c r="C824" s="7">
        <f>MONTH(A824)</f>
        <v/>
      </c>
      <c r="D824" s="10" t="n">
        <v>0</v>
      </c>
      <c r="E824" s="11" t="n">
        <v>10.62486961</v>
      </c>
      <c r="F824" s="12" t="n">
        <v>0.004385616669</v>
      </c>
      <c r="G824" s="11" t="n">
        <v>285.7977792</v>
      </c>
      <c r="H824" s="13">
        <f>F824*1000</f>
        <v/>
      </c>
      <c r="I824" s="14">
        <f>G824-273.15</f>
        <v/>
      </c>
      <c r="K824" s="15" t="n">
        <v>2003</v>
      </c>
      <c r="L824" s="15" t="n">
        <v>4</v>
      </c>
      <c r="M824" s="15" t="n">
        <v>10</v>
      </c>
      <c r="N824" s="16" t="n">
        <v>0</v>
      </c>
      <c r="O824" s="11" t="n">
        <v>285.8679624</v>
      </c>
      <c r="P824" s="13">
        <f>N824*86400</f>
        <v/>
      </c>
      <c r="Q824" s="14">
        <f>O824-273.15</f>
        <v/>
      </c>
    </row>
    <row r="825">
      <c r="A825" s="9" t="n">
        <v>37712</v>
      </c>
      <c r="B825" s="7">
        <f>YEAR(A825)</f>
        <v/>
      </c>
      <c r="C825" s="7">
        <f>MONTH(A825)</f>
        <v/>
      </c>
      <c r="D825" s="10" t="n">
        <v>0</v>
      </c>
      <c r="E825" s="11" t="n">
        <v>10.70380033</v>
      </c>
      <c r="F825" s="12" t="n">
        <v>0</v>
      </c>
      <c r="G825" s="11" t="n">
        <v>285.4238887</v>
      </c>
      <c r="H825" s="13">
        <f>F825*1000</f>
        <v/>
      </c>
      <c r="I825" s="14">
        <f>G825-273.15</f>
        <v/>
      </c>
      <c r="K825" s="15" t="n">
        <v>2003</v>
      </c>
      <c r="L825" s="15" t="n">
        <v>4</v>
      </c>
      <c r="M825" s="15" t="n">
        <v>11</v>
      </c>
      <c r="N825" s="16" t="n">
        <v>2.399809908e-05</v>
      </c>
      <c r="O825" s="11" t="n">
        <v>288.1902036</v>
      </c>
      <c r="P825" s="13">
        <f>N825*86400</f>
        <v/>
      </c>
      <c r="Q825" s="14">
        <f>O825-273.15</f>
        <v/>
      </c>
    </row>
    <row r="826">
      <c r="A826" s="9" t="n">
        <v>37713</v>
      </c>
      <c r="B826" s="7">
        <f>YEAR(A826)</f>
        <v/>
      </c>
      <c r="C826" s="7">
        <f>MONTH(A826)</f>
        <v/>
      </c>
      <c r="D826" s="10" t="n">
        <v>0.8901514465</v>
      </c>
      <c r="E826" s="11" t="n">
        <v>13.39963803</v>
      </c>
      <c r="F826" s="12" t="n">
        <v>0.00173864181</v>
      </c>
      <c r="G826" s="11" t="n">
        <v>288.3626998</v>
      </c>
      <c r="H826" s="13">
        <f>F826*1000</f>
        <v/>
      </c>
      <c r="I826" s="14">
        <f>G826-273.15</f>
        <v/>
      </c>
      <c r="K826" s="15" t="n">
        <v>2003</v>
      </c>
      <c r="L826" s="15" t="n">
        <v>4</v>
      </c>
      <c r="M826" s="15" t="n">
        <v>12</v>
      </c>
      <c r="N826" s="16" t="n">
        <v>2.366719687e-07</v>
      </c>
      <c r="O826" s="11" t="n">
        <v>288.1500707</v>
      </c>
      <c r="P826" s="13">
        <f>N826*86400</f>
        <v/>
      </c>
      <c r="Q826" s="14">
        <f>O826-273.15</f>
        <v/>
      </c>
    </row>
    <row r="827">
      <c r="A827" s="9" t="n">
        <v>37714</v>
      </c>
      <c r="B827" s="7">
        <f>YEAR(A827)</f>
        <v/>
      </c>
      <c r="C827" s="7">
        <f>MONTH(A827)</f>
        <v/>
      </c>
      <c r="D827" s="10" t="n">
        <v>0</v>
      </c>
      <c r="E827" s="11" t="n">
        <v>10.19414842</v>
      </c>
      <c r="F827" s="12" t="n">
        <v>0</v>
      </c>
      <c r="G827" s="11" t="n">
        <v>285.1838236</v>
      </c>
      <c r="H827" s="13">
        <f>F827*1000</f>
        <v/>
      </c>
      <c r="I827" s="14">
        <f>G827-273.15</f>
        <v/>
      </c>
      <c r="K827" s="15" t="n">
        <v>2003</v>
      </c>
      <c r="L827" s="15" t="n">
        <v>4</v>
      </c>
      <c r="M827" s="15" t="n">
        <v>13</v>
      </c>
      <c r="N827" s="16" t="n">
        <v>1.93140646e-06</v>
      </c>
      <c r="O827" s="11" t="n">
        <v>289.9269314</v>
      </c>
      <c r="P827" s="13">
        <f>N827*86400</f>
        <v/>
      </c>
      <c r="Q827" s="14">
        <f>O827-273.15</f>
        <v/>
      </c>
    </row>
    <row r="828">
      <c r="A828" s="9" t="n">
        <v>37715</v>
      </c>
      <c r="B828" s="7">
        <f>YEAR(A828)</f>
        <v/>
      </c>
      <c r="C828" s="7">
        <f>MONTH(A828)</f>
        <v/>
      </c>
      <c r="D828" s="10" t="n">
        <v>0</v>
      </c>
      <c r="E828" s="11" t="n">
        <v>9.536116460000001</v>
      </c>
      <c r="F828" s="12" t="n">
        <v>0</v>
      </c>
      <c r="G828" s="11" t="n">
        <v>284.3764904</v>
      </c>
      <c r="H828" s="13">
        <f>F828*1000</f>
        <v/>
      </c>
      <c r="I828" s="14">
        <f>G828-273.15</f>
        <v/>
      </c>
      <c r="K828" s="15" t="n">
        <v>2003</v>
      </c>
      <c r="L828" s="15" t="n">
        <v>4</v>
      </c>
      <c r="M828" s="15" t="n">
        <v>14</v>
      </c>
      <c r="N828" s="16" t="n">
        <v>2.355046215e-06</v>
      </c>
      <c r="O828" s="11" t="n">
        <v>288.3845343</v>
      </c>
      <c r="P828" s="13">
        <f>N828*86400</f>
        <v/>
      </c>
      <c r="Q828" s="14">
        <f>O828-273.15</f>
        <v/>
      </c>
    </row>
    <row r="829">
      <c r="A829" s="9" t="n">
        <v>37716</v>
      </c>
      <c r="B829" s="7">
        <f>YEAR(A829)</f>
        <v/>
      </c>
      <c r="C829" s="7">
        <f>MONTH(A829)</f>
        <v/>
      </c>
      <c r="D829" s="10" t="n">
        <v>0</v>
      </c>
      <c r="E829" s="11" t="n">
        <v>11.47704356</v>
      </c>
      <c r="F829" s="12" t="n">
        <v>0</v>
      </c>
      <c r="G829" s="11" t="n">
        <v>286.450949</v>
      </c>
      <c r="H829" s="13">
        <f>F829*1000</f>
        <v/>
      </c>
      <c r="I829" s="14">
        <f>G829-273.15</f>
        <v/>
      </c>
      <c r="K829" s="15" t="n">
        <v>2003</v>
      </c>
      <c r="L829" s="15" t="n">
        <v>4</v>
      </c>
      <c r="M829" s="15" t="n">
        <v>15</v>
      </c>
      <c r="N829" s="16" t="n">
        <v>7.088437522e-06</v>
      </c>
      <c r="O829" s="11" t="n">
        <v>286.5811797</v>
      </c>
      <c r="P829" s="13">
        <f>N829*86400</f>
        <v/>
      </c>
      <c r="Q829" s="14">
        <f>O829-273.15</f>
        <v/>
      </c>
    </row>
    <row r="830">
      <c r="A830" s="9" t="n">
        <v>37717</v>
      </c>
      <c r="B830" s="7">
        <f>YEAR(A830)</f>
        <v/>
      </c>
      <c r="C830" s="7">
        <f>MONTH(A830)</f>
        <v/>
      </c>
      <c r="D830" s="10" t="n">
        <v>0</v>
      </c>
      <c r="E830" s="11" t="n">
        <v>12.82033905</v>
      </c>
      <c r="F830" s="12" t="n">
        <v>0</v>
      </c>
      <c r="G830" s="11" t="n">
        <v>287.7014482</v>
      </c>
      <c r="H830" s="13">
        <f>F830*1000</f>
        <v/>
      </c>
      <c r="I830" s="14">
        <f>G830-273.15</f>
        <v/>
      </c>
      <c r="K830" s="15" t="n">
        <v>2003</v>
      </c>
      <c r="L830" s="15" t="n">
        <v>4</v>
      </c>
      <c r="M830" s="15" t="n">
        <v>16</v>
      </c>
      <c r="N830" s="16" t="n">
        <v>4.447982866e-05</v>
      </c>
      <c r="O830" s="11" t="n">
        <v>284.9210452</v>
      </c>
      <c r="P830" s="13">
        <f>N830*86400</f>
        <v/>
      </c>
      <c r="Q830" s="14">
        <f>O830-273.15</f>
        <v/>
      </c>
    </row>
    <row r="831">
      <c r="A831" s="9" t="n">
        <v>37718</v>
      </c>
      <c r="B831" s="7">
        <f>YEAR(A831)</f>
        <v/>
      </c>
      <c r="C831" s="7">
        <f>MONTH(A831)</f>
        <v/>
      </c>
      <c r="D831" s="10" t="n">
        <v>0</v>
      </c>
      <c r="E831" s="11" t="n">
        <v>12.33200367</v>
      </c>
      <c r="F831" s="12" t="n">
        <v>0</v>
      </c>
      <c r="G831" s="11" t="n">
        <v>287.1087658</v>
      </c>
      <c r="H831" s="13">
        <f>F831*1000</f>
        <v/>
      </c>
      <c r="I831" s="14">
        <f>G831-273.15</f>
        <v/>
      </c>
      <c r="K831" s="15" t="n">
        <v>2003</v>
      </c>
      <c r="L831" s="15" t="n">
        <v>4</v>
      </c>
      <c r="M831" s="15" t="n">
        <v>17</v>
      </c>
      <c r="N831" s="16" t="n">
        <v>0</v>
      </c>
      <c r="O831" s="11" t="n">
        <v>285.9487514</v>
      </c>
      <c r="P831" s="13">
        <f>N831*86400</f>
        <v/>
      </c>
      <c r="Q831" s="14">
        <f>O831-273.15</f>
        <v/>
      </c>
    </row>
    <row r="832">
      <c r="A832" s="9" t="n">
        <v>37719</v>
      </c>
      <c r="B832" s="7">
        <f>YEAR(A832)</f>
        <v/>
      </c>
      <c r="C832" s="7">
        <f>MONTH(A832)</f>
        <v/>
      </c>
      <c r="D832" s="10" t="n">
        <v>0</v>
      </c>
      <c r="E832" s="11" t="n">
        <v>9.217885157</v>
      </c>
      <c r="F832" s="12" t="n">
        <v>0</v>
      </c>
      <c r="G832" s="11" t="n">
        <v>285.2996627</v>
      </c>
      <c r="H832" s="13">
        <f>F832*1000</f>
        <v/>
      </c>
      <c r="I832" s="14">
        <f>G832-273.15</f>
        <v/>
      </c>
      <c r="K832" s="15" t="n">
        <v>2003</v>
      </c>
      <c r="L832" s="15" t="n">
        <v>4</v>
      </c>
      <c r="M832" s="15" t="n">
        <v>18</v>
      </c>
      <c r="N832" s="16" t="n">
        <v>0</v>
      </c>
      <c r="O832" s="11" t="n">
        <v>285.4018343</v>
      </c>
      <c r="P832" s="13">
        <f>N832*86400</f>
        <v/>
      </c>
      <c r="Q832" s="14">
        <f>O832-273.15</f>
        <v/>
      </c>
    </row>
    <row r="833">
      <c r="A833" s="9" t="n">
        <v>37720</v>
      </c>
      <c r="B833" s="7">
        <f>YEAR(A833)</f>
        <v/>
      </c>
      <c r="C833" s="7">
        <f>MONTH(A833)</f>
        <v/>
      </c>
      <c r="D833" s="10" t="n">
        <v>0</v>
      </c>
      <c r="E833" s="11" t="n">
        <v>9.533395003000001</v>
      </c>
      <c r="F833" s="12" t="n">
        <v>0</v>
      </c>
      <c r="G833" s="11" t="n">
        <v>286.5831167</v>
      </c>
      <c r="H833" s="13">
        <f>F833*1000</f>
        <v/>
      </c>
      <c r="I833" s="14">
        <f>G833-273.15</f>
        <v/>
      </c>
      <c r="K833" s="15" t="n">
        <v>2003</v>
      </c>
      <c r="L833" s="15" t="n">
        <v>4</v>
      </c>
      <c r="M833" s="15" t="n">
        <v>19</v>
      </c>
      <c r="N833" s="16" t="n">
        <v>0</v>
      </c>
      <c r="O833" s="11" t="n">
        <v>286.4852124</v>
      </c>
      <c r="P833" s="13">
        <f>N833*86400</f>
        <v/>
      </c>
      <c r="Q833" s="14">
        <f>O833-273.15</f>
        <v/>
      </c>
    </row>
    <row r="834">
      <c r="A834" s="9" t="n">
        <v>37721</v>
      </c>
      <c r="B834" s="7">
        <f>YEAR(A834)</f>
        <v/>
      </c>
      <c r="C834" s="7">
        <f>MONTH(A834)</f>
        <v/>
      </c>
      <c r="D834" s="10" t="n">
        <v>0</v>
      </c>
      <c r="E834" s="11" t="n">
        <v>9.006520373000001</v>
      </c>
      <c r="F834" s="12" t="n">
        <v>0</v>
      </c>
      <c r="G834" s="11" t="n">
        <v>286.0058157</v>
      </c>
      <c r="H834" s="13">
        <f>F834*1000</f>
        <v/>
      </c>
      <c r="I834" s="14">
        <f>G834-273.15</f>
        <v/>
      </c>
      <c r="K834" s="15" t="n">
        <v>2003</v>
      </c>
      <c r="L834" s="15" t="n">
        <v>4</v>
      </c>
      <c r="M834" s="15" t="n">
        <v>20</v>
      </c>
      <c r="N834" s="16" t="n">
        <v>2.343730365e-06</v>
      </c>
      <c r="O834" s="11" t="n">
        <v>287.6594944</v>
      </c>
      <c r="P834" s="13">
        <f>N834*86400</f>
        <v/>
      </c>
      <c r="Q834" s="14">
        <f>O834-273.15</f>
        <v/>
      </c>
    </row>
    <row r="835">
      <c r="A835" s="9" t="n">
        <v>37722</v>
      </c>
      <c r="B835" s="7">
        <f>YEAR(A835)</f>
        <v/>
      </c>
      <c r="C835" s="7">
        <f>MONTH(A835)</f>
        <v/>
      </c>
      <c r="D835" s="10" t="n">
        <v>0</v>
      </c>
      <c r="E835" s="11" t="n">
        <v>10.32889019</v>
      </c>
      <c r="F835" s="12" t="n">
        <v>0</v>
      </c>
      <c r="G835" s="11" t="n">
        <v>287.1156945</v>
      </c>
      <c r="H835" s="13">
        <f>F835*1000</f>
        <v/>
      </c>
      <c r="I835" s="14">
        <f>G835-273.15</f>
        <v/>
      </c>
      <c r="K835" s="15" t="n">
        <v>2003</v>
      </c>
      <c r="L835" s="15" t="n">
        <v>4</v>
      </c>
      <c r="M835" s="15" t="n">
        <v>21</v>
      </c>
      <c r="N835" s="16" t="n">
        <v>7.593520409e-06</v>
      </c>
      <c r="O835" s="11" t="n">
        <v>289.2906921</v>
      </c>
      <c r="P835" s="13">
        <f>N835*86400</f>
        <v/>
      </c>
      <c r="Q835" s="14">
        <f>O835-273.15</f>
        <v/>
      </c>
    </row>
    <row r="836">
      <c r="A836" s="9" t="n">
        <v>37723</v>
      </c>
      <c r="B836" s="7">
        <f>YEAR(A836)</f>
        <v/>
      </c>
      <c r="C836" s="7">
        <f>MONTH(A836)</f>
        <v/>
      </c>
      <c r="D836" s="10" t="n">
        <v>0</v>
      </c>
      <c r="E836" s="11" t="n">
        <v>13.08239347</v>
      </c>
      <c r="F836" s="12" t="n">
        <v>0</v>
      </c>
      <c r="G836" s="11" t="n">
        <v>288.904029</v>
      </c>
      <c r="H836" s="13">
        <f>F836*1000</f>
        <v/>
      </c>
      <c r="I836" s="14">
        <f>G836-273.15</f>
        <v/>
      </c>
      <c r="K836" s="15" t="n">
        <v>2003</v>
      </c>
      <c r="L836" s="15" t="n">
        <v>4</v>
      </c>
      <c r="M836" s="15" t="n">
        <v>22</v>
      </c>
      <c r="N836" s="16" t="n">
        <v>8.805544852e-06</v>
      </c>
      <c r="O836" s="11" t="n">
        <v>288.6750303</v>
      </c>
      <c r="P836" s="13">
        <f>N836*86400</f>
        <v/>
      </c>
      <c r="Q836" s="14">
        <f>O836-273.15</f>
        <v/>
      </c>
    </row>
    <row r="837">
      <c r="A837" s="9" t="n">
        <v>37724</v>
      </c>
      <c r="B837" s="7">
        <f>YEAR(A837)</f>
        <v/>
      </c>
      <c r="C837" s="7">
        <f>MONTH(A837)</f>
        <v/>
      </c>
      <c r="D837" s="10" t="n">
        <v>0</v>
      </c>
      <c r="E837" s="11" t="n">
        <v>13.66776782</v>
      </c>
      <c r="F837" s="12" t="n">
        <v>0</v>
      </c>
      <c r="G837" s="11" t="n">
        <v>288.7402881</v>
      </c>
      <c r="H837" s="13">
        <f>F837*1000</f>
        <v/>
      </c>
      <c r="I837" s="14">
        <f>G837-273.15</f>
        <v/>
      </c>
      <c r="K837" s="15" t="n">
        <v>2003</v>
      </c>
      <c r="L837" s="15" t="n">
        <v>4</v>
      </c>
      <c r="M837" s="15" t="n">
        <v>23</v>
      </c>
      <c r="N837" s="16" t="n">
        <v>1.261855592e-05</v>
      </c>
      <c r="O837" s="11" t="n">
        <v>287.8220038</v>
      </c>
      <c r="P837" s="13">
        <f>N837*86400</f>
        <v/>
      </c>
      <c r="Q837" s="14">
        <f>O837-273.15</f>
        <v/>
      </c>
    </row>
    <row r="838">
      <c r="A838" s="9" t="n">
        <v>37725</v>
      </c>
      <c r="B838" s="7">
        <f>YEAR(A838)</f>
        <v/>
      </c>
      <c r="C838" s="7">
        <f>MONTH(A838)</f>
        <v/>
      </c>
      <c r="D838" s="10" t="n">
        <v>0</v>
      </c>
      <c r="E838" s="11" t="n">
        <v>13.75363348</v>
      </c>
      <c r="F838" s="12" t="n">
        <v>8.149887386e-05</v>
      </c>
      <c r="G838" s="11" t="n">
        <v>289.9992194</v>
      </c>
      <c r="H838" s="13">
        <f>F838*1000</f>
        <v/>
      </c>
      <c r="I838" s="14">
        <f>G838-273.15</f>
        <v/>
      </c>
      <c r="K838" s="15" t="n">
        <v>2003</v>
      </c>
      <c r="L838" s="15" t="n">
        <v>4</v>
      </c>
      <c r="M838" s="15" t="n">
        <v>24</v>
      </c>
      <c r="N838" s="16" t="n">
        <v>3.109920585e-06</v>
      </c>
      <c r="O838" s="11" t="n">
        <v>287.3869769</v>
      </c>
      <c r="P838" s="13">
        <f>N838*86400</f>
        <v/>
      </c>
      <c r="Q838" s="14">
        <f>O838-273.15</f>
        <v/>
      </c>
    </row>
    <row r="839">
      <c r="A839" s="9" t="n">
        <v>37726</v>
      </c>
      <c r="B839" s="7">
        <f>YEAR(A839)</f>
        <v/>
      </c>
      <c r="C839" s="7">
        <f>MONTH(A839)</f>
        <v/>
      </c>
      <c r="D839" s="10" t="n">
        <v>2.061043271</v>
      </c>
      <c r="E839" s="11" t="n">
        <v>12.32942204</v>
      </c>
      <c r="F839" s="12" t="n">
        <v>0</v>
      </c>
      <c r="G839" s="11" t="n">
        <v>288.9863663</v>
      </c>
      <c r="H839" s="13">
        <f>F839*1000</f>
        <v/>
      </c>
      <c r="I839" s="14">
        <f>G839-273.15</f>
        <v/>
      </c>
      <c r="K839" s="15" t="n">
        <v>2003</v>
      </c>
      <c r="L839" s="15" t="n">
        <v>4</v>
      </c>
      <c r="M839" s="15" t="n">
        <v>25</v>
      </c>
      <c r="N839" s="16" t="n">
        <v>0</v>
      </c>
      <c r="O839" s="11" t="n">
        <v>287.9563853</v>
      </c>
      <c r="P839" s="13">
        <f>N839*86400</f>
        <v/>
      </c>
      <c r="Q839" s="14">
        <f>O839-273.15</f>
        <v/>
      </c>
    </row>
    <row r="840">
      <c r="A840" s="9" t="n">
        <v>37727</v>
      </c>
      <c r="B840" s="7">
        <f>YEAR(A840)</f>
        <v/>
      </c>
      <c r="C840" s="7">
        <f>MONTH(A840)</f>
        <v/>
      </c>
      <c r="D840" s="10" t="n">
        <v>0</v>
      </c>
      <c r="E840" s="11" t="n">
        <v>12.37318348</v>
      </c>
      <c r="F840" s="12" t="n">
        <v>0</v>
      </c>
      <c r="G840" s="11" t="n">
        <v>288.0632969</v>
      </c>
      <c r="H840" s="13">
        <f>F840*1000</f>
        <v/>
      </c>
      <c r="I840" s="14">
        <f>G840-273.15</f>
        <v/>
      </c>
      <c r="K840" s="15" t="n">
        <v>2003</v>
      </c>
      <c r="L840" s="15" t="n">
        <v>4</v>
      </c>
      <c r="M840" s="15" t="n">
        <v>26</v>
      </c>
      <c r="N840" s="16" t="n">
        <v>0</v>
      </c>
      <c r="O840" s="11" t="n">
        <v>288.2032223</v>
      </c>
      <c r="P840" s="13">
        <f>N840*86400</f>
        <v/>
      </c>
      <c r="Q840" s="14">
        <f>O840-273.15</f>
        <v/>
      </c>
    </row>
    <row r="841">
      <c r="A841" s="9" t="n">
        <v>37728</v>
      </c>
      <c r="B841" s="7">
        <f>YEAR(A841)</f>
        <v/>
      </c>
      <c r="C841" s="7">
        <f>MONTH(A841)</f>
        <v/>
      </c>
      <c r="D841" s="10" t="n">
        <v>0</v>
      </c>
      <c r="E841" s="11" t="n">
        <v>13.95658117</v>
      </c>
      <c r="F841" s="12" t="n">
        <v>0.0003785207077</v>
      </c>
      <c r="G841" s="11" t="n">
        <v>289.5473943</v>
      </c>
      <c r="H841" s="13">
        <f>F841*1000</f>
        <v/>
      </c>
      <c r="I841" s="14">
        <f>G841-273.15</f>
        <v/>
      </c>
      <c r="K841" s="15" t="n">
        <v>2003</v>
      </c>
      <c r="L841" s="15" t="n">
        <v>4</v>
      </c>
      <c r="M841" s="15" t="n">
        <v>27</v>
      </c>
      <c r="N841" s="16" t="n">
        <v>0</v>
      </c>
      <c r="O841" s="11" t="n">
        <v>288.5759945</v>
      </c>
      <c r="P841" s="13">
        <f>N841*86400</f>
        <v/>
      </c>
      <c r="Q841" s="14">
        <f>O841-273.15</f>
        <v/>
      </c>
    </row>
    <row r="842">
      <c r="A842" s="9" t="n">
        <v>37729</v>
      </c>
      <c r="B842" s="7">
        <f>YEAR(A842)</f>
        <v/>
      </c>
      <c r="C842" s="7">
        <f>MONTH(A842)</f>
        <v/>
      </c>
      <c r="D842" s="10" t="n">
        <v>0</v>
      </c>
      <c r="E842" s="11" t="n">
        <v>13.63308249</v>
      </c>
      <c r="F842" s="12" t="n">
        <v>0</v>
      </c>
      <c r="G842" s="11" t="n">
        <v>289.1297436</v>
      </c>
      <c r="H842" s="13">
        <f>F842*1000</f>
        <v/>
      </c>
      <c r="I842" s="14">
        <f>G842-273.15</f>
        <v/>
      </c>
      <c r="K842" s="15" t="n">
        <v>2003</v>
      </c>
      <c r="L842" s="15" t="n">
        <v>4</v>
      </c>
      <c r="M842" s="15" t="n">
        <v>28</v>
      </c>
      <c r="N842" s="16" t="n">
        <v>1.416005196e-05</v>
      </c>
      <c r="O842" s="11" t="n">
        <v>289.0058512</v>
      </c>
      <c r="P842" s="13">
        <f>N842*86400</f>
        <v/>
      </c>
      <c r="Q842" s="14">
        <f>O842-273.15</f>
        <v/>
      </c>
    </row>
    <row r="843">
      <c r="A843" s="9" t="n">
        <v>37730</v>
      </c>
      <c r="B843" s="7">
        <f>YEAR(A843)</f>
        <v/>
      </c>
      <c r="C843" s="7">
        <f>MONTH(A843)</f>
        <v/>
      </c>
      <c r="D843" s="10" t="n">
        <v>0</v>
      </c>
      <c r="E843" s="11" t="n">
        <v>13.22952405</v>
      </c>
      <c r="F843" s="12" t="n">
        <v>0</v>
      </c>
      <c r="G843" s="11" t="n">
        <v>288.6602843</v>
      </c>
      <c r="H843" s="13">
        <f>F843*1000</f>
        <v/>
      </c>
      <c r="I843" s="14">
        <f>G843-273.15</f>
        <v/>
      </c>
      <c r="K843" s="15" t="n">
        <v>2003</v>
      </c>
      <c r="L843" s="15" t="n">
        <v>4</v>
      </c>
      <c r="M843" s="15" t="n">
        <v>29</v>
      </c>
      <c r="N843" s="16" t="n">
        <v>1.161147261e-05</v>
      </c>
      <c r="O843" s="11" t="n">
        <v>289.2831122</v>
      </c>
      <c r="P843" s="13">
        <f>N843*86400</f>
        <v/>
      </c>
      <c r="Q843" s="14">
        <f>O843-273.15</f>
        <v/>
      </c>
    </row>
    <row r="844">
      <c r="A844" s="9" t="n">
        <v>37731</v>
      </c>
      <c r="B844" s="7">
        <f>YEAR(A844)</f>
        <v/>
      </c>
      <c r="C844" s="7">
        <f>MONTH(A844)</f>
        <v/>
      </c>
      <c r="D844" s="10" t="n">
        <v>0</v>
      </c>
      <c r="E844" s="11" t="n">
        <v>13.47136656</v>
      </c>
      <c r="F844" s="12" t="n">
        <v>0</v>
      </c>
      <c r="G844" s="11" t="n">
        <v>289.2198527</v>
      </c>
      <c r="H844" s="13">
        <f>F844*1000</f>
        <v/>
      </c>
      <c r="I844" s="14">
        <f>G844-273.15</f>
        <v/>
      </c>
      <c r="K844" s="15" t="n">
        <v>2003</v>
      </c>
      <c r="L844" s="15" t="n">
        <v>4</v>
      </c>
      <c r="M844" s="15" t="n">
        <v>30</v>
      </c>
      <c r="N844" s="16" t="n">
        <v>1.274534385e-05</v>
      </c>
      <c r="O844" s="11" t="n">
        <v>290.7762069</v>
      </c>
      <c r="P844" s="13">
        <f>N844*86400</f>
        <v/>
      </c>
      <c r="Q844" s="14">
        <f>O844-273.15</f>
        <v/>
      </c>
    </row>
    <row r="845">
      <c r="A845" s="9" t="n">
        <v>37732</v>
      </c>
      <c r="B845" s="7">
        <f>YEAR(A845)</f>
        <v/>
      </c>
      <c r="C845" s="7">
        <f>MONTH(A845)</f>
        <v/>
      </c>
      <c r="D845" s="10" t="n">
        <v>0</v>
      </c>
      <c r="E845" s="11" t="n">
        <v>13.72567523</v>
      </c>
      <c r="F845" s="12" t="n">
        <v>0</v>
      </c>
      <c r="G845" s="11" t="n">
        <v>289.213969</v>
      </c>
      <c r="H845" s="13">
        <f>F845*1000</f>
        <v/>
      </c>
      <c r="I845" s="14">
        <f>G845-273.15</f>
        <v/>
      </c>
      <c r="K845" s="15" t="n">
        <v>2003</v>
      </c>
      <c r="L845" s="15" t="n">
        <v>5</v>
      </c>
      <c r="M845" s="15" t="n">
        <v>1</v>
      </c>
      <c r="N845" s="16" t="n">
        <v>0</v>
      </c>
      <c r="O845" s="11" t="n">
        <v>291.8199198</v>
      </c>
      <c r="P845" s="13">
        <f>N845*86400</f>
        <v/>
      </c>
      <c r="Q845" s="14">
        <f>O845-273.15</f>
        <v/>
      </c>
    </row>
    <row r="846">
      <c r="A846" s="9" t="n">
        <v>37733</v>
      </c>
      <c r="B846" s="7">
        <f>YEAR(A846)</f>
        <v/>
      </c>
      <c r="C846" s="7">
        <f>MONTH(A846)</f>
        <v/>
      </c>
      <c r="D846" s="10" t="n">
        <v>3.802851818</v>
      </c>
      <c r="E846" s="11" t="n">
        <v>11.85658649</v>
      </c>
      <c r="F846" s="12" t="n">
        <v>4.213480404e-05</v>
      </c>
      <c r="G846" s="11" t="n">
        <v>287.6911939</v>
      </c>
      <c r="H846" s="13">
        <f>F846*1000</f>
        <v/>
      </c>
      <c r="I846" s="14">
        <f>G846-273.15</f>
        <v/>
      </c>
      <c r="K846" s="15" t="n">
        <v>2003</v>
      </c>
      <c r="L846" s="15" t="n">
        <v>5</v>
      </c>
      <c r="M846" s="15" t="n">
        <v>2</v>
      </c>
      <c r="N846" s="16" t="n">
        <v>0</v>
      </c>
      <c r="O846" s="11" t="n">
        <v>292.208044</v>
      </c>
      <c r="P846" s="13">
        <f>N846*86400</f>
        <v/>
      </c>
      <c r="Q846" s="14">
        <f>O846-273.15</f>
        <v/>
      </c>
    </row>
    <row r="847">
      <c r="A847" s="9" t="n">
        <v>37734</v>
      </c>
      <c r="B847" s="7">
        <f>YEAR(A847)</f>
        <v/>
      </c>
      <c r="C847" s="7">
        <f>MONTH(A847)</f>
        <v/>
      </c>
      <c r="D847" s="10" t="n">
        <v>6.513469451</v>
      </c>
      <c r="E847" s="11" t="n">
        <v>11.92339297</v>
      </c>
      <c r="F847" s="12" t="n">
        <v>0.001365128764</v>
      </c>
      <c r="G847" s="11" t="n">
        <v>287.0802649</v>
      </c>
      <c r="H847" s="13">
        <f>F847*1000</f>
        <v/>
      </c>
      <c r="I847" s="14">
        <f>G847-273.15</f>
        <v/>
      </c>
      <c r="K847" s="15" t="n">
        <v>2003</v>
      </c>
      <c r="L847" s="15" t="n">
        <v>5</v>
      </c>
      <c r="M847" s="15" t="n">
        <v>3</v>
      </c>
      <c r="N847" s="16" t="n">
        <v>0</v>
      </c>
      <c r="O847" s="11" t="n">
        <v>291.9987948</v>
      </c>
      <c r="P847" s="13">
        <f>N847*86400</f>
        <v/>
      </c>
      <c r="Q847" s="14">
        <f>O847-273.15</f>
        <v/>
      </c>
    </row>
    <row r="848">
      <c r="A848" s="9" t="n">
        <v>37735</v>
      </c>
      <c r="B848" s="7">
        <f>YEAR(A848)</f>
        <v/>
      </c>
      <c r="C848" s="7">
        <f>MONTH(A848)</f>
        <v/>
      </c>
      <c r="D848" s="10" t="n">
        <v>2.939332634</v>
      </c>
      <c r="E848" s="11" t="n">
        <v>10.4647786</v>
      </c>
      <c r="F848" s="12" t="n">
        <v>0</v>
      </c>
      <c r="G848" s="11" t="n">
        <v>286.5364172</v>
      </c>
      <c r="H848" s="13">
        <f>F848*1000</f>
        <v/>
      </c>
      <c r="I848" s="14">
        <f>G848-273.15</f>
        <v/>
      </c>
      <c r="K848" s="15" t="n">
        <v>2003</v>
      </c>
      <c r="L848" s="15" t="n">
        <v>5</v>
      </c>
      <c r="M848" s="15" t="n">
        <v>4</v>
      </c>
      <c r="N848" s="16" t="n">
        <v>6.251154306e-06</v>
      </c>
      <c r="O848" s="11" t="n">
        <v>290.8394048</v>
      </c>
      <c r="P848" s="13">
        <f>N848*86400</f>
        <v/>
      </c>
      <c r="Q848" s="14">
        <f>O848-273.15</f>
        <v/>
      </c>
    </row>
    <row r="849">
      <c r="A849" s="9" t="n">
        <v>37736</v>
      </c>
      <c r="B849" s="7">
        <f>YEAR(A849)</f>
        <v/>
      </c>
      <c r="C849" s="7">
        <f>MONTH(A849)</f>
        <v/>
      </c>
      <c r="D849" s="10" t="n">
        <v>23.780389</v>
      </c>
      <c r="E849" s="11" t="n">
        <v>10.97303297</v>
      </c>
      <c r="F849" s="12" t="n">
        <v>0.01395439907</v>
      </c>
      <c r="G849" s="11" t="n">
        <v>287.5340936</v>
      </c>
      <c r="H849" s="13">
        <f>F849*1000</f>
        <v/>
      </c>
      <c r="I849" s="14">
        <f>G849-273.15</f>
        <v/>
      </c>
      <c r="K849" s="15" t="n">
        <v>2003</v>
      </c>
      <c r="L849" s="15" t="n">
        <v>5</v>
      </c>
      <c r="M849" s="15" t="n">
        <v>5</v>
      </c>
      <c r="N849" s="16" t="n">
        <v>3.493071683e-06</v>
      </c>
      <c r="O849" s="11" t="n">
        <v>288.7748223</v>
      </c>
      <c r="P849" s="13">
        <f>N849*86400</f>
        <v/>
      </c>
      <c r="Q849" s="14">
        <f>O849-273.15</f>
        <v/>
      </c>
    </row>
    <row r="850">
      <c r="A850" s="9" t="n">
        <v>37737</v>
      </c>
      <c r="B850" s="7">
        <f>YEAR(A850)</f>
        <v/>
      </c>
      <c r="C850" s="7">
        <f>MONTH(A850)</f>
        <v/>
      </c>
      <c r="D850" s="10" t="n">
        <v>0</v>
      </c>
      <c r="E850" s="11" t="n">
        <v>15.67020172</v>
      </c>
      <c r="F850" s="12" t="n">
        <v>0</v>
      </c>
      <c r="G850" s="11" t="n">
        <v>290.9242215</v>
      </c>
      <c r="H850" s="13">
        <f>F850*1000</f>
        <v/>
      </c>
      <c r="I850" s="14">
        <f>G850-273.15</f>
        <v/>
      </c>
      <c r="K850" s="15" t="n">
        <v>2003</v>
      </c>
      <c r="L850" s="15" t="n">
        <v>5</v>
      </c>
      <c r="M850" s="15" t="n">
        <v>6</v>
      </c>
      <c r="N850" s="16" t="n">
        <v>0</v>
      </c>
      <c r="O850" s="11" t="n">
        <v>289.5268243</v>
      </c>
      <c r="P850" s="13">
        <f>N850*86400</f>
        <v/>
      </c>
      <c r="Q850" s="14">
        <f>O850-273.15</f>
        <v/>
      </c>
    </row>
    <row r="851">
      <c r="A851" s="9" t="n">
        <v>37738</v>
      </c>
      <c r="B851" s="7">
        <f>YEAR(A851)</f>
        <v/>
      </c>
      <c r="C851" s="7">
        <f>MONTH(A851)</f>
        <v/>
      </c>
      <c r="D851" s="10" t="n">
        <v>0</v>
      </c>
      <c r="E851" s="11" t="n">
        <v>14.16985889</v>
      </c>
      <c r="F851" s="12" t="n">
        <v>0.0005781727717</v>
      </c>
      <c r="G851" s="11" t="n">
        <v>291.1360985</v>
      </c>
      <c r="H851" s="13">
        <f>F851*1000</f>
        <v/>
      </c>
      <c r="I851" s="14">
        <f>G851-273.15</f>
        <v/>
      </c>
      <c r="K851" s="15" t="n">
        <v>2003</v>
      </c>
      <c r="L851" s="15" t="n">
        <v>5</v>
      </c>
      <c r="M851" s="15" t="n">
        <v>7</v>
      </c>
      <c r="N851" s="16" t="n">
        <v>7.915812411999999e-06</v>
      </c>
      <c r="O851" s="11" t="n">
        <v>291.220302</v>
      </c>
      <c r="P851" s="13">
        <f>N851*86400</f>
        <v/>
      </c>
      <c r="Q851" s="14">
        <f>O851-273.15</f>
        <v/>
      </c>
    </row>
    <row r="852">
      <c r="A852" s="9" t="n">
        <v>37739</v>
      </c>
      <c r="B852" s="7">
        <f>YEAR(A852)</f>
        <v/>
      </c>
      <c r="C852" s="7">
        <f>MONTH(A852)</f>
        <v/>
      </c>
      <c r="D852" s="10" t="n">
        <v>0</v>
      </c>
      <c r="E852" s="11" t="n">
        <v>15.74196796</v>
      </c>
      <c r="F852" s="12" t="n">
        <v>0.002854173222</v>
      </c>
      <c r="G852" s="11" t="n">
        <v>291.2616023</v>
      </c>
      <c r="H852" s="13">
        <f>F852*1000</f>
        <v/>
      </c>
      <c r="I852" s="14">
        <f>G852-273.15</f>
        <v/>
      </c>
      <c r="K852" s="15" t="n">
        <v>2003</v>
      </c>
      <c r="L852" s="15" t="n">
        <v>5</v>
      </c>
      <c r="M852" s="15" t="n">
        <v>8</v>
      </c>
      <c r="N852" s="16" t="n">
        <v>5.183261565e-07</v>
      </c>
      <c r="O852" s="11" t="n">
        <v>290.1505969</v>
      </c>
      <c r="P852" s="13">
        <f>N852*86400</f>
        <v/>
      </c>
      <c r="Q852" s="14">
        <f>O852-273.15</f>
        <v/>
      </c>
    </row>
    <row r="853">
      <c r="A853" s="9" t="n">
        <v>37740</v>
      </c>
      <c r="B853" s="7">
        <f>YEAR(A853)</f>
        <v/>
      </c>
      <c r="C853" s="7">
        <f>MONTH(A853)</f>
        <v/>
      </c>
      <c r="D853" s="10" t="n">
        <v>0</v>
      </c>
      <c r="E853" s="11" t="n">
        <v>15.60251592</v>
      </c>
      <c r="F853" s="12" t="n">
        <v>0</v>
      </c>
      <c r="G853" s="11" t="n">
        <v>291.7540978</v>
      </c>
      <c r="H853" s="13">
        <f>F853*1000</f>
        <v/>
      </c>
      <c r="I853" s="14">
        <f>G853-273.15</f>
        <v/>
      </c>
      <c r="K853" s="15" t="n">
        <v>2003</v>
      </c>
      <c r="L853" s="15" t="n">
        <v>5</v>
      </c>
      <c r="M853" s="15" t="n">
        <v>9</v>
      </c>
      <c r="N853" s="16" t="n">
        <v>0</v>
      </c>
      <c r="O853" s="11" t="n">
        <v>293.1413927</v>
      </c>
      <c r="P853" s="13">
        <f>N853*86400</f>
        <v/>
      </c>
      <c r="Q853" s="14">
        <f>O853-273.15</f>
        <v/>
      </c>
    </row>
    <row r="854">
      <c r="A854" s="9" t="n">
        <v>37741</v>
      </c>
      <c r="B854" s="7">
        <f>YEAR(A854)</f>
        <v/>
      </c>
      <c r="C854" s="7">
        <f>MONTH(A854)</f>
        <v/>
      </c>
      <c r="D854" s="10" t="n">
        <v>0</v>
      </c>
      <c r="E854" s="11" t="n">
        <v>14.58788918</v>
      </c>
      <c r="F854" s="12" t="n">
        <v>0</v>
      </c>
      <c r="G854" s="11" t="n">
        <v>290.1818717</v>
      </c>
      <c r="H854" s="13">
        <f>F854*1000</f>
        <v/>
      </c>
      <c r="I854" s="14">
        <f>G854-273.15</f>
        <v/>
      </c>
      <c r="K854" s="15" t="n">
        <v>2003</v>
      </c>
      <c r="L854" s="15" t="n">
        <v>5</v>
      </c>
      <c r="M854" s="15" t="n">
        <v>10</v>
      </c>
      <c r="N854" s="16" t="n">
        <v>5.115181153e-14</v>
      </c>
      <c r="O854" s="11" t="n">
        <v>294.5742674</v>
      </c>
      <c r="P854" s="13">
        <f>N854*86400</f>
        <v/>
      </c>
      <c r="Q854" s="14">
        <f>O854-273.15</f>
        <v/>
      </c>
    </row>
    <row r="855">
      <c r="A855" s="9" t="n">
        <v>37742</v>
      </c>
      <c r="B855" s="7">
        <f>YEAR(A855)</f>
        <v/>
      </c>
      <c r="C855" s="7">
        <f>MONTH(A855)</f>
        <v/>
      </c>
      <c r="D855" s="10" t="n">
        <v>0</v>
      </c>
      <c r="E855" s="11" t="n">
        <v>12.49945714</v>
      </c>
      <c r="F855" s="12" t="n">
        <v>0</v>
      </c>
      <c r="G855" s="11" t="n">
        <v>287.7986819</v>
      </c>
      <c r="H855" s="13">
        <f>F855*1000</f>
        <v/>
      </c>
      <c r="I855" s="14">
        <f>G855-273.15</f>
        <v/>
      </c>
      <c r="K855" s="15" t="n">
        <v>2003</v>
      </c>
      <c r="L855" s="15" t="n">
        <v>5</v>
      </c>
      <c r="M855" s="15" t="n">
        <v>11</v>
      </c>
      <c r="N855" s="16" t="n">
        <v>5.731502812e-06</v>
      </c>
      <c r="O855" s="11" t="n">
        <v>293.9559015</v>
      </c>
      <c r="P855" s="13">
        <f>N855*86400</f>
        <v/>
      </c>
      <c r="Q855" s="14">
        <f>O855-273.15</f>
        <v/>
      </c>
    </row>
    <row r="856">
      <c r="A856" s="9" t="n">
        <v>37743</v>
      </c>
      <c r="B856" s="7">
        <f>YEAR(A856)</f>
        <v/>
      </c>
      <c r="C856" s="7">
        <f>MONTH(A856)</f>
        <v/>
      </c>
      <c r="D856" s="10" t="n">
        <v>0</v>
      </c>
      <c r="E856" s="11" t="n">
        <v>15.32219762</v>
      </c>
      <c r="F856" s="12" t="n">
        <v>0</v>
      </c>
      <c r="G856" s="11" t="n">
        <v>290.100679</v>
      </c>
      <c r="H856" s="13">
        <f>F856*1000</f>
        <v/>
      </c>
      <c r="I856" s="14">
        <f>G856-273.15</f>
        <v/>
      </c>
      <c r="K856" s="15" t="n">
        <v>2003</v>
      </c>
      <c r="L856" s="15" t="n">
        <v>5</v>
      </c>
      <c r="M856" s="15" t="n">
        <v>12</v>
      </c>
      <c r="N856" s="16" t="n">
        <v>0</v>
      </c>
      <c r="O856" s="11" t="n">
        <v>294.2008809</v>
      </c>
      <c r="P856" s="13">
        <f>N856*86400</f>
        <v/>
      </c>
      <c r="Q856" s="14">
        <f>O856-273.15</f>
        <v/>
      </c>
    </row>
    <row r="857">
      <c r="A857" s="9" t="n">
        <v>37744</v>
      </c>
      <c r="B857" s="7">
        <f>YEAR(A857)</f>
        <v/>
      </c>
      <c r="C857" s="7">
        <f>MONTH(A857)</f>
        <v/>
      </c>
      <c r="D857" s="10" t="n">
        <v>0</v>
      </c>
      <c r="E857" s="11" t="n">
        <v>17.21625732</v>
      </c>
      <c r="F857" s="12" t="n">
        <v>0</v>
      </c>
      <c r="G857" s="11" t="n">
        <v>291.133751</v>
      </c>
      <c r="H857" s="13">
        <f>F857*1000</f>
        <v/>
      </c>
      <c r="I857" s="14">
        <f>G857-273.15</f>
        <v/>
      </c>
      <c r="K857" s="15" t="n">
        <v>2003</v>
      </c>
      <c r="L857" s="15" t="n">
        <v>5</v>
      </c>
      <c r="M857" s="15" t="n">
        <v>13</v>
      </c>
      <c r="N857" s="16" t="n">
        <v>6.718084739e-06</v>
      </c>
      <c r="O857" s="11" t="n">
        <v>292.2179566</v>
      </c>
      <c r="P857" s="13">
        <f>N857*86400</f>
        <v/>
      </c>
      <c r="Q857" s="14">
        <f>O857-273.15</f>
        <v/>
      </c>
    </row>
    <row r="858">
      <c r="A858" s="9" t="n">
        <v>37745</v>
      </c>
      <c r="B858" s="7">
        <f>YEAR(A858)</f>
        <v/>
      </c>
      <c r="C858" s="7">
        <f>MONTH(A858)</f>
        <v/>
      </c>
      <c r="D858" s="10" t="n">
        <v>0</v>
      </c>
      <c r="E858" s="11" t="n">
        <v>16.97483976</v>
      </c>
      <c r="F858" s="12" t="n">
        <v>0</v>
      </c>
      <c r="G858" s="11" t="n">
        <v>290.7917701</v>
      </c>
      <c r="H858" s="13">
        <f>F858*1000</f>
        <v/>
      </c>
      <c r="I858" s="14">
        <f>G858-273.15</f>
        <v/>
      </c>
      <c r="K858" s="15" t="n">
        <v>2003</v>
      </c>
      <c r="L858" s="15" t="n">
        <v>5</v>
      </c>
      <c r="M858" s="15" t="n">
        <v>14</v>
      </c>
      <c r="N858" s="16" t="n">
        <v>1.21682604e-05</v>
      </c>
      <c r="O858" s="11" t="n">
        <v>289.5048002</v>
      </c>
      <c r="P858" s="13">
        <f>N858*86400</f>
        <v/>
      </c>
      <c r="Q858" s="14">
        <f>O858-273.15</f>
        <v/>
      </c>
    </row>
    <row r="859">
      <c r="A859" s="9" t="n">
        <v>37746</v>
      </c>
      <c r="B859" s="7">
        <f>YEAR(A859)</f>
        <v/>
      </c>
      <c r="C859" s="7">
        <f>MONTH(A859)</f>
        <v/>
      </c>
      <c r="D859" s="10" t="n">
        <v>0</v>
      </c>
      <c r="E859" s="11" t="n">
        <v>14.74587344</v>
      </c>
      <c r="F859" s="12" t="n">
        <v>0</v>
      </c>
      <c r="G859" s="11" t="n">
        <v>289.8966219</v>
      </c>
      <c r="H859" s="13">
        <f>F859*1000</f>
        <v/>
      </c>
      <c r="I859" s="14">
        <f>G859-273.15</f>
        <v/>
      </c>
      <c r="K859" s="15" t="n">
        <v>2003</v>
      </c>
      <c r="L859" s="15" t="n">
        <v>5</v>
      </c>
      <c r="M859" s="15" t="n">
        <v>15</v>
      </c>
      <c r="N859" s="16" t="n">
        <v>6.261970187999999e-05</v>
      </c>
      <c r="O859" s="11" t="n">
        <v>288.9389079</v>
      </c>
      <c r="P859" s="13">
        <f>N859*86400</f>
        <v/>
      </c>
      <c r="Q859" s="14">
        <f>O859-273.15</f>
        <v/>
      </c>
    </row>
    <row r="860">
      <c r="A860" s="9" t="n">
        <v>37747</v>
      </c>
      <c r="B860" s="7">
        <f>YEAR(A860)</f>
        <v/>
      </c>
      <c r="C860" s="7">
        <f>MONTH(A860)</f>
        <v/>
      </c>
      <c r="D860" s="10" t="n">
        <v>0</v>
      </c>
      <c r="E860" s="11" t="n">
        <v>14.65607817</v>
      </c>
      <c r="F860" s="12" t="n">
        <v>1.696026689e-05</v>
      </c>
      <c r="G860" s="11" t="n">
        <v>288.8861026</v>
      </c>
      <c r="H860" s="13">
        <f>F860*1000</f>
        <v/>
      </c>
      <c r="I860" s="14">
        <f>G860-273.15</f>
        <v/>
      </c>
      <c r="K860" s="15" t="n">
        <v>2003</v>
      </c>
      <c r="L860" s="15" t="n">
        <v>5</v>
      </c>
      <c r="M860" s="15" t="n">
        <v>16</v>
      </c>
      <c r="N860" s="16" t="n">
        <v>6.060189554e-05</v>
      </c>
      <c r="O860" s="11" t="n">
        <v>290.4317294</v>
      </c>
      <c r="P860" s="13">
        <f>N860*86400</f>
        <v/>
      </c>
      <c r="Q860" s="14">
        <f>O860-273.15</f>
        <v/>
      </c>
    </row>
    <row r="861">
      <c r="A861" s="9" t="n">
        <v>37748</v>
      </c>
      <c r="B861" s="7">
        <f>YEAR(A861)</f>
        <v/>
      </c>
      <c r="C861" s="7">
        <f>MONTH(A861)</f>
        <v/>
      </c>
      <c r="D861" s="10" t="n">
        <v>0</v>
      </c>
      <c r="E861" s="11" t="n">
        <v>14.89221494</v>
      </c>
      <c r="F861" s="12" t="n">
        <v>0.0005069539347</v>
      </c>
      <c r="G861" s="11" t="n">
        <v>290.0869883</v>
      </c>
      <c r="H861" s="13">
        <f>F861*1000</f>
        <v/>
      </c>
      <c r="I861" s="14">
        <f>G861-273.15</f>
        <v/>
      </c>
      <c r="K861" s="15" t="n">
        <v>2003</v>
      </c>
      <c r="L861" s="15" t="n">
        <v>5</v>
      </c>
      <c r="M861" s="15" t="n">
        <v>17</v>
      </c>
      <c r="N861" s="16" t="n">
        <v>5.116909373e-05</v>
      </c>
      <c r="O861" s="11" t="n">
        <v>289.1428408</v>
      </c>
      <c r="P861" s="13">
        <f>N861*86400</f>
        <v/>
      </c>
      <c r="Q861" s="14">
        <f>O861-273.15</f>
        <v/>
      </c>
    </row>
    <row r="862">
      <c r="A862" s="9" t="n">
        <v>37749</v>
      </c>
      <c r="B862" s="7">
        <f>YEAR(A862)</f>
        <v/>
      </c>
      <c r="C862" s="7">
        <f>MONTH(A862)</f>
        <v/>
      </c>
      <c r="D862" s="10" t="n">
        <v>0</v>
      </c>
      <c r="E862" s="11" t="n">
        <v>15.67529412</v>
      </c>
      <c r="F862" s="12" t="n">
        <v>7.424757675e-07</v>
      </c>
      <c r="G862" s="11" t="n">
        <v>290.0476239</v>
      </c>
      <c r="H862" s="13">
        <f>F862*1000</f>
        <v/>
      </c>
      <c r="I862" s="14">
        <f>G862-273.15</f>
        <v/>
      </c>
      <c r="K862" s="15" t="n">
        <v>2003</v>
      </c>
      <c r="L862" s="15" t="n">
        <v>5</v>
      </c>
      <c r="M862" s="15" t="n">
        <v>18</v>
      </c>
      <c r="N862" s="16" t="n">
        <v>6.079443054e-07</v>
      </c>
      <c r="O862" s="11" t="n">
        <v>290.2326373</v>
      </c>
      <c r="P862" s="13">
        <f>N862*86400</f>
        <v/>
      </c>
      <c r="Q862" s="14">
        <f>O862-273.15</f>
        <v/>
      </c>
    </row>
    <row r="863">
      <c r="A863" s="9" t="n">
        <v>37750</v>
      </c>
      <c r="B863" s="7">
        <f>YEAR(A863)</f>
        <v/>
      </c>
      <c r="C863" s="7">
        <f>MONTH(A863)</f>
        <v/>
      </c>
      <c r="D863" s="10" t="n">
        <v>1.826617388</v>
      </c>
      <c r="E863" s="11" t="n">
        <v>15.27259949</v>
      </c>
      <c r="F863" s="12" t="n">
        <v>0.001099057533</v>
      </c>
      <c r="G863" s="11" t="n">
        <v>289.8557308</v>
      </c>
      <c r="H863" s="13">
        <f>F863*1000</f>
        <v/>
      </c>
      <c r="I863" s="14">
        <f>G863-273.15</f>
        <v/>
      </c>
      <c r="K863" s="15" t="n">
        <v>2003</v>
      </c>
      <c r="L863" s="15" t="n">
        <v>5</v>
      </c>
      <c r="M863" s="15" t="n">
        <v>19</v>
      </c>
      <c r="N863" s="16" t="n">
        <v>0</v>
      </c>
      <c r="O863" s="11" t="n">
        <v>289.9296162</v>
      </c>
      <c r="P863" s="13">
        <f>N863*86400</f>
        <v/>
      </c>
      <c r="Q863" s="14">
        <f>O863-273.15</f>
        <v/>
      </c>
    </row>
    <row r="864">
      <c r="A864" s="9" t="n">
        <v>37751</v>
      </c>
      <c r="B864" s="7">
        <f>YEAR(A864)</f>
        <v/>
      </c>
      <c r="C864" s="7">
        <f>MONTH(A864)</f>
        <v/>
      </c>
      <c r="D864" s="10" t="n">
        <v>0</v>
      </c>
      <c r="E864" s="11" t="n">
        <v>17.63976931</v>
      </c>
      <c r="F864" s="12" t="n">
        <v>0.003134831882</v>
      </c>
      <c r="G864" s="11" t="n">
        <v>292.3855444</v>
      </c>
      <c r="H864" s="13">
        <f>F864*1000</f>
        <v/>
      </c>
      <c r="I864" s="14">
        <f>G864-273.15</f>
        <v/>
      </c>
      <c r="K864" s="15" t="n">
        <v>2003</v>
      </c>
      <c r="L864" s="15" t="n">
        <v>5</v>
      </c>
      <c r="M864" s="15" t="n">
        <v>20</v>
      </c>
      <c r="N864" s="16" t="n">
        <v>0</v>
      </c>
      <c r="O864" s="11" t="n">
        <v>289.7267662</v>
      </c>
      <c r="P864" s="13">
        <f>N864*86400</f>
        <v/>
      </c>
      <c r="Q864" s="14">
        <f>O864-273.15</f>
        <v/>
      </c>
    </row>
    <row r="865">
      <c r="A865" s="9" t="n">
        <v>37752</v>
      </c>
      <c r="B865" s="7">
        <f>YEAR(A865)</f>
        <v/>
      </c>
      <c r="C865" s="7">
        <f>MONTH(A865)</f>
        <v/>
      </c>
      <c r="D865" s="10" t="n">
        <v>3.433773797</v>
      </c>
      <c r="E865" s="11" t="n">
        <v>18.34907588</v>
      </c>
      <c r="F865" s="12" t="n">
        <v>0.01122567881</v>
      </c>
      <c r="G865" s="11" t="n">
        <v>293.3936114</v>
      </c>
      <c r="H865" s="13">
        <f>F865*1000</f>
        <v/>
      </c>
      <c r="I865" s="14">
        <f>G865-273.15</f>
        <v/>
      </c>
      <c r="K865" s="15" t="n">
        <v>2003</v>
      </c>
      <c r="L865" s="15" t="n">
        <v>5</v>
      </c>
      <c r="M865" s="15" t="n">
        <v>21</v>
      </c>
      <c r="N865" s="16" t="n">
        <v>0</v>
      </c>
      <c r="O865" s="11" t="n">
        <v>290.4136944</v>
      </c>
      <c r="P865" s="13">
        <f>N865*86400</f>
        <v/>
      </c>
      <c r="Q865" s="14">
        <f>O865-273.15</f>
        <v/>
      </c>
    </row>
    <row r="866">
      <c r="A866" s="9" t="n">
        <v>37753</v>
      </c>
      <c r="B866" s="7">
        <f>YEAR(A866)</f>
        <v/>
      </c>
      <c r="C866" s="7">
        <f>MONTH(A866)</f>
        <v/>
      </c>
      <c r="D866" s="10" t="n">
        <v>0</v>
      </c>
      <c r="E866" s="11" t="n">
        <v>21.32262125</v>
      </c>
      <c r="F866" s="12" t="n">
        <v>0.001810433974</v>
      </c>
      <c r="G866" s="11" t="n">
        <v>294.9030941</v>
      </c>
      <c r="H866" s="13">
        <f>F866*1000</f>
        <v/>
      </c>
      <c r="I866" s="14">
        <f>G866-273.15</f>
        <v/>
      </c>
      <c r="K866" s="15" t="n">
        <v>2003</v>
      </c>
      <c r="L866" s="15" t="n">
        <v>5</v>
      </c>
      <c r="M866" s="15" t="n">
        <v>22</v>
      </c>
      <c r="N866" s="16" t="n">
        <v>8.304544524e-08</v>
      </c>
      <c r="O866" s="11" t="n">
        <v>290.0302974</v>
      </c>
      <c r="P866" s="13">
        <f>N866*86400</f>
        <v/>
      </c>
      <c r="Q866" s="14">
        <f>O866-273.15</f>
        <v/>
      </c>
    </row>
    <row r="867">
      <c r="A867" s="9" t="n">
        <v>37754</v>
      </c>
      <c r="B867" s="7">
        <f>YEAR(A867)</f>
        <v/>
      </c>
      <c r="C867" s="7">
        <f>MONTH(A867)</f>
        <v/>
      </c>
      <c r="D867" s="10" t="n">
        <v>0</v>
      </c>
      <c r="E867" s="11" t="n">
        <v>19.47883865</v>
      </c>
      <c r="F867" s="12" t="n">
        <v>0</v>
      </c>
      <c r="G867" s="11" t="n">
        <v>293.8773457</v>
      </c>
      <c r="H867" s="13">
        <f>F867*1000</f>
        <v/>
      </c>
      <c r="I867" s="14">
        <f>G867-273.15</f>
        <v/>
      </c>
      <c r="K867" s="15" t="n">
        <v>2003</v>
      </c>
      <c r="L867" s="15" t="n">
        <v>5</v>
      </c>
      <c r="M867" s="15" t="n">
        <v>23</v>
      </c>
      <c r="N867" s="16" t="n">
        <v>0</v>
      </c>
      <c r="O867" s="11" t="n">
        <v>290.6565808</v>
      </c>
      <c r="P867" s="13">
        <f>N867*86400</f>
        <v/>
      </c>
      <c r="Q867" s="14">
        <f>O867-273.15</f>
        <v/>
      </c>
    </row>
    <row r="868">
      <c r="A868" s="9" t="n">
        <v>37755</v>
      </c>
      <c r="B868" s="7">
        <f>YEAR(A868)</f>
        <v/>
      </c>
      <c r="C868" s="7">
        <f>MONTH(A868)</f>
        <v/>
      </c>
      <c r="D868" s="10" t="n">
        <v>0</v>
      </c>
      <c r="E868" s="11" t="n">
        <v>21.26108432</v>
      </c>
      <c r="F868" s="12" t="n">
        <v>0</v>
      </c>
      <c r="G868" s="11" t="n">
        <v>295.3662952</v>
      </c>
      <c r="H868" s="13">
        <f>F868*1000</f>
        <v/>
      </c>
      <c r="I868" s="14">
        <f>G868-273.15</f>
        <v/>
      </c>
      <c r="K868" s="15" t="n">
        <v>2003</v>
      </c>
      <c r="L868" s="15" t="n">
        <v>5</v>
      </c>
      <c r="M868" s="15" t="n">
        <v>24</v>
      </c>
      <c r="N868" s="16" t="n">
        <v>0</v>
      </c>
      <c r="O868" s="11" t="n">
        <v>291.6201607</v>
      </c>
      <c r="P868" s="13">
        <f>N868*86400</f>
        <v/>
      </c>
      <c r="Q868" s="14">
        <f>O868-273.15</f>
        <v/>
      </c>
    </row>
    <row r="869">
      <c r="A869" s="9" t="n">
        <v>37756</v>
      </c>
      <c r="B869" s="7">
        <f>YEAR(A869)</f>
        <v/>
      </c>
      <c r="C869" s="7">
        <f>MONTH(A869)</f>
        <v/>
      </c>
      <c r="D869" s="10" t="n">
        <v>0</v>
      </c>
      <c r="E869" s="11" t="n">
        <v>21.25999757</v>
      </c>
      <c r="F869" s="12" t="n">
        <v>0</v>
      </c>
      <c r="G869" s="11" t="n">
        <v>295.4073179</v>
      </c>
      <c r="H869" s="13">
        <f>F869*1000</f>
        <v/>
      </c>
      <c r="I869" s="14">
        <f>G869-273.15</f>
        <v/>
      </c>
      <c r="K869" s="15" t="n">
        <v>2003</v>
      </c>
      <c r="L869" s="15" t="n">
        <v>5</v>
      </c>
      <c r="M869" s="15" t="n">
        <v>25</v>
      </c>
      <c r="N869" s="16" t="n">
        <v>0</v>
      </c>
      <c r="O869" s="11" t="n">
        <v>290.4470819</v>
      </c>
      <c r="P869" s="13">
        <f>N869*86400</f>
        <v/>
      </c>
      <c r="Q869" s="14">
        <f>O869-273.15</f>
        <v/>
      </c>
    </row>
    <row r="870">
      <c r="A870" s="9" t="n">
        <v>37757</v>
      </c>
      <c r="B870" s="7">
        <f>YEAR(A870)</f>
        <v/>
      </c>
      <c r="C870" s="7">
        <f>MONTH(A870)</f>
        <v/>
      </c>
      <c r="D870" s="10" t="n">
        <v>0</v>
      </c>
      <c r="E870" s="11" t="n">
        <v>20.1688328</v>
      </c>
      <c r="F870" s="12" t="n">
        <v>0</v>
      </c>
      <c r="G870" s="11" t="n">
        <v>294.2721843</v>
      </c>
      <c r="H870" s="13">
        <f>F870*1000</f>
        <v/>
      </c>
      <c r="I870" s="14">
        <f>G870-273.15</f>
        <v/>
      </c>
      <c r="K870" s="15" t="n">
        <v>2003</v>
      </c>
      <c r="L870" s="15" t="n">
        <v>5</v>
      </c>
      <c r="M870" s="15" t="n">
        <v>26</v>
      </c>
      <c r="N870" s="16" t="n">
        <v>0</v>
      </c>
      <c r="O870" s="11" t="n">
        <v>291.2019854</v>
      </c>
      <c r="P870" s="13">
        <f>N870*86400</f>
        <v/>
      </c>
      <c r="Q870" s="14">
        <f>O870-273.15</f>
        <v/>
      </c>
    </row>
    <row r="871">
      <c r="A871" s="9" t="n">
        <v>37758</v>
      </c>
      <c r="B871" s="7">
        <f>YEAR(A871)</f>
        <v/>
      </c>
      <c r="C871" s="7">
        <f>MONTH(A871)</f>
        <v/>
      </c>
      <c r="D871" s="10" t="n">
        <v>0</v>
      </c>
      <c r="E871" s="11" t="n">
        <v>19.0651006</v>
      </c>
      <c r="F871" s="12" t="n">
        <v>0</v>
      </c>
      <c r="G871" s="11" t="n">
        <v>293.4464764</v>
      </c>
      <c r="H871" s="13">
        <f>F871*1000</f>
        <v/>
      </c>
      <c r="I871" s="14">
        <f>G871-273.15</f>
        <v/>
      </c>
      <c r="K871" s="15" t="n">
        <v>2003</v>
      </c>
      <c r="L871" s="15" t="n">
        <v>5</v>
      </c>
      <c r="M871" s="15" t="n">
        <v>27</v>
      </c>
      <c r="N871" s="16" t="n">
        <v>0</v>
      </c>
      <c r="O871" s="11" t="n">
        <v>290.4778993</v>
      </c>
      <c r="P871" s="13">
        <f>N871*86400</f>
        <v/>
      </c>
      <c r="Q871" s="14">
        <f>O871-273.15</f>
        <v/>
      </c>
    </row>
    <row r="872">
      <c r="A872" s="9" t="n">
        <v>37759</v>
      </c>
      <c r="B872" s="7">
        <f>YEAR(A872)</f>
        <v/>
      </c>
      <c r="C872" s="7">
        <f>MONTH(A872)</f>
        <v/>
      </c>
      <c r="D872" s="10" t="n">
        <v>4.879566156</v>
      </c>
      <c r="E872" s="11" t="n">
        <v>20.21094503</v>
      </c>
      <c r="F872" s="12" t="n">
        <v>0.001093695559</v>
      </c>
      <c r="G872" s="11" t="n">
        <v>294.3515617</v>
      </c>
      <c r="H872" s="13">
        <f>F872*1000</f>
        <v/>
      </c>
      <c r="I872" s="14">
        <f>G872-273.15</f>
        <v/>
      </c>
      <c r="K872" s="15" t="n">
        <v>2003</v>
      </c>
      <c r="L872" s="15" t="n">
        <v>5</v>
      </c>
      <c r="M872" s="15" t="n">
        <v>28</v>
      </c>
      <c r="N872" s="16" t="n">
        <v>0</v>
      </c>
      <c r="O872" s="11" t="n">
        <v>291.453039</v>
      </c>
      <c r="P872" s="13">
        <f>N872*86400</f>
        <v/>
      </c>
      <c r="Q872" s="14">
        <f>O872-273.15</f>
        <v/>
      </c>
    </row>
    <row r="873">
      <c r="A873" s="9" t="n">
        <v>37760</v>
      </c>
      <c r="B873" s="7">
        <f>YEAR(A873)</f>
        <v/>
      </c>
      <c r="C873" s="7">
        <f>MONTH(A873)</f>
        <v/>
      </c>
      <c r="D873" s="10" t="n">
        <v>0</v>
      </c>
      <c r="E873" s="11" t="n">
        <v>18.42885449</v>
      </c>
      <c r="F873" s="12" t="n">
        <v>2.0521957e-06</v>
      </c>
      <c r="G873" s="11" t="n">
        <v>292.6876492</v>
      </c>
      <c r="H873" s="13">
        <f>F873*1000</f>
        <v/>
      </c>
      <c r="I873" s="14">
        <f>G873-273.15</f>
        <v/>
      </c>
      <c r="K873" s="15" t="n">
        <v>2003</v>
      </c>
      <c r="L873" s="15" t="n">
        <v>5</v>
      </c>
      <c r="M873" s="15" t="n">
        <v>29</v>
      </c>
      <c r="N873" s="16" t="n">
        <v>0</v>
      </c>
      <c r="O873" s="11" t="n">
        <v>288.1944246</v>
      </c>
      <c r="P873" s="13">
        <f>N873*86400</f>
        <v/>
      </c>
      <c r="Q873" s="14">
        <f>O873-273.15</f>
        <v/>
      </c>
    </row>
    <row r="874">
      <c r="A874" s="9" t="n">
        <v>37761</v>
      </c>
      <c r="B874" s="7">
        <f>YEAR(A874)</f>
        <v/>
      </c>
      <c r="C874" s="7">
        <f>MONTH(A874)</f>
        <v/>
      </c>
      <c r="D874" s="10" t="n">
        <v>0</v>
      </c>
      <c r="E874" s="11" t="n">
        <v>17.60258803</v>
      </c>
      <c r="F874" s="12" t="n">
        <v>0</v>
      </c>
      <c r="G874" s="11" t="n">
        <v>291.978574</v>
      </c>
      <c r="H874" s="13">
        <f>F874*1000</f>
        <v/>
      </c>
      <c r="I874" s="14">
        <f>G874-273.15</f>
        <v/>
      </c>
      <c r="K874" s="15" t="n">
        <v>2003</v>
      </c>
      <c r="L874" s="15" t="n">
        <v>5</v>
      </c>
      <c r="M874" s="15" t="n">
        <v>30</v>
      </c>
      <c r="N874" s="16" t="n">
        <v>0</v>
      </c>
      <c r="O874" s="11" t="n">
        <v>288.9261735</v>
      </c>
      <c r="P874" s="13">
        <f>N874*86400</f>
        <v/>
      </c>
      <c r="Q874" s="14">
        <f>O874-273.15</f>
        <v/>
      </c>
    </row>
    <row r="875">
      <c r="A875" s="9" t="n">
        <v>37762</v>
      </c>
      <c r="B875" s="7">
        <f>YEAR(A875)</f>
        <v/>
      </c>
      <c r="C875" s="7">
        <f>MONTH(A875)</f>
        <v/>
      </c>
      <c r="D875" s="10" t="n">
        <v>3.088483523</v>
      </c>
      <c r="E875" s="11" t="n">
        <v>15.36217499</v>
      </c>
      <c r="F875" s="12" t="n">
        <v>0.001701352605</v>
      </c>
      <c r="G875" s="11" t="n">
        <v>291.7382397</v>
      </c>
      <c r="H875" s="13">
        <f>F875*1000</f>
        <v/>
      </c>
      <c r="I875" s="14">
        <f>G875-273.15</f>
        <v/>
      </c>
      <c r="K875" s="15" t="n">
        <v>2003</v>
      </c>
      <c r="L875" s="15" t="n">
        <v>6</v>
      </c>
      <c r="M875" s="15" t="n">
        <v>1</v>
      </c>
      <c r="N875" s="16" t="n">
        <v>0</v>
      </c>
      <c r="O875" s="11" t="n">
        <v>288.6483077</v>
      </c>
      <c r="P875" s="13">
        <f>N875*86400</f>
        <v/>
      </c>
      <c r="Q875" s="14">
        <f>O875-273.15</f>
        <v/>
      </c>
    </row>
    <row r="876">
      <c r="A876" s="9" t="n">
        <v>37763</v>
      </c>
      <c r="B876" s="7">
        <f>YEAR(A876)</f>
        <v/>
      </c>
      <c r="C876" s="7">
        <f>MONTH(A876)</f>
        <v/>
      </c>
      <c r="D876" s="10" t="n">
        <v>5.361231453</v>
      </c>
      <c r="E876" s="11" t="n">
        <v>14.69930072</v>
      </c>
      <c r="F876" s="12" t="n">
        <v>0.004365719618</v>
      </c>
      <c r="G876" s="11" t="n">
        <v>290.7021945</v>
      </c>
      <c r="H876" s="13">
        <f>F876*1000</f>
        <v/>
      </c>
      <c r="I876" s="14">
        <f>G876-273.15</f>
        <v/>
      </c>
      <c r="K876" s="15" t="n">
        <v>2003</v>
      </c>
      <c r="L876" s="15" t="n">
        <v>6</v>
      </c>
      <c r="M876" s="15" t="n">
        <v>2</v>
      </c>
      <c r="N876" s="16" t="n">
        <v>1.202307657e-06</v>
      </c>
      <c r="O876" s="11" t="n">
        <v>286.9449199</v>
      </c>
      <c r="P876" s="13">
        <f>N876*86400</f>
        <v/>
      </c>
      <c r="Q876" s="14">
        <f>O876-273.15</f>
        <v/>
      </c>
    </row>
    <row r="877">
      <c r="A877" s="9" t="n">
        <v>37764</v>
      </c>
      <c r="B877" s="7">
        <f>YEAR(A877)</f>
        <v/>
      </c>
      <c r="C877" s="7">
        <f>MONTH(A877)</f>
        <v/>
      </c>
      <c r="D877" s="10" t="n">
        <v>26.95430646</v>
      </c>
      <c r="E877" s="11" t="n">
        <v>14.61307854</v>
      </c>
      <c r="F877" s="12" t="n">
        <v>0.02137398645</v>
      </c>
      <c r="G877" s="11" t="n">
        <v>290.9158397</v>
      </c>
      <c r="H877" s="13">
        <f>F877*1000</f>
        <v/>
      </c>
      <c r="I877" s="14">
        <f>G877-273.15</f>
        <v/>
      </c>
      <c r="K877" s="15" t="n">
        <v>2003</v>
      </c>
      <c r="L877" s="15" t="n">
        <v>6</v>
      </c>
      <c r="M877" s="15" t="n">
        <v>3</v>
      </c>
      <c r="N877" s="16" t="n">
        <v>0</v>
      </c>
      <c r="O877" s="11" t="n">
        <v>288.4297416</v>
      </c>
      <c r="P877" s="13">
        <f>N877*86400</f>
        <v/>
      </c>
      <c r="Q877" s="14">
        <f>O877-273.15</f>
        <v/>
      </c>
    </row>
    <row r="878">
      <c r="A878" s="9" t="n">
        <v>37765</v>
      </c>
      <c r="B878" s="7">
        <f>YEAR(A878)</f>
        <v/>
      </c>
      <c r="C878" s="7">
        <f>MONTH(A878)</f>
        <v/>
      </c>
      <c r="D878" s="10" t="n">
        <v>22.09464312</v>
      </c>
      <c r="E878" s="11" t="n">
        <v>12.91471525</v>
      </c>
      <c r="F878" s="12" t="n">
        <v>0.03784695276</v>
      </c>
      <c r="G878" s="11" t="n">
        <v>289.3704999</v>
      </c>
      <c r="H878" s="13">
        <f>F878*1000</f>
        <v/>
      </c>
      <c r="I878" s="14">
        <f>G878-273.15</f>
        <v/>
      </c>
      <c r="K878" s="15" t="n">
        <v>2003</v>
      </c>
      <c r="L878" s="15" t="n">
        <v>6</v>
      </c>
      <c r="M878" s="15" t="n">
        <v>4</v>
      </c>
      <c r="N878" s="16" t="n">
        <v>6.749178519e-06</v>
      </c>
      <c r="O878" s="11" t="n">
        <v>290.3783909</v>
      </c>
      <c r="P878" s="13">
        <f>N878*86400</f>
        <v/>
      </c>
      <c r="Q878" s="14">
        <f>O878-273.15</f>
        <v/>
      </c>
    </row>
    <row r="879">
      <c r="A879" s="9" t="n">
        <v>37766</v>
      </c>
      <c r="B879" s="7">
        <f>YEAR(A879)</f>
        <v/>
      </c>
      <c r="C879" s="7">
        <f>MONTH(A879)</f>
        <v/>
      </c>
      <c r="D879" s="10" t="n">
        <v>15.03964693</v>
      </c>
      <c r="E879" s="11" t="n">
        <v>12.83653876</v>
      </c>
      <c r="F879" s="12" t="n">
        <v>0.008773655933</v>
      </c>
      <c r="G879" s="11" t="n">
        <v>289.0604525</v>
      </c>
      <c r="H879" s="13">
        <f>F879*1000</f>
        <v/>
      </c>
      <c r="I879" s="14">
        <f>G879-273.15</f>
        <v/>
      </c>
      <c r="K879" s="15" t="n">
        <v>2003</v>
      </c>
      <c r="L879" s="15" t="n">
        <v>6</v>
      </c>
      <c r="M879" s="15" t="n">
        <v>5</v>
      </c>
      <c r="N879" s="16" t="n">
        <v>0.000292312539</v>
      </c>
      <c r="O879" s="11" t="n">
        <v>290.8497165</v>
      </c>
      <c r="P879" s="13">
        <f>N879*86400</f>
        <v/>
      </c>
      <c r="Q879" s="14">
        <f>O879-273.15</f>
        <v/>
      </c>
    </row>
    <row r="880">
      <c r="A880" s="9" t="n">
        <v>37767</v>
      </c>
      <c r="B880" s="7">
        <f>YEAR(A880)</f>
        <v/>
      </c>
      <c r="C880" s="7">
        <f>MONTH(A880)</f>
        <v/>
      </c>
      <c r="D880" s="10" t="n">
        <v>4.956030233</v>
      </c>
      <c r="E880" s="11" t="n">
        <v>14.14350089</v>
      </c>
      <c r="F880" s="12" t="n">
        <v>0.007926332757</v>
      </c>
      <c r="G880" s="11" t="n">
        <v>289.1509094</v>
      </c>
      <c r="H880" s="13">
        <f>F880*1000</f>
        <v/>
      </c>
      <c r="I880" s="14">
        <f>G880-273.15</f>
        <v/>
      </c>
      <c r="K880" s="15" t="n">
        <v>2003</v>
      </c>
      <c r="L880" s="15" t="n">
        <v>6</v>
      </c>
      <c r="M880" s="15" t="n">
        <v>6</v>
      </c>
      <c r="N880" s="16" t="n">
        <v>6.517047399e-05</v>
      </c>
      <c r="O880" s="11" t="n">
        <v>290.8325467</v>
      </c>
      <c r="P880" s="13">
        <f>N880*86400</f>
        <v/>
      </c>
      <c r="Q880" s="14">
        <f>O880-273.15</f>
        <v/>
      </c>
    </row>
    <row r="881">
      <c r="A881" s="9" t="n">
        <v>37768</v>
      </c>
      <c r="B881" s="7">
        <f>YEAR(A881)</f>
        <v/>
      </c>
      <c r="C881" s="7">
        <f>MONTH(A881)</f>
        <v/>
      </c>
      <c r="D881" s="10" t="n">
        <v>0</v>
      </c>
      <c r="E881" s="11" t="n">
        <v>11.52038906</v>
      </c>
      <c r="F881" s="12" t="n">
        <v>0.004282249347</v>
      </c>
      <c r="G881" s="11" t="n">
        <v>287.6051236</v>
      </c>
      <c r="H881" s="13">
        <f>F881*1000</f>
        <v/>
      </c>
      <c r="I881" s="14">
        <f>G881-273.15</f>
        <v/>
      </c>
      <c r="K881" s="15" t="n">
        <v>2003</v>
      </c>
      <c r="L881" s="15" t="n">
        <v>6</v>
      </c>
      <c r="M881" s="15" t="n">
        <v>7</v>
      </c>
      <c r="N881" s="16" t="n">
        <v>1.470158889e-05</v>
      </c>
      <c r="O881" s="11" t="n">
        <v>291.3418164</v>
      </c>
      <c r="P881" s="13">
        <f>N881*86400</f>
        <v/>
      </c>
      <c r="Q881" s="14">
        <f>O881-273.15</f>
        <v/>
      </c>
    </row>
    <row r="882">
      <c r="A882" s="9" t="n">
        <v>37769</v>
      </c>
      <c r="B882" s="7">
        <f>YEAR(A882)</f>
        <v/>
      </c>
      <c r="C882" s="7">
        <f>MONTH(A882)</f>
        <v/>
      </c>
      <c r="D882" s="10" t="n">
        <v>0</v>
      </c>
      <c r="E882" s="11" t="n">
        <v>12.65909272</v>
      </c>
      <c r="F882" s="12" t="n">
        <v>0</v>
      </c>
      <c r="G882" s="11" t="n">
        <v>288.1183522</v>
      </c>
      <c r="H882" s="13">
        <f>F882*1000</f>
        <v/>
      </c>
      <c r="I882" s="14">
        <f>G882-273.15</f>
        <v/>
      </c>
      <c r="K882" s="15" t="n">
        <v>2003</v>
      </c>
      <c r="L882" s="15" t="n">
        <v>6</v>
      </c>
      <c r="M882" s="15" t="n">
        <v>8</v>
      </c>
      <c r="N882" s="16" t="n">
        <v>1.026687545e-05</v>
      </c>
      <c r="O882" s="11" t="n">
        <v>289.7167611</v>
      </c>
      <c r="P882" s="13">
        <f>N882*86400</f>
        <v/>
      </c>
      <c r="Q882" s="14">
        <f>O882-273.15</f>
        <v/>
      </c>
    </row>
    <row r="883">
      <c r="A883" s="9" t="n">
        <v>37770</v>
      </c>
      <c r="B883" s="7">
        <f>YEAR(A883)</f>
        <v/>
      </c>
      <c r="C883" s="7">
        <f>MONTH(A883)</f>
        <v/>
      </c>
      <c r="D883" s="10" t="n">
        <v>0</v>
      </c>
      <c r="E883" s="11" t="n">
        <v>13.28323386</v>
      </c>
      <c r="F883" s="12" t="n">
        <v>0</v>
      </c>
      <c r="G883" s="11" t="n">
        <v>288.5074636</v>
      </c>
      <c r="H883" s="13">
        <f>F883*1000</f>
        <v/>
      </c>
      <c r="I883" s="14">
        <f>G883-273.15</f>
        <v/>
      </c>
      <c r="K883" s="15" t="n">
        <v>2003</v>
      </c>
      <c r="L883" s="15" t="n">
        <v>6</v>
      </c>
      <c r="M883" s="15" t="n">
        <v>9</v>
      </c>
      <c r="N883" s="16" t="n">
        <v>7.209159962e-07</v>
      </c>
      <c r="O883" s="11" t="n">
        <v>291.3021353</v>
      </c>
      <c r="P883" s="13">
        <f>N883*86400</f>
        <v/>
      </c>
      <c r="Q883" s="14">
        <f>O883-273.15</f>
        <v/>
      </c>
    </row>
    <row r="884">
      <c r="A884" s="9" t="n">
        <v>37771</v>
      </c>
      <c r="B884" s="7">
        <f>YEAR(A884)</f>
        <v/>
      </c>
      <c r="C884" s="7">
        <f>MONTH(A884)</f>
        <v/>
      </c>
      <c r="D884" s="10" t="n">
        <v>0</v>
      </c>
      <c r="E884" s="11" t="n">
        <v>13.37645473</v>
      </c>
      <c r="F884" s="12" t="n">
        <v>0</v>
      </c>
      <c r="G884" s="11" t="n">
        <v>288.5370211</v>
      </c>
      <c r="H884" s="13">
        <f>F884*1000</f>
        <v/>
      </c>
      <c r="I884" s="14">
        <f>G884-273.15</f>
        <v/>
      </c>
      <c r="K884" s="15" t="n">
        <v>2003</v>
      </c>
      <c r="L884" s="15" t="n">
        <v>6</v>
      </c>
      <c r="M884" s="15" t="n">
        <v>10</v>
      </c>
      <c r="N884" s="16" t="n">
        <v>0</v>
      </c>
      <c r="O884" s="11" t="n">
        <v>288.6753273</v>
      </c>
      <c r="P884" s="13">
        <f>N884*86400</f>
        <v/>
      </c>
      <c r="Q884" s="14">
        <f>O884-273.15</f>
        <v/>
      </c>
    </row>
    <row r="885">
      <c r="A885" s="9" t="n">
        <v>37772</v>
      </c>
      <c r="B885" s="7">
        <f>YEAR(A885)</f>
        <v/>
      </c>
      <c r="C885" s="7">
        <f>MONTH(A885)</f>
        <v/>
      </c>
      <c r="D885" s="10" t="n">
        <v>0</v>
      </c>
      <c r="E885" s="11" t="n">
        <v>13.58772406</v>
      </c>
      <c r="F885" s="12" t="n">
        <v>0</v>
      </c>
      <c r="G885" s="11" t="n">
        <v>288.5476174</v>
      </c>
      <c r="H885" s="13">
        <f>F885*1000</f>
        <v/>
      </c>
      <c r="I885" s="14">
        <f>G885-273.15</f>
        <v/>
      </c>
      <c r="K885" s="15" t="n">
        <v>2003</v>
      </c>
      <c r="L885" s="15" t="n">
        <v>6</v>
      </c>
      <c r="M885" s="15" t="n">
        <v>11</v>
      </c>
      <c r="N885" s="16" t="n">
        <v>2.757233148e-05</v>
      </c>
      <c r="O885" s="11" t="n">
        <v>289.0954273</v>
      </c>
      <c r="P885" s="13">
        <f>N885*86400</f>
        <v/>
      </c>
      <c r="Q885" s="14">
        <f>O885-273.15</f>
        <v/>
      </c>
    </row>
    <row r="886">
      <c r="A886" s="9" t="n">
        <v>37773</v>
      </c>
      <c r="B886" s="7">
        <f>YEAR(A886)</f>
        <v/>
      </c>
      <c r="C886" s="7">
        <f>MONTH(A886)</f>
        <v/>
      </c>
      <c r="D886" s="10" t="n">
        <v>0</v>
      </c>
      <c r="E886" s="11" t="n">
        <v>13.04638496</v>
      </c>
      <c r="F886" s="12" t="n">
        <v>0</v>
      </c>
      <c r="G886" s="11" t="n">
        <v>287.5022703</v>
      </c>
      <c r="H886" s="13">
        <f>F886*1000</f>
        <v/>
      </c>
      <c r="I886" s="14">
        <f>G886-273.15</f>
        <v/>
      </c>
      <c r="K886" s="15" t="n">
        <v>2003</v>
      </c>
      <c r="L886" s="15" t="n">
        <v>6</v>
      </c>
      <c r="M886" s="15" t="n">
        <v>12</v>
      </c>
      <c r="N886" s="16" t="n">
        <v>1.006902394e-05</v>
      </c>
      <c r="O886" s="11" t="n">
        <v>290.0728382</v>
      </c>
      <c r="P886" s="13">
        <f>N886*86400</f>
        <v/>
      </c>
      <c r="Q886" s="14">
        <f>O886-273.15</f>
        <v/>
      </c>
    </row>
    <row r="887">
      <c r="A887" s="9" t="n">
        <v>37774</v>
      </c>
      <c r="B887" s="7">
        <f>YEAR(A887)</f>
        <v/>
      </c>
      <c r="C887" s="7">
        <f>MONTH(A887)</f>
        <v/>
      </c>
      <c r="D887" s="10" t="n">
        <v>7.915917704</v>
      </c>
      <c r="E887" s="11" t="n">
        <v>12.77198708</v>
      </c>
      <c r="F887" s="12" t="n">
        <v>0.002215657235</v>
      </c>
      <c r="G887" s="11" t="n">
        <v>288.465937</v>
      </c>
      <c r="H887" s="13">
        <f>F887*1000</f>
        <v/>
      </c>
      <c r="I887" s="14">
        <f>G887-273.15</f>
        <v/>
      </c>
      <c r="K887" s="15" t="n">
        <v>2003</v>
      </c>
      <c r="L887" s="15" t="n">
        <v>6</v>
      </c>
      <c r="M887" s="15" t="n">
        <v>13</v>
      </c>
      <c r="N887" s="16" t="n">
        <v>0</v>
      </c>
      <c r="O887" s="11" t="n">
        <v>291.4630603</v>
      </c>
      <c r="P887" s="13">
        <f>N887*86400</f>
        <v/>
      </c>
      <c r="Q887" s="14">
        <f>O887-273.15</f>
        <v/>
      </c>
    </row>
    <row r="888">
      <c r="A888" s="9" t="n">
        <v>37775</v>
      </c>
      <c r="B888" s="7">
        <f>YEAR(A888)</f>
        <v/>
      </c>
      <c r="C888" s="7">
        <f>MONTH(A888)</f>
        <v/>
      </c>
      <c r="D888" s="10" t="n">
        <v>0</v>
      </c>
      <c r="E888" s="11" t="n">
        <v>13.1833894</v>
      </c>
      <c r="F888" s="12" t="n">
        <v>0</v>
      </c>
      <c r="G888" s="11" t="n">
        <v>288.2041684</v>
      </c>
      <c r="H888" s="13">
        <f>F888*1000</f>
        <v/>
      </c>
      <c r="I888" s="14">
        <f>G888-273.15</f>
        <v/>
      </c>
      <c r="K888" s="15" t="n">
        <v>2003</v>
      </c>
      <c r="L888" s="15" t="n">
        <v>6</v>
      </c>
      <c r="M888" s="15" t="n">
        <v>14</v>
      </c>
      <c r="N888" s="16" t="n">
        <v>3.246669429e-05</v>
      </c>
      <c r="O888" s="11" t="n">
        <v>290.9543775</v>
      </c>
      <c r="P888" s="13">
        <f>N888*86400</f>
        <v/>
      </c>
      <c r="Q888" s="14">
        <f>O888-273.15</f>
        <v/>
      </c>
    </row>
    <row r="889">
      <c r="A889" s="9" t="n">
        <v>37776</v>
      </c>
      <c r="B889" s="7">
        <f>YEAR(A889)</f>
        <v/>
      </c>
      <c r="C889" s="7">
        <f>MONTH(A889)</f>
        <v/>
      </c>
      <c r="D889" s="10" t="n">
        <v>0</v>
      </c>
      <c r="E889" s="11" t="n">
        <v>15.34871505</v>
      </c>
      <c r="F889" s="12" t="n">
        <v>0.001800868199</v>
      </c>
      <c r="G889" s="11" t="n">
        <v>289.2638291</v>
      </c>
      <c r="H889" s="13">
        <f>F889*1000</f>
        <v/>
      </c>
      <c r="I889" s="14">
        <f>G889-273.15</f>
        <v/>
      </c>
      <c r="K889" s="15" t="n">
        <v>2003</v>
      </c>
      <c r="L889" s="15" t="n">
        <v>6</v>
      </c>
      <c r="M889" s="15" t="n">
        <v>15</v>
      </c>
      <c r="N889" s="16" t="n">
        <v>1.306044216e-07</v>
      </c>
      <c r="O889" s="11" t="n">
        <v>293.8841412</v>
      </c>
      <c r="P889" s="13">
        <f>N889*86400</f>
        <v/>
      </c>
      <c r="Q889" s="14">
        <f>O889-273.15</f>
        <v/>
      </c>
    </row>
    <row r="890">
      <c r="A890" s="9" t="n">
        <v>37777</v>
      </c>
      <c r="B890" s="7">
        <f>YEAR(A890)</f>
        <v/>
      </c>
      <c r="C890" s="7">
        <f>MONTH(A890)</f>
        <v/>
      </c>
      <c r="D890" s="10" t="n">
        <v>0</v>
      </c>
      <c r="E890" s="11" t="n">
        <v>16.79678403</v>
      </c>
      <c r="F890" s="12" t="n">
        <v>0</v>
      </c>
      <c r="G890" s="11" t="n">
        <v>290.3305558</v>
      </c>
      <c r="H890" s="13">
        <f>F890*1000</f>
        <v/>
      </c>
      <c r="I890" s="14">
        <f>G890-273.15</f>
        <v/>
      </c>
      <c r="K890" s="15" t="n">
        <v>2003</v>
      </c>
      <c r="L890" s="15" t="n">
        <v>6</v>
      </c>
      <c r="M890" s="15" t="n">
        <v>16</v>
      </c>
      <c r="N890" s="16" t="n">
        <v>0</v>
      </c>
      <c r="O890" s="11" t="n">
        <v>292.1327751</v>
      </c>
      <c r="P890" s="13">
        <f>N890*86400</f>
        <v/>
      </c>
      <c r="Q890" s="14">
        <f>O890-273.15</f>
        <v/>
      </c>
    </row>
    <row r="891">
      <c r="A891" s="9" t="n">
        <v>37778</v>
      </c>
      <c r="B891" s="7">
        <f>YEAR(A891)</f>
        <v/>
      </c>
      <c r="C891" s="7">
        <f>MONTH(A891)</f>
        <v/>
      </c>
      <c r="D891" s="10" t="n">
        <v>0</v>
      </c>
      <c r="E891" s="11" t="n">
        <v>15.69479539</v>
      </c>
      <c r="F891" s="12" t="n">
        <v>9.980486676e-05</v>
      </c>
      <c r="G891" s="11" t="n">
        <v>289.6550667</v>
      </c>
      <c r="H891" s="13">
        <f>F891*1000</f>
        <v/>
      </c>
      <c r="I891" s="14">
        <f>G891-273.15</f>
        <v/>
      </c>
      <c r="K891" s="15" t="n">
        <v>2003</v>
      </c>
      <c r="L891" s="15" t="n">
        <v>6</v>
      </c>
      <c r="M891" s="15" t="n">
        <v>17</v>
      </c>
      <c r="N891" s="16" t="n">
        <v>1.511017081e-05</v>
      </c>
      <c r="O891" s="11" t="n">
        <v>293.1894729</v>
      </c>
      <c r="P891" s="13">
        <f>N891*86400</f>
        <v/>
      </c>
      <c r="Q891" s="14">
        <f>O891-273.15</f>
        <v/>
      </c>
    </row>
    <row r="892">
      <c r="A892" s="9" t="n">
        <v>37779</v>
      </c>
      <c r="B892" s="7">
        <f>YEAR(A892)</f>
        <v/>
      </c>
      <c r="C892" s="7">
        <f>MONTH(A892)</f>
        <v/>
      </c>
      <c r="D892" s="10" t="n">
        <v>29.71703964</v>
      </c>
      <c r="E892" s="11" t="n">
        <v>13.54844632</v>
      </c>
      <c r="F892" s="12" t="n">
        <v>0.0247325665</v>
      </c>
      <c r="G892" s="11" t="n">
        <v>288.509273</v>
      </c>
      <c r="H892" s="13">
        <f>F892*1000</f>
        <v/>
      </c>
      <c r="I892" s="14">
        <f>G892-273.15</f>
        <v/>
      </c>
      <c r="K892" s="15" t="n">
        <v>2003</v>
      </c>
      <c r="L892" s="15" t="n">
        <v>6</v>
      </c>
      <c r="M892" s="15" t="n">
        <v>18</v>
      </c>
      <c r="N892" s="16" t="n">
        <v>1.202904552e-05</v>
      </c>
      <c r="O892" s="11" t="n">
        <v>293.5741641</v>
      </c>
      <c r="P892" s="13">
        <f>N892*86400</f>
        <v/>
      </c>
      <c r="Q892" s="14">
        <f>O892-273.15</f>
        <v/>
      </c>
    </row>
    <row r="893">
      <c r="A893" s="9" t="n">
        <v>37780</v>
      </c>
      <c r="B893" s="7">
        <f>YEAR(A893)</f>
        <v/>
      </c>
      <c r="C893" s="7">
        <f>MONTH(A893)</f>
        <v/>
      </c>
      <c r="D893" s="10" t="n">
        <v>23.31924337</v>
      </c>
      <c r="E893" s="11" t="n">
        <v>15.87469272</v>
      </c>
      <c r="F893" s="12" t="n">
        <v>0.01344971429</v>
      </c>
      <c r="G893" s="11" t="n">
        <v>290.9344806</v>
      </c>
      <c r="H893" s="13">
        <f>F893*1000</f>
        <v/>
      </c>
      <c r="I893" s="14">
        <f>G893-273.15</f>
        <v/>
      </c>
      <c r="K893" s="15" t="n">
        <v>2003</v>
      </c>
      <c r="L893" s="15" t="n">
        <v>6</v>
      </c>
      <c r="M893" s="15" t="n">
        <v>19</v>
      </c>
      <c r="N893" s="16" t="n">
        <v>0</v>
      </c>
      <c r="O893" s="11" t="n">
        <v>294.4991517</v>
      </c>
      <c r="P893" s="13">
        <f>N893*86400</f>
        <v/>
      </c>
      <c r="Q893" s="14">
        <f>O893-273.15</f>
        <v/>
      </c>
    </row>
    <row r="894">
      <c r="A894" s="9" t="n">
        <v>37781</v>
      </c>
      <c r="B894" s="7">
        <f>YEAR(A894)</f>
        <v/>
      </c>
      <c r="C894" s="7">
        <f>MONTH(A894)</f>
        <v/>
      </c>
      <c r="D894" s="10" t="n">
        <v>0.3326257776</v>
      </c>
      <c r="E894" s="11" t="n">
        <v>18.29673848</v>
      </c>
      <c r="F894" s="12" t="n">
        <v>0.002743098737</v>
      </c>
      <c r="G894" s="11" t="n">
        <v>293.2267515</v>
      </c>
      <c r="H894" s="13">
        <f>F894*1000</f>
        <v/>
      </c>
      <c r="I894" s="14">
        <f>G894-273.15</f>
        <v/>
      </c>
      <c r="K894" s="15" t="n">
        <v>2003</v>
      </c>
      <c r="L894" s="15" t="n">
        <v>6</v>
      </c>
      <c r="M894" s="15" t="n">
        <v>20</v>
      </c>
      <c r="N894" s="16" t="n">
        <v>0</v>
      </c>
      <c r="O894" s="11" t="n">
        <v>294.0231303</v>
      </c>
      <c r="P894" s="13">
        <f>N894*86400</f>
        <v/>
      </c>
      <c r="Q894" s="14">
        <f>O894-273.15</f>
        <v/>
      </c>
    </row>
    <row r="895">
      <c r="A895" s="9" t="n">
        <v>37782</v>
      </c>
      <c r="B895" s="7">
        <f>YEAR(A895)</f>
        <v/>
      </c>
      <c r="C895" s="7">
        <f>MONTH(A895)</f>
        <v/>
      </c>
      <c r="D895" s="10" t="n">
        <v>23.69212451</v>
      </c>
      <c r="E895" s="11" t="n">
        <v>18.29327866</v>
      </c>
      <c r="F895" s="12" t="n">
        <v>0.003317148239</v>
      </c>
      <c r="G895" s="11" t="n">
        <v>292.2605451</v>
      </c>
      <c r="H895" s="13">
        <f>F895*1000</f>
        <v/>
      </c>
      <c r="I895" s="14">
        <f>G895-273.15</f>
        <v/>
      </c>
      <c r="K895" s="15" t="n">
        <v>2003</v>
      </c>
      <c r="L895" s="15" t="n">
        <v>6</v>
      </c>
      <c r="M895" s="15" t="n">
        <v>21</v>
      </c>
      <c r="N895" s="16" t="n">
        <v>2.734525919e-05</v>
      </c>
      <c r="O895" s="11" t="n">
        <v>292.7553231</v>
      </c>
      <c r="P895" s="13">
        <f>N895*86400</f>
        <v/>
      </c>
      <c r="Q895" s="14">
        <f>O895-273.15</f>
        <v/>
      </c>
    </row>
    <row r="896">
      <c r="A896" s="9" t="n">
        <v>37783</v>
      </c>
      <c r="B896" s="7">
        <f>YEAR(A896)</f>
        <v/>
      </c>
      <c r="C896" s="7">
        <f>MONTH(A896)</f>
        <v/>
      </c>
      <c r="D896" s="10" t="n">
        <v>0.0197763139</v>
      </c>
      <c r="E896" s="11" t="n">
        <v>17.62640499</v>
      </c>
      <c r="F896" s="12" t="n">
        <v>0</v>
      </c>
      <c r="G896" s="11" t="n">
        <v>292.7050235</v>
      </c>
      <c r="H896" s="13">
        <f>F896*1000</f>
        <v/>
      </c>
      <c r="I896" s="14">
        <f>G896-273.15</f>
        <v/>
      </c>
      <c r="K896" s="15" t="n">
        <v>2003</v>
      </c>
      <c r="L896" s="15" t="n">
        <v>6</v>
      </c>
      <c r="M896" s="15" t="n">
        <v>22</v>
      </c>
      <c r="N896" s="16" t="n">
        <v>0</v>
      </c>
      <c r="O896" s="11" t="n">
        <v>293.7511772</v>
      </c>
      <c r="P896" s="13">
        <f>N896*86400</f>
        <v/>
      </c>
      <c r="Q896" s="14">
        <f>O896-273.15</f>
        <v/>
      </c>
    </row>
    <row r="897">
      <c r="A897" s="9" t="n">
        <v>37784</v>
      </c>
      <c r="B897" s="7">
        <f>YEAR(A897)</f>
        <v/>
      </c>
      <c r="C897" s="7">
        <f>MONTH(A897)</f>
        <v/>
      </c>
      <c r="D897" s="10" t="n">
        <v>28.09738793</v>
      </c>
      <c r="E897" s="11" t="n">
        <v>17.91075132</v>
      </c>
      <c r="F897" s="12" t="n">
        <v>0.0118938789</v>
      </c>
      <c r="G897" s="11" t="n">
        <v>292.0251032</v>
      </c>
      <c r="H897" s="13">
        <f>F897*1000</f>
        <v/>
      </c>
      <c r="I897" s="14">
        <f>G897-273.15</f>
        <v/>
      </c>
      <c r="K897" s="15" t="n">
        <v>2003</v>
      </c>
      <c r="L897" s="15" t="n">
        <v>6</v>
      </c>
      <c r="M897" s="15" t="n">
        <v>23</v>
      </c>
      <c r="N897" s="16" t="n">
        <v>5.962491569e-06</v>
      </c>
      <c r="O897" s="11" t="n">
        <v>292.7030872</v>
      </c>
      <c r="P897" s="13">
        <f>N897*86400</f>
        <v/>
      </c>
      <c r="Q897" s="14">
        <f>O897-273.15</f>
        <v/>
      </c>
    </row>
    <row r="898">
      <c r="A898" s="9" t="n">
        <v>37785</v>
      </c>
      <c r="B898" s="7">
        <f>YEAR(A898)</f>
        <v/>
      </c>
      <c r="C898" s="7">
        <f>MONTH(A898)</f>
        <v/>
      </c>
      <c r="D898" s="10" t="n">
        <v>11.56264446</v>
      </c>
      <c r="E898" s="11" t="n">
        <v>19.18574831</v>
      </c>
      <c r="F898" s="12" t="n">
        <v>0.01270901593</v>
      </c>
      <c r="G898" s="11" t="n">
        <v>292.9987221</v>
      </c>
      <c r="H898" s="13">
        <f>F898*1000</f>
        <v/>
      </c>
      <c r="I898" s="14">
        <f>G898-273.15</f>
        <v/>
      </c>
      <c r="K898" s="15" t="n">
        <v>2003</v>
      </c>
      <c r="L898" s="15" t="n">
        <v>6</v>
      </c>
      <c r="M898" s="15" t="n">
        <v>24</v>
      </c>
      <c r="N898" s="16" t="n">
        <v>1.82098141e-05</v>
      </c>
      <c r="O898" s="11" t="n">
        <v>292.8151474</v>
      </c>
      <c r="P898" s="13">
        <f>N898*86400</f>
        <v/>
      </c>
      <c r="Q898" s="14">
        <f>O898-273.15</f>
        <v/>
      </c>
    </row>
    <row r="899">
      <c r="A899" s="9" t="n">
        <v>37786</v>
      </c>
      <c r="B899" s="7">
        <f>YEAR(A899)</f>
        <v/>
      </c>
      <c r="C899" s="7">
        <f>MONTH(A899)</f>
        <v/>
      </c>
      <c r="D899" s="10" t="n">
        <v>0.3961774472</v>
      </c>
      <c r="E899" s="11" t="n">
        <v>17.75506067</v>
      </c>
      <c r="F899" s="12" t="n">
        <v>0.004552003294</v>
      </c>
      <c r="G899" s="11" t="n">
        <v>292.2484336</v>
      </c>
      <c r="H899" s="13">
        <f>F899*1000</f>
        <v/>
      </c>
      <c r="I899" s="14">
        <f>G899-273.15</f>
        <v/>
      </c>
      <c r="K899" s="15" t="n">
        <v>2003</v>
      </c>
      <c r="L899" s="15" t="n">
        <v>6</v>
      </c>
      <c r="M899" s="15" t="n">
        <v>25</v>
      </c>
      <c r="N899" s="16" t="n">
        <v>4.902485722e-05</v>
      </c>
      <c r="O899" s="11" t="n">
        <v>292.582913</v>
      </c>
      <c r="P899" s="13">
        <f>N899*86400</f>
        <v/>
      </c>
      <c r="Q899" s="14">
        <f>O899-273.15</f>
        <v/>
      </c>
    </row>
    <row r="900">
      <c r="A900" s="9" t="n">
        <v>37787</v>
      </c>
      <c r="B900" s="7">
        <f>YEAR(A900)</f>
        <v/>
      </c>
      <c r="C900" s="7">
        <f>MONTH(A900)</f>
        <v/>
      </c>
      <c r="D900" s="10" t="n">
        <v>1.740545314</v>
      </c>
      <c r="E900" s="11" t="n">
        <v>18.37308978</v>
      </c>
      <c r="F900" s="12" t="n">
        <v>0.003376146713</v>
      </c>
      <c r="G900" s="11" t="n">
        <v>292.5382082</v>
      </c>
      <c r="H900" s="13">
        <f>F900*1000</f>
        <v/>
      </c>
      <c r="I900" s="14">
        <f>G900-273.15</f>
        <v/>
      </c>
      <c r="K900" s="15" t="n">
        <v>2003</v>
      </c>
      <c r="L900" s="15" t="n">
        <v>6</v>
      </c>
      <c r="M900" s="15" t="n">
        <v>26</v>
      </c>
      <c r="N900" s="16" t="n">
        <v>3.491054535e-05</v>
      </c>
      <c r="O900" s="11" t="n">
        <v>291.4800215</v>
      </c>
      <c r="P900" s="13">
        <f>N900*86400</f>
        <v/>
      </c>
      <c r="Q900" s="14">
        <f>O900-273.15</f>
        <v/>
      </c>
    </row>
    <row r="901">
      <c r="A901" s="9" t="n">
        <v>37788</v>
      </c>
      <c r="B901" s="7">
        <f>YEAR(A901)</f>
        <v/>
      </c>
      <c r="C901" s="7">
        <f>MONTH(A901)</f>
        <v/>
      </c>
      <c r="D901" s="10" t="n">
        <v>0</v>
      </c>
      <c r="E901" s="11" t="n">
        <v>15.76968056</v>
      </c>
      <c r="F901" s="12" t="n">
        <v>0.001194624026</v>
      </c>
      <c r="G901" s="11" t="n">
        <v>291.6135106</v>
      </c>
      <c r="H901" s="13">
        <f>F901*1000</f>
        <v/>
      </c>
      <c r="I901" s="14">
        <f>G901-273.15</f>
        <v/>
      </c>
      <c r="K901" s="15" t="n">
        <v>2003</v>
      </c>
      <c r="L901" s="15" t="n">
        <v>6</v>
      </c>
      <c r="M901" s="15" t="n">
        <v>27</v>
      </c>
      <c r="N901" s="16" t="n">
        <v>5.409962921e-05</v>
      </c>
      <c r="O901" s="11" t="n">
        <v>292.507244</v>
      </c>
      <c r="P901" s="13">
        <f>N901*86400</f>
        <v/>
      </c>
      <c r="Q901" s="14">
        <f>O901-273.15</f>
        <v/>
      </c>
    </row>
    <row r="902">
      <c r="A902" s="9" t="n">
        <v>37789</v>
      </c>
      <c r="B902" s="7">
        <f>YEAR(A902)</f>
        <v/>
      </c>
      <c r="C902" s="7">
        <f>MONTH(A902)</f>
        <v/>
      </c>
      <c r="D902" s="10" t="n">
        <v>0</v>
      </c>
      <c r="E902" s="11" t="n">
        <v>17.1225095</v>
      </c>
      <c r="F902" s="12" t="n">
        <v>0.001943174757</v>
      </c>
      <c r="G902" s="11" t="n">
        <v>292.3230468</v>
      </c>
      <c r="H902" s="13">
        <f>F902*1000</f>
        <v/>
      </c>
      <c r="I902" s="14">
        <f>G902-273.15</f>
        <v/>
      </c>
      <c r="K902" s="15" t="n">
        <v>2003</v>
      </c>
      <c r="L902" s="15" t="n">
        <v>6</v>
      </c>
      <c r="M902" s="15" t="n">
        <v>28</v>
      </c>
      <c r="N902" s="16" t="n">
        <v>3.224039196e-05</v>
      </c>
      <c r="O902" s="11" t="n">
        <v>293.8831101</v>
      </c>
      <c r="P902" s="13">
        <f>N902*86400</f>
        <v/>
      </c>
      <c r="Q902" s="14">
        <f>O902-273.15</f>
        <v/>
      </c>
    </row>
    <row r="903">
      <c r="A903" s="9" t="n">
        <v>37790</v>
      </c>
      <c r="B903" s="7">
        <f>YEAR(A903)</f>
        <v/>
      </c>
      <c r="C903" s="7">
        <f>MONTH(A903)</f>
        <v/>
      </c>
      <c r="D903" s="10" t="n">
        <v>0</v>
      </c>
      <c r="E903" s="11" t="n">
        <v>14.7572484</v>
      </c>
      <c r="F903" s="12" t="n">
        <v>0.002250765405</v>
      </c>
      <c r="G903" s="11" t="n">
        <v>289.830184</v>
      </c>
      <c r="H903" s="13">
        <f>F903*1000</f>
        <v/>
      </c>
      <c r="I903" s="14">
        <f>G903-273.15</f>
        <v/>
      </c>
      <c r="K903" s="15" t="n">
        <v>2003</v>
      </c>
      <c r="L903" s="15" t="n">
        <v>6</v>
      </c>
      <c r="M903" s="15" t="n">
        <v>29</v>
      </c>
      <c r="N903" s="16" t="n">
        <v>3.956955092e-06</v>
      </c>
      <c r="O903" s="11" t="n">
        <v>294.9354451</v>
      </c>
      <c r="P903" s="13">
        <f>N903*86400</f>
        <v/>
      </c>
      <c r="Q903" s="14">
        <f>O903-273.15</f>
        <v/>
      </c>
    </row>
    <row r="904">
      <c r="A904" s="9" t="n">
        <v>37791</v>
      </c>
      <c r="B904" s="7">
        <f>YEAR(A904)</f>
        <v/>
      </c>
      <c r="C904" s="7">
        <f>MONTH(A904)</f>
        <v/>
      </c>
      <c r="D904" s="10" t="n">
        <v>0</v>
      </c>
      <c r="E904" s="11" t="n">
        <v>13.84036176</v>
      </c>
      <c r="F904" s="12" t="n">
        <v>0.002193590676</v>
      </c>
      <c r="G904" s="11" t="n">
        <v>289.3060215</v>
      </c>
      <c r="H904" s="13">
        <f>F904*1000</f>
        <v/>
      </c>
      <c r="I904" s="14">
        <f>G904-273.15</f>
        <v/>
      </c>
      <c r="K904" s="15" t="n">
        <v>2003</v>
      </c>
      <c r="L904" s="15" t="n">
        <v>6</v>
      </c>
      <c r="M904" s="15" t="n">
        <v>30</v>
      </c>
      <c r="N904" s="16" t="n">
        <v>7.338048761999999e-05</v>
      </c>
      <c r="O904" s="11" t="n">
        <v>294.3735344</v>
      </c>
      <c r="P904" s="13">
        <f>N904*86400</f>
        <v/>
      </c>
      <c r="Q904" s="14">
        <f>O904-273.15</f>
        <v/>
      </c>
    </row>
    <row r="905">
      <c r="A905" s="9" t="n">
        <v>37792</v>
      </c>
      <c r="B905" s="7">
        <f>YEAR(A905)</f>
        <v/>
      </c>
      <c r="C905" s="7">
        <f>MONTH(A905)</f>
        <v/>
      </c>
      <c r="D905" s="10" t="n">
        <v>0</v>
      </c>
      <c r="E905" s="11" t="n">
        <v>15.51989492</v>
      </c>
      <c r="F905" s="12" t="n">
        <v>0.002088827958</v>
      </c>
      <c r="G905" s="11" t="n">
        <v>290.7073104</v>
      </c>
      <c r="H905" s="13">
        <f>F905*1000</f>
        <v/>
      </c>
      <c r="I905" s="14">
        <f>G905-273.15</f>
        <v/>
      </c>
      <c r="K905" s="15" t="n">
        <v>2003</v>
      </c>
      <c r="L905" s="15" t="n">
        <v>7</v>
      </c>
      <c r="M905" s="15" t="n">
        <v>1</v>
      </c>
      <c r="N905" s="16" t="n">
        <v>6.455995312e-05</v>
      </c>
      <c r="O905" s="11" t="n">
        <v>293.1085524</v>
      </c>
      <c r="P905" s="13">
        <f>N905*86400</f>
        <v/>
      </c>
      <c r="Q905" s="14">
        <f>O905-273.15</f>
        <v/>
      </c>
    </row>
    <row r="906">
      <c r="A906" s="9" t="n">
        <v>37793</v>
      </c>
      <c r="B906" s="7">
        <f>YEAR(A906)</f>
        <v/>
      </c>
      <c r="C906" s="7">
        <f>MONTH(A906)</f>
        <v/>
      </c>
      <c r="D906" s="10" t="n">
        <v>5.390051337</v>
      </c>
      <c r="E906" s="11" t="n">
        <v>13.05477648</v>
      </c>
      <c r="F906" s="12" t="n">
        <v>0.006882319604</v>
      </c>
      <c r="G906" s="11" t="n">
        <v>288.301232</v>
      </c>
      <c r="H906" s="13">
        <f>F906*1000</f>
        <v/>
      </c>
      <c r="I906" s="14">
        <f>G906-273.15</f>
        <v/>
      </c>
      <c r="K906" s="15" t="n">
        <v>2003</v>
      </c>
      <c r="L906" s="15" t="n">
        <v>7</v>
      </c>
      <c r="M906" s="15" t="n">
        <v>2</v>
      </c>
      <c r="N906" s="16" t="n">
        <v>3.973071227e-05</v>
      </c>
      <c r="O906" s="11" t="n">
        <v>292.2443817</v>
      </c>
      <c r="P906" s="13">
        <f>N906*86400</f>
        <v/>
      </c>
      <c r="Q906" s="14">
        <f>O906-273.15</f>
        <v/>
      </c>
    </row>
    <row r="907">
      <c r="A907" s="9" t="n">
        <v>37794</v>
      </c>
      <c r="B907" s="7">
        <f>YEAR(A907)</f>
        <v/>
      </c>
      <c r="C907" s="7">
        <f>MONTH(A907)</f>
        <v/>
      </c>
      <c r="D907" s="10" t="n">
        <v>9.182273726</v>
      </c>
      <c r="E907" s="11" t="n">
        <v>15.02075284</v>
      </c>
      <c r="F907" s="12" t="n">
        <v>0.003343088498</v>
      </c>
      <c r="G907" s="11" t="n">
        <v>289.6447157</v>
      </c>
      <c r="H907" s="13">
        <f>F907*1000</f>
        <v/>
      </c>
      <c r="I907" s="14">
        <f>G907-273.15</f>
        <v/>
      </c>
      <c r="K907" s="15" t="n">
        <v>2003</v>
      </c>
      <c r="L907" s="15" t="n">
        <v>7</v>
      </c>
      <c r="M907" s="15" t="n">
        <v>3</v>
      </c>
      <c r="N907" s="16" t="n">
        <v>5.880958068e-06</v>
      </c>
      <c r="O907" s="11" t="n">
        <v>289.4235768</v>
      </c>
      <c r="P907" s="13">
        <f>N907*86400</f>
        <v/>
      </c>
      <c r="Q907" s="14">
        <f>O907-273.15</f>
        <v/>
      </c>
    </row>
    <row r="908">
      <c r="A908" s="9" t="n">
        <v>37795</v>
      </c>
      <c r="B908" s="7">
        <f>YEAR(A908)</f>
        <v/>
      </c>
      <c r="C908" s="7">
        <f>MONTH(A908)</f>
        <v/>
      </c>
      <c r="D908" s="10" t="n">
        <v>10.51702462</v>
      </c>
      <c r="E908" s="11" t="n">
        <v>16.49143252</v>
      </c>
      <c r="F908" s="12" t="n">
        <v>0.008831142933</v>
      </c>
      <c r="G908" s="11" t="n">
        <v>289.8538379</v>
      </c>
      <c r="H908" s="13">
        <f>F908*1000</f>
        <v/>
      </c>
      <c r="I908" s="14">
        <f>G908-273.15</f>
        <v/>
      </c>
      <c r="K908" s="15" t="n">
        <v>2003</v>
      </c>
      <c r="L908" s="15" t="n">
        <v>7</v>
      </c>
      <c r="M908" s="15" t="n">
        <v>4</v>
      </c>
      <c r="N908" s="16" t="n">
        <v>0</v>
      </c>
      <c r="O908" s="11" t="n">
        <v>289.6640369</v>
      </c>
      <c r="P908" s="13">
        <f>N908*86400</f>
        <v/>
      </c>
      <c r="Q908" s="14">
        <f>O908-273.15</f>
        <v/>
      </c>
    </row>
    <row r="909">
      <c r="A909" s="9" t="n">
        <v>37796</v>
      </c>
      <c r="B909" s="7">
        <f>YEAR(A909)</f>
        <v/>
      </c>
      <c r="C909" s="7">
        <f>MONTH(A909)</f>
        <v/>
      </c>
      <c r="D909" s="10" t="n">
        <v>3.015018827</v>
      </c>
      <c r="E909" s="11" t="n">
        <v>18.20628241</v>
      </c>
      <c r="F909" s="12" t="n">
        <v>0.001151454916</v>
      </c>
      <c r="G909" s="11" t="n">
        <v>292.7463936</v>
      </c>
      <c r="H909" s="13">
        <f>F909*1000</f>
        <v/>
      </c>
      <c r="I909" s="14">
        <f>G909-273.15</f>
        <v/>
      </c>
      <c r="K909" s="15" t="n">
        <v>2003</v>
      </c>
      <c r="L909" s="15" t="n">
        <v>7</v>
      </c>
      <c r="M909" s="15" t="n">
        <v>5</v>
      </c>
      <c r="N909" s="16" t="n">
        <v>4.320811144e-05</v>
      </c>
      <c r="O909" s="11" t="n">
        <v>289.9931261</v>
      </c>
      <c r="P909" s="13">
        <f>N909*86400</f>
        <v/>
      </c>
      <c r="Q909" s="14">
        <f>O909-273.15</f>
        <v/>
      </c>
    </row>
    <row r="910">
      <c r="A910" s="9" t="n">
        <v>37797</v>
      </c>
      <c r="B910" s="7">
        <f>YEAR(A910)</f>
        <v/>
      </c>
      <c r="C910" s="7">
        <f>MONTH(A910)</f>
        <v/>
      </c>
      <c r="D910" s="10" t="n">
        <v>0</v>
      </c>
      <c r="E910" s="11" t="n">
        <v>18.19884259</v>
      </c>
      <c r="F910" s="12" t="n">
        <v>0.000457873444</v>
      </c>
      <c r="G910" s="11" t="n">
        <v>292.5681457</v>
      </c>
      <c r="H910" s="13">
        <f>F910*1000</f>
        <v/>
      </c>
      <c r="I910" s="14">
        <f>G910-273.15</f>
        <v/>
      </c>
      <c r="K910" s="15" t="n">
        <v>2003</v>
      </c>
      <c r="L910" s="15" t="n">
        <v>7</v>
      </c>
      <c r="M910" s="15" t="n">
        <v>6</v>
      </c>
      <c r="N910" s="16" t="n">
        <v>0</v>
      </c>
      <c r="O910" s="11" t="n">
        <v>290.273759</v>
      </c>
      <c r="P910" s="13">
        <f>N910*86400</f>
        <v/>
      </c>
      <c r="Q910" s="14">
        <f>O910-273.15</f>
        <v/>
      </c>
    </row>
    <row r="911">
      <c r="A911" s="9" t="n">
        <v>37798</v>
      </c>
      <c r="B911" s="7">
        <f>YEAR(A911)</f>
        <v/>
      </c>
      <c r="C911" s="7">
        <f>MONTH(A911)</f>
        <v/>
      </c>
      <c r="D911" s="10" t="n">
        <v>7.81892322</v>
      </c>
      <c r="E911" s="11" t="n">
        <v>19.04741203</v>
      </c>
      <c r="F911" s="12" t="n">
        <v>0.002326871752</v>
      </c>
      <c r="G911" s="11" t="n">
        <v>294.1942921</v>
      </c>
      <c r="H911" s="13">
        <f>F911*1000</f>
        <v/>
      </c>
      <c r="I911" s="14">
        <f>G911-273.15</f>
        <v/>
      </c>
      <c r="K911" s="15" t="n">
        <v>2003</v>
      </c>
      <c r="L911" s="15" t="n">
        <v>7</v>
      </c>
      <c r="M911" s="15" t="n">
        <v>7</v>
      </c>
      <c r="N911" s="16" t="n">
        <v>0</v>
      </c>
      <c r="O911" s="11" t="n">
        <v>291.9764333</v>
      </c>
      <c r="P911" s="13">
        <f>N911*86400</f>
        <v/>
      </c>
      <c r="Q911" s="14">
        <f>O911-273.15</f>
        <v/>
      </c>
    </row>
    <row r="912">
      <c r="A912" s="9" t="n">
        <v>37799</v>
      </c>
      <c r="B912" s="7">
        <f>YEAR(A912)</f>
        <v/>
      </c>
      <c r="C912" s="7">
        <f>MONTH(A912)</f>
        <v/>
      </c>
      <c r="D912" s="10" t="n">
        <v>0.003193217105</v>
      </c>
      <c r="E912" s="11" t="n">
        <v>18.37813411</v>
      </c>
      <c r="F912" s="12" t="n">
        <v>0.0009863896715</v>
      </c>
      <c r="G912" s="11" t="n">
        <v>294.4281283</v>
      </c>
      <c r="H912" s="13">
        <f>F912*1000</f>
        <v/>
      </c>
      <c r="I912" s="14">
        <f>G912-273.15</f>
        <v/>
      </c>
      <c r="K912" s="15" t="n">
        <v>2003</v>
      </c>
      <c r="L912" s="15" t="n">
        <v>7</v>
      </c>
      <c r="M912" s="15" t="n">
        <v>8</v>
      </c>
      <c r="N912" s="16" t="n">
        <v>1.801450819e-06</v>
      </c>
      <c r="O912" s="11" t="n">
        <v>292.5977785</v>
      </c>
      <c r="P912" s="13">
        <f>N912*86400</f>
        <v/>
      </c>
      <c r="Q912" s="14">
        <f>O912-273.15</f>
        <v/>
      </c>
    </row>
    <row r="913">
      <c r="A913" s="9" t="n">
        <v>37800</v>
      </c>
      <c r="B913" s="7">
        <f>YEAR(A913)</f>
        <v/>
      </c>
      <c r="C913" s="7">
        <f>MONTH(A913)</f>
        <v/>
      </c>
      <c r="D913" s="10" t="n">
        <v>3.775179694</v>
      </c>
      <c r="E913" s="11" t="n">
        <v>18.3855156</v>
      </c>
      <c r="F913" s="12" t="n">
        <v>0.000380750072</v>
      </c>
      <c r="G913" s="11" t="n">
        <v>295.3349529</v>
      </c>
      <c r="H913" s="13">
        <f>F913*1000</f>
        <v/>
      </c>
      <c r="I913" s="14">
        <f>G913-273.15</f>
        <v/>
      </c>
      <c r="K913" s="15" t="n">
        <v>2003</v>
      </c>
      <c r="L913" s="15" t="n">
        <v>7</v>
      </c>
      <c r="M913" s="15" t="n">
        <v>9</v>
      </c>
      <c r="N913" s="16" t="n">
        <v>0.0001755929968</v>
      </c>
      <c r="O913" s="11" t="n">
        <v>291.7878346</v>
      </c>
      <c r="P913" s="13">
        <f>N913*86400</f>
        <v/>
      </c>
      <c r="Q913" s="14">
        <f>O913-273.15</f>
        <v/>
      </c>
    </row>
    <row r="914">
      <c r="A914" s="9" t="n">
        <v>37801</v>
      </c>
      <c r="B914" s="7">
        <f>YEAR(A914)</f>
        <v/>
      </c>
      <c r="C914" s="7">
        <f>MONTH(A914)</f>
        <v/>
      </c>
      <c r="D914" s="10" t="n">
        <v>0</v>
      </c>
      <c r="E914" s="11" t="n">
        <v>15.02065919</v>
      </c>
      <c r="F914" s="12" t="n">
        <v>0.0003686598471</v>
      </c>
      <c r="G914" s="11" t="n">
        <v>291.5850802</v>
      </c>
      <c r="H914" s="13">
        <f>F914*1000</f>
        <v/>
      </c>
      <c r="I914" s="14">
        <f>G914-273.15</f>
        <v/>
      </c>
      <c r="K914" s="15" t="n">
        <v>2003</v>
      </c>
      <c r="L914" s="15" t="n">
        <v>7</v>
      </c>
      <c r="M914" s="15" t="n">
        <v>10</v>
      </c>
      <c r="N914" s="16" t="n">
        <v>0.0001207331298</v>
      </c>
      <c r="O914" s="11" t="n">
        <v>292.1174116</v>
      </c>
      <c r="P914" s="13">
        <f>N914*86400</f>
        <v/>
      </c>
      <c r="Q914" s="14">
        <f>O914-273.15</f>
        <v/>
      </c>
    </row>
    <row r="915">
      <c r="A915" s="9" t="n">
        <v>37802</v>
      </c>
      <c r="B915" s="7">
        <f>YEAR(A915)</f>
        <v/>
      </c>
      <c r="C915" s="7">
        <f>MONTH(A915)</f>
        <v/>
      </c>
      <c r="D915" s="10" t="n">
        <v>0.7755873861</v>
      </c>
      <c r="E915" s="11" t="n">
        <v>16.63719378</v>
      </c>
      <c r="F915" s="12" t="n">
        <v>0.004077369623</v>
      </c>
      <c r="G915" s="11" t="n">
        <v>292.1847028</v>
      </c>
      <c r="H915" s="13">
        <f>F915*1000</f>
        <v/>
      </c>
      <c r="I915" s="14">
        <f>G915-273.15</f>
        <v/>
      </c>
      <c r="K915" s="15" t="n">
        <v>2003</v>
      </c>
      <c r="L915" s="15" t="n">
        <v>7</v>
      </c>
      <c r="M915" s="15" t="n">
        <v>11</v>
      </c>
      <c r="N915" s="16" t="n">
        <v>0.0001219181215</v>
      </c>
      <c r="O915" s="11" t="n">
        <v>293.3549825</v>
      </c>
      <c r="P915" s="13">
        <f>N915*86400</f>
        <v/>
      </c>
      <c r="Q915" s="14">
        <f>O915-273.15</f>
        <v/>
      </c>
    </row>
    <row r="916">
      <c r="A916" s="9" t="n">
        <v>37803</v>
      </c>
      <c r="B916" s="7">
        <f>YEAR(A916)</f>
        <v/>
      </c>
      <c r="C916" s="7">
        <f>MONTH(A916)</f>
        <v/>
      </c>
      <c r="D916" s="10" t="n">
        <v>0</v>
      </c>
      <c r="E916" s="11" t="n">
        <v>17.43414865</v>
      </c>
      <c r="F916" s="12" t="n">
        <v>0.003114241251</v>
      </c>
      <c r="G916" s="11" t="n">
        <v>292.5635707</v>
      </c>
      <c r="H916" s="13">
        <f>F916*1000</f>
        <v/>
      </c>
      <c r="I916" s="14">
        <f>G916-273.15</f>
        <v/>
      </c>
      <c r="K916" s="15" t="n">
        <v>2003</v>
      </c>
      <c r="L916" s="15" t="n">
        <v>7</v>
      </c>
      <c r="M916" s="15" t="n">
        <v>12</v>
      </c>
      <c r="N916" s="16" t="n">
        <v>4.700195288e-05</v>
      </c>
      <c r="O916" s="11" t="n">
        <v>290.8430063</v>
      </c>
      <c r="P916" s="13">
        <f>N916*86400</f>
        <v/>
      </c>
      <c r="Q916" s="14">
        <f>O916-273.15</f>
        <v/>
      </c>
    </row>
    <row r="917">
      <c r="A917" s="9" t="n">
        <v>37804</v>
      </c>
      <c r="B917" s="7">
        <f>YEAR(A917)</f>
        <v/>
      </c>
      <c r="C917" s="7">
        <f>MONTH(A917)</f>
        <v/>
      </c>
      <c r="D917" s="10" t="n">
        <v>2.413659352</v>
      </c>
      <c r="E917" s="11" t="n">
        <v>16.99387594</v>
      </c>
      <c r="F917" s="12" t="n">
        <v>0.004309256597</v>
      </c>
      <c r="G917" s="11" t="n">
        <v>292.7726073</v>
      </c>
      <c r="H917" s="13">
        <f>F917*1000</f>
        <v/>
      </c>
      <c r="I917" s="14">
        <f>G917-273.15</f>
        <v/>
      </c>
      <c r="K917" s="15" t="n">
        <v>2003</v>
      </c>
      <c r="L917" s="15" t="n">
        <v>7</v>
      </c>
      <c r="M917" s="15" t="n">
        <v>13</v>
      </c>
      <c r="N917" s="16" t="n">
        <v>7.703744369e-05</v>
      </c>
      <c r="O917" s="11" t="n">
        <v>290.4313443</v>
      </c>
      <c r="P917" s="13">
        <f>N917*86400</f>
        <v/>
      </c>
      <c r="Q917" s="14">
        <f>O917-273.15</f>
        <v/>
      </c>
    </row>
    <row r="918">
      <c r="A918" s="9" t="n">
        <v>37805</v>
      </c>
      <c r="B918" s="7">
        <f>YEAR(A918)</f>
        <v/>
      </c>
      <c r="C918" s="7">
        <f>MONTH(A918)</f>
        <v/>
      </c>
      <c r="D918" s="10" t="n">
        <v>30.5295037</v>
      </c>
      <c r="E918" s="11" t="n">
        <v>18.63757978</v>
      </c>
      <c r="F918" s="12" t="n">
        <v>0.01679554134</v>
      </c>
      <c r="G918" s="11" t="n">
        <v>293.8669543</v>
      </c>
      <c r="H918" s="13">
        <f>F918*1000</f>
        <v/>
      </c>
      <c r="I918" s="14">
        <f>G918-273.15</f>
        <v/>
      </c>
      <c r="K918" s="15" t="n">
        <v>2003</v>
      </c>
      <c r="L918" s="15" t="n">
        <v>7</v>
      </c>
      <c r="M918" s="15" t="n">
        <v>14</v>
      </c>
      <c r="N918" s="16" t="n">
        <v>4.866219797e-05</v>
      </c>
      <c r="O918" s="11" t="n">
        <v>291.1958641</v>
      </c>
      <c r="P918" s="13">
        <f>N918*86400</f>
        <v/>
      </c>
      <c r="Q918" s="14">
        <f>O918-273.15</f>
        <v/>
      </c>
    </row>
    <row r="919">
      <c r="A919" s="9" t="n">
        <v>37806</v>
      </c>
      <c r="B919" s="7">
        <f>YEAR(A919)</f>
        <v/>
      </c>
      <c r="C919" s="7">
        <f>MONTH(A919)</f>
        <v/>
      </c>
      <c r="D919" s="10" t="n">
        <v>8.159082859</v>
      </c>
      <c r="E919" s="11" t="n">
        <v>17.50290486</v>
      </c>
      <c r="F919" s="12" t="n">
        <v>0.007362545109</v>
      </c>
      <c r="G919" s="11" t="n">
        <v>293.8311659</v>
      </c>
      <c r="H919" s="13">
        <f>F919*1000</f>
        <v/>
      </c>
      <c r="I919" s="14">
        <f>G919-273.15</f>
        <v/>
      </c>
      <c r="K919" s="15" t="n">
        <v>2003</v>
      </c>
      <c r="L919" s="15" t="n">
        <v>7</v>
      </c>
      <c r="M919" s="15" t="n">
        <v>15</v>
      </c>
      <c r="N919" s="16" t="n">
        <v>0.00016281119</v>
      </c>
      <c r="O919" s="11" t="n">
        <v>291.2024819</v>
      </c>
      <c r="P919" s="13">
        <f>N919*86400</f>
        <v/>
      </c>
      <c r="Q919" s="14">
        <f>O919-273.15</f>
        <v/>
      </c>
    </row>
    <row r="920">
      <c r="A920" s="9" t="n">
        <v>37807</v>
      </c>
      <c r="B920" s="7">
        <f>YEAR(A920)</f>
        <v/>
      </c>
      <c r="C920" s="7">
        <f>MONTH(A920)</f>
        <v/>
      </c>
      <c r="D920" s="10" t="n">
        <v>3.095161633</v>
      </c>
      <c r="E920" s="11" t="n">
        <v>18.01439001</v>
      </c>
      <c r="F920" s="12" t="n">
        <v>0.003560564942</v>
      </c>
      <c r="G920" s="11" t="n">
        <v>294.4261494</v>
      </c>
      <c r="H920" s="13">
        <f>F920*1000</f>
        <v/>
      </c>
      <c r="I920" s="14">
        <f>G920-273.15</f>
        <v/>
      </c>
      <c r="K920" s="15" t="n">
        <v>2003</v>
      </c>
      <c r="L920" s="15" t="n">
        <v>7</v>
      </c>
      <c r="M920" s="15" t="n">
        <v>16</v>
      </c>
      <c r="N920" s="16" t="n">
        <v>4.65298267e-05</v>
      </c>
      <c r="O920" s="11" t="n">
        <v>289.6348633</v>
      </c>
      <c r="P920" s="13">
        <f>N920*86400</f>
        <v/>
      </c>
      <c r="Q920" s="14">
        <f>O920-273.15</f>
        <v/>
      </c>
    </row>
    <row r="921">
      <c r="A921" s="9" t="n">
        <v>37808</v>
      </c>
      <c r="B921" s="7">
        <f>YEAR(A921)</f>
        <v/>
      </c>
      <c r="C921" s="7">
        <f>MONTH(A921)</f>
        <v/>
      </c>
      <c r="D921" s="10" t="n">
        <v>0</v>
      </c>
      <c r="E921" s="11" t="n">
        <v>17.03729522</v>
      </c>
      <c r="F921" s="12" t="n">
        <v>0.002370285859</v>
      </c>
      <c r="G921" s="11" t="n">
        <v>292.6500431</v>
      </c>
      <c r="H921" s="13">
        <f>F921*1000</f>
        <v/>
      </c>
      <c r="I921" s="14">
        <f>G921-273.15</f>
        <v/>
      </c>
      <c r="K921" s="15" t="n">
        <v>2003</v>
      </c>
      <c r="L921" s="15" t="n">
        <v>7</v>
      </c>
      <c r="M921" s="15" t="n">
        <v>17</v>
      </c>
      <c r="N921" s="16" t="n">
        <v>0.000276982687</v>
      </c>
      <c r="O921" s="11" t="n">
        <v>290.9586281</v>
      </c>
      <c r="P921" s="13">
        <f>N921*86400</f>
        <v/>
      </c>
      <c r="Q921" s="14">
        <f>O921-273.15</f>
        <v/>
      </c>
    </row>
    <row r="922">
      <c r="A922" s="9" t="n">
        <v>37809</v>
      </c>
      <c r="B922" s="7">
        <f>YEAR(A922)</f>
        <v/>
      </c>
      <c r="C922" s="7">
        <f>MONTH(A922)</f>
        <v/>
      </c>
      <c r="D922" s="10" t="n">
        <v>0.008517577015</v>
      </c>
      <c r="E922" s="11" t="n">
        <v>17.80701686</v>
      </c>
      <c r="F922" s="12" t="n">
        <v>0.00498492978</v>
      </c>
      <c r="G922" s="11" t="n">
        <v>293.7652435</v>
      </c>
      <c r="H922" s="13">
        <f>F922*1000</f>
        <v/>
      </c>
      <c r="I922" s="14">
        <f>G922-273.15</f>
        <v/>
      </c>
      <c r="K922" s="15" t="n">
        <v>2003</v>
      </c>
      <c r="L922" s="15" t="n">
        <v>7</v>
      </c>
      <c r="M922" s="15" t="n">
        <v>18</v>
      </c>
      <c r="N922" s="16" t="n">
        <v>1.978056371e-05</v>
      </c>
      <c r="O922" s="11" t="n">
        <v>290.1700545</v>
      </c>
      <c r="P922" s="13">
        <f>N922*86400</f>
        <v/>
      </c>
      <c r="Q922" s="14">
        <f>O922-273.15</f>
        <v/>
      </c>
    </row>
    <row r="923">
      <c r="A923" s="9" t="n">
        <v>37810</v>
      </c>
      <c r="B923" s="7">
        <f>YEAR(A923)</f>
        <v/>
      </c>
      <c r="C923" s="7">
        <f>MONTH(A923)</f>
        <v/>
      </c>
      <c r="D923" s="10" t="n">
        <v>2.668200073</v>
      </c>
      <c r="E923" s="11" t="n">
        <v>18.93597341</v>
      </c>
      <c r="F923" s="12" t="n">
        <v>0.006227262561</v>
      </c>
      <c r="G923" s="11" t="n">
        <v>294.799561</v>
      </c>
      <c r="H923" s="13">
        <f>F923*1000</f>
        <v/>
      </c>
      <c r="I923" s="14">
        <f>G923-273.15</f>
        <v/>
      </c>
      <c r="K923" s="15" t="n">
        <v>2003</v>
      </c>
      <c r="L923" s="15" t="n">
        <v>7</v>
      </c>
      <c r="M923" s="15" t="n">
        <v>19</v>
      </c>
      <c r="N923" s="16" t="n">
        <v>0.0001359967275</v>
      </c>
      <c r="O923" s="11" t="n">
        <v>292.0625631</v>
      </c>
      <c r="P923" s="13">
        <f>N923*86400</f>
        <v/>
      </c>
      <c r="Q923" s="14">
        <f>O923-273.15</f>
        <v/>
      </c>
    </row>
    <row r="924">
      <c r="A924" s="9" t="n">
        <v>37811</v>
      </c>
      <c r="B924" s="7">
        <f>YEAR(A924)</f>
        <v/>
      </c>
      <c r="C924" s="7">
        <f>MONTH(A924)</f>
        <v/>
      </c>
      <c r="D924" s="10" t="n">
        <v>0</v>
      </c>
      <c r="E924" s="11" t="n">
        <v>18.40708356</v>
      </c>
      <c r="F924" s="12" t="n">
        <v>0.0008259753525</v>
      </c>
      <c r="G924" s="11" t="n">
        <v>295.2665953</v>
      </c>
      <c r="H924" s="13">
        <f>F924*1000</f>
        <v/>
      </c>
      <c r="I924" s="14">
        <f>G924-273.15</f>
        <v/>
      </c>
      <c r="K924" s="15" t="n">
        <v>2003</v>
      </c>
      <c r="L924" s="15" t="n">
        <v>7</v>
      </c>
      <c r="M924" s="15" t="n">
        <v>20</v>
      </c>
      <c r="N924" s="16" t="n">
        <v>0.0003019902757</v>
      </c>
      <c r="O924" s="11" t="n">
        <v>290.8624019</v>
      </c>
      <c r="P924" s="13">
        <f>N924*86400</f>
        <v/>
      </c>
      <c r="Q924" s="14">
        <f>O924-273.15</f>
        <v/>
      </c>
    </row>
    <row r="925">
      <c r="A925" s="9" t="n">
        <v>37812</v>
      </c>
      <c r="B925" s="7">
        <f>YEAR(A925)</f>
        <v/>
      </c>
      <c r="C925" s="7">
        <f>MONTH(A925)</f>
        <v/>
      </c>
      <c r="D925" s="10" t="n">
        <v>3.368495489</v>
      </c>
      <c r="E925" s="11" t="n">
        <v>19.50616922</v>
      </c>
      <c r="F925" s="12" t="n">
        <v>0.01577122986</v>
      </c>
      <c r="G925" s="11" t="n">
        <v>295.6953356</v>
      </c>
      <c r="H925" s="13">
        <f>F925*1000</f>
        <v/>
      </c>
      <c r="I925" s="14">
        <f>G925-273.15</f>
        <v/>
      </c>
      <c r="K925" s="15" t="n">
        <v>2003</v>
      </c>
      <c r="L925" s="15" t="n">
        <v>7</v>
      </c>
      <c r="M925" s="15" t="n">
        <v>21</v>
      </c>
      <c r="N925" s="16" t="n">
        <v>8.557221693999999e-05</v>
      </c>
      <c r="O925" s="11" t="n">
        <v>290.7949813</v>
      </c>
      <c r="P925" s="13">
        <f>N925*86400</f>
        <v/>
      </c>
      <c r="Q925" s="14">
        <f>O925-273.15</f>
        <v/>
      </c>
    </row>
    <row r="926">
      <c r="A926" s="9" t="n">
        <v>37813</v>
      </c>
      <c r="B926" s="7">
        <f>YEAR(A926)</f>
        <v/>
      </c>
      <c r="C926" s="7">
        <f>MONTH(A926)</f>
        <v/>
      </c>
      <c r="D926" s="10" t="n">
        <v>0.3475418917</v>
      </c>
      <c r="E926" s="11" t="n">
        <v>16.8351331</v>
      </c>
      <c r="F926" s="12" t="n">
        <v>0.002971034868</v>
      </c>
      <c r="G926" s="11" t="n">
        <v>292.0565539</v>
      </c>
      <c r="H926" s="13">
        <f>F926*1000</f>
        <v/>
      </c>
      <c r="I926" s="14">
        <f>G926-273.15</f>
        <v/>
      </c>
      <c r="K926" s="15" t="n">
        <v>2003</v>
      </c>
      <c r="L926" s="15" t="n">
        <v>7</v>
      </c>
      <c r="M926" s="15" t="n">
        <v>22</v>
      </c>
      <c r="N926" s="16" t="n">
        <v>3.273747643e-05</v>
      </c>
      <c r="O926" s="11" t="n">
        <v>290.1540713</v>
      </c>
      <c r="P926" s="13">
        <f>N926*86400</f>
        <v/>
      </c>
      <c r="Q926" s="14">
        <f>O926-273.15</f>
        <v/>
      </c>
    </row>
    <row r="927">
      <c r="A927" s="9" t="n">
        <v>37814</v>
      </c>
      <c r="B927" s="7">
        <f>YEAR(A927)</f>
        <v/>
      </c>
      <c r="C927" s="7">
        <f>MONTH(A927)</f>
        <v/>
      </c>
      <c r="D927" s="10" t="n">
        <v>0.662730934</v>
      </c>
      <c r="E927" s="11" t="n">
        <v>16.25647677</v>
      </c>
      <c r="F927" s="12" t="n">
        <v>0.000799564221</v>
      </c>
      <c r="G927" s="11" t="n">
        <v>291.5808245</v>
      </c>
      <c r="H927" s="13">
        <f>F927*1000</f>
        <v/>
      </c>
      <c r="I927" s="14">
        <f>G927-273.15</f>
        <v/>
      </c>
      <c r="K927" s="15" t="n">
        <v>2003</v>
      </c>
      <c r="L927" s="15" t="n">
        <v>7</v>
      </c>
      <c r="M927" s="15" t="n">
        <v>23</v>
      </c>
      <c r="N927" s="16" t="n">
        <v>0.0001939912155</v>
      </c>
      <c r="O927" s="11" t="n">
        <v>289.6675532</v>
      </c>
      <c r="P927" s="13">
        <f>N927*86400</f>
        <v/>
      </c>
      <c r="Q927" s="14">
        <f>O927-273.15</f>
        <v/>
      </c>
    </row>
    <row r="928">
      <c r="A928" s="9" t="n">
        <v>37815</v>
      </c>
      <c r="B928" s="7">
        <f>YEAR(A928)</f>
        <v/>
      </c>
      <c r="C928" s="7">
        <f>MONTH(A928)</f>
        <v/>
      </c>
      <c r="D928" s="10" t="n">
        <v>20.54671696</v>
      </c>
      <c r="E928" s="11" t="n">
        <v>16.65900592</v>
      </c>
      <c r="F928" s="12" t="n">
        <v>0.009601106097</v>
      </c>
      <c r="G928" s="11" t="n">
        <v>292.3657089</v>
      </c>
      <c r="H928" s="13">
        <f>F928*1000</f>
        <v/>
      </c>
      <c r="I928" s="14">
        <f>G928-273.15</f>
        <v/>
      </c>
      <c r="K928" s="15" t="n">
        <v>2003</v>
      </c>
      <c r="L928" s="15" t="n">
        <v>7</v>
      </c>
      <c r="M928" s="15" t="n">
        <v>24</v>
      </c>
      <c r="N928" s="16" t="n">
        <v>0.0001372804981</v>
      </c>
      <c r="O928" s="11" t="n">
        <v>291.6461394</v>
      </c>
      <c r="P928" s="13">
        <f>N928*86400</f>
        <v/>
      </c>
      <c r="Q928" s="14">
        <f>O928-273.15</f>
        <v/>
      </c>
    </row>
    <row r="929">
      <c r="A929" s="9" t="n">
        <v>37816</v>
      </c>
      <c r="B929" s="7">
        <f>YEAR(A929)</f>
        <v/>
      </c>
      <c r="C929" s="7">
        <f>MONTH(A929)</f>
        <v/>
      </c>
      <c r="D929" s="10" t="n">
        <v>3.840778447</v>
      </c>
      <c r="E929" s="11" t="n">
        <v>16.46089272</v>
      </c>
      <c r="F929" s="12" t="n">
        <v>0.003535067526</v>
      </c>
      <c r="G929" s="11" t="n">
        <v>291.9870882</v>
      </c>
      <c r="H929" s="13">
        <f>F929*1000</f>
        <v/>
      </c>
      <c r="I929" s="14">
        <f>G929-273.15</f>
        <v/>
      </c>
      <c r="K929" s="15" t="n">
        <v>2003</v>
      </c>
      <c r="L929" s="15" t="n">
        <v>7</v>
      </c>
      <c r="M929" s="15" t="n">
        <v>25</v>
      </c>
      <c r="N929" s="16" t="n">
        <v>1.696632991e-05</v>
      </c>
      <c r="O929" s="11" t="n">
        <v>292.1956962</v>
      </c>
      <c r="P929" s="13">
        <f>N929*86400</f>
        <v/>
      </c>
      <c r="Q929" s="14">
        <f>O929-273.15</f>
        <v/>
      </c>
    </row>
    <row r="930">
      <c r="A930" s="9" t="n">
        <v>37817</v>
      </c>
      <c r="B930" s="7">
        <f>YEAR(A930)</f>
        <v/>
      </c>
      <c r="C930" s="7">
        <f>MONTH(A930)</f>
        <v/>
      </c>
      <c r="D930" s="10" t="n">
        <v>4.04034323</v>
      </c>
      <c r="E930" s="11" t="n">
        <v>15.7661307</v>
      </c>
      <c r="F930" s="12" t="n">
        <v>0.01341369896</v>
      </c>
      <c r="G930" s="11" t="n">
        <v>291.6173283</v>
      </c>
      <c r="H930" s="13">
        <f>F930*1000</f>
        <v/>
      </c>
      <c r="I930" s="14">
        <f>G930-273.15</f>
        <v/>
      </c>
      <c r="K930" s="15" t="n">
        <v>2003</v>
      </c>
      <c r="L930" s="15" t="n">
        <v>7</v>
      </c>
      <c r="M930" s="15" t="n">
        <v>26</v>
      </c>
      <c r="N930" s="16" t="n">
        <v>1.753911714e-05</v>
      </c>
      <c r="O930" s="11" t="n">
        <v>291.464145</v>
      </c>
      <c r="P930" s="13">
        <f>N930*86400</f>
        <v/>
      </c>
      <c r="Q930" s="14">
        <f>O930-273.15</f>
        <v/>
      </c>
    </row>
    <row r="931">
      <c r="A931" s="9" t="n">
        <v>37818</v>
      </c>
      <c r="B931" s="7">
        <f>YEAR(A931)</f>
        <v/>
      </c>
      <c r="C931" s="7">
        <f>MONTH(A931)</f>
        <v/>
      </c>
      <c r="D931" s="10" t="n">
        <v>7.219125716</v>
      </c>
      <c r="E931" s="11" t="n">
        <v>16.6633338</v>
      </c>
      <c r="F931" s="12" t="n">
        <v>0.006747885491</v>
      </c>
      <c r="G931" s="11" t="n">
        <v>293.1977967</v>
      </c>
      <c r="H931" s="13">
        <f>F931*1000</f>
        <v/>
      </c>
      <c r="I931" s="14">
        <f>G931-273.15</f>
        <v/>
      </c>
      <c r="K931" s="15" t="n">
        <v>2003</v>
      </c>
      <c r="L931" s="15" t="n">
        <v>7</v>
      </c>
      <c r="M931" s="15" t="n">
        <v>27</v>
      </c>
      <c r="N931" s="16" t="n">
        <v>2.530443342e-05</v>
      </c>
      <c r="O931" s="11" t="n">
        <v>289.3292043</v>
      </c>
      <c r="P931" s="13">
        <f>N931*86400</f>
        <v/>
      </c>
      <c r="Q931" s="14">
        <f>O931-273.15</f>
        <v/>
      </c>
    </row>
    <row r="932">
      <c r="A932" s="9" t="n">
        <v>37819</v>
      </c>
      <c r="B932" s="7">
        <f>YEAR(A932)</f>
        <v/>
      </c>
      <c r="C932" s="7">
        <f>MONTH(A932)</f>
        <v/>
      </c>
      <c r="D932" s="10" t="n">
        <v>22.45275078</v>
      </c>
      <c r="E932" s="11" t="n">
        <v>16.01680634</v>
      </c>
      <c r="F932" s="12" t="n">
        <v>0.01842479528</v>
      </c>
      <c r="G932" s="11" t="n">
        <v>291.2718264</v>
      </c>
      <c r="H932" s="13">
        <f>F932*1000</f>
        <v/>
      </c>
      <c r="I932" s="14">
        <f>G932-273.15</f>
        <v/>
      </c>
      <c r="K932" s="15" t="n">
        <v>2003</v>
      </c>
      <c r="L932" s="15" t="n">
        <v>7</v>
      </c>
      <c r="M932" s="15" t="n">
        <v>28</v>
      </c>
      <c r="N932" s="16" t="n">
        <v>3.975346736e-06</v>
      </c>
      <c r="O932" s="11" t="n">
        <v>289.3550075</v>
      </c>
      <c r="P932" s="13">
        <f>N932*86400</f>
        <v/>
      </c>
      <c r="Q932" s="14">
        <f>O932-273.15</f>
        <v/>
      </c>
    </row>
    <row r="933">
      <c r="A933" s="9" t="n">
        <v>37820</v>
      </c>
      <c r="B933" s="7">
        <f>YEAR(A933)</f>
        <v/>
      </c>
      <c r="C933" s="7">
        <f>MONTH(A933)</f>
        <v/>
      </c>
      <c r="D933" s="10" t="n">
        <v>0.1009204716</v>
      </c>
      <c r="E933" s="11" t="n">
        <v>16.23326228</v>
      </c>
      <c r="F933" s="12" t="n">
        <v>0.00750506248</v>
      </c>
      <c r="G933" s="11" t="n">
        <v>290.4291561</v>
      </c>
      <c r="H933" s="13">
        <f>F933*1000</f>
        <v/>
      </c>
      <c r="I933" s="14">
        <f>G933-273.15</f>
        <v/>
      </c>
      <c r="K933" s="15" t="n">
        <v>2003</v>
      </c>
      <c r="L933" s="15" t="n">
        <v>7</v>
      </c>
      <c r="M933" s="15" t="n">
        <v>29</v>
      </c>
      <c r="N933" s="16" t="n">
        <v>1.01299212e-05</v>
      </c>
      <c r="O933" s="11" t="n">
        <v>289.3885855</v>
      </c>
      <c r="P933" s="13">
        <f>N933*86400</f>
        <v/>
      </c>
      <c r="Q933" s="14">
        <f>O933-273.15</f>
        <v/>
      </c>
    </row>
    <row r="934">
      <c r="A934" s="9" t="n">
        <v>37821</v>
      </c>
      <c r="B934" s="7">
        <f>YEAR(A934)</f>
        <v/>
      </c>
      <c r="C934" s="7">
        <f>MONTH(A934)</f>
        <v/>
      </c>
      <c r="D934" s="10" t="n">
        <v>0</v>
      </c>
      <c r="E934" s="11" t="n">
        <v>16.56880627</v>
      </c>
      <c r="F934" s="12" t="n">
        <v>0.001026025013</v>
      </c>
      <c r="G934" s="11" t="n">
        <v>291.6113546</v>
      </c>
      <c r="H934" s="13">
        <f>F934*1000</f>
        <v/>
      </c>
      <c r="I934" s="14">
        <f>G934-273.15</f>
        <v/>
      </c>
      <c r="K934" s="15" t="n">
        <v>2003</v>
      </c>
      <c r="L934" s="15" t="n">
        <v>7</v>
      </c>
      <c r="M934" s="15" t="n">
        <v>30</v>
      </c>
      <c r="N934" s="16" t="n">
        <v>1.832565231e-05</v>
      </c>
      <c r="O934" s="11" t="n">
        <v>289.1339395</v>
      </c>
      <c r="P934" s="13">
        <f>N934*86400</f>
        <v/>
      </c>
      <c r="Q934" s="14">
        <f>O934-273.15</f>
        <v/>
      </c>
    </row>
    <row r="935">
      <c r="A935" s="9" t="n">
        <v>37822</v>
      </c>
      <c r="B935" s="7">
        <f>YEAR(A935)</f>
        <v/>
      </c>
      <c r="C935" s="7">
        <f>MONTH(A935)</f>
        <v/>
      </c>
      <c r="D935" s="10" t="n">
        <v>9.393856322</v>
      </c>
      <c r="E935" s="11" t="n">
        <v>13.91401606</v>
      </c>
      <c r="F935" s="12" t="n">
        <v>0.001282807778</v>
      </c>
      <c r="G935" s="11" t="n">
        <v>289.6025377</v>
      </c>
      <c r="H935" s="13">
        <f>F935*1000</f>
        <v/>
      </c>
      <c r="I935" s="14">
        <f>G935-273.15</f>
        <v/>
      </c>
      <c r="K935" s="15" t="n">
        <v>2003</v>
      </c>
      <c r="L935" s="15" t="n">
        <v>8</v>
      </c>
      <c r="M935" s="15" t="n">
        <v>1</v>
      </c>
      <c r="N935" s="16" t="n">
        <v>0.0001535436244</v>
      </c>
      <c r="O935" s="11" t="n">
        <v>287.5494451</v>
      </c>
      <c r="P935" s="13">
        <f>N935*86400</f>
        <v/>
      </c>
      <c r="Q935" s="14">
        <f>O935-273.15</f>
        <v/>
      </c>
    </row>
    <row r="936">
      <c r="A936" s="9" t="n">
        <v>37823</v>
      </c>
      <c r="B936" s="7">
        <f>YEAR(A936)</f>
        <v/>
      </c>
      <c r="C936" s="7">
        <f>MONTH(A936)</f>
        <v/>
      </c>
      <c r="D936" s="10" t="n">
        <v>29.43428287</v>
      </c>
      <c r="E936" s="11" t="n">
        <v>14.98003487</v>
      </c>
      <c r="F936" s="12" t="n">
        <v>0.005078921741</v>
      </c>
      <c r="G936" s="11" t="n">
        <v>290.6801863</v>
      </c>
      <c r="H936" s="13">
        <f>F936*1000</f>
        <v/>
      </c>
      <c r="I936" s="14">
        <f>G936-273.15</f>
        <v/>
      </c>
      <c r="K936" s="15" t="n">
        <v>2003</v>
      </c>
      <c r="L936" s="15" t="n">
        <v>8</v>
      </c>
      <c r="M936" s="15" t="n">
        <v>2</v>
      </c>
      <c r="N936" s="16" t="n">
        <v>6.155835769e-05</v>
      </c>
      <c r="O936" s="11" t="n">
        <v>285.9375126</v>
      </c>
      <c r="P936" s="13">
        <f>N936*86400</f>
        <v/>
      </c>
      <c r="Q936" s="14">
        <f>O936-273.15</f>
        <v/>
      </c>
    </row>
    <row r="937">
      <c r="A937" s="9" t="n">
        <v>37824</v>
      </c>
      <c r="B937" s="7">
        <f>YEAR(A937)</f>
        <v/>
      </c>
      <c r="C937" s="7">
        <f>MONTH(A937)</f>
        <v/>
      </c>
      <c r="D937" s="10" t="n">
        <v>50.82142853</v>
      </c>
      <c r="E937" s="11" t="n">
        <v>15.87298663</v>
      </c>
      <c r="F937" s="12" t="n">
        <v>0.01901152832</v>
      </c>
      <c r="G937" s="11" t="n">
        <v>290.8279347</v>
      </c>
      <c r="H937" s="13">
        <f>F937*1000</f>
        <v/>
      </c>
      <c r="I937" s="14">
        <f>G937-273.15</f>
        <v/>
      </c>
      <c r="K937" s="15" t="n">
        <v>2003</v>
      </c>
      <c r="L937" s="15" t="n">
        <v>8</v>
      </c>
      <c r="M937" s="15" t="n">
        <v>3</v>
      </c>
      <c r="N937" s="16" t="n">
        <v>0.0001686212567</v>
      </c>
      <c r="O937" s="11" t="n">
        <v>285.1172327</v>
      </c>
      <c r="P937" s="13">
        <f>N937*86400</f>
        <v/>
      </c>
      <c r="Q937" s="14">
        <f>O937-273.15</f>
        <v/>
      </c>
    </row>
    <row r="938">
      <c r="A938" s="9" t="n">
        <v>37825</v>
      </c>
      <c r="B938" s="7">
        <f>YEAR(A938)</f>
        <v/>
      </c>
      <c r="C938" s="7">
        <f>MONTH(A938)</f>
        <v/>
      </c>
      <c r="D938" s="10" t="n">
        <v>60.12915187</v>
      </c>
      <c r="E938" s="11" t="n">
        <v>14.47034766</v>
      </c>
      <c r="F938" s="12" t="n">
        <v>0.03919995485</v>
      </c>
      <c r="G938" s="11" t="n">
        <v>289.5999369</v>
      </c>
      <c r="H938" s="13">
        <f>F938*1000</f>
        <v/>
      </c>
      <c r="I938" s="14">
        <f>G938-273.15</f>
        <v/>
      </c>
      <c r="K938" s="15" t="n">
        <v>2003</v>
      </c>
      <c r="L938" s="15" t="n">
        <v>8</v>
      </c>
      <c r="M938" s="15" t="n">
        <v>4</v>
      </c>
      <c r="N938" s="16" t="n">
        <v>9.858366144e-05</v>
      </c>
      <c r="O938" s="11" t="n">
        <v>285.9968589</v>
      </c>
      <c r="P938" s="13">
        <f>N938*86400</f>
        <v/>
      </c>
      <c r="Q938" s="14">
        <f>O938-273.15</f>
        <v/>
      </c>
    </row>
    <row r="939">
      <c r="A939" s="9" t="n">
        <v>37826</v>
      </c>
      <c r="B939" s="7">
        <f>YEAR(A939)</f>
        <v/>
      </c>
      <c r="C939" s="7">
        <f>MONTH(A939)</f>
        <v/>
      </c>
      <c r="D939" s="10" t="n">
        <v>13.68046661</v>
      </c>
      <c r="E939" s="11" t="n">
        <v>15.91758842</v>
      </c>
      <c r="F939" s="12" t="n">
        <v>0.0123615916</v>
      </c>
      <c r="G939" s="11" t="n">
        <v>289.8393604</v>
      </c>
      <c r="H939" s="13">
        <f>F939*1000</f>
        <v/>
      </c>
      <c r="I939" s="14">
        <f>G939-273.15</f>
        <v/>
      </c>
      <c r="K939" s="15" t="n">
        <v>2003</v>
      </c>
      <c r="L939" s="15" t="n">
        <v>8</v>
      </c>
      <c r="M939" s="15" t="n">
        <v>5</v>
      </c>
      <c r="N939" s="16" t="n">
        <v>2.335030374e-05</v>
      </c>
      <c r="O939" s="11" t="n">
        <v>288.6854438</v>
      </c>
      <c r="P939" s="13">
        <f>N939*86400</f>
        <v/>
      </c>
      <c r="Q939" s="14">
        <f>O939-273.15</f>
        <v/>
      </c>
    </row>
    <row r="940">
      <c r="A940" s="9" t="n">
        <v>37827</v>
      </c>
      <c r="B940" s="7">
        <f>YEAR(A940)</f>
        <v/>
      </c>
      <c r="C940" s="7">
        <f>MONTH(A940)</f>
        <v/>
      </c>
      <c r="D940" s="10" t="n">
        <v>16.60689539</v>
      </c>
      <c r="E940" s="11" t="n">
        <v>13.96218615</v>
      </c>
      <c r="F940" s="12" t="n">
        <v>0.006119993856</v>
      </c>
      <c r="G940" s="11" t="n">
        <v>288.0686665</v>
      </c>
      <c r="H940" s="13">
        <f>F940*1000</f>
        <v/>
      </c>
      <c r="I940" s="14">
        <f>G940-273.15</f>
        <v/>
      </c>
      <c r="K940" s="15" t="n">
        <v>2003</v>
      </c>
      <c r="L940" s="15" t="n">
        <v>8</v>
      </c>
      <c r="M940" s="15" t="n">
        <v>6</v>
      </c>
      <c r="N940" s="16" t="n">
        <v>3.149317876e-05</v>
      </c>
      <c r="O940" s="11" t="n">
        <v>287.66959</v>
      </c>
      <c r="P940" s="13">
        <f>N940*86400</f>
        <v/>
      </c>
      <c r="Q940" s="14">
        <f>O940-273.15</f>
        <v/>
      </c>
    </row>
    <row r="941">
      <c r="A941" s="9" t="n">
        <v>37828</v>
      </c>
      <c r="B941" s="7">
        <f>YEAR(A941)</f>
        <v/>
      </c>
      <c r="C941" s="7">
        <f>MONTH(A941)</f>
        <v/>
      </c>
      <c r="D941" s="10" t="n">
        <v>43.63549858</v>
      </c>
      <c r="E941" s="11" t="n">
        <v>16.0991454</v>
      </c>
      <c r="F941" s="12" t="n">
        <v>0.01850832795</v>
      </c>
      <c r="G941" s="11" t="n">
        <v>291.196001</v>
      </c>
      <c r="H941" s="13">
        <f>F941*1000</f>
        <v/>
      </c>
      <c r="I941" s="14">
        <f>G941-273.15</f>
        <v/>
      </c>
      <c r="K941" s="15" t="n">
        <v>2003</v>
      </c>
      <c r="L941" s="15" t="n">
        <v>8</v>
      </c>
      <c r="M941" s="15" t="n">
        <v>7</v>
      </c>
      <c r="N941" s="16" t="n">
        <v>0.0001002592734</v>
      </c>
      <c r="O941" s="11" t="n">
        <v>286.8502705</v>
      </c>
      <c r="P941" s="13">
        <f>N941*86400</f>
        <v/>
      </c>
      <c r="Q941" s="14">
        <f>O941-273.15</f>
        <v/>
      </c>
    </row>
    <row r="942">
      <c r="A942" s="9" t="n">
        <v>37829</v>
      </c>
      <c r="B942" s="7">
        <f>YEAR(A942)</f>
        <v/>
      </c>
      <c r="C942" s="7">
        <f>MONTH(A942)</f>
        <v/>
      </c>
      <c r="D942" s="10" t="n">
        <v>54.22753671</v>
      </c>
      <c r="E942" s="11" t="n">
        <v>15.3031856</v>
      </c>
      <c r="F942" s="12" t="n">
        <v>0.05091832685</v>
      </c>
      <c r="G942" s="11" t="n">
        <v>290.7215446</v>
      </c>
      <c r="H942" s="13">
        <f>F942*1000</f>
        <v/>
      </c>
      <c r="I942" s="14">
        <f>G942-273.15</f>
        <v/>
      </c>
      <c r="K942" s="15" t="n">
        <v>2003</v>
      </c>
      <c r="L942" s="15" t="n">
        <v>8</v>
      </c>
      <c r="M942" s="15" t="n">
        <v>8</v>
      </c>
      <c r="N942" s="16" t="n">
        <v>0.0003555108113</v>
      </c>
      <c r="O942" s="11" t="n">
        <v>287.9526478</v>
      </c>
      <c r="P942" s="13">
        <f>N942*86400</f>
        <v/>
      </c>
      <c r="Q942" s="14">
        <f>O942-273.15</f>
        <v/>
      </c>
    </row>
    <row r="943">
      <c r="A943" s="9" t="n">
        <v>37830</v>
      </c>
      <c r="B943" s="7">
        <f>YEAR(A943)</f>
        <v/>
      </c>
      <c r="C943" s="7">
        <f>MONTH(A943)</f>
        <v/>
      </c>
      <c r="D943" s="10" t="n">
        <v>0</v>
      </c>
      <c r="E943" s="11" t="n">
        <v>14.64115472</v>
      </c>
      <c r="F943" s="12" t="n">
        <v>0.000721321446</v>
      </c>
      <c r="G943" s="11" t="n">
        <v>289.5187716</v>
      </c>
      <c r="H943" s="13">
        <f>F943*1000</f>
        <v/>
      </c>
      <c r="I943" s="14">
        <f>G943-273.15</f>
        <v/>
      </c>
      <c r="K943" s="15" t="n">
        <v>2003</v>
      </c>
      <c r="L943" s="15" t="n">
        <v>8</v>
      </c>
      <c r="M943" s="15" t="n">
        <v>9</v>
      </c>
      <c r="N943" s="16" t="n">
        <v>0.0001546483058</v>
      </c>
      <c r="O943" s="11" t="n">
        <v>286.5402775</v>
      </c>
      <c r="P943" s="13">
        <f>N943*86400</f>
        <v/>
      </c>
      <c r="Q943" s="14">
        <f>O943-273.15</f>
        <v/>
      </c>
    </row>
    <row r="944">
      <c r="A944" s="9" t="n">
        <v>37831</v>
      </c>
      <c r="B944" s="7">
        <f>YEAR(A944)</f>
        <v/>
      </c>
      <c r="C944" s="7">
        <f>MONTH(A944)</f>
        <v/>
      </c>
      <c r="D944" s="10" t="n">
        <v>4.9021663</v>
      </c>
      <c r="E944" s="11" t="n">
        <v>15.66061371</v>
      </c>
      <c r="F944" s="12" t="n">
        <v>0.0245853558</v>
      </c>
      <c r="G944" s="11" t="n">
        <v>289.9876753</v>
      </c>
      <c r="H944" s="13">
        <f>F944*1000</f>
        <v/>
      </c>
      <c r="I944" s="14">
        <f>G944-273.15</f>
        <v/>
      </c>
      <c r="K944" s="15" t="n">
        <v>2003</v>
      </c>
      <c r="L944" s="15" t="n">
        <v>8</v>
      </c>
      <c r="M944" s="15" t="n">
        <v>10</v>
      </c>
      <c r="N944" s="16" t="n">
        <v>0.0004350207984</v>
      </c>
      <c r="O944" s="11" t="n">
        <v>285.7402377</v>
      </c>
      <c r="P944" s="13">
        <f>N944*86400</f>
        <v/>
      </c>
      <c r="Q944" s="14">
        <f>O944-273.15</f>
        <v/>
      </c>
    </row>
    <row r="945">
      <c r="A945" s="9" t="n">
        <v>37832</v>
      </c>
      <c r="B945" s="7">
        <f>YEAR(A945)</f>
        <v/>
      </c>
      <c r="C945" s="7">
        <f>MONTH(A945)</f>
        <v/>
      </c>
      <c r="D945" s="10" t="n">
        <v>14.56867801</v>
      </c>
      <c r="E945" s="11" t="n">
        <v>17.34626244</v>
      </c>
      <c r="F945" s="12" t="n">
        <v>0.0110228713</v>
      </c>
      <c r="G945" s="11" t="n">
        <v>291.9228208</v>
      </c>
      <c r="H945" s="13">
        <f>F945*1000</f>
        <v/>
      </c>
      <c r="I945" s="14">
        <f>G945-273.15</f>
        <v/>
      </c>
      <c r="K945" s="15" t="n">
        <v>2003</v>
      </c>
      <c r="L945" s="15" t="n">
        <v>8</v>
      </c>
      <c r="M945" s="15" t="n">
        <v>11</v>
      </c>
      <c r="N945" s="16" t="n">
        <v>0.0002416728611</v>
      </c>
      <c r="O945" s="11" t="n">
        <v>287.0140736</v>
      </c>
      <c r="P945" s="13">
        <f>N945*86400</f>
        <v/>
      </c>
      <c r="Q945" s="14">
        <f>O945-273.15</f>
        <v/>
      </c>
    </row>
    <row r="946">
      <c r="A946" s="9" t="n">
        <v>37833</v>
      </c>
      <c r="B946" s="7">
        <f>YEAR(A946)</f>
        <v/>
      </c>
      <c r="C946" s="7">
        <f>MONTH(A946)</f>
        <v/>
      </c>
      <c r="D946" s="10" t="n">
        <v>31.68244187</v>
      </c>
      <c r="E946" s="11" t="n">
        <v>17.21621478</v>
      </c>
      <c r="F946" s="12" t="n">
        <v>0.01748965275</v>
      </c>
      <c r="G946" s="11" t="n">
        <v>292.6624427</v>
      </c>
      <c r="H946" s="13">
        <f>F946*1000</f>
        <v/>
      </c>
      <c r="I946" s="14">
        <f>G946-273.15</f>
        <v/>
      </c>
      <c r="K946" s="15" t="n">
        <v>2003</v>
      </c>
      <c r="L946" s="15" t="n">
        <v>8</v>
      </c>
      <c r="M946" s="15" t="n">
        <v>12</v>
      </c>
      <c r="N946" s="16" t="n">
        <v>0.0002679117244</v>
      </c>
      <c r="O946" s="11" t="n">
        <v>289.3135964</v>
      </c>
      <c r="P946" s="13">
        <f>N946*86400</f>
        <v/>
      </c>
      <c r="Q946" s="14">
        <f>O946-273.15</f>
        <v/>
      </c>
    </row>
    <row r="947">
      <c r="A947" s="9" t="n">
        <v>37834</v>
      </c>
      <c r="B947" s="7">
        <f>YEAR(A947)</f>
        <v/>
      </c>
      <c r="C947" s="7">
        <f>MONTH(A947)</f>
        <v/>
      </c>
      <c r="D947" s="10" t="n">
        <v>48.1796838</v>
      </c>
      <c r="E947" s="11" t="n">
        <v>17.22083717</v>
      </c>
      <c r="F947" s="12" t="n">
        <v>0.01175837165</v>
      </c>
      <c r="G947" s="11" t="n">
        <v>292.3428184</v>
      </c>
      <c r="H947" s="13">
        <f>F947*1000</f>
        <v/>
      </c>
      <c r="I947" s="14">
        <f>G947-273.15</f>
        <v/>
      </c>
      <c r="K947" s="15" t="n">
        <v>2003</v>
      </c>
      <c r="L947" s="15" t="n">
        <v>8</v>
      </c>
      <c r="M947" s="15" t="n">
        <v>13</v>
      </c>
      <c r="N947" s="16" t="n">
        <v>5.542250792e-05</v>
      </c>
      <c r="O947" s="11" t="n">
        <v>289.4726449</v>
      </c>
      <c r="P947" s="13">
        <f>N947*86400</f>
        <v/>
      </c>
      <c r="Q947" s="14">
        <f>O947-273.15</f>
        <v/>
      </c>
    </row>
    <row r="948">
      <c r="A948" s="9" t="n">
        <v>37835</v>
      </c>
      <c r="B948" s="7">
        <f>YEAR(A948)</f>
        <v/>
      </c>
      <c r="C948" s="7">
        <f>MONTH(A948)</f>
        <v/>
      </c>
      <c r="D948" s="10" t="n">
        <v>47.65336224</v>
      </c>
      <c r="E948" s="11" t="n">
        <v>19.92517312</v>
      </c>
      <c r="F948" s="12" t="n">
        <v>0.04220103609</v>
      </c>
      <c r="G948" s="11" t="n">
        <v>294.2372164</v>
      </c>
      <c r="H948" s="13">
        <f>F948*1000</f>
        <v/>
      </c>
      <c r="I948" s="14">
        <f>G948-273.15</f>
        <v/>
      </c>
      <c r="K948" s="15" t="n">
        <v>2003</v>
      </c>
      <c r="L948" s="15" t="n">
        <v>8</v>
      </c>
      <c r="M948" s="15" t="n">
        <v>14</v>
      </c>
      <c r="N948" s="16" t="n">
        <v>5.030855855e-05</v>
      </c>
      <c r="O948" s="11" t="n">
        <v>288.1543757</v>
      </c>
      <c r="P948" s="13">
        <f>N948*86400</f>
        <v/>
      </c>
      <c r="Q948" s="14">
        <f>O948-273.15</f>
        <v/>
      </c>
    </row>
    <row r="949">
      <c r="A949" s="9" t="n">
        <v>37836</v>
      </c>
      <c r="B949" s="7">
        <f>YEAR(A949)</f>
        <v/>
      </c>
      <c r="C949" s="7">
        <f>MONTH(A949)</f>
        <v/>
      </c>
      <c r="D949" s="10" t="n">
        <v>21.72413326</v>
      </c>
      <c r="E949" s="11" t="n">
        <v>19.24135798</v>
      </c>
      <c r="F949" s="12" t="n">
        <v>0.02452936136</v>
      </c>
      <c r="G949" s="11" t="n">
        <v>293.4246755</v>
      </c>
      <c r="H949" s="13">
        <f>F949*1000</f>
        <v/>
      </c>
      <c r="I949" s="14">
        <f>G949-273.15</f>
        <v/>
      </c>
      <c r="K949" s="15" t="n">
        <v>2003</v>
      </c>
      <c r="L949" s="15" t="n">
        <v>8</v>
      </c>
      <c r="M949" s="15" t="n">
        <v>15</v>
      </c>
      <c r="N949" s="16" t="n">
        <v>1.556059063e-06</v>
      </c>
      <c r="O949" s="11" t="n">
        <v>288.4420645</v>
      </c>
      <c r="P949" s="13">
        <f>N949*86400</f>
        <v/>
      </c>
      <c r="Q949" s="14">
        <f>O949-273.15</f>
        <v/>
      </c>
    </row>
    <row r="950">
      <c r="A950" s="9" t="n">
        <v>37837</v>
      </c>
      <c r="B950" s="7">
        <f>YEAR(A950)</f>
        <v/>
      </c>
      <c r="C950" s="7">
        <f>MONTH(A950)</f>
        <v/>
      </c>
      <c r="D950" s="10" t="n">
        <v>0</v>
      </c>
      <c r="E950" s="11" t="n">
        <v>19.47357139</v>
      </c>
      <c r="F950" s="12" t="n">
        <v>0.003017037858</v>
      </c>
      <c r="G950" s="11" t="n">
        <v>293.8676564</v>
      </c>
      <c r="H950" s="13">
        <f>F950*1000</f>
        <v/>
      </c>
      <c r="I950" s="14">
        <f>G950-273.15</f>
        <v/>
      </c>
      <c r="K950" s="15" t="n">
        <v>2003</v>
      </c>
      <c r="L950" s="15" t="n">
        <v>8</v>
      </c>
      <c r="M950" s="15" t="n">
        <v>16</v>
      </c>
      <c r="N950" s="16" t="n">
        <v>0</v>
      </c>
      <c r="O950" s="11" t="n">
        <v>288.5651193</v>
      </c>
      <c r="P950" s="13">
        <f>N950*86400</f>
        <v/>
      </c>
      <c r="Q950" s="14">
        <f>O950-273.15</f>
        <v/>
      </c>
    </row>
    <row r="951">
      <c r="A951" s="9" t="n">
        <v>37838</v>
      </c>
      <c r="B951" s="7">
        <f>YEAR(A951)</f>
        <v/>
      </c>
      <c r="C951" s="7">
        <f>MONTH(A951)</f>
        <v/>
      </c>
      <c r="D951" s="10" t="n">
        <v>4.456033537</v>
      </c>
      <c r="E951" s="11" t="n">
        <v>19.22493151</v>
      </c>
      <c r="F951" s="12" t="n">
        <v>5.57012804e-05</v>
      </c>
      <c r="G951" s="11" t="n">
        <v>292.9905949</v>
      </c>
      <c r="H951" s="13">
        <f>F951*1000</f>
        <v/>
      </c>
      <c r="I951" s="14">
        <f>G951-273.15</f>
        <v/>
      </c>
      <c r="K951" s="15" t="n">
        <v>2003</v>
      </c>
      <c r="L951" s="15" t="n">
        <v>8</v>
      </c>
      <c r="M951" s="15" t="n">
        <v>17</v>
      </c>
      <c r="N951" s="16" t="n">
        <v>0</v>
      </c>
      <c r="O951" s="11" t="n">
        <v>289.8364977</v>
      </c>
      <c r="P951" s="13">
        <f>N951*86400</f>
        <v/>
      </c>
      <c r="Q951" s="14">
        <f>O951-273.15</f>
        <v/>
      </c>
    </row>
    <row r="952">
      <c r="A952" s="9" t="n">
        <v>37839</v>
      </c>
      <c r="B952" s="7">
        <f>YEAR(A952)</f>
        <v/>
      </c>
      <c r="C952" s="7">
        <f>MONTH(A952)</f>
        <v/>
      </c>
      <c r="D952" s="10" t="n">
        <v>0.7402615637</v>
      </c>
      <c r="E952" s="11" t="n">
        <v>17.82695171</v>
      </c>
      <c r="F952" s="12" t="n">
        <v>0.01273110188</v>
      </c>
      <c r="G952" s="11" t="n">
        <v>291.7989212</v>
      </c>
      <c r="H952" s="13">
        <f>F952*1000</f>
        <v/>
      </c>
      <c r="I952" s="14">
        <f>G952-273.15</f>
        <v/>
      </c>
      <c r="K952" s="15" t="n">
        <v>2003</v>
      </c>
      <c r="L952" s="15" t="n">
        <v>8</v>
      </c>
      <c r="M952" s="15" t="n">
        <v>18</v>
      </c>
      <c r="N952" s="16" t="n">
        <v>0</v>
      </c>
      <c r="O952" s="11" t="n">
        <v>290.3471076</v>
      </c>
      <c r="P952" s="13">
        <f>N952*86400</f>
        <v/>
      </c>
      <c r="Q952" s="14">
        <f>O952-273.15</f>
        <v/>
      </c>
    </row>
    <row r="953">
      <c r="A953" s="9" t="n">
        <v>37840</v>
      </c>
      <c r="B953" s="7">
        <f>YEAR(A953)</f>
        <v/>
      </c>
      <c r="C953" s="7">
        <f>MONTH(A953)</f>
        <v/>
      </c>
      <c r="D953" s="10" t="n">
        <v>14.40037379</v>
      </c>
      <c r="E953" s="11" t="n">
        <v>17.37050781</v>
      </c>
      <c r="F953" s="12" t="n">
        <v>0.01598304836</v>
      </c>
      <c r="G953" s="11" t="n">
        <v>291.7294401</v>
      </c>
      <c r="H953" s="13">
        <f>F953*1000</f>
        <v/>
      </c>
      <c r="I953" s="14">
        <f>G953-273.15</f>
        <v/>
      </c>
      <c r="K953" s="15" t="n">
        <v>2003</v>
      </c>
      <c r="L953" s="15" t="n">
        <v>8</v>
      </c>
      <c r="M953" s="15" t="n">
        <v>19</v>
      </c>
      <c r="N953" s="16" t="n">
        <v>0</v>
      </c>
      <c r="O953" s="11" t="n">
        <v>289.053382</v>
      </c>
      <c r="P953" s="13">
        <f>N953*86400</f>
        <v/>
      </c>
      <c r="Q953" s="14">
        <f>O953-273.15</f>
        <v/>
      </c>
    </row>
    <row r="954">
      <c r="A954" s="9" t="n">
        <v>37841</v>
      </c>
      <c r="B954" s="7">
        <f>YEAR(A954)</f>
        <v/>
      </c>
      <c r="C954" s="7">
        <f>MONTH(A954)</f>
        <v/>
      </c>
      <c r="D954" s="10" t="n">
        <v>1.846092993</v>
      </c>
      <c r="E954" s="11" t="n">
        <v>16.59226291</v>
      </c>
      <c r="F954" s="12" t="n">
        <v>0.006474346156</v>
      </c>
      <c r="G954" s="11" t="n">
        <v>292.6165559</v>
      </c>
      <c r="H954" s="13">
        <f>F954*1000</f>
        <v/>
      </c>
      <c r="I954" s="14">
        <f>G954-273.15</f>
        <v/>
      </c>
      <c r="K954" s="15" t="n">
        <v>2003</v>
      </c>
      <c r="L954" s="15" t="n">
        <v>8</v>
      </c>
      <c r="M954" s="15" t="n">
        <v>20</v>
      </c>
      <c r="N954" s="16" t="n">
        <v>0</v>
      </c>
      <c r="O954" s="11" t="n">
        <v>286.2510581</v>
      </c>
      <c r="P954" s="13">
        <f>N954*86400</f>
        <v/>
      </c>
      <c r="Q954" s="14">
        <f>O954-273.15</f>
        <v/>
      </c>
    </row>
    <row r="955">
      <c r="A955" s="9" t="n">
        <v>37842</v>
      </c>
      <c r="B955" s="7">
        <f>YEAR(A955)</f>
        <v/>
      </c>
      <c r="C955" s="7">
        <f>MONTH(A955)</f>
        <v/>
      </c>
      <c r="D955" s="10" t="n">
        <v>1.388480411</v>
      </c>
      <c r="E955" s="11" t="n">
        <v>15.49610656</v>
      </c>
      <c r="F955" s="12" t="n">
        <v>1.167765156e-05</v>
      </c>
      <c r="G955" s="11" t="n">
        <v>291.531682</v>
      </c>
      <c r="H955" s="13">
        <f>F955*1000</f>
        <v/>
      </c>
      <c r="I955" s="14">
        <f>G955-273.15</f>
        <v/>
      </c>
      <c r="K955" s="15" t="n">
        <v>2003</v>
      </c>
      <c r="L955" s="15" t="n">
        <v>8</v>
      </c>
      <c r="M955" s="15" t="n">
        <v>21</v>
      </c>
      <c r="N955" s="16" t="n">
        <v>4.113490966e-05</v>
      </c>
      <c r="O955" s="11" t="n">
        <v>285.8584904</v>
      </c>
      <c r="P955" s="13">
        <f>N955*86400</f>
        <v/>
      </c>
      <c r="Q955" s="14">
        <f>O955-273.15</f>
        <v/>
      </c>
    </row>
    <row r="956">
      <c r="A956" s="9" t="n">
        <v>37843</v>
      </c>
      <c r="B956" s="7">
        <f>YEAR(A956)</f>
        <v/>
      </c>
      <c r="C956" s="7">
        <f>MONTH(A956)</f>
        <v/>
      </c>
      <c r="D956" s="10" t="n">
        <v>0.2070674033</v>
      </c>
      <c r="E956" s="11" t="n">
        <v>16.00776573</v>
      </c>
      <c r="F956" s="12" t="n">
        <v>0.004102473281</v>
      </c>
      <c r="G956" s="11" t="n">
        <v>293.0120635</v>
      </c>
      <c r="H956" s="13">
        <f>F956*1000</f>
        <v/>
      </c>
      <c r="I956" s="14">
        <f>G956-273.15</f>
        <v/>
      </c>
      <c r="K956" s="15" t="n">
        <v>2003</v>
      </c>
      <c r="L956" s="15" t="n">
        <v>8</v>
      </c>
      <c r="M956" s="15" t="n">
        <v>22</v>
      </c>
      <c r="N956" s="16" t="n">
        <v>2.356492706e-05</v>
      </c>
      <c r="O956" s="11" t="n">
        <v>287.4940963</v>
      </c>
      <c r="P956" s="13">
        <f>N956*86400</f>
        <v/>
      </c>
      <c r="Q956" s="14">
        <f>O956-273.15</f>
        <v/>
      </c>
    </row>
    <row r="957">
      <c r="A957" s="9" t="n">
        <v>37844</v>
      </c>
      <c r="B957" s="7">
        <f>YEAR(A957)</f>
        <v/>
      </c>
      <c r="C957" s="7">
        <f>MONTH(A957)</f>
        <v/>
      </c>
      <c r="D957" s="10" t="n">
        <v>10.05591403</v>
      </c>
      <c r="E957" s="11" t="n">
        <v>16.94189035</v>
      </c>
      <c r="F957" s="12" t="n">
        <v>0.01265137441</v>
      </c>
      <c r="G957" s="11" t="n">
        <v>293.4347901</v>
      </c>
      <c r="H957" s="13">
        <f>F957*1000</f>
        <v/>
      </c>
      <c r="I957" s="14">
        <f>G957-273.15</f>
        <v/>
      </c>
      <c r="K957" s="15" t="n">
        <v>2003</v>
      </c>
      <c r="L957" s="15" t="n">
        <v>8</v>
      </c>
      <c r="M957" s="15" t="n">
        <v>23</v>
      </c>
      <c r="N957" s="16" t="n">
        <v>3.519874127e-05</v>
      </c>
      <c r="O957" s="11" t="n">
        <v>289.7563236</v>
      </c>
      <c r="P957" s="13">
        <f>N957*86400</f>
        <v/>
      </c>
      <c r="Q957" s="14">
        <f>O957-273.15</f>
        <v/>
      </c>
    </row>
    <row r="958">
      <c r="A958" s="9" t="n">
        <v>37845</v>
      </c>
      <c r="B958" s="7">
        <f>YEAR(A958)</f>
        <v/>
      </c>
      <c r="C958" s="7">
        <f>MONTH(A958)</f>
        <v/>
      </c>
      <c r="D958" s="10" t="n">
        <v>38.4283037</v>
      </c>
      <c r="E958" s="11" t="n">
        <v>17.54303747</v>
      </c>
      <c r="F958" s="12" t="n">
        <v>0.01546509226</v>
      </c>
      <c r="G958" s="11" t="n">
        <v>293.3740212</v>
      </c>
      <c r="H958" s="13">
        <f>F958*1000</f>
        <v/>
      </c>
      <c r="I958" s="14">
        <f>G958-273.15</f>
        <v/>
      </c>
      <c r="K958" s="15" t="n">
        <v>2003</v>
      </c>
      <c r="L958" s="15" t="n">
        <v>8</v>
      </c>
      <c r="M958" s="15" t="n">
        <v>24</v>
      </c>
      <c r="N958" s="16" t="n">
        <v>5.814961703e-06</v>
      </c>
      <c r="O958" s="11" t="n">
        <v>287.5019982</v>
      </c>
      <c r="P958" s="13">
        <f>N958*86400</f>
        <v/>
      </c>
      <c r="Q958" s="14">
        <f>O958-273.15</f>
        <v/>
      </c>
    </row>
    <row r="959">
      <c r="A959" s="9" t="n">
        <v>37846</v>
      </c>
      <c r="B959" s="7">
        <f>YEAR(A959)</f>
        <v/>
      </c>
      <c r="C959" s="7">
        <f>MONTH(A959)</f>
        <v/>
      </c>
      <c r="D959" s="10" t="n">
        <v>16.70130022</v>
      </c>
      <c r="E959" s="11" t="n">
        <v>17.55681293</v>
      </c>
      <c r="F959" s="12" t="n">
        <v>0.002771921145</v>
      </c>
      <c r="G959" s="11" t="n">
        <v>292.4613506</v>
      </c>
      <c r="H959" s="13">
        <f>F959*1000</f>
        <v/>
      </c>
      <c r="I959" s="14">
        <f>G959-273.15</f>
        <v/>
      </c>
      <c r="K959" s="15" t="n">
        <v>2003</v>
      </c>
      <c r="L959" s="15" t="n">
        <v>8</v>
      </c>
      <c r="M959" s="15" t="n">
        <v>25</v>
      </c>
      <c r="N959" s="16" t="n">
        <v>3.738817009e-06</v>
      </c>
      <c r="O959" s="11" t="n">
        <v>286.0857071</v>
      </c>
      <c r="P959" s="13">
        <f>N959*86400</f>
        <v/>
      </c>
      <c r="Q959" s="14">
        <f>O959-273.15</f>
        <v/>
      </c>
    </row>
    <row r="960">
      <c r="A960" s="9" t="n">
        <v>37847</v>
      </c>
      <c r="B960" s="7">
        <f>YEAR(A960)</f>
        <v/>
      </c>
      <c r="C960" s="7">
        <f>MONTH(A960)</f>
        <v/>
      </c>
      <c r="D960" s="10" t="n">
        <v>53.2898493</v>
      </c>
      <c r="E960" s="11" t="n">
        <v>19.73394786</v>
      </c>
      <c r="F960" s="12" t="n">
        <v>0.02714834363</v>
      </c>
      <c r="G960" s="11" t="n">
        <v>293.9027939</v>
      </c>
      <c r="H960" s="13">
        <f>F960*1000</f>
        <v/>
      </c>
      <c r="I960" s="14">
        <f>G960-273.15</f>
        <v/>
      </c>
      <c r="K960" s="15" t="n">
        <v>2003</v>
      </c>
      <c r="L960" s="15" t="n">
        <v>8</v>
      </c>
      <c r="M960" s="15" t="n">
        <v>26</v>
      </c>
      <c r="N960" s="16" t="n">
        <v>0.0001076439803</v>
      </c>
      <c r="O960" s="11" t="n">
        <v>284.388115</v>
      </c>
      <c r="P960" s="13">
        <f>N960*86400</f>
        <v/>
      </c>
      <c r="Q960" s="14">
        <f>O960-273.15</f>
        <v/>
      </c>
    </row>
    <row r="961">
      <c r="A961" s="9" t="n">
        <v>37848</v>
      </c>
      <c r="B961" s="7">
        <f>YEAR(A961)</f>
        <v/>
      </c>
      <c r="C961" s="7">
        <f>MONTH(A961)</f>
        <v/>
      </c>
      <c r="D961" s="10" t="n">
        <v>48.4314513</v>
      </c>
      <c r="E961" s="11" t="n">
        <v>16.16580557</v>
      </c>
      <c r="F961" s="12" t="n">
        <v>0.03760240435</v>
      </c>
      <c r="G961" s="11" t="n">
        <v>291.3927809</v>
      </c>
      <c r="H961" s="13">
        <f>F961*1000</f>
        <v/>
      </c>
      <c r="I961" s="14">
        <f>G961-273.15</f>
        <v/>
      </c>
      <c r="K961" s="15" t="n">
        <v>2003</v>
      </c>
      <c r="L961" s="15" t="n">
        <v>8</v>
      </c>
      <c r="M961" s="15" t="n">
        <v>27</v>
      </c>
      <c r="N961" s="16" t="n">
        <v>0.0001144986134</v>
      </c>
      <c r="O961" s="11" t="n">
        <v>285.8687328</v>
      </c>
      <c r="P961" s="13">
        <f>N961*86400</f>
        <v/>
      </c>
      <c r="Q961" s="14">
        <f>O961-273.15</f>
        <v/>
      </c>
    </row>
    <row r="962">
      <c r="A962" s="9" t="n">
        <v>37849</v>
      </c>
      <c r="B962" s="7">
        <f>YEAR(A962)</f>
        <v/>
      </c>
      <c r="C962" s="7">
        <f>MONTH(A962)</f>
        <v/>
      </c>
      <c r="D962" s="10" t="n">
        <v>0</v>
      </c>
      <c r="E962" s="11" t="n">
        <v>14.29976956</v>
      </c>
      <c r="F962" s="12" t="n">
        <v>0.002051771223</v>
      </c>
      <c r="G962" s="11" t="n">
        <v>290.2495008</v>
      </c>
      <c r="H962" s="13">
        <f>F962*1000</f>
        <v/>
      </c>
      <c r="I962" s="14">
        <f>G962-273.15</f>
        <v/>
      </c>
      <c r="K962" s="15" t="n">
        <v>2003</v>
      </c>
      <c r="L962" s="15" t="n">
        <v>8</v>
      </c>
      <c r="M962" s="15" t="n">
        <v>28</v>
      </c>
      <c r="N962" s="16" t="n">
        <v>0.0002665670774</v>
      </c>
      <c r="O962" s="11" t="n">
        <v>284.760226</v>
      </c>
      <c r="P962" s="13">
        <f>N962*86400</f>
        <v/>
      </c>
      <c r="Q962" s="14">
        <f>O962-273.15</f>
        <v/>
      </c>
    </row>
    <row r="963">
      <c r="A963" s="9" t="n">
        <v>37850</v>
      </c>
      <c r="B963" s="7">
        <f>YEAR(A963)</f>
        <v/>
      </c>
      <c r="C963" s="7">
        <f>MONTH(A963)</f>
        <v/>
      </c>
      <c r="D963" s="10" t="n">
        <v>0</v>
      </c>
      <c r="E963" s="11" t="n">
        <v>14.20708725</v>
      </c>
      <c r="F963" s="12" t="n">
        <v>0.001371243282</v>
      </c>
      <c r="G963" s="11" t="n">
        <v>290.0598684</v>
      </c>
      <c r="H963" s="13">
        <f>F963*1000</f>
        <v/>
      </c>
      <c r="I963" s="14">
        <f>G963-273.15</f>
        <v/>
      </c>
      <c r="K963" s="15" t="n">
        <v>2003</v>
      </c>
      <c r="L963" s="15" t="n">
        <v>8</v>
      </c>
      <c r="M963" s="15" t="n">
        <v>29</v>
      </c>
      <c r="N963" s="16" t="n">
        <v>9.437641803e-05</v>
      </c>
      <c r="O963" s="11" t="n">
        <v>285.3344014</v>
      </c>
      <c r="P963" s="13">
        <f>N963*86400</f>
        <v/>
      </c>
      <c r="Q963" s="14">
        <f>O963-273.15</f>
        <v/>
      </c>
    </row>
    <row r="964">
      <c r="A964" s="9" t="n">
        <v>37851</v>
      </c>
      <c r="B964" s="7">
        <f>YEAR(A964)</f>
        <v/>
      </c>
      <c r="C964" s="7">
        <f>MONTH(A964)</f>
        <v/>
      </c>
      <c r="D964" s="10" t="n">
        <v>0</v>
      </c>
      <c r="E964" s="11" t="n">
        <v>12.03367148</v>
      </c>
      <c r="F964" s="12" t="n">
        <v>0.01715791548</v>
      </c>
      <c r="G964" s="11" t="n">
        <v>288.3773261</v>
      </c>
      <c r="H964" s="13">
        <f>F964*1000</f>
        <v/>
      </c>
      <c r="I964" s="14">
        <f>G964-273.15</f>
        <v/>
      </c>
      <c r="K964" s="15" t="n">
        <v>2003</v>
      </c>
      <c r="L964" s="15" t="n">
        <v>8</v>
      </c>
      <c r="M964" s="15" t="n">
        <v>30</v>
      </c>
      <c r="N964" s="16" t="n">
        <v>6.68747177e-05</v>
      </c>
      <c r="O964" s="11" t="n">
        <v>286.6124824</v>
      </c>
      <c r="P964" s="13">
        <f>N964*86400</f>
        <v/>
      </c>
      <c r="Q964" s="14">
        <f>O964-273.15</f>
        <v/>
      </c>
    </row>
    <row r="965">
      <c r="A965" s="9" t="n">
        <v>37852</v>
      </c>
      <c r="B965" s="7">
        <f>YEAR(A965)</f>
        <v/>
      </c>
      <c r="C965" s="7">
        <f>MONTH(A965)</f>
        <v/>
      </c>
      <c r="D965" s="10" t="n">
        <v>0.2098126869</v>
      </c>
      <c r="E965" s="11" t="n">
        <v>13.66174536</v>
      </c>
      <c r="F965" s="12" t="n">
        <v>0.0414784659</v>
      </c>
      <c r="G965" s="11" t="n">
        <v>289.0502461</v>
      </c>
      <c r="H965" s="13">
        <f>F965*1000</f>
        <v/>
      </c>
      <c r="I965" s="14">
        <f>G965-273.15</f>
        <v/>
      </c>
      <c r="K965" s="15" t="n">
        <v>2003</v>
      </c>
      <c r="L965" s="15" t="n">
        <v>9</v>
      </c>
      <c r="M965" s="15" t="n">
        <v>1</v>
      </c>
      <c r="N965" s="16" t="n">
        <v>8.485818419e-05</v>
      </c>
      <c r="O965" s="11" t="n">
        <v>286.3630651</v>
      </c>
      <c r="P965" s="13">
        <f>N965*86400</f>
        <v/>
      </c>
      <c r="Q965" s="14">
        <f>O965-273.15</f>
        <v/>
      </c>
    </row>
    <row r="966">
      <c r="A966" s="9" t="n">
        <v>37853</v>
      </c>
      <c r="B966" s="7">
        <f>YEAR(A966)</f>
        <v/>
      </c>
      <c r="C966" s="7">
        <f>MONTH(A966)</f>
        <v/>
      </c>
      <c r="D966" s="10" t="n">
        <v>0</v>
      </c>
      <c r="E966" s="11" t="n">
        <v>13.40935626</v>
      </c>
      <c r="F966" s="12" t="n">
        <v>0.0001723455842</v>
      </c>
      <c r="G966" s="11" t="n">
        <v>288.3341134</v>
      </c>
      <c r="H966" s="13">
        <f>F966*1000</f>
        <v/>
      </c>
      <c r="I966" s="14">
        <f>G966-273.15</f>
        <v/>
      </c>
      <c r="K966" s="15" t="n">
        <v>2003</v>
      </c>
      <c r="L966" s="15" t="n">
        <v>9</v>
      </c>
      <c r="M966" s="15" t="n">
        <v>2</v>
      </c>
      <c r="N966" s="16" t="n">
        <v>0.0001426892004</v>
      </c>
      <c r="O966" s="11" t="n">
        <v>285.3422475</v>
      </c>
      <c r="P966" s="13">
        <f>N966*86400</f>
        <v/>
      </c>
      <c r="Q966" s="14">
        <f>O966-273.15</f>
        <v/>
      </c>
    </row>
    <row r="967">
      <c r="A967" s="9" t="n">
        <v>37854</v>
      </c>
      <c r="B967" s="7">
        <f>YEAR(A967)</f>
        <v/>
      </c>
      <c r="C967" s="7">
        <f>MONTH(A967)</f>
        <v/>
      </c>
      <c r="D967" s="10" t="n">
        <v>3.277384717</v>
      </c>
      <c r="E967" s="11" t="n">
        <v>14.23090326</v>
      </c>
      <c r="F967" s="12" t="n">
        <v>0.02827528016</v>
      </c>
      <c r="G967" s="11" t="n">
        <v>289.6855259</v>
      </c>
      <c r="H967" s="13">
        <f>F967*1000</f>
        <v/>
      </c>
      <c r="I967" s="14">
        <f>G967-273.15</f>
        <v/>
      </c>
      <c r="K967" s="15" t="n">
        <v>2003</v>
      </c>
      <c r="L967" s="15" t="n">
        <v>9</v>
      </c>
      <c r="M967" s="15" t="n">
        <v>3</v>
      </c>
      <c r="N967" s="16" t="n">
        <v>0</v>
      </c>
      <c r="O967" s="11" t="n">
        <v>287.9621498</v>
      </c>
      <c r="P967" s="13">
        <f>N967*86400</f>
        <v/>
      </c>
      <c r="Q967" s="14">
        <f>O967-273.15</f>
        <v/>
      </c>
    </row>
    <row r="968">
      <c r="A968" s="9" t="n">
        <v>37855</v>
      </c>
      <c r="B968" s="7">
        <f>YEAR(A968)</f>
        <v/>
      </c>
      <c r="C968" s="7">
        <f>MONTH(A968)</f>
        <v/>
      </c>
      <c r="D968" s="10" t="n">
        <v>0</v>
      </c>
      <c r="E968" s="11" t="n">
        <v>14.37547456</v>
      </c>
      <c r="F968" s="12" t="n">
        <v>0.001027827134</v>
      </c>
      <c r="G968" s="11" t="n">
        <v>289.931232</v>
      </c>
      <c r="H968" s="13">
        <f>F968*1000</f>
        <v/>
      </c>
      <c r="I968" s="14">
        <f>G968-273.15</f>
        <v/>
      </c>
      <c r="K968" s="15" t="n">
        <v>2003</v>
      </c>
      <c r="L968" s="15" t="n">
        <v>9</v>
      </c>
      <c r="M968" s="15" t="n">
        <v>4</v>
      </c>
      <c r="N968" s="16" t="n">
        <v>8.291906968e-06</v>
      </c>
      <c r="O968" s="11" t="n">
        <v>288.7828302</v>
      </c>
      <c r="P968" s="13">
        <f>N968*86400</f>
        <v/>
      </c>
      <c r="Q968" s="14">
        <f>O968-273.15</f>
        <v/>
      </c>
    </row>
    <row r="969">
      <c r="A969" s="9" t="n">
        <v>37856</v>
      </c>
      <c r="B969" s="7">
        <f>YEAR(A969)</f>
        <v/>
      </c>
      <c r="C969" s="7">
        <f>MONTH(A969)</f>
        <v/>
      </c>
      <c r="D969" s="10" t="n">
        <v>9.066463344000001</v>
      </c>
      <c r="E969" s="11" t="n">
        <v>15.93190772</v>
      </c>
      <c r="F969" s="12" t="n">
        <v>0.008178222014</v>
      </c>
      <c r="G969" s="11" t="n">
        <v>290.9273326</v>
      </c>
      <c r="H969" s="13">
        <f>F969*1000</f>
        <v/>
      </c>
      <c r="I969" s="14">
        <f>G969-273.15</f>
        <v/>
      </c>
      <c r="K969" s="15" t="n">
        <v>2003</v>
      </c>
      <c r="L969" s="15" t="n">
        <v>9</v>
      </c>
      <c r="M969" s="15" t="n">
        <v>5</v>
      </c>
      <c r="N969" s="16" t="n">
        <v>9.079474577e-06</v>
      </c>
      <c r="O969" s="11" t="n">
        <v>288.2893766</v>
      </c>
      <c r="P969" s="13">
        <f>N969*86400</f>
        <v/>
      </c>
      <c r="Q969" s="14">
        <f>O969-273.15</f>
        <v/>
      </c>
    </row>
    <row r="970">
      <c r="A970" s="9" t="n">
        <v>37857</v>
      </c>
      <c r="B970" s="7">
        <f>YEAR(A970)</f>
        <v/>
      </c>
      <c r="C970" s="7">
        <f>MONTH(A970)</f>
        <v/>
      </c>
      <c r="D970" s="10" t="n">
        <v>2.541847982</v>
      </c>
      <c r="E970" s="11" t="n">
        <v>13.48141118</v>
      </c>
      <c r="F970" s="12" t="n">
        <v>0.01029119158</v>
      </c>
      <c r="G970" s="11" t="n">
        <v>288.5611611</v>
      </c>
      <c r="H970" s="13">
        <f>F970*1000</f>
        <v/>
      </c>
      <c r="I970" s="14">
        <f>G970-273.15</f>
        <v/>
      </c>
      <c r="K970" s="15" t="n">
        <v>2003</v>
      </c>
      <c r="L970" s="15" t="n">
        <v>9</v>
      </c>
      <c r="M970" s="15" t="n">
        <v>6</v>
      </c>
      <c r="N970" s="16" t="n">
        <v>8.671092621e-06</v>
      </c>
      <c r="O970" s="11" t="n">
        <v>289.1253538</v>
      </c>
      <c r="P970" s="13">
        <f>N970*86400</f>
        <v/>
      </c>
      <c r="Q970" s="14">
        <f>O970-273.15</f>
        <v/>
      </c>
    </row>
    <row r="971">
      <c r="A971" s="9" t="n">
        <v>37858</v>
      </c>
      <c r="B971" s="7">
        <f>YEAR(A971)</f>
        <v/>
      </c>
      <c r="C971" s="7">
        <f>MONTH(A971)</f>
        <v/>
      </c>
      <c r="D971" s="10" t="n">
        <v>3.571926601</v>
      </c>
      <c r="E971" s="11" t="n">
        <v>15.51517692</v>
      </c>
      <c r="F971" s="12" t="n">
        <v>0.003765149541</v>
      </c>
      <c r="G971" s="11" t="n">
        <v>290.2727644</v>
      </c>
      <c r="H971" s="13">
        <f>F971*1000</f>
        <v/>
      </c>
      <c r="I971" s="14">
        <f>G971-273.15</f>
        <v/>
      </c>
      <c r="K971" s="15" t="n">
        <v>2003</v>
      </c>
      <c r="L971" s="15" t="n">
        <v>9</v>
      </c>
      <c r="M971" s="15" t="n">
        <v>7</v>
      </c>
      <c r="N971" s="16" t="n">
        <v>3.285040392e-06</v>
      </c>
      <c r="O971" s="11" t="n">
        <v>287.6900838</v>
      </c>
      <c r="P971" s="13">
        <f>N971*86400</f>
        <v/>
      </c>
      <c r="Q971" s="14">
        <f>O971-273.15</f>
        <v/>
      </c>
    </row>
    <row r="972">
      <c r="A972" s="9" t="n">
        <v>37859</v>
      </c>
      <c r="B972" s="7">
        <f>YEAR(A972)</f>
        <v/>
      </c>
      <c r="C972" s="7">
        <f>MONTH(A972)</f>
        <v/>
      </c>
      <c r="D972" s="10" t="n">
        <v>0</v>
      </c>
      <c r="E972" s="11" t="n">
        <v>14.79207173</v>
      </c>
      <c r="F972" s="12" t="n">
        <v>0</v>
      </c>
      <c r="G972" s="11" t="n">
        <v>288.6950946</v>
      </c>
      <c r="H972" s="13">
        <f>F972*1000</f>
        <v/>
      </c>
      <c r="I972" s="14">
        <f>G972-273.15</f>
        <v/>
      </c>
      <c r="K972" s="15" t="n">
        <v>2003</v>
      </c>
      <c r="L972" s="15" t="n">
        <v>9</v>
      </c>
      <c r="M972" s="15" t="n">
        <v>8</v>
      </c>
      <c r="N972" s="16" t="n">
        <v>1.243234125e-05</v>
      </c>
      <c r="O972" s="11" t="n">
        <v>287.8817616</v>
      </c>
      <c r="P972" s="13">
        <f>N972*86400</f>
        <v/>
      </c>
      <c r="Q972" s="14">
        <f>O972-273.15</f>
        <v/>
      </c>
    </row>
    <row r="973">
      <c r="A973" s="9" t="n">
        <v>37860</v>
      </c>
      <c r="B973" s="7">
        <f>YEAR(A973)</f>
        <v/>
      </c>
      <c r="C973" s="7">
        <f>MONTH(A973)</f>
        <v/>
      </c>
      <c r="D973" s="10" t="n">
        <v>0</v>
      </c>
      <c r="E973" s="11" t="n">
        <v>12.62970339</v>
      </c>
      <c r="F973" s="12" t="n">
        <v>0.004136561332</v>
      </c>
      <c r="G973" s="11" t="n">
        <v>287.0094728</v>
      </c>
      <c r="H973" s="13">
        <f>F973*1000</f>
        <v/>
      </c>
      <c r="I973" s="14">
        <f>G973-273.15</f>
        <v/>
      </c>
      <c r="K973" s="15" t="n">
        <v>2003</v>
      </c>
      <c r="L973" s="15" t="n">
        <v>9</v>
      </c>
      <c r="M973" s="15" t="n">
        <v>9</v>
      </c>
      <c r="N973" s="16" t="n">
        <v>2.234471575e-05</v>
      </c>
      <c r="O973" s="11" t="n">
        <v>288.9036174</v>
      </c>
      <c r="P973" s="13">
        <f>N973*86400</f>
        <v/>
      </c>
      <c r="Q973" s="14">
        <f>O973-273.15</f>
        <v/>
      </c>
    </row>
    <row r="974">
      <c r="A974" s="9" t="n">
        <v>37861</v>
      </c>
      <c r="B974" s="7">
        <f>YEAR(A974)</f>
        <v/>
      </c>
      <c r="C974" s="7">
        <f>MONTH(A974)</f>
        <v/>
      </c>
      <c r="D974" s="10" t="n">
        <v>0</v>
      </c>
      <c r="E974" s="11" t="n">
        <v>13.33041911</v>
      </c>
      <c r="F974" s="12" t="n">
        <v>0</v>
      </c>
      <c r="G974" s="11" t="n">
        <v>288.2120651</v>
      </c>
      <c r="H974" s="13">
        <f>F974*1000</f>
        <v/>
      </c>
      <c r="I974" s="14">
        <f>G974-273.15</f>
        <v/>
      </c>
      <c r="K974" s="15" t="n">
        <v>2003</v>
      </c>
      <c r="L974" s="15" t="n">
        <v>9</v>
      </c>
      <c r="M974" s="15" t="n">
        <v>10</v>
      </c>
      <c r="N974" s="16" t="n">
        <v>2.385911017e-06</v>
      </c>
      <c r="O974" s="11" t="n">
        <v>289.1694299</v>
      </c>
      <c r="P974" s="13">
        <f>N974*86400</f>
        <v/>
      </c>
      <c r="Q974" s="14">
        <f>O974-273.15</f>
        <v/>
      </c>
    </row>
    <row r="975">
      <c r="A975" s="9" t="n">
        <v>37862</v>
      </c>
      <c r="B975" s="7">
        <f>YEAR(A975)</f>
        <v/>
      </c>
      <c r="C975" s="7">
        <f>MONTH(A975)</f>
        <v/>
      </c>
      <c r="D975" s="10" t="n">
        <v>0</v>
      </c>
      <c r="E975" s="11" t="n">
        <v>15.93009628</v>
      </c>
      <c r="F975" s="12" t="n">
        <v>0</v>
      </c>
      <c r="G975" s="11" t="n">
        <v>290.0530895</v>
      </c>
      <c r="H975" s="13">
        <f>F975*1000</f>
        <v/>
      </c>
      <c r="I975" s="14">
        <f>G975-273.15</f>
        <v/>
      </c>
      <c r="K975" s="15" t="n">
        <v>2003</v>
      </c>
      <c r="L975" s="15" t="n">
        <v>9</v>
      </c>
      <c r="M975" s="15" t="n">
        <v>11</v>
      </c>
      <c r="N975" s="16" t="n">
        <v>8.104458933e-06</v>
      </c>
      <c r="O975" s="11" t="n">
        <v>287.7076469</v>
      </c>
      <c r="P975" s="13">
        <f>N975*86400</f>
        <v/>
      </c>
      <c r="Q975" s="14">
        <f>O975-273.15</f>
        <v/>
      </c>
    </row>
    <row r="976">
      <c r="A976" s="9" t="n">
        <v>37863</v>
      </c>
      <c r="B976" s="7">
        <f>YEAR(A976)</f>
        <v/>
      </c>
      <c r="C976" s="7">
        <f>MONTH(A976)</f>
        <v/>
      </c>
      <c r="D976" s="10" t="n">
        <v>0</v>
      </c>
      <c r="E976" s="11" t="n">
        <v>15.8493067</v>
      </c>
      <c r="F976" s="12" t="n">
        <v>0</v>
      </c>
      <c r="G976" s="11" t="n">
        <v>289.3537934</v>
      </c>
      <c r="H976" s="13">
        <f>F976*1000</f>
        <v/>
      </c>
      <c r="I976" s="14">
        <f>G976-273.15</f>
        <v/>
      </c>
      <c r="K976" s="15" t="n">
        <v>2003</v>
      </c>
      <c r="L976" s="15" t="n">
        <v>9</v>
      </c>
      <c r="M976" s="15" t="n">
        <v>12</v>
      </c>
      <c r="N976" s="16" t="n">
        <v>2.446552419e-06</v>
      </c>
      <c r="O976" s="11" t="n">
        <v>285.9636209</v>
      </c>
      <c r="P976" s="13">
        <f>N976*86400</f>
        <v/>
      </c>
      <c r="Q976" s="14">
        <f>O976-273.15</f>
        <v/>
      </c>
    </row>
    <row r="977">
      <c r="A977" s="9" t="n">
        <v>37864</v>
      </c>
      <c r="B977" s="7">
        <f>YEAR(A977)</f>
        <v/>
      </c>
      <c r="C977" s="7">
        <f>MONTH(A977)</f>
        <v/>
      </c>
      <c r="D977" s="10" t="n">
        <v>8.018138619</v>
      </c>
      <c r="E977" s="11" t="n">
        <v>15.19519936</v>
      </c>
      <c r="F977" s="12" t="n">
        <v>0.008178565820999999</v>
      </c>
      <c r="G977" s="11" t="n">
        <v>289.4026329</v>
      </c>
      <c r="H977" s="13">
        <f>F977*1000</f>
        <v/>
      </c>
      <c r="I977" s="14">
        <f>G977-273.15</f>
        <v/>
      </c>
      <c r="K977" s="15" t="n">
        <v>2003</v>
      </c>
      <c r="L977" s="15" t="n">
        <v>9</v>
      </c>
      <c r="M977" s="15" t="n">
        <v>13</v>
      </c>
      <c r="N977" s="16" t="n">
        <v>0</v>
      </c>
      <c r="O977" s="11" t="n">
        <v>286.0898593</v>
      </c>
      <c r="P977" s="13">
        <f>N977*86400</f>
        <v/>
      </c>
      <c r="Q977" s="14">
        <f>O977-273.15</f>
        <v/>
      </c>
    </row>
    <row r="978">
      <c r="A978" s="9" t="n">
        <v>37865</v>
      </c>
      <c r="B978" s="7">
        <f>YEAR(A978)</f>
        <v/>
      </c>
      <c r="C978" s="7">
        <f>MONTH(A978)</f>
        <v/>
      </c>
      <c r="D978" s="10" t="n">
        <v>0.2813653663</v>
      </c>
      <c r="E978" s="11" t="n">
        <v>12.6300283</v>
      </c>
      <c r="F978" s="12" t="n">
        <v>0.0005618327091</v>
      </c>
      <c r="G978" s="11" t="n">
        <v>287.3076023</v>
      </c>
      <c r="H978" s="13">
        <f>F978*1000</f>
        <v/>
      </c>
      <c r="I978" s="14">
        <f>G978-273.15</f>
        <v/>
      </c>
      <c r="K978" s="15" t="n">
        <v>2003</v>
      </c>
      <c r="L978" s="15" t="n">
        <v>9</v>
      </c>
      <c r="M978" s="15" t="n">
        <v>14</v>
      </c>
      <c r="N978" s="16" t="n">
        <v>2.339317247e-05</v>
      </c>
      <c r="O978" s="11" t="n">
        <v>285.8029502</v>
      </c>
      <c r="P978" s="13">
        <f>N978*86400</f>
        <v/>
      </c>
      <c r="Q978" s="14">
        <f>O978-273.15</f>
        <v/>
      </c>
    </row>
    <row r="979">
      <c r="A979" s="9" t="n">
        <v>37866</v>
      </c>
      <c r="B979" s="7">
        <f>YEAR(A979)</f>
        <v/>
      </c>
      <c r="C979" s="7">
        <f>MONTH(A979)</f>
        <v/>
      </c>
      <c r="D979" s="10" t="n">
        <v>0</v>
      </c>
      <c r="E979" s="11" t="n">
        <v>11.11979658</v>
      </c>
      <c r="F979" s="12" t="n">
        <v>0</v>
      </c>
      <c r="G979" s="11" t="n">
        <v>285.8887455</v>
      </c>
      <c r="H979" s="13">
        <f>F979*1000</f>
        <v/>
      </c>
      <c r="I979" s="14">
        <f>G979-273.15</f>
        <v/>
      </c>
      <c r="K979" s="15" t="n">
        <v>2003</v>
      </c>
      <c r="L979" s="15" t="n">
        <v>9</v>
      </c>
      <c r="M979" s="15" t="n">
        <v>15</v>
      </c>
      <c r="N979" s="16" t="n">
        <v>0</v>
      </c>
      <c r="O979" s="11" t="n">
        <v>287.0056604</v>
      </c>
      <c r="P979" s="13">
        <f>N979*86400</f>
        <v/>
      </c>
      <c r="Q979" s="14">
        <f>O979-273.15</f>
        <v/>
      </c>
    </row>
    <row r="980">
      <c r="A980" s="9" t="n">
        <v>37867</v>
      </c>
      <c r="B980" s="7">
        <f>YEAR(A980)</f>
        <v/>
      </c>
      <c r="C980" s="7">
        <f>MONTH(A980)</f>
        <v/>
      </c>
      <c r="D980" s="10" t="n">
        <v>4.766493772</v>
      </c>
      <c r="E980" s="11" t="n">
        <v>11.72947152</v>
      </c>
      <c r="F980" s="12" t="n">
        <v>0.001520634607</v>
      </c>
      <c r="G980" s="11" t="n">
        <v>287.0174736</v>
      </c>
      <c r="H980" s="13">
        <f>F980*1000</f>
        <v/>
      </c>
      <c r="I980" s="14">
        <f>G980-273.15</f>
        <v/>
      </c>
      <c r="K980" s="15" t="n">
        <v>2003</v>
      </c>
      <c r="L980" s="15" t="n">
        <v>9</v>
      </c>
      <c r="M980" s="15" t="n">
        <v>16</v>
      </c>
      <c r="N980" s="16" t="n">
        <v>0</v>
      </c>
      <c r="O980" s="11" t="n">
        <v>285.3538757</v>
      </c>
      <c r="P980" s="13">
        <f>N980*86400</f>
        <v/>
      </c>
      <c r="Q980" s="14">
        <f>O980-273.15</f>
        <v/>
      </c>
    </row>
    <row r="981">
      <c r="A981" s="9" t="n">
        <v>37868</v>
      </c>
      <c r="B981" s="7">
        <f>YEAR(A981)</f>
        <v/>
      </c>
      <c r="C981" s="7">
        <f>MONTH(A981)</f>
        <v/>
      </c>
      <c r="D981" s="10" t="n">
        <v>6.160654673</v>
      </c>
      <c r="E981" s="11" t="n">
        <v>9.522315208</v>
      </c>
      <c r="F981" s="12" t="n">
        <v>0.003084740086</v>
      </c>
      <c r="G981" s="11" t="n">
        <v>285.9126914</v>
      </c>
      <c r="H981" s="13">
        <f>F981*1000</f>
        <v/>
      </c>
      <c r="I981" s="14">
        <f>G981-273.15</f>
        <v/>
      </c>
      <c r="K981" s="15" t="n">
        <v>2003</v>
      </c>
      <c r="L981" s="15" t="n">
        <v>9</v>
      </c>
      <c r="M981" s="15" t="n">
        <v>17</v>
      </c>
      <c r="N981" s="16" t="n">
        <v>0</v>
      </c>
      <c r="O981" s="11" t="n">
        <v>286.8222634</v>
      </c>
      <c r="P981" s="13">
        <f>N981*86400</f>
        <v/>
      </c>
      <c r="Q981" s="14">
        <f>O981-273.15</f>
        <v/>
      </c>
    </row>
    <row r="982">
      <c r="A982" s="9" t="n">
        <v>37869</v>
      </c>
      <c r="B982" s="7">
        <f>YEAR(A982)</f>
        <v/>
      </c>
      <c r="C982" s="7">
        <f>MONTH(A982)</f>
        <v/>
      </c>
      <c r="D982" s="10" t="n">
        <v>3.101002599</v>
      </c>
      <c r="E982" s="11" t="n">
        <v>8.077753298999999</v>
      </c>
      <c r="F982" s="12" t="n">
        <v>0.002371648296</v>
      </c>
      <c r="G982" s="11" t="n">
        <v>285.6573668</v>
      </c>
      <c r="H982" s="13">
        <f>F982*1000</f>
        <v/>
      </c>
      <c r="I982" s="14">
        <f>G982-273.15</f>
        <v/>
      </c>
      <c r="K982" s="15" t="n">
        <v>2003</v>
      </c>
      <c r="L982" s="15" t="n">
        <v>9</v>
      </c>
      <c r="M982" s="15" t="n">
        <v>18</v>
      </c>
      <c r="N982" s="16" t="n">
        <v>2.058719535e-06</v>
      </c>
      <c r="O982" s="11" t="n">
        <v>286.4331038</v>
      </c>
      <c r="P982" s="13">
        <f>N982*86400</f>
        <v/>
      </c>
      <c r="Q982" s="14">
        <f>O982-273.15</f>
        <v/>
      </c>
    </row>
    <row r="983">
      <c r="A983" s="9" t="n">
        <v>37870</v>
      </c>
      <c r="B983" s="7">
        <f>YEAR(A983)</f>
        <v/>
      </c>
      <c r="C983" s="7">
        <f>MONTH(A983)</f>
        <v/>
      </c>
      <c r="D983" s="10" t="n">
        <v>13.53916445</v>
      </c>
      <c r="E983" s="11" t="n">
        <v>8.817175954</v>
      </c>
      <c r="F983" s="12" t="n">
        <v>0.02082769078</v>
      </c>
      <c r="G983" s="11" t="n">
        <v>285.4817091</v>
      </c>
      <c r="H983" s="13">
        <f>F983*1000</f>
        <v/>
      </c>
      <c r="I983" s="14">
        <f>G983-273.15</f>
        <v/>
      </c>
      <c r="K983" s="15" t="n">
        <v>2003</v>
      </c>
      <c r="L983" s="15" t="n">
        <v>9</v>
      </c>
      <c r="M983" s="15" t="n">
        <v>19</v>
      </c>
      <c r="N983" s="16" t="n">
        <v>3.981140202e-06</v>
      </c>
      <c r="O983" s="11" t="n">
        <v>285.4344629</v>
      </c>
      <c r="P983" s="13">
        <f>N983*86400</f>
        <v/>
      </c>
      <c r="Q983" s="14">
        <f>O983-273.15</f>
        <v/>
      </c>
    </row>
    <row r="984">
      <c r="A984" s="9" t="n">
        <v>37871</v>
      </c>
      <c r="B984" s="7">
        <f>YEAR(A984)</f>
        <v/>
      </c>
      <c r="C984" s="7">
        <f>MONTH(A984)</f>
        <v/>
      </c>
      <c r="D984" s="10" t="n">
        <v>6.148520631</v>
      </c>
      <c r="E984" s="11" t="n">
        <v>7.154304032</v>
      </c>
      <c r="F984" s="12" t="n">
        <v>0.004509557416</v>
      </c>
      <c r="G984" s="11" t="n">
        <v>284.9231513</v>
      </c>
      <c r="H984" s="13">
        <f>F984*1000</f>
        <v/>
      </c>
      <c r="I984" s="14">
        <f>G984-273.15</f>
        <v/>
      </c>
      <c r="K984" s="15" t="n">
        <v>2003</v>
      </c>
      <c r="L984" s="15" t="n">
        <v>9</v>
      </c>
      <c r="M984" s="15" t="n">
        <v>20</v>
      </c>
      <c r="N984" s="16" t="n">
        <v>0</v>
      </c>
      <c r="O984" s="11" t="n">
        <v>285.0761199</v>
      </c>
      <c r="P984" s="13">
        <f>N984*86400</f>
        <v/>
      </c>
      <c r="Q984" s="14">
        <f>O984-273.15</f>
        <v/>
      </c>
    </row>
    <row r="985">
      <c r="A985" s="9" t="n">
        <v>37872</v>
      </c>
      <c r="B985" s="7">
        <f>YEAR(A985)</f>
        <v/>
      </c>
      <c r="C985" s="7">
        <f>MONTH(A985)</f>
        <v/>
      </c>
      <c r="D985" s="10" t="n">
        <v>15.3181947</v>
      </c>
      <c r="E985" s="11" t="n">
        <v>10.11741435</v>
      </c>
      <c r="F985" s="12" t="n">
        <v>0.009034251457</v>
      </c>
      <c r="G985" s="11" t="n">
        <v>287.2110322</v>
      </c>
      <c r="H985" s="13">
        <f>F985*1000</f>
        <v/>
      </c>
      <c r="I985" s="14">
        <f>G985-273.15</f>
        <v/>
      </c>
      <c r="K985" s="15" t="n">
        <v>2003</v>
      </c>
      <c r="L985" s="15" t="n">
        <v>9</v>
      </c>
      <c r="M985" s="15" t="n">
        <v>21</v>
      </c>
      <c r="N985" s="16" t="n">
        <v>5.57848455e-05</v>
      </c>
      <c r="O985" s="11" t="n">
        <v>286.4729704</v>
      </c>
      <c r="P985" s="13">
        <f>N985*86400</f>
        <v/>
      </c>
      <c r="Q985" s="14">
        <f>O985-273.15</f>
        <v/>
      </c>
    </row>
    <row r="986">
      <c r="A986" s="9" t="n">
        <v>37873</v>
      </c>
      <c r="B986" s="7">
        <f>YEAR(A986)</f>
        <v/>
      </c>
      <c r="C986" s="7">
        <f>MONTH(A986)</f>
        <v/>
      </c>
      <c r="D986" s="10" t="n">
        <v>0</v>
      </c>
      <c r="E986" s="11" t="n">
        <v>11.74411493</v>
      </c>
      <c r="F986" s="12" t="n">
        <v>0</v>
      </c>
      <c r="G986" s="11" t="n">
        <v>288.2165013</v>
      </c>
      <c r="H986" s="13">
        <f>F986*1000</f>
        <v/>
      </c>
      <c r="I986" s="14">
        <f>G986-273.15</f>
        <v/>
      </c>
      <c r="K986" s="15" t="n">
        <v>2003</v>
      </c>
      <c r="L986" s="15" t="n">
        <v>9</v>
      </c>
      <c r="M986" s="15" t="n">
        <v>22</v>
      </c>
      <c r="N986" s="16" t="n">
        <v>9.887826685e-06</v>
      </c>
      <c r="O986" s="11" t="n">
        <v>285.4796732</v>
      </c>
      <c r="P986" s="13">
        <f>N986*86400</f>
        <v/>
      </c>
      <c r="Q986" s="14">
        <f>O986-273.15</f>
        <v/>
      </c>
    </row>
    <row r="987">
      <c r="A987" s="9" t="n">
        <v>37874</v>
      </c>
      <c r="B987" s="7">
        <f>YEAR(A987)</f>
        <v/>
      </c>
      <c r="C987" s="7">
        <f>MONTH(A987)</f>
        <v/>
      </c>
      <c r="D987" s="10" t="n">
        <v>0</v>
      </c>
      <c r="E987" s="11" t="n">
        <v>11.68384972</v>
      </c>
      <c r="F987" s="12" t="n">
        <v>0.001579751679</v>
      </c>
      <c r="G987" s="11" t="n">
        <v>287.178695</v>
      </c>
      <c r="H987" s="13">
        <f>F987*1000</f>
        <v/>
      </c>
      <c r="I987" s="14">
        <f>G987-273.15</f>
        <v/>
      </c>
      <c r="K987" s="15" t="n">
        <v>2003</v>
      </c>
      <c r="L987" s="15" t="n">
        <v>9</v>
      </c>
      <c r="M987" s="15" t="n">
        <v>23</v>
      </c>
      <c r="N987" s="16" t="n">
        <v>1.623843258e-05</v>
      </c>
      <c r="O987" s="11" t="n">
        <v>286.0659244</v>
      </c>
      <c r="P987" s="13">
        <f>N987*86400</f>
        <v/>
      </c>
      <c r="Q987" s="14">
        <f>O987-273.15</f>
        <v/>
      </c>
    </row>
    <row r="988">
      <c r="A988" s="9" t="n">
        <v>37875</v>
      </c>
      <c r="B988" s="7">
        <f>YEAR(A988)</f>
        <v/>
      </c>
      <c r="C988" s="7">
        <f>MONTH(A988)</f>
        <v/>
      </c>
      <c r="D988" s="10" t="n">
        <v>17.60489528</v>
      </c>
      <c r="E988" s="11" t="n">
        <v>12.05174621</v>
      </c>
      <c r="F988" s="12" t="n">
        <v>0.008464578989</v>
      </c>
      <c r="G988" s="11" t="n">
        <v>286.4161133</v>
      </c>
      <c r="H988" s="13">
        <f>F988*1000</f>
        <v/>
      </c>
      <c r="I988" s="14">
        <f>G988-273.15</f>
        <v/>
      </c>
      <c r="K988" s="15" t="n">
        <v>2003</v>
      </c>
      <c r="L988" s="15" t="n">
        <v>9</v>
      </c>
      <c r="M988" s="15" t="n">
        <v>24</v>
      </c>
      <c r="N988" s="16" t="n">
        <v>2.872258647e-06</v>
      </c>
      <c r="O988" s="11" t="n">
        <v>282.6444335</v>
      </c>
      <c r="P988" s="13">
        <f>N988*86400</f>
        <v/>
      </c>
      <c r="Q988" s="14">
        <f>O988-273.15</f>
        <v/>
      </c>
    </row>
    <row r="989">
      <c r="A989" s="9" t="n">
        <v>37876</v>
      </c>
      <c r="B989" s="7">
        <f>YEAR(A989)</f>
        <v/>
      </c>
      <c r="C989" s="7">
        <f>MONTH(A989)</f>
        <v/>
      </c>
      <c r="D989" s="10" t="n">
        <v>0</v>
      </c>
      <c r="E989" s="11" t="n">
        <v>12.16314601</v>
      </c>
      <c r="F989" s="12" t="n">
        <v>6.322621841e-06</v>
      </c>
      <c r="G989" s="11" t="n">
        <v>286.5779849</v>
      </c>
      <c r="H989" s="13">
        <f>F989*1000</f>
        <v/>
      </c>
      <c r="I989" s="14">
        <f>G989-273.15</f>
        <v/>
      </c>
      <c r="K989" s="15" t="n">
        <v>2003</v>
      </c>
      <c r="L989" s="15" t="n">
        <v>9</v>
      </c>
      <c r="M989" s="15" t="n">
        <v>25</v>
      </c>
      <c r="N989" s="16" t="n">
        <v>2.113684311e-05</v>
      </c>
      <c r="O989" s="11" t="n">
        <v>283.0513403</v>
      </c>
      <c r="P989" s="13">
        <f>N989*86400</f>
        <v/>
      </c>
      <c r="Q989" s="14">
        <f>O989-273.15</f>
        <v/>
      </c>
    </row>
    <row r="990">
      <c r="A990" s="9" t="n">
        <v>37877</v>
      </c>
      <c r="B990" s="7">
        <f>YEAR(A990)</f>
        <v/>
      </c>
      <c r="C990" s="7">
        <f>MONTH(A990)</f>
        <v/>
      </c>
      <c r="D990" s="10" t="n">
        <v>0</v>
      </c>
      <c r="E990" s="11" t="n">
        <v>9.964256516000001</v>
      </c>
      <c r="F990" s="12" t="n">
        <v>0.0003061813523</v>
      </c>
      <c r="G990" s="11" t="n">
        <v>285.2719436</v>
      </c>
      <c r="H990" s="13">
        <f>F990*1000</f>
        <v/>
      </c>
      <c r="I990" s="14">
        <f>G990-273.15</f>
        <v/>
      </c>
      <c r="K990" s="15" t="n">
        <v>2003</v>
      </c>
      <c r="L990" s="15" t="n">
        <v>9</v>
      </c>
      <c r="M990" s="15" t="n">
        <v>26</v>
      </c>
      <c r="N990" s="16" t="n">
        <v>2.073525659e-05</v>
      </c>
      <c r="O990" s="11" t="n">
        <v>282.4119967</v>
      </c>
      <c r="P990" s="13">
        <f>N990*86400</f>
        <v/>
      </c>
      <c r="Q990" s="14">
        <f>O990-273.15</f>
        <v/>
      </c>
    </row>
    <row r="991">
      <c r="A991" s="9" t="n">
        <v>37878</v>
      </c>
      <c r="B991" s="7">
        <f>YEAR(A991)</f>
        <v/>
      </c>
      <c r="C991" s="7">
        <f>MONTH(A991)</f>
        <v/>
      </c>
      <c r="D991" s="10" t="n">
        <v>0</v>
      </c>
      <c r="E991" s="11" t="n">
        <v>7.989766735</v>
      </c>
      <c r="F991" s="12" t="n">
        <v>0.001111782217</v>
      </c>
      <c r="G991" s="11" t="n">
        <v>283.870668</v>
      </c>
      <c r="H991" s="13">
        <f>F991*1000</f>
        <v/>
      </c>
      <c r="I991" s="14">
        <f>G991-273.15</f>
        <v/>
      </c>
      <c r="K991" s="15" t="n">
        <v>2003</v>
      </c>
      <c r="L991" s="15" t="n">
        <v>9</v>
      </c>
      <c r="M991" s="15" t="n">
        <v>27</v>
      </c>
      <c r="N991" s="16" t="n">
        <v>0.0001911917317</v>
      </c>
      <c r="O991" s="11" t="n">
        <v>284.4550091</v>
      </c>
      <c r="P991" s="13">
        <f>N991*86400</f>
        <v/>
      </c>
      <c r="Q991" s="14">
        <f>O991-273.15</f>
        <v/>
      </c>
    </row>
    <row r="992">
      <c r="A992" s="9" t="n">
        <v>37879</v>
      </c>
      <c r="B992" s="7">
        <f>YEAR(A992)</f>
        <v/>
      </c>
      <c r="C992" s="7">
        <f>MONTH(A992)</f>
        <v/>
      </c>
      <c r="D992" s="10" t="n">
        <v>0</v>
      </c>
      <c r="E992" s="11" t="n">
        <v>8.899010251</v>
      </c>
      <c r="F992" s="12" t="n">
        <v>0.003006454935</v>
      </c>
      <c r="G992" s="11" t="n">
        <v>284.8107394</v>
      </c>
      <c r="H992" s="13">
        <f>F992*1000</f>
        <v/>
      </c>
      <c r="I992" s="14">
        <f>G992-273.15</f>
        <v/>
      </c>
      <c r="K992" s="15" t="n">
        <v>2003</v>
      </c>
      <c r="L992" s="15" t="n">
        <v>9</v>
      </c>
      <c r="M992" s="15" t="n">
        <v>28</v>
      </c>
      <c r="N992" s="16" t="n">
        <v>4.181290162e-05</v>
      </c>
      <c r="O992" s="11" t="n">
        <v>286.5006199</v>
      </c>
      <c r="P992" s="13">
        <f>N992*86400</f>
        <v/>
      </c>
      <c r="Q992" s="14">
        <f>O992-273.15</f>
        <v/>
      </c>
    </row>
    <row r="993">
      <c r="A993" s="9" t="n">
        <v>37880</v>
      </c>
      <c r="B993" s="7">
        <f>YEAR(A993)</f>
        <v/>
      </c>
      <c r="C993" s="7">
        <f>MONTH(A993)</f>
        <v/>
      </c>
      <c r="D993" s="10" t="n">
        <v>3.144042648</v>
      </c>
      <c r="E993" s="11" t="n">
        <v>8.480984993</v>
      </c>
      <c r="F993" s="12" t="n">
        <v>0.001738257113</v>
      </c>
      <c r="G993" s="11" t="n">
        <v>284.0158736</v>
      </c>
      <c r="H993" s="13">
        <f>F993*1000</f>
        <v/>
      </c>
      <c r="I993" s="14">
        <f>G993-273.15</f>
        <v/>
      </c>
      <c r="K993" s="15" t="n">
        <v>2003</v>
      </c>
      <c r="L993" s="15" t="n">
        <v>9</v>
      </c>
      <c r="M993" s="15" t="n">
        <v>29</v>
      </c>
      <c r="N993" s="16" t="n">
        <v>8.364407678e-05</v>
      </c>
      <c r="O993" s="11" t="n">
        <v>288.1302236</v>
      </c>
      <c r="P993" s="13">
        <f>N993*86400</f>
        <v/>
      </c>
      <c r="Q993" s="14">
        <f>O993-273.15</f>
        <v/>
      </c>
    </row>
    <row r="994">
      <c r="A994" s="9" t="n">
        <v>37881</v>
      </c>
      <c r="B994" s="7">
        <f>YEAR(A994)</f>
        <v/>
      </c>
      <c r="C994" s="7">
        <f>MONTH(A994)</f>
        <v/>
      </c>
      <c r="D994" s="10" t="n">
        <v>0</v>
      </c>
      <c r="E994" s="11" t="n">
        <v>7.144010794</v>
      </c>
      <c r="F994" s="12" t="n">
        <v>0.0002620672221</v>
      </c>
      <c r="G994" s="11" t="n">
        <v>283.4866643</v>
      </c>
      <c r="H994" s="13">
        <f>F994*1000</f>
        <v/>
      </c>
      <c r="I994" s="14">
        <f>G994-273.15</f>
        <v/>
      </c>
      <c r="K994" s="15" t="n">
        <v>2003</v>
      </c>
      <c r="L994" s="15" t="n">
        <v>9</v>
      </c>
      <c r="M994" s="15" t="n">
        <v>30</v>
      </c>
      <c r="N994" s="16" t="n">
        <v>0</v>
      </c>
      <c r="O994" s="11" t="n">
        <v>288.0415391</v>
      </c>
      <c r="P994" s="13">
        <f>N994*86400</f>
        <v/>
      </c>
      <c r="Q994" s="14">
        <f>O994-273.15</f>
        <v/>
      </c>
    </row>
    <row r="995">
      <c r="A995" s="9" t="n">
        <v>37882</v>
      </c>
      <c r="B995" s="7">
        <f>YEAR(A995)</f>
        <v/>
      </c>
      <c r="C995" s="7">
        <f>MONTH(A995)</f>
        <v/>
      </c>
      <c r="D995" s="10" t="n">
        <v>0</v>
      </c>
      <c r="E995" s="11" t="n">
        <v>9.253679083</v>
      </c>
      <c r="F995" s="12" t="n">
        <v>0.0002518001646</v>
      </c>
      <c r="G995" s="11" t="n">
        <v>284.028469</v>
      </c>
      <c r="H995" s="13">
        <f>F995*1000</f>
        <v/>
      </c>
      <c r="I995" s="14">
        <f>G995-273.15</f>
        <v/>
      </c>
      <c r="K995" s="15" t="n">
        <v>2003</v>
      </c>
      <c r="L995" s="15" t="n">
        <v>10</v>
      </c>
      <c r="M995" s="15" t="n">
        <v>1</v>
      </c>
      <c r="N995" s="16" t="n">
        <v>2.394058363e-07</v>
      </c>
      <c r="O995" s="11" t="n">
        <v>284.5103158</v>
      </c>
      <c r="P995" s="13">
        <f>N995*86400</f>
        <v/>
      </c>
      <c r="Q995" s="14">
        <f>O995-273.15</f>
        <v/>
      </c>
    </row>
    <row r="996">
      <c r="A996" s="9" t="n">
        <v>37883</v>
      </c>
      <c r="B996" s="7">
        <f>YEAR(A996)</f>
        <v/>
      </c>
      <c r="C996" s="7">
        <f>MONTH(A996)</f>
        <v/>
      </c>
      <c r="D996" s="10" t="n">
        <v>0</v>
      </c>
      <c r="E996" s="11" t="n">
        <v>13.08584123</v>
      </c>
      <c r="F996" s="12" t="n">
        <v>0</v>
      </c>
      <c r="G996" s="11" t="n">
        <v>287.2274031</v>
      </c>
      <c r="H996" s="13">
        <f>F996*1000</f>
        <v/>
      </c>
      <c r="I996" s="14">
        <f>G996-273.15</f>
        <v/>
      </c>
      <c r="K996" s="15" t="n">
        <v>2003</v>
      </c>
      <c r="L996" s="15" t="n">
        <v>10</v>
      </c>
      <c r="M996" s="15" t="n">
        <v>2</v>
      </c>
      <c r="N996" s="16" t="n">
        <v>0.0001889094043</v>
      </c>
      <c r="O996" s="11" t="n">
        <v>286.0220268</v>
      </c>
      <c r="P996" s="13">
        <f>N996*86400</f>
        <v/>
      </c>
      <c r="Q996" s="14">
        <f>O996-273.15</f>
        <v/>
      </c>
    </row>
    <row r="997">
      <c r="A997" s="9" t="n">
        <v>37884</v>
      </c>
      <c r="B997" s="7">
        <f>YEAR(A997)</f>
        <v/>
      </c>
      <c r="C997" s="7">
        <f>MONTH(A997)</f>
        <v/>
      </c>
      <c r="D997" s="10" t="n">
        <v>0</v>
      </c>
      <c r="E997" s="11" t="n">
        <v>11.15146454</v>
      </c>
      <c r="F997" s="12" t="n">
        <v>4.576449076e-05</v>
      </c>
      <c r="G997" s="11" t="n">
        <v>286.8541601</v>
      </c>
      <c r="H997" s="13">
        <f>F997*1000</f>
        <v/>
      </c>
      <c r="I997" s="14">
        <f>G997-273.15</f>
        <v/>
      </c>
      <c r="K997" s="15" t="n">
        <v>2003</v>
      </c>
      <c r="L997" s="15" t="n">
        <v>10</v>
      </c>
      <c r="M997" s="15" t="n">
        <v>3</v>
      </c>
      <c r="N997" s="16" t="n">
        <v>3.596687673e-05</v>
      </c>
      <c r="O997" s="11" t="n">
        <v>287.1863628</v>
      </c>
      <c r="P997" s="13">
        <f>N997*86400</f>
        <v/>
      </c>
      <c r="Q997" s="14">
        <f>O997-273.15</f>
        <v/>
      </c>
    </row>
    <row r="998">
      <c r="A998" s="9" t="n">
        <v>37885</v>
      </c>
      <c r="B998" s="7">
        <f>YEAR(A998)</f>
        <v/>
      </c>
      <c r="C998" s="7">
        <f>MONTH(A998)</f>
        <v/>
      </c>
      <c r="D998" s="10" t="n">
        <v>0</v>
      </c>
      <c r="E998" s="11" t="n">
        <v>9.340997886</v>
      </c>
      <c r="F998" s="12" t="n">
        <v>0</v>
      </c>
      <c r="G998" s="11" t="n">
        <v>285.2878082</v>
      </c>
      <c r="H998" s="13">
        <f>F998*1000</f>
        <v/>
      </c>
      <c r="I998" s="14">
        <f>G998-273.15</f>
        <v/>
      </c>
      <c r="K998" s="15" t="n">
        <v>2003</v>
      </c>
      <c r="L998" s="15" t="n">
        <v>10</v>
      </c>
      <c r="M998" s="15" t="n">
        <v>4</v>
      </c>
      <c r="N998" s="16" t="n">
        <v>2.705592449e-06</v>
      </c>
      <c r="O998" s="11" t="n">
        <v>285.7487214</v>
      </c>
      <c r="P998" s="13">
        <f>N998*86400</f>
        <v/>
      </c>
      <c r="Q998" s="14">
        <f>O998-273.15</f>
        <v/>
      </c>
    </row>
    <row r="999">
      <c r="A999" s="9" t="n">
        <v>37886</v>
      </c>
      <c r="B999" s="7">
        <f>YEAR(A999)</f>
        <v/>
      </c>
      <c r="C999" s="7">
        <f>MONTH(A999)</f>
        <v/>
      </c>
      <c r="D999" s="10" t="n">
        <v>0</v>
      </c>
      <c r="E999" s="11" t="n">
        <v>10.20147956</v>
      </c>
      <c r="F999" s="12" t="n">
        <v>0</v>
      </c>
      <c r="G999" s="11" t="n">
        <v>285.454679</v>
      </c>
      <c r="H999" s="13">
        <f>F999*1000</f>
        <v/>
      </c>
      <c r="I999" s="14">
        <f>G999-273.15</f>
        <v/>
      </c>
      <c r="K999" s="15" t="n">
        <v>2003</v>
      </c>
      <c r="L999" s="15" t="n">
        <v>10</v>
      </c>
      <c r="M999" s="15" t="n">
        <v>5</v>
      </c>
      <c r="N999" s="16" t="n">
        <v>5.11715858e-05</v>
      </c>
      <c r="O999" s="11" t="n">
        <v>285.8910522</v>
      </c>
      <c r="P999" s="13">
        <f>N999*86400</f>
        <v/>
      </c>
      <c r="Q999" s="14">
        <f>O999-273.15</f>
        <v/>
      </c>
    </row>
    <row r="1000">
      <c r="A1000" s="9" t="n">
        <v>37887</v>
      </c>
      <c r="B1000" s="7">
        <f>YEAR(A1000)</f>
        <v/>
      </c>
      <c r="C1000" s="7">
        <f>MONTH(A1000)</f>
        <v/>
      </c>
      <c r="D1000" s="10" t="n">
        <v>0</v>
      </c>
      <c r="E1000" s="11" t="n">
        <v>9.136605952</v>
      </c>
      <c r="F1000" s="12" t="n">
        <v>0</v>
      </c>
      <c r="G1000" s="11" t="n">
        <v>285.3484026</v>
      </c>
      <c r="H1000" s="13">
        <f>F1000*1000</f>
        <v/>
      </c>
      <c r="I1000" s="14">
        <f>G1000-273.15</f>
        <v/>
      </c>
      <c r="K1000" s="15" t="n">
        <v>2003</v>
      </c>
      <c r="L1000" s="15" t="n">
        <v>10</v>
      </c>
      <c r="M1000" s="15" t="n">
        <v>6</v>
      </c>
      <c r="N1000" s="16" t="n">
        <v>0</v>
      </c>
      <c r="O1000" s="11" t="n">
        <v>284.5644581</v>
      </c>
      <c r="P1000" s="13">
        <f>N1000*86400</f>
        <v/>
      </c>
      <c r="Q1000" s="14">
        <f>O1000-273.15</f>
        <v/>
      </c>
    </row>
    <row r="1001">
      <c r="A1001" s="9" t="n">
        <v>37888</v>
      </c>
      <c r="B1001" s="7">
        <f>YEAR(A1001)</f>
        <v/>
      </c>
      <c r="C1001" s="7">
        <f>MONTH(A1001)</f>
        <v/>
      </c>
      <c r="D1001" s="10" t="n">
        <v>0.1477237995</v>
      </c>
      <c r="E1001" s="11" t="n">
        <v>10.27531626</v>
      </c>
      <c r="F1001" s="12" t="n">
        <v>0.003196641563</v>
      </c>
      <c r="G1001" s="11" t="n">
        <v>286.8298618</v>
      </c>
      <c r="H1001" s="13">
        <f>F1001*1000</f>
        <v/>
      </c>
      <c r="I1001" s="14">
        <f>G1001-273.15</f>
        <v/>
      </c>
      <c r="K1001" s="15" t="n">
        <v>2003</v>
      </c>
      <c r="L1001" s="15" t="n">
        <v>10</v>
      </c>
      <c r="M1001" s="15" t="n">
        <v>7</v>
      </c>
      <c r="N1001" s="16" t="n">
        <v>6.837047799e-06</v>
      </c>
      <c r="O1001" s="11" t="n">
        <v>286.1999394</v>
      </c>
      <c r="P1001" s="13">
        <f>N1001*86400</f>
        <v/>
      </c>
      <c r="Q1001" s="14">
        <f>O1001-273.15</f>
        <v/>
      </c>
    </row>
    <row r="1002">
      <c r="A1002" s="9" t="n">
        <v>37889</v>
      </c>
      <c r="B1002" s="7">
        <f>YEAR(A1002)</f>
        <v/>
      </c>
      <c r="C1002" s="7">
        <f>MONTH(A1002)</f>
        <v/>
      </c>
      <c r="D1002" s="10" t="n">
        <v>0</v>
      </c>
      <c r="E1002" s="11" t="n">
        <v>9.734433539999999</v>
      </c>
      <c r="F1002" s="12" t="n">
        <v>0.006420280011</v>
      </c>
      <c r="G1002" s="11" t="n">
        <v>285.3700277</v>
      </c>
      <c r="H1002" s="13">
        <f>F1002*1000</f>
        <v/>
      </c>
      <c r="I1002" s="14">
        <f>G1002-273.15</f>
        <v/>
      </c>
      <c r="K1002" s="15" t="n">
        <v>2003</v>
      </c>
      <c r="L1002" s="15" t="n">
        <v>10</v>
      </c>
      <c r="M1002" s="15" t="n">
        <v>8</v>
      </c>
      <c r="N1002" s="16" t="n">
        <v>6.177056651e-05</v>
      </c>
      <c r="O1002" s="11" t="n">
        <v>288.2654845</v>
      </c>
      <c r="P1002" s="13">
        <f>N1002*86400</f>
        <v/>
      </c>
      <c r="Q1002" s="14">
        <f>O1002-273.15</f>
        <v/>
      </c>
    </row>
    <row r="1003">
      <c r="A1003" s="9" t="n">
        <v>37890</v>
      </c>
      <c r="B1003" s="7">
        <f>YEAR(A1003)</f>
        <v/>
      </c>
      <c r="C1003" s="7">
        <f>MONTH(A1003)</f>
        <v/>
      </c>
      <c r="D1003" s="10" t="n">
        <v>0</v>
      </c>
      <c r="E1003" s="11" t="n">
        <v>9.160056358</v>
      </c>
      <c r="F1003" s="12" t="n">
        <v>0</v>
      </c>
      <c r="G1003" s="11" t="n">
        <v>284.7246533</v>
      </c>
      <c r="H1003" s="13">
        <f>F1003*1000</f>
        <v/>
      </c>
      <c r="I1003" s="14">
        <f>G1003-273.15</f>
        <v/>
      </c>
      <c r="K1003" s="15" t="n">
        <v>2003</v>
      </c>
      <c r="L1003" s="15" t="n">
        <v>10</v>
      </c>
      <c r="M1003" s="15" t="n">
        <v>9</v>
      </c>
      <c r="N1003" s="16" t="n">
        <v>0.0001007841142</v>
      </c>
      <c r="O1003" s="11" t="n">
        <v>288.3712837</v>
      </c>
      <c r="P1003" s="13">
        <f>N1003*86400</f>
        <v/>
      </c>
      <c r="Q1003" s="14">
        <f>O1003-273.15</f>
        <v/>
      </c>
    </row>
    <row r="1004">
      <c r="A1004" s="9" t="n">
        <v>37891</v>
      </c>
      <c r="B1004" s="7">
        <f>YEAR(A1004)</f>
        <v/>
      </c>
      <c r="C1004" s="7">
        <f>MONTH(A1004)</f>
        <v/>
      </c>
      <c r="D1004" s="10" t="n">
        <v>0</v>
      </c>
      <c r="E1004" s="11" t="n">
        <v>11.49240585</v>
      </c>
      <c r="F1004" s="12" t="n">
        <v>0</v>
      </c>
      <c r="G1004" s="11" t="n">
        <v>287.7599091</v>
      </c>
      <c r="H1004" s="13">
        <f>F1004*1000</f>
        <v/>
      </c>
      <c r="I1004" s="14">
        <f>G1004-273.15</f>
        <v/>
      </c>
      <c r="K1004" s="15" t="n">
        <v>2003</v>
      </c>
      <c r="L1004" s="15" t="n">
        <v>10</v>
      </c>
      <c r="M1004" s="15" t="n">
        <v>10</v>
      </c>
      <c r="N1004" s="16" t="n">
        <v>7.873600259999999e-05</v>
      </c>
      <c r="O1004" s="11" t="n">
        <v>287.2916432</v>
      </c>
      <c r="P1004" s="13">
        <f>N1004*86400</f>
        <v/>
      </c>
      <c r="Q1004" s="14">
        <f>O1004-273.15</f>
        <v/>
      </c>
    </row>
    <row r="1005">
      <c r="A1005" s="9" t="n">
        <v>37892</v>
      </c>
      <c r="B1005" s="7">
        <f>YEAR(A1005)</f>
        <v/>
      </c>
      <c r="C1005" s="7">
        <f>MONTH(A1005)</f>
        <v/>
      </c>
      <c r="D1005" s="10" t="n">
        <v>0</v>
      </c>
      <c r="E1005" s="11" t="n">
        <v>8.352779593999999</v>
      </c>
      <c r="F1005" s="12" t="n">
        <v>0</v>
      </c>
      <c r="G1005" s="11" t="n">
        <v>284.6894215</v>
      </c>
      <c r="H1005" s="13">
        <f>F1005*1000</f>
        <v/>
      </c>
      <c r="I1005" s="14">
        <f>G1005-273.15</f>
        <v/>
      </c>
      <c r="K1005" s="15" t="n">
        <v>2003</v>
      </c>
      <c r="L1005" s="15" t="n">
        <v>10</v>
      </c>
      <c r="M1005" s="15" t="n">
        <v>11</v>
      </c>
      <c r="N1005" s="16" t="n">
        <v>1.249756314e-05</v>
      </c>
      <c r="O1005" s="11" t="n">
        <v>284.2163632</v>
      </c>
      <c r="P1005" s="13">
        <f>N1005*86400</f>
        <v/>
      </c>
      <c r="Q1005" s="14">
        <f>O1005-273.15</f>
        <v/>
      </c>
    </row>
    <row r="1006">
      <c r="A1006" s="9" t="n">
        <v>37893</v>
      </c>
      <c r="B1006" s="7">
        <f>YEAR(A1006)</f>
        <v/>
      </c>
      <c r="C1006" s="7">
        <f>MONTH(A1006)</f>
        <v/>
      </c>
      <c r="D1006" s="10" t="n">
        <v>0</v>
      </c>
      <c r="E1006" s="11" t="n">
        <v>10.08516295</v>
      </c>
      <c r="F1006" s="12" t="n">
        <v>0</v>
      </c>
      <c r="G1006" s="11" t="n">
        <v>285.5327017</v>
      </c>
      <c r="H1006" s="13">
        <f>F1006*1000</f>
        <v/>
      </c>
      <c r="I1006" s="14">
        <f>G1006-273.15</f>
        <v/>
      </c>
      <c r="K1006" s="15" t="n">
        <v>2003</v>
      </c>
      <c r="L1006" s="15" t="n">
        <v>10</v>
      </c>
      <c r="M1006" s="15" t="n">
        <v>12</v>
      </c>
      <c r="N1006" s="16" t="n">
        <v>1.902312935e-05</v>
      </c>
      <c r="O1006" s="11" t="n">
        <v>282.6212785</v>
      </c>
      <c r="P1006" s="13">
        <f>N1006*86400</f>
        <v/>
      </c>
      <c r="Q1006" s="14">
        <f>O1006-273.15</f>
        <v/>
      </c>
    </row>
    <row r="1007">
      <c r="A1007" s="9" t="n">
        <v>37894</v>
      </c>
      <c r="B1007" s="7">
        <f>YEAR(A1007)</f>
        <v/>
      </c>
      <c r="C1007" s="7">
        <f>MONTH(A1007)</f>
        <v/>
      </c>
      <c r="D1007" s="10" t="n">
        <v>0</v>
      </c>
      <c r="E1007" s="11" t="n">
        <v>11.97250899</v>
      </c>
      <c r="F1007" s="12" t="n">
        <v>0.0003499874349</v>
      </c>
      <c r="G1007" s="11" t="n">
        <v>287.0581111</v>
      </c>
      <c r="H1007" s="13">
        <f>F1007*1000</f>
        <v/>
      </c>
      <c r="I1007" s="14">
        <f>G1007-273.15</f>
        <v/>
      </c>
      <c r="K1007" s="15" t="n">
        <v>2003</v>
      </c>
      <c r="L1007" s="15" t="n">
        <v>10</v>
      </c>
      <c r="M1007" s="15" t="n">
        <v>13</v>
      </c>
      <c r="N1007" s="16" t="n">
        <v>0</v>
      </c>
      <c r="O1007" s="11" t="n">
        <v>282.5994012</v>
      </c>
      <c r="P1007" s="13">
        <f>N1007*86400</f>
        <v/>
      </c>
      <c r="Q1007" s="14">
        <f>O1007-273.15</f>
        <v/>
      </c>
    </row>
    <row r="1008">
      <c r="A1008" s="9" t="n">
        <v>37895</v>
      </c>
      <c r="B1008" s="7">
        <f>YEAR(A1008)</f>
        <v/>
      </c>
      <c r="C1008" s="7">
        <f>MONTH(A1008)</f>
        <v/>
      </c>
      <c r="D1008" s="10" t="n">
        <v>0</v>
      </c>
      <c r="E1008" s="11" t="n">
        <v>9.238918005</v>
      </c>
      <c r="F1008" s="12" t="n">
        <v>0</v>
      </c>
      <c r="G1008" s="11" t="n">
        <v>284.6457119</v>
      </c>
      <c r="H1008" s="13">
        <f>F1008*1000</f>
        <v/>
      </c>
      <c r="I1008" s="14">
        <f>G1008-273.15</f>
        <v/>
      </c>
      <c r="K1008" s="15" t="n">
        <v>2003</v>
      </c>
      <c r="L1008" s="15" t="n">
        <v>10</v>
      </c>
      <c r="M1008" s="15" t="n">
        <v>14</v>
      </c>
      <c r="N1008" s="16" t="n">
        <v>0</v>
      </c>
      <c r="O1008" s="11" t="n">
        <v>281.2676609</v>
      </c>
      <c r="P1008" s="13">
        <f>N1008*86400</f>
        <v/>
      </c>
      <c r="Q1008" s="14">
        <f>O1008-273.15</f>
        <v/>
      </c>
    </row>
    <row r="1009">
      <c r="A1009" s="9" t="n">
        <v>37896</v>
      </c>
      <c r="B1009" s="7">
        <f>YEAR(A1009)</f>
        <v/>
      </c>
      <c r="C1009" s="7">
        <f>MONTH(A1009)</f>
        <v/>
      </c>
      <c r="D1009" s="10" t="n">
        <v>0</v>
      </c>
      <c r="E1009" s="11" t="n">
        <v>9.494113603000001</v>
      </c>
      <c r="F1009" s="12" t="n">
        <v>0.002122493665</v>
      </c>
      <c r="G1009" s="11" t="n">
        <v>285.3449955</v>
      </c>
      <c r="H1009" s="13">
        <f>F1009*1000</f>
        <v/>
      </c>
      <c r="I1009" s="14">
        <f>G1009-273.15</f>
        <v/>
      </c>
      <c r="K1009" s="15" t="n">
        <v>2003</v>
      </c>
      <c r="L1009" s="15" t="n">
        <v>10</v>
      </c>
      <c r="M1009" s="15" t="n">
        <v>15</v>
      </c>
      <c r="N1009" s="16" t="n">
        <v>3.685372991e-06</v>
      </c>
      <c r="O1009" s="11" t="n">
        <v>282.2328518</v>
      </c>
      <c r="P1009" s="13">
        <f>N1009*86400</f>
        <v/>
      </c>
      <c r="Q1009" s="14">
        <f>O1009-273.15</f>
        <v/>
      </c>
    </row>
    <row r="1010">
      <c r="A1010" s="9" t="n">
        <v>37897</v>
      </c>
      <c r="B1010" s="7">
        <f>YEAR(A1010)</f>
        <v/>
      </c>
      <c r="C1010" s="7">
        <f>MONTH(A1010)</f>
        <v/>
      </c>
      <c r="D1010" s="10" t="n">
        <v>0</v>
      </c>
      <c r="E1010" s="11" t="n">
        <v>9.642585871</v>
      </c>
      <c r="F1010" s="12" t="n">
        <v>0</v>
      </c>
      <c r="G1010" s="11" t="n">
        <v>285.0988646</v>
      </c>
      <c r="H1010" s="13">
        <f>F1010*1000</f>
        <v/>
      </c>
      <c r="I1010" s="14">
        <f>G1010-273.15</f>
        <v/>
      </c>
      <c r="K1010" s="15" t="n">
        <v>2003</v>
      </c>
      <c r="L1010" s="15" t="n">
        <v>10</v>
      </c>
      <c r="M1010" s="15" t="n">
        <v>16</v>
      </c>
      <c r="N1010" s="16" t="n">
        <v>0</v>
      </c>
      <c r="O1010" s="11" t="n">
        <v>284.5478272</v>
      </c>
      <c r="P1010" s="13">
        <f>N1010*86400</f>
        <v/>
      </c>
      <c r="Q1010" s="14">
        <f>O1010-273.15</f>
        <v/>
      </c>
    </row>
    <row r="1011">
      <c r="A1011" s="9" t="n">
        <v>37898</v>
      </c>
      <c r="B1011" s="7">
        <f>YEAR(A1011)</f>
        <v/>
      </c>
      <c r="C1011" s="7">
        <f>MONTH(A1011)</f>
        <v/>
      </c>
      <c r="D1011" s="10" t="n">
        <v>0</v>
      </c>
      <c r="E1011" s="11" t="n">
        <v>8.387423046</v>
      </c>
      <c r="F1011" s="12" t="n">
        <v>0</v>
      </c>
      <c r="G1011" s="11" t="n">
        <v>283.0960907</v>
      </c>
      <c r="H1011" s="13">
        <f>F1011*1000</f>
        <v/>
      </c>
      <c r="I1011" s="14">
        <f>G1011-273.15</f>
        <v/>
      </c>
      <c r="K1011" s="15" t="n">
        <v>2003</v>
      </c>
      <c r="L1011" s="15" t="n">
        <v>10</v>
      </c>
      <c r="M1011" s="15" t="n">
        <v>17</v>
      </c>
      <c r="N1011" s="16" t="n">
        <v>3.884843193e-06</v>
      </c>
      <c r="O1011" s="11" t="n">
        <v>284.3035586</v>
      </c>
      <c r="P1011" s="13">
        <f>N1011*86400</f>
        <v/>
      </c>
      <c r="Q1011" s="14">
        <f>O1011-273.15</f>
        <v/>
      </c>
    </row>
    <row r="1012">
      <c r="A1012" s="9" t="n">
        <v>37899</v>
      </c>
      <c r="B1012" s="7">
        <f>YEAR(A1012)</f>
        <v/>
      </c>
      <c r="C1012" s="7">
        <f>MONTH(A1012)</f>
        <v/>
      </c>
      <c r="D1012" s="10" t="n">
        <v>7.042504717</v>
      </c>
      <c r="E1012" s="11" t="n">
        <v>8.253476125000001</v>
      </c>
      <c r="F1012" s="12" t="n">
        <v>0.002564921161</v>
      </c>
      <c r="G1012" s="11" t="n">
        <v>283.3064427</v>
      </c>
      <c r="H1012" s="13">
        <f>F1012*1000</f>
        <v/>
      </c>
      <c r="I1012" s="14">
        <f>G1012-273.15</f>
        <v/>
      </c>
      <c r="K1012" s="15" t="n">
        <v>2003</v>
      </c>
      <c r="L1012" s="15" t="n">
        <v>10</v>
      </c>
      <c r="M1012" s="15" t="n">
        <v>18</v>
      </c>
      <c r="N1012" s="16" t="n">
        <v>0</v>
      </c>
      <c r="O1012" s="11" t="n">
        <v>285.3505831</v>
      </c>
      <c r="P1012" s="13">
        <f>N1012*86400</f>
        <v/>
      </c>
      <c r="Q1012" s="14">
        <f>O1012-273.15</f>
        <v/>
      </c>
    </row>
    <row r="1013">
      <c r="A1013" s="9" t="n">
        <v>37900</v>
      </c>
      <c r="B1013" s="7">
        <f>YEAR(A1013)</f>
        <v/>
      </c>
      <c r="C1013" s="7">
        <f>MONTH(A1013)</f>
        <v/>
      </c>
      <c r="D1013" s="10" t="n">
        <v>0</v>
      </c>
      <c r="E1013" s="11" t="n">
        <v>9.209313208999999</v>
      </c>
      <c r="F1013" s="12" t="n">
        <v>0</v>
      </c>
      <c r="G1013" s="11" t="n">
        <v>284.3670285</v>
      </c>
      <c r="H1013" s="13">
        <f>F1013*1000</f>
        <v/>
      </c>
      <c r="I1013" s="14">
        <f>G1013-273.15</f>
        <v/>
      </c>
      <c r="K1013" s="15" t="n">
        <v>2003</v>
      </c>
      <c r="L1013" s="15" t="n">
        <v>10</v>
      </c>
      <c r="M1013" s="15" t="n">
        <v>19</v>
      </c>
      <c r="N1013" s="16" t="n">
        <v>0</v>
      </c>
      <c r="O1013" s="11" t="n">
        <v>283.8702131</v>
      </c>
      <c r="P1013" s="13">
        <f>N1013*86400</f>
        <v/>
      </c>
      <c r="Q1013" s="14">
        <f>O1013-273.15</f>
        <v/>
      </c>
    </row>
    <row r="1014">
      <c r="A1014" s="9" t="n">
        <v>37901</v>
      </c>
      <c r="B1014" s="7">
        <f>YEAR(A1014)</f>
        <v/>
      </c>
      <c r="C1014" s="7">
        <f>MONTH(A1014)</f>
        <v/>
      </c>
      <c r="D1014" s="10" t="n">
        <v>0</v>
      </c>
      <c r="E1014" s="11" t="n">
        <v>8.368436641000001</v>
      </c>
      <c r="F1014" s="12" t="n">
        <v>0</v>
      </c>
      <c r="G1014" s="11" t="n">
        <v>283.5936902</v>
      </c>
      <c r="H1014" s="13">
        <f>F1014*1000</f>
        <v/>
      </c>
      <c r="I1014" s="14">
        <f>G1014-273.15</f>
        <v/>
      </c>
      <c r="K1014" s="15" t="n">
        <v>2003</v>
      </c>
      <c r="L1014" s="15" t="n">
        <v>10</v>
      </c>
      <c r="M1014" s="15" t="n">
        <v>20</v>
      </c>
      <c r="N1014" s="16" t="n">
        <v>3.710424953e-05</v>
      </c>
      <c r="O1014" s="11" t="n">
        <v>284.0791207</v>
      </c>
      <c r="P1014" s="13">
        <f>N1014*86400</f>
        <v/>
      </c>
      <c r="Q1014" s="14">
        <f>O1014-273.15</f>
        <v/>
      </c>
    </row>
    <row r="1015">
      <c r="A1015" s="9" t="n">
        <v>37902</v>
      </c>
      <c r="B1015" s="7">
        <f>YEAR(A1015)</f>
        <v/>
      </c>
      <c r="C1015" s="7">
        <f>MONTH(A1015)</f>
        <v/>
      </c>
      <c r="D1015" s="10" t="n">
        <v>0</v>
      </c>
      <c r="E1015" s="11" t="n">
        <v>6.663063693</v>
      </c>
      <c r="F1015" s="12" t="n">
        <v>0</v>
      </c>
      <c r="G1015" s="11" t="n">
        <v>283.1690758</v>
      </c>
      <c r="H1015" s="13">
        <f>F1015*1000</f>
        <v/>
      </c>
      <c r="I1015" s="14">
        <f>G1015-273.15</f>
        <v/>
      </c>
      <c r="K1015" s="15" t="n">
        <v>2003</v>
      </c>
      <c r="L1015" s="15" t="n">
        <v>10</v>
      </c>
      <c r="M1015" s="15" t="n">
        <v>21</v>
      </c>
      <c r="N1015" s="16" t="n">
        <v>8.548688832e-05</v>
      </c>
      <c r="O1015" s="11" t="n">
        <v>282.8844776</v>
      </c>
      <c r="P1015" s="13">
        <f>N1015*86400</f>
        <v/>
      </c>
      <c r="Q1015" s="14">
        <f>O1015-273.15</f>
        <v/>
      </c>
    </row>
    <row r="1016">
      <c r="A1016" s="9" t="n">
        <v>37903</v>
      </c>
      <c r="B1016" s="7">
        <f>YEAR(A1016)</f>
        <v/>
      </c>
      <c r="C1016" s="7">
        <f>MONTH(A1016)</f>
        <v/>
      </c>
      <c r="D1016" s="10" t="n">
        <v>0</v>
      </c>
      <c r="E1016" s="11" t="n">
        <v>8.14839993</v>
      </c>
      <c r="F1016" s="12" t="n">
        <v>0.00128022806</v>
      </c>
      <c r="G1016" s="11" t="n">
        <v>283.6393025</v>
      </c>
      <c r="H1016" s="13">
        <f>F1016*1000</f>
        <v/>
      </c>
      <c r="I1016" s="14">
        <f>G1016-273.15</f>
        <v/>
      </c>
      <c r="K1016" s="15" t="n">
        <v>2003</v>
      </c>
      <c r="L1016" s="15" t="n">
        <v>10</v>
      </c>
      <c r="M1016" s="15" t="n">
        <v>22</v>
      </c>
      <c r="N1016" s="16" t="n">
        <v>1.017863052e-06</v>
      </c>
      <c r="O1016" s="11" t="n">
        <v>284.3386231</v>
      </c>
      <c r="P1016" s="13">
        <f>N1016*86400</f>
        <v/>
      </c>
      <c r="Q1016" s="14">
        <f>O1016-273.15</f>
        <v/>
      </c>
    </row>
    <row r="1017">
      <c r="A1017" s="9" t="n">
        <v>37904</v>
      </c>
      <c r="B1017" s="7">
        <f>YEAR(A1017)</f>
        <v/>
      </c>
      <c r="C1017" s="7">
        <f>MONTH(A1017)</f>
        <v/>
      </c>
      <c r="D1017" s="10" t="n">
        <v>14.10582708</v>
      </c>
      <c r="E1017" s="11" t="n">
        <v>7.062290155</v>
      </c>
      <c r="F1017" s="12" t="n">
        <v>0.01434991614</v>
      </c>
      <c r="G1017" s="11" t="n">
        <v>282.0493318</v>
      </c>
      <c r="H1017" s="13">
        <f>F1017*1000</f>
        <v/>
      </c>
      <c r="I1017" s="14">
        <f>G1017-273.15</f>
        <v/>
      </c>
      <c r="K1017" s="15" t="n">
        <v>2003</v>
      </c>
      <c r="L1017" s="15" t="n">
        <v>10</v>
      </c>
      <c r="M1017" s="15" t="n">
        <v>23</v>
      </c>
      <c r="N1017" s="16" t="n">
        <v>8.163756852e-08</v>
      </c>
      <c r="O1017" s="11" t="n">
        <v>284.4784702</v>
      </c>
      <c r="P1017" s="13">
        <f>N1017*86400</f>
        <v/>
      </c>
      <c r="Q1017" s="14">
        <f>O1017-273.15</f>
        <v/>
      </c>
    </row>
    <row r="1018">
      <c r="A1018" s="9" t="n">
        <v>37905</v>
      </c>
      <c r="B1018" s="7">
        <f>YEAR(A1018)</f>
        <v/>
      </c>
      <c r="C1018" s="7">
        <f>MONTH(A1018)</f>
        <v/>
      </c>
      <c r="D1018" s="10" t="n">
        <v>0</v>
      </c>
      <c r="E1018" s="11" t="n">
        <v>4.941493472</v>
      </c>
      <c r="F1018" s="12" t="n">
        <v>0</v>
      </c>
      <c r="G1018" s="11" t="n">
        <v>278.9775985</v>
      </c>
      <c r="H1018" s="13">
        <f>F1018*1000</f>
        <v/>
      </c>
      <c r="I1018" s="14">
        <f>G1018-273.15</f>
        <v/>
      </c>
      <c r="K1018" s="15" t="n">
        <v>2003</v>
      </c>
      <c r="L1018" s="15" t="n">
        <v>10</v>
      </c>
      <c r="M1018" s="15" t="n">
        <v>24</v>
      </c>
      <c r="N1018" s="16" t="n">
        <v>0</v>
      </c>
      <c r="O1018" s="11" t="n">
        <v>283.0435315</v>
      </c>
      <c r="P1018" s="13">
        <f>N1018*86400</f>
        <v/>
      </c>
      <c r="Q1018" s="14">
        <f>O1018-273.15</f>
        <v/>
      </c>
    </row>
    <row r="1019">
      <c r="A1019" s="9" t="n">
        <v>37906</v>
      </c>
      <c r="B1019" s="7">
        <f>YEAR(A1019)</f>
        <v/>
      </c>
      <c r="C1019" s="7">
        <f>MONTH(A1019)</f>
        <v/>
      </c>
      <c r="D1019" s="10" t="n">
        <v>0</v>
      </c>
      <c r="E1019" s="11" t="n">
        <v>5.560639341</v>
      </c>
      <c r="F1019" s="12" t="n">
        <v>0</v>
      </c>
      <c r="G1019" s="11" t="n">
        <v>279.2957167</v>
      </c>
      <c r="H1019" s="13">
        <f>F1019*1000</f>
        <v/>
      </c>
      <c r="I1019" s="14">
        <f>G1019-273.15</f>
        <v/>
      </c>
      <c r="K1019" s="15" t="n">
        <v>2003</v>
      </c>
      <c r="L1019" s="15" t="n">
        <v>10</v>
      </c>
      <c r="M1019" s="15" t="n">
        <v>25</v>
      </c>
      <c r="N1019" s="16" t="n">
        <v>0</v>
      </c>
      <c r="O1019" s="11" t="n">
        <v>282.7330317</v>
      </c>
      <c r="P1019" s="13">
        <f>N1019*86400</f>
        <v/>
      </c>
      <c r="Q1019" s="14">
        <f>O1019-273.15</f>
        <v/>
      </c>
    </row>
    <row r="1020">
      <c r="A1020" s="9" t="n">
        <v>37907</v>
      </c>
      <c r="B1020" s="7">
        <f>YEAR(A1020)</f>
        <v/>
      </c>
      <c r="C1020" s="7">
        <f>MONTH(A1020)</f>
        <v/>
      </c>
      <c r="D1020" s="10" t="n">
        <v>0</v>
      </c>
      <c r="E1020" s="11" t="n">
        <v>5.745565771</v>
      </c>
      <c r="F1020" s="12" t="n">
        <v>0</v>
      </c>
      <c r="G1020" s="11" t="n">
        <v>279.6774018</v>
      </c>
      <c r="H1020" s="13">
        <f>F1020*1000</f>
        <v/>
      </c>
      <c r="I1020" s="14">
        <f>G1020-273.15</f>
        <v/>
      </c>
      <c r="K1020" s="15" t="n">
        <v>2003</v>
      </c>
      <c r="L1020" s="15" t="n">
        <v>10</v>
      </c>
      <c r="M1020" s="15" t="n">
        <v>26</v>
      </c>
      <c r="N1020" s="16" t="n">
        <v>0</v>
      </c>
      <c r="O1020" s="11" t="n">
        <v>283.425322</v>
      </c>
      <c r="P1020" s="13">
        <f>N1020*86400</f>
        <v/>
      </c>
      <c r="Q1020" s="14">
        <f>O1020-273.15</f>
        <v/>
      </c>
    </row>
    <row r="1021">
      <c r="A1021" s="9" t="n">
        <v>37908</v>
      </c>
      <c r="B1021" s="7">
        <f>YEAR(A1021)</f>
        <v/>
      </c>
      <c r="C1021" s="7">
        <f>MONTH(A1021)</f>
        <v/>
      </c>
      <c r="D1021" s="10" t="n">
        <v>0</v>
      </c>
      <c r="E1021" s="11" t="n">
        <v>5.402021512</v>
      </c>
      <c r="F1021" s="12" t="n">
        <v>0</v>
      </c>
      <c r="G1021" s="11" t="n">
        <v>279.9388127</v>
      </c>
      <c r="H1021" s="13">
        <f>F1021*1000</f>
        <v/>
      </c>
      <c r="I1021" s="14">
        <f>G1021-273.15</f>
        <v/>
      </c>
      <c r="K1021" s="15" t="n">
        <v>2003</v>
      </c>
      <c r="L1021" s="15" t="n">
        <v>10</v>
      </c>
      <c r="M1021" s="15" t="n">
        <v>27</v>
      </c>
      <c r="N1021" s="16" t="n">
        <v>0</v>
      </c>
      <c r="O1021" s="11" t="n">
        <v>281.2381685</v>
      </c>
      <c r="P1021" s="13">
        <f>N1021*86400</f>
        <v/>
      </c>
      <c r="Q1021" s="14">
        <f>O1021-273.15</f>
        <v/>
      </c>
    </row>
    <row r="1022">
      <c r="A1022" s="9" t="n">
        <v>37909</v>
      </c>
      <c r="B1022" s="7">
        <f>YEAR(A1022)</f>
        <v/>
      </c>
      <c r="C1022" s="7">
        <f>MONTH(A1022)</f>
        <v/>
      </c>
      <c r="D1022" s="10" t="n">
        <v>0</v>
      </c>
      <c r="E1022" s="11" t="n">
        <v>5.077251086</v>
      </c>
      <c r="F1022" s="12" t="n">
        <v>0</v>
      </c>
      <c r="G1022" s="11" t="n">
        <v>278.8634784</v>
      </c>
      <c r="H1022" s="13">
        <f>F1022*1000</f>
        <v/>
      </c>
      <c r="I1022" s="14">
        <f>G1022-273.15</f>
        <v/>
      </c>
      <c r="K1022" s="15" t="n">
        <v>2003</v>
      </c>
      <c r="L1022" s="15" t="n">
        <v>10</v>
      </c>
      <c r="M1022" s="15" t="n">
        <v>28</v>
      </c>
      <c r="N1022" s="16" t="n">
        <v>7.877811423e-06</v>
      </c>
      <c r="O1022" s="11" t="n">
        <v>279.8074687</v>
      </c>
      <c r="P1022" s="13">
        <f>N1022*86400</f>
        <v/>
      </c>
      <c r="Q1022" s="14">
        <f>O1022-273.15</f>
        <v/>
      </c>
    </row>
    <row r="1023">
      <c r="A1023" s="9" t="n">
        <v>37910</v>
      </c>
      <c r="B1023" s="7">
        <f>YEAR(A1023)</f>
        <v/>
      </c>
      <c r="C1023" s="7">
        <f>MONTH(A1023)</f>
        <v/>
      </c>
      <c r="D1023" s="10" t="n">
        <v>0</v>
      </c>
      <c r="E1023" s="11" t="n">
        <v>5.883075644</v>
      </c>
      <c r="F1023" s="12" t="n">
        <v>0</v>
      </c>
      <c r="G1023" s="11" t="n">
        <v>279.8319308</v>
      </c>
      <c r="H1023" s="13">
        <f>F1023*1000</f>
        <v/>
      </c>
      <c r="I1023" s="14">
        <f>G1023-273.15</f>
        <v/>
      </c>
      <c r="K1023" s="15" t="n">
        <v>2003</v>
      </c>
      <c r="L1023" s="15" t="n">
        <v>10</v>
      </c>
      <c r="M1023" s="15" t="n">
        <v>29</v>
      </c>
      <c r="N1023" s="16" t="n">
        <v>0</v>
      </c>
      <c r="O1023" s="11" t="n">
        <v>281.6587565</v>
      </c>
      <c r="P1023" s="13">
        <f>N1023*86400</f>
        <v/>
      </c>
      <c r="Q1023" s="14">
        <f>O1023-273.15</f>
        <v/>
      </c>
    </row>
    <row r="1024">
      <c r="A1024" s="9" t="n">
        <v>37911</v>
      </c>
      <c r="B1024" s="7">
        <f>YEAR(A1024)</f>
        <v/>
      </c>
      <c r="C1024" s="7">
        <f>MONTH(A1024)</f>
        <v/>
      </c>
      <c r="D1024" s="10" t="n">
        <v>0</v>
      </c>
      <c r="E1024" s="11" t="n">
        <v>7.995055132</v>
      </c>
      <c r="F1024" s="12" t="n">
        <v>0</v>
      </c>
      <c r="G1024" s="11" t="n">
        <v>282.2698172</v>
      </c>
      <c r="H1024" s="13">
        <f>F1024*1000</f>
        <v/>
      </c>
      <c r="I1024" s="14">
        <f>G1024-273.15</f>
        <v/>
      </c>
      <c r="K1024" s="15" t="n">
        <v>2003</v>
      </c>
      <c r="L1024" s="15" t="n">
        <v>10</v>
      </c>
      <c r="M1024" s="15" t="n">
        <v>30</v>
      </c>
      <c r="N1024" s="16" t="n">
        <v>0</v>
      </c>
      <c r="O1024" s="11" t="n">
        <v>281.8278929</v>
      </c>
      <c r="P1024" s="13">
        <f>N1024*86400</f>
        <v/>
      </c>
      <c r="Q1024" s="14">
        <f>O1024-273.15</f>
        <v/>
      </c>
    </row>
    <row r="1025">
      <c r="A1025" s="9" t="n">
        <v>37912</v>
      </c>
      <c r="B1025" s="7">
        <f>YEAR(A1025)</f>
        <v/>
      </c>
      <c r="C1025" s="7">
        <f>MONTH(A1025)</f>
        <v/>
      </c>
      <c r="D1025" s="10" t="n">
        <v>0</v>
      </c>
      <c r="E1025" s="11" t="n">
        <v>5.513903414</v>
      </c>
      <c r="F1025" s="12" t="n">
        <v>0</v>
      </c>
      <c r="G1025" s="11" t="n">
        <v>279.1114795</v>
      </c>
      <c r="H1025" s="13">
        <f>F1025*1000</f>
        <v/>
      </c>
      <c r="I1025" s="14">
        <f>G1025-273.15</f>
        <v/>
      </c>
      <c r="K1025" s="15" t="n">
        <v>2003</v>
      </c>
      <c r="L1025" s="15" t="n">
        <v>11</v>
      </c>
      <c r="M1025" s="15" t="n">
        <v>1</v>
      </c>
      <c r="N1025" s="16" t="n">
        <v>4.508911044e-07</v>
      </c>
      <c r="O1025" s="11" t="n">
        <v>283.6232945</v>
      </c>
      <c r="P1025" s="13">
        <f>N1025*86400</f>
        <v/>
      </c>
      <c r="Q1025" s="14">
        <f>O1025-273.15</f>
        <v/>
      </c>
    </row>
    <row r="1026">
      <c r="A1026" s="9" t="n">
        <v>37913</v>
      </c>
      <c r="B1026" s="7">
        <f>YEAR(A1026)</f>
        <v/>
      </c>
      <c r="C1026" s="7">
        <f>MONTH(A1026)</f>
        <v/>
      </c>
      <c r="D1026" s="10" t="n">
        <v>0</v>
      </c>
      <c r="E1026" s="11" t="n">
        <v>5.529898078</v>
      </c>
      <c r="F1026" s="12" t="n">
        <v>0</v>
      </c>
      <c r="G1026" s="11" t="n">
        <v>279.4564537</v>
      </c>
      <c r="H1026" s="13">
        <f>F1026*1000</f>
        <v/>
      </c>
      <c r="I1026" s="14">
        <f>G1026-273.15</f>
        <v/>
      </c>
      <c r="K1026" s="15" t="n">
        <v>2003</v>
      </c>
      <c r="L1026" s="15" t="n">
        <v>11</v>
      </c>
      <c r="M1026" s="15" t="n">
        <v>2</v>
      </c>
      <c r="N1026" s="16" t="n">
        <v>2.501549829e-05</v>
      </c>
      <c r="O1026" s="11" t="n">
        <v>282.7445001</v>
      </c>
      <c r="P1026" s="13">
        <f>N1026*86400</f>
        <v/>
      </c>
      <c r="Q1026" s="14">
        <f>O1026-273.15</f>
        <v/>
      </c>
    </row>
    <row r="1027">
      <c r="A1027" s="9" t="n">
        <v>37914</v>
      </c>
      <c r="B1027" s="7">
        <f>YEAR(A1027)</f>
        <v/>
      </c>
      <c r="C1027" s="7">
        <f>MONTH(A1027)</f>
        <v/>
      </c>
      <c r="D1027" s="10" t="n">
        <v>0</v>
      </c>
      <c r="E1027" s="11" t="n">
        <v>7.746081842</v>
      </c>
      <c r="F1027" s="12" t="n">
        <v>0</v>
      </c>
      <c r="G1027" s="11" t="n">
        <v>282.35241</v>
      </c>
      <c r="H1027" s="13">
        <f>F1027*1000</f>
        <v/>
      </c>
      <c r="I1027" s="14">
        <f>G1027-273.15</f>
        <v/>
      </c>
      <c r="K1027" s="15" t="n">
        <v>2003</v>
      </c>
      <c r="L1027" s="15" t="n">
        <v>11</v>
      </c>
      <c r="M1027" s="15" t="n">
        <v>3</v>
      </c>
      <c r="N1027" s="16" t="n">
        <v>2.081579397e-05</v>
      </c>
      <c r="O1027" s="11" t="n">
        <v>282.4590705</v>
      </c>
      <c r="P1027" s="13">
        <f>N1027*86400</f>
        <v/>
      </c>
      <c r="Q1027" s="14">
        <f>O1027-273.15</f>
        <v/>
      </c>
    </row>
    <row r="1028">
      <c r="A1028" s="9" t="n">
        <v>37915</v>
      </c>
      <c r="B1028" s="7">
        <f>YEAR(A1028)</f>
        <v/>
      </c>
      <c r="C1028" s="7">
        <f>MONTH(A1028)</f>
        <v/>
      </c>
      <c r="D1028" s="10" t="n">
        <v>0</v>
      </c>
      <c r="E1028" s="11" t="n">
        <v>6.923872009</v>
      </c>
      <c r="F1028" s="12" t="n">
        <v>0</v>
      </c>
      <c r="G1028" s="11" t="n">
        <v>281.5898236</v>
      </c>
      <c r="H1028" s="13">
        <f>F1028*1000</f>
        <v/>
      </c>
      <c r="I1028" s="14">
        <f>G1028-273.15</f>
        <v/>
      </c>
      <c r="K1028" s="15" t="n">
        <v>2003</v>
      </c>
      <c r="L1028" s="15" t="n">
        <v>11</v>
      </c>
      <c r="M1028" s="15" t="n">
        <v>4</v>
      </c>
      <c r="N1028" s="16" t="n">
        <v>0</v>
      </c>
      <c r="O1028" s="11" t="n">
        <v>281.5707806</v>
      </c>
      <c r="P1028" s="13">
        <f>N1028*86400</f>
        <v/>
      </c>
      <c r="Q1028" s="14">
        <f>O1028-273.15</f>
        <v/>
      </c>
    </row>
    <row r="1029">
      <c r="A1029" s="9" t="n">
        <v>37916</v>
      </c>
      <c r="B1029" s="7">
        <f>YEAR(A1029)</f>
        <v/>
      </c>
      <c r="C1029" s="7">
        <f>MONTH(A1029)</f>
        <v/>
      </c>
      <c r="D1029" s="10" t="n">
        <v>0</v>
      </c>
      <c r="E1029" s="11" t="n">
        <v>8.130952063000001</v>
      </c>
      <c r="F1029" s="12" t="n">
        <v>0</v>
      </c>
      <c r="G1029" s="11" t="n">
        <v>282.8127535</v>
      </c>
      <c r="H1029" s="13">
        <f>F1029*1000</f>
        <v/>
      </c>
      <c r="I1029" s="14">
        <f>G1029-273.15</f>
        <v/>
      </c>
      <c r="K1029" s="15" t="n">
        <v>2003</v>
      </c>
      <c r="L1029" s="15" t="n">
        <v>11</v>
      </c>
      <c r="M1029" s="15" t="n">
        <v>5</v>
      </c>
      <c r="N1029" s="16" t="n">
        <v>1.135746245e-05</v>
      </c>
      <c r="O1029" s="11" t="n">
        <v>281.4886715</v>
      </c>
      <c r="P1029" s="13">
        <f>N1029*86400</f>
        <v/>
      </c>
      <c r="Q1029" s="14">
        <f>O1029-273.15</f>
        <v/>
      </c>
    </row>
    <row r="1030">
      <c r="A1030" s="9" t="n">
        <v>37917</v>
      </c>
      <c r="B1030" s="7">
        <f>YEAR(A1030)</f>
        <v/>
      </c>
      <c r="C1030" s="7">
        <f>MONTH(A1030)</f>
        <v/>
      </c>
      <c r="D1030" s="10" t="n">
        <v>0</v>
      </c>
      <c r="E1030" s="11" t="n">
        <v>9.783564887000001</v>
      </c>
      <c r="F1030" s="12" t="n">
        <v>0</v>
      </c>
      <c r="G1030" s="11" t="n">
        <v>284.2289103</v>
      </c>
      <c r="H1030" s="13">
        <f>F1030*1000</f>
        <v/>
      </c>
      <c r="I1030" s="14">
        <f>G1030-273.15</f>
        <v/>
      </c>
      <c r="K1030" s="15" t="n">
        <v>2003</v>
      </c>
      <c r="L1030" s="15" t="n">
        <v>11</v>
      </c>
      <c r="M1030" s="15" t="n">
        <v>6</v>
      </c>
      <c r="N1030" s="16" t="n">
        <v>0</v>
      </c>
      <c r="O1030" s="11" t="n">
        <v>282.5573898</v>
      </c>
      <c r="P1030" s="13">
        <f>N1030*86400</f>
        <v/>
      </c>
      <c r="Q1030" s="14">
        <f>O1030-273.15</f>
        <v/>
      </c>
    </row>
    <row r="1031">
      <c r="A1031" s="9" t="n">
        <v>37918</v>
      </c>
      <c r="B1031" s="7">
        <f>YEAR(A1031)</f>
        <v/>
      </c>
      <c r="C1031" s="7">
        <f>MONTH(A1031)</f>
        <v/>
      </c>
      <c r="D1031" s="10" t="n">
        <v>0</v>
      </c>
      <c r="E1031" s="11" t="n">
        <v>8.479281628000001</v>
      </c>
      <c r="F1031" s="12" t="n">
        <v>0</v>
      </c>
      <c r="G1031" s="11" t="n">
        <v>282.4295778</v>
      </c>
      <c r="H1031" s="13">
        <f>F1031*1000</f>
        <v/>
      </c>
      <c r="I1031" s="14">
        <f>G1031-273.15</f>
        <v/>
      </c>
      <c r="K1031" s="15" t="n">
        <v>2003</v>
      </c>
      <c r="L1031" s="15" t="n">
        <v>11</v>
      </c>
      <c r="M1031" s="15" t="n">
        <v>7</v>
      </c>
      <c r="N1031" s="16" t="n">
        <v>0</v>
      </c>
      <c r="O1031" s="11" t="n">
        <v>281.1878638</v>
      </c>
      <c r="P1031" s="13">
        <f>N1031*86400</f>
        <v/>
      </c>
      <c r="Q1031" s="14">
        <f>O1031-273.15</f>
        <v/>
      </c>
    </row>
    <row r="1032">
      <c r="A1032" s="9" t="n">
        <v>37919</v>
      </c>
      <c r="B1032" s="7">
        <f>YEAR(A1032)</f>
        <v/>
      </c>
      <c r="C1032" s="7">
        <f>MONTH(A1032)</f>
        <v/>
      </c>
      <c r="D1032" s="10" t="n">
        <v>0</v>
      </c>
      <c r="E1032" s="11" t="n">
        <v>8.478752713</v>
      </c>
      <c r="F1032" s="12" t="n">
        <v>0</v>
      </c>
      <c r="G1032" s="11" t="n">
        <v>282.395379</v>
      </c>
      <c r="H1032" s="13">
        <f>F1032*1000</f>
        <v/>
      </c>
      <c r="I1032" s="14">
        <f>G1032-273.15</f>
        <v/>
      </c>
      <c r="K1032" s="15" t="n">
        <v>2003</v>
      </c>
      <c r="L1032" s="15" t="n">
        <v>11</v>
      </c>
      <c r="M1032" s="15" t="n">
        <v>8</v>
      </c>
      <c r="N1032" s="16" t="n">
        <v>5.656663056e-05</v>
      </c>
      <c r="O1032" s="11" t="n">
        <v>280.512177</v>
      </c>
      <c r="P1032" s="13">
        <f>N1032*86400</f>
        <v/>
      </c>
      <c r="Q1032" s="14">
        <f>O1032-273.15</f>
        <v/>
      </c>
    </row>
    <row r="1033">
      <c r="A1033" s="9" t="n">
        <v>37920</v>
      </c>
      <c r="B1033" s="7">
        <f>YEAR(A1033)</f>
        <v/>
      </c>
      <c r="C1033" s="7">
        <f>MONTH(A1033)</f>
        <v/>
      </c>
      <c r="D1033" s="10" t="n">
        <v>0</v>
      </c>
      <c r="E1033" s="11" t="n">
        <v>6.661407123</v>
      </c>
      <c r="F1033" s="12" t="n">
        <v>0</v>
      </c>
      <c r="G1033" s="11" t="n">
        <v>280.2985638</v>
      </c>
      <c r="H1033" s="13">
        <f>F1033*1000</f>
        <v/>
      </c>
      <c r="I1033" s="14">
        <f>G1033-273.15</f>
        <v/>
      </c>
      <c r="K1033" s="15" t="n">
        <v>2003</v>
      </c>
      <c r="L1033" s="15" t="n">
        <v>11</v>
      </c>
      <c r="M1033" s="15" t="n">
        <v>9</v>
      </c>
      <c r="N1033" s="16" t="n">
        <v>1.175517986e-05</v>
      </c>
      <c r="O1033" s="11" t="n">
        <v>281.1856544</v>
      </c>
      <c r="P1033" s="13">
        <f>N1033*86400</f>
        <v/>
      </c>
      <c r="Q1033" s="14">
        <f>O1033-273.15</f>
        <v/>
      </c>
    </row>
    <row r="1034">
      <c r="A1034" s="9" t="n">
        <v>37921</v>
      </c>
      <c r="B1034" s="7">
        <f>YEAR(A1034)</f>
        <v/>
      </c>
      <c r="C1034" s="7">
        <f>MONTH(A1034)</f>
        <v/>
      </c>
      <c r="D1034" s="10" t="n">
        <v>0</v>
      </c>
      <c r="E1034" s="11" t="n">
        <v>6.181947246</v>
      </c>
      <c r="F1034" s="12" t="n">
        <v>0</v>
      </c>
      <c r="G1034" s="11" t="n">
        <v>281.0259031</v>
      </c>
      <c r="H1034" s="13">
        <f>F1034*1000</f>
        <v/>
      </c>
      <c r="I1034" s="14">
        <f>G1034-273.15</f>
        <v/>
      </c>
      <c r="K1034" s="15" t="n">
        <v>2003</v>
      </c>
      <c r="L1034" s="15" t="n">
        <v>11</v>
      </c>
      <c r="M1034" s="15" t="n">
        <v>10</v>
      </c>
      <c r="N1034" s="16" t="n">
        <v>3.125226228e-05</v>
      </c>
      <c r="O1034" s="11" t="n">
        <v>279.5879013</v>
      </c>
      <c r="P1034" s="13">
        <f>N1034*86400</f>
        <v/>
      </c>
      <c r="Q1034" s="14">
        <f>O1034-273.15</f>
        <v/>
      </c>
    </row>
    <row r="1035">
      <c r="A1035" s="9" t="n">
        <v>37922</v>
      </c>
      <c r="B1035" s="7">
        <f>YEAR(A1035)</f>
        <v/>
      </c>
      <c r="C1035" s="7">
        <f>MONTH(A1035)</f>
        <v/>
      </c>
      <c r="D1035" s="10" t="n">
        <v>0</v>
      </c>
      <c r="E1035" s="11" t="n">
        <v>3.18253133</v>
      </c>
      <c r="F1035" s="12" t="n">
        <v>0</v>
      </c>
      <c r="G1035" s="11" t="n">
        <v>279.1699947</v>
      </c>
      <c r="H1035" s="13">
        <f>F1035*1000</f>
        <v/>
      </c>
      <c r="I1035" s="14">
        <f>G1035-273.15</f>
        <v/>
      </c>
      <c r="K1035" s="15" t="n">
        <v>2003</v>
      </c>
      <c r="L1035" s="15" t="n">
        <v>11</v>
      </c>
      <c r="M1035" s="15" t="n">
        <v>11</v>
      </c>
      <c r="N1035" s="16" t="n">
        <v>1.408023011e-05</v>
      </c>
      <c r="O1035" s="11" t="n">
        <v>280.3233843</v>
      </c>
      <c r="P1035" s="13">
        <f>N1035*86400</f>
        <v/>
      </c>
      <c r="Q1035" s="14">
        <f>O1035-273.15</f>
        <v/>
      </c>
    </row>
    <row r="1036">
      <c r="A1036" s="9" t="n">
        <v>37923</v>
      </c>
      <c r="B1036" s="7">
        <f>YEAR(A1036)</f>
        <v/>
      </c>
      <c r="C1036" s="7">
        <f>MONTH(A1036)</f>
        <v/>
      </c>
      <c r="D1036" s="10" t="n">
        <v>0</v>
      </c>
      <c r="E1036" s="11" t="n">
        <v>3.558951789</v>
      </c>
      <c r="F1036" s="12" t="n">
        <v>0</v>
      </c>
      <c r="G1036" s="11" t="n">
        <v>279.4424833</v>
      </c>
      <c r="H1036" s="13">
        <f>F1036*1000</f>
        <v/>
      </c>
      <c r="I1036" s="14">
        <f>G1036-273.15</f>
        <v/>
      </c>
      <c r="K1036" s="15" t="n">
        <v>2003</v>
      </c>
      <c r="L1036" s="15" t="n">
        <v>11</v>
      </c>
      <c r="M1036" s="15" t="n">
        <v>12</v>
      </c>
      <c r="N1036" s="16" t="n">
        <v>1.970026446e-06</v>
      </c>
      <c r="O1036" s="11" t="n">
        <v>278.0995202</v>
      </c>
      <c r="P1036" s="13">
        <f>N1036*86400</f>
        <v/>
      </c>
      <c r="Q1036" s="14">
        <f>O1036-273.15</f>
        <v/>
      </c>
    </row>
    <row r="1037">
      <c r="A1037" s="9" t="n">
        <v>37924</v>
      </c>
      <c r="B1037" s="7">
        <f>YEAR(A1037)</f>
        <v/>
      </c>
      <c r="C1037" s="7">
        <f>MONTH(A1037)</f>
        <v/>
      </c>
      <c r="D1037" s="10" t="n">
        <v>0</v>
      </c>
      <c r="E1037" s="11" t="n">
        <v>4.970123488</v>
      </c>
      <c r="F1037" s="12" t="n">
        <v>0</v>
      </c>
      <c r="G1037" s="11" t="n">
        <v>279.782372</v>
      </c>
      <c r="H1037" s="13">
        <f>F1037*1000</f>
        <v/>
      </c>
      <c r="I1037" s="14">
        <f>G1037-273.15</f>
        <v/>
      </c>
      <c r="K1037" s="15" t="n">
        <v>2003</v>
      </c>
      <c r="L1037" s="15" t="n">
        <v>11</v>
      </c>
      <c r="M1037" s="15" t="n">
        <v>13</v>
      </c>
      <c r="N1037" s="16" t="n">
        <v>2.495322046e-05</v>
      </c>
      <c r="O1037" s="11" t="n">
        <v>278.6294322</v>
      </c>
      <c r="P1037" s="13">
        <f>N1037*86400</f>
        <v/>
      </c>
      <c r="Q1037" s="14">
        <f>O1037-273.15</f>
        <v/>
      </c>
    </row>
    <row r="1038">
      <c r="A1038" s="9" t="n">
        <v>37925</v>
      </c>
      <c r="B1038" s="7">
        <f>YEAR(A1038)</f>
        <v/>
      </c>
      <c r="C1038" s="7">
        <f>MONTH(A1038)</f>
        <v/>
      </c>
      <c r="D1038" s="10" t="n">
        <v>0</v>
      </c>
      <c r="E1038" s="11" t="n">
        <v>5.323295086</v>
      </c>
      <c r="F1038" s="12" t="n">
        <v>0</v>
      </c>
      <c r="G1038" s="11" t="n">
        <v>280.1804292</v>
      </c>
      <c r="H1038" s="13">
        <f>F1038*1000</f>
        <v/>
      </c>
      <c r="I1038" s="14">
        <f>G1038-273.15</f>
        <v/>
      </c>
      <c r="K1038" s="15" t="n">
        <v>2003</v>
      </c>
      <c r="L1038" s="15" t="n">
        <v>11</v>
      </c>
      <c r="M1038" s="15" t="n">
        <v>14</v>
      </c>
      <c r="N1038" s="16" t="n">
        <v>4.407528142e-05</v>
      </c>
      <c r="O1038" s="11" t="n">
        <v>279.3978585</v>
      </c>
      <c r="P1038" s="13">
        <f>N1038*86400</f>
        <v/>
      </c>
      <c r="Q1038" s="14">
        <f>O1038-273.15</f>
        <v/>
      </c>
    </row>
    <row r="1039">
      <c r="A1039" s="9" t="n">
        <v>37926</v>
      </c>
      <c r="B1039" s="7">
        <f>YEAR(A1039)</f>
        <v/>
      </c>
      <c r="C1039" s="7">
        <f>MONTH(A1039)</f>
        <v/>
      </c>
      <c r="D1039" s="10" t="n">
        <v>0</v>
      </c>
      <c r="E1039" s="11" t="n">
        <v>5.043144622</v>
      </c>
      <c r="F1039" s="12" t="n">
        <v>0</v>
      </c>
      <c r="G1039" s="11" t="n">
        <v>280.5879614</v>
      </c>
      <c r="H1039" s="13">
        <f>F1039*1000</f>
        <v/>
      </c>
      <c r="I1039" s="14">
        <f>G1039-273.15</f>
        <v/>
      </c>
      <c r="K1039" s="15" t="n">
        <v>2003</v>
      </c>
      <c r="L1039" s="15" t="n">
        <v>11</v>
      </c>
      <c r="M1039" s="15" t="n">
        <v>15</v>
      </c>
      <c r="N1039" s="16" t="n">
        <v>8.53549713e-08</v>
      </c>
      <c r="O1039" s="11" t="n">
        <v>279.890924</v>
      </c>
      <c r="P1039" s="13">
        <f>N1039*86400</f>
        <v/>
      </c>
      <c r="Q1039" s="14">
        <f>O1039-273.15</f>
        <v/>
      </c>
    </row>
    <row r="1040">
      <c r="A1040" s="9" t="n">
        <v>37927</v>
      </c>
      <c r="B1040" s="7">
        <f>YEAR(A1040)</f>
        <v/>
      </c>
      <c r="C1040" s="7">
        <f>MONTH(A1040)</f>
        <v/>
      </c>
      <c r="D1040" s="10" t="n">
        <v>0</v>
      </c>
      <c r="E1040" s="11" t="n">
        <v>5.17720278</v>
      </c>
      <c r="F1040" s="12" t="n">
        <v>0</v>
      </c>
      <c r="G1040" s="11" t="n">
        <v>279.6150532</v>
      </c>
      <c r="H1040" s="13">
        <f>F1040*1000</f>
        <v/>
      </c>
      <c r="I1040" s="14">
        <f>G1040-273.15</f>
        <v/>
      </c>
      <c r="K1040" s="15" t="n">
        <v>2003</v>
      </c>
      <c r="L1040" s="15" t="n">
        <v>11</v>
      </c>
      <c r="M1040" s="15" t="n">
        <v>16</v>
      </c>
      <c r="N1040" s="16" t="n">
        <v>0</v>
      </c>
      <c r="O1040" s="11" t="n">
        <v>281.2858349</v>
      </c>
      <c r="P1040" s="13">
        <f>N1040*86400</f>
        <v/>
      </c>
      <c r="Q1040" s="14">
        <f>O1040-273.15</f>
        <v/>
      </c>
    </row>
    <row r="1041">
      <c r="A1041" s="9" t="n">
        <v>37928</v>
      </c>
      <c r="B1041" s="7">
        <f>YEAR(A1041)</f>
        <v/>
      </c>
      <c r="C1041" s="7">
        <f>MONTH(A1041)</f>
        <v/>
      </c>
      <c r="D1041" s="10" t="n">
        <v>0</v>
      </c>
      <c r="E1041" s="11" t="n">
        <v>2.097422975</v>
      </c>
      <c r="F1041" s="12" t="n">
        <v>0</v>
      </c>
      <c r="G1041" s="11" t="n">
        <v>276.8578215</v>
      </c>
      <c r="H1041" s="13">
        <f>F1041*1000</f>
        <v/>
      </c>
      <c r="I1041" s="14">
        <f>G1041-273.15</f>
        <v/>
      </c>
      <c r="K1041" s="15" t="n">
        <v>2003</v>
      </c>
      <c r="L1041" s="15" t="n">
        <v>11</v>
      </c>
      <c r="M1041" s="15" t="n">
        <v>17</v>
      </c>
      <c r="N1041" s="16" t="n">
        <v>3.099894631e-07</v>
      </c>
      <c r="O1041" s="11" t="n">
        <v>279.1539223</v>
      </c>
      <c r="P1041" s="13">
        <f>N1041*86400</f>
        <v/>
      </c>
      <c r="Q1041" s="14">
        <f>O1041-273.15</f>
        <v/>
      </c>
    </row>
    <row r="1042">
      <c r="A1042" s="9" t="n">
        <v>37929</v>
      </c>
      <c r="B1042" s="7">
        <f>YEAR(A1042)</f>
        <v/>
      </c>
      <c r="C1042" s="7">
        <f>MONTH(A1042)</f>
        <v/>
      </c>
      <c r="D1042" s="10" t="n">
        <v>0</v>
      </c>
      <c r="E1042" s="11" t="n">
        <v>1.292977849</v>
      </c>
      <c r="F1042" s="12" t="n">
        <v>0.001725777228</v>
      </c>
      <c r="G1042" s="11" t="n">
        <v>276.3341815</v>
      </c>
      <c r="H1042" s="13">
        <f>F1042*1000</f>
        <v/>
      </c>
      <c r="I1042" s="14">
        <f>G1042-273.15</f>
        <v/>
      </c>
      <c r="K1042" s="15" t="n">
        <v>2003</v>
      </c>
      <c r="L1042" s="15" t="n">
        <v>11</v>
      </c>
      <c r="M1042" s="15" t="n">
        <v>18</v>
      </c>
      <c r="N1042" s="16" t="n">
        <v>0</v>
      </c>
      <c r="O1042" s="11" t="n">
        <v>279.8239919</v>
      </c>
      <c r="P1042" s="13">
        <f>N1042*86400</f>
        <v/>
      </c>
      <c r="Q1042" s="14">
        <f>O1042-273.15</f>
        <v/>
      </c>
    </row>
    <row r="1043">
      <c r="A1043" s="9" t="n">
        <v>37930</v>
      </c>
      <c r="B1043" s="7">
        <f>YEAR(A1043)</f>
        <v/>
      </c>
      <c r="C1043" s="7">
        <f>MONTH(A1043)</f>
        <v/>
      </c>
      <c r="D1043" s="10" t="n">
        <v>0</v>
      </c>
      <c r="E1043" s="11" t="n">
        <v>1.892086813</v>
      </c>
      <c r="F1043" s="12" t="n">
        <v>0</v>
      </c>
      <c r="G1043" s="11" t="n">
        <v>276.70393</v>
      </c>
      <c r="H1043" s="13">
        <f>F1043*1000</f>
        <v/>
      </c>
      <c r="I1043" s="14">
        <f>G1043-273.15</f>
        <v/>
      </c>
      <c r="K1043" s="15" t="n">
        <v>2003</v>
      </c>
      <c r="L1043" s="15" t="n">
        <v>11</v>
      </c>
      <c r="M1043" s="15" t="n">
        <v>19</v>
      </c>
      <c r="N1043" s="16" t="n">
        <v>0</v>
      </c>
      <c r="O1043" s="11" t="n">
        <v>280.3555241</v>
      </c>
      <c r="P1043" s="13">
        <f>N1043*86400</f>
        <v/>
      </c>
      <c r="Q1043" s="14">
        <f>O1043-273.15</f>
        <v/>
      </c>
    </row>
    <row r="1044">
      <c r="A1044" s="9" t="n">
        <v>37931</v>
      </c>
      <c r="B1044" s="7">
        <f>YEAR(A1044)</f>
        <v/>
      </c>
      <c r="C1044" s="7">
        <f>MONTH(A1044)</f>
        <v/>
      </c>
      <c r="D1044" s="10" t="n">
        <v>0</v>
      </c>
      <c r="E1044" s="11" t="n">
        <v>2.457068688</v>
      </c>
      <c r="F1044" s="12" t="n">
        <v>0.002676113816</v>
      </c>
      <c r="G1044" s="11" t="n">
        <v>277.2986225</v>
      </c>
      <c r="H1044" s="13">
        <f>F1044*1000</f>
        <v/>
      </c>
      <c r="I1044" s="14">
        <f>G1044-273.15</f>
        <v/>
      </c>
      <c r="K1044" s="15" t="n">
        <v>2003</v>
      </c>
      <c r="L1044" s="15" t="n">
        <v>11</v>
      </c>
      <c r="M1044" s="15" t="n">
        <v>20</v>
      </c>
      <c r="N1044" s="16" t="n">
        <v>0</v>
      </c>
      <c r="O1044" s="11" t="n">
        <v>278.3465323</v>
      </c>
      <c r="P1044" s="13">
        <f>N1044*86400</f>
        <v/>
      </c>
      <c r="Q1044" s="14">
        <f>O1044-273.15</f>
        <v/>
      </c>
    </row>
    <row r="1045">
      <c r="A1045" s="9" t="n">
        <v>37932</v>
      </c>
      <c r="B1045" s="7">
        <f>YEAR(A1045)</f>
        <v/>
      </c>
      <c r="C1045" s="7">
        <f>MONTH(A1045)</f>
        <v/>
      </c>
      <c r="D1045" s="10" t="n">
        <v>0.9663340163</v>
      </c>
      <c r="E1045" s="11" t="n">
        <v>2.249241621</v>
      </c>
      <c r="F1045" s="12" t="n">
        <v>0.004544324956</v>
      </c>
      <c r="G1045" s="11" t="n">
        <v>276.1619011</v>
      </c>
      <c r="H1045" s="13">
        <f>F1045*1000</f>
        <v/>
      </c>
      <c r="I1045" s="14">
        <f>G1045-273.15</f>
        <v/>
      </c>
      <c r="K1045" s="15" t="n">
        <v>2003</v>
      </c>
      <c r="L1045" s="15" t="n">
        <v>11</v>
      </c>
      <c r="M1045" s="15" t="n">
        <v>21</v>
      </c>
      <c r="N1045" s="16" t="n">
        <v>0</v>
      </c>
      <c r="O1045" s="11" t="n">
        <v>275.941206</v>
      </c>
      <c r="P1045" s="13">
        <f>N1045*86400</f>
        <v/>
      </c>
      <c r="Q1045" s="14">
        <f>O1045-273.15</f>
        <v/>
      </c>
    </row>
    <row r="1046">
      <c r="A1046" s="9" t="n">
        <v>37933</v>
      </c>
      <c r="B1046" s="7">
        <f>YEAR(A1046)</f>
        <v/>
      </c>
      <c r="C1046" s="7">
        <f>MONTH(A1046)</f>
        <v/>
      </c>
      <c r="D1046" s="10" t="n">
        <v>0</v>
      </c>
      <c r="E1046" s="11" t="n">
        <v>0.8750658981</v>
      </c>
      <c r="F1046" s="12" t="n">
        <v>0.002125202209</v>
      </c>
      <c r="G1046" s="11" t="n">
        <v>275.9104419</v>
      </c>
      <c r="H1046" s="13">
        <f>F1046*1000</f>
        <v/>
      </c>
      <c r="I1046" s="14">
        <f>G1046-273.15</f>
        <v/>
      </c>
      <c r="K1046" s="15" t="n">
        <v>2003</v>
      </c>
      <c r="L1046" s="15" t="n">
        <v>11</v>
      </c>
      <c r="M1046" s="15" t="n">
        <v>22</v>
      </c>
      <c r="N1046" s="16" t="n">
        <v>0</v>
      </c>
      <c r="O1046" s="11" t="n">
        <v>278.7116668</v>
      </c>
      <c r="P1046" s="13">
        <f>N1046*86400</f>
        <v/>
      </c>
      <c r="Q1046" s="14">
        <f>O1046-273.15</f>
        <v/>
      </c>
    </row>
    <row r="1047">
      <c r="A1047" s="9" t="n">
        <v>37934</v>
      </c>
      <c r="B1047" s="7">
        <f>YEAR(A1047)</f>
        <v/>
      </c>
      <c r="C1047" s="7">
        <f>MONTH(A1047)</f>
        <v/>
      </c>
      <c r="D1047" s="10" t="n">
        <v>0</v>
      </c>
      <c r="E1047" s="11" t="n">
        <v>2.237803712</v>
      </c>
      <c r="F1047" s="12" t="n">
        <v>0.0001910420121</v>
      </c>
      <c r="G1047" s="11" t="n">
        <v>276.8657597</v>
      </c>
      <c r="H1047" s="13">
        <f>F1047*1000</f>
        <v/>
      </c>
      <c r="I1047" s="14">
        <f>G1047-273.15</f>
        <v/>
      </c>
      <c r="K1047" s="15" t="n">
        <v>2003</v>
      </c>
      <c r="L1047" s="15" t="n">
        <v>11</v>
      </c>
      <c r="M1047" s="15" t="n">
        <v>23</v>
      </c>
      <c r="N1047" s="16" t="n">
        <v>0</v>
      </c>
      <c r="O1047" s="11" t="n">
        <v>280.4120474</v>
      </c>
      <c r="P1047" s="13">
        <f>N1047*86400</f>
        <v/>
      </c>
      <c r="Q1047" s="14">
        <f>O1047-273.15</f>
        <v/>
      </c>
    </row>
    <row r="1048">
      <c r="A1048" s="9" t="n">
        <v>37935</v>
      </c>
      <c r="B1048" s="7">
        <f>YEAR(A1048)</f>
        <v/>
      </c>
      <c r="C1048" s="7">
        <f>MONTH(A1048)</f>
        <v/>
      </c>
      <c r="D1048" s="10" t="n">
        <v>0</v>
      </c>
      <c r="E1048" s="11" t="n">
        <v>3.709463517</v>
      </c>
      <c r="F1048" s="12" t="n">
        <v>0</v>
      </c>
      <c r="G1048" s="11" t="n">
        <v>278.1872449</v>
      </c>
      <c r="H1048" s="13">
        <f>F1048*1000</f>
        <v/>
      </c>
      <c r="I1048" s="14">
        <f>G1048-273.15</f>
        <v/>
      </c>
      <c r="K1048" s="15" t="n">
        <v>2003</v>
      </c>
      <c r="L1048" s="15" t="n">
        <v>11</v>
      </c>
      <c r="M1048" s="15" t="n">
        <v>24</v>
      </c>
      <c r="N1048" s="16" t="n">
        <v>2.32478885e-06</v>
      </c>
      <c r="O1048" s="11" t="n">
        <v>282.4118635</v>
      </c>
      <c r="P1048" s="13">
        <f>N1048*86400</f>
        <v/>
      </c>
      <c r="Q1048" s="14">
        <f>O1048-273.15</f>
        <v/>
      </c>
    </row>
    <row r="1049">
      <c r="A1049" s="9" t="n">
        <v>37936</v>
      </c>
      <c r="B1049" s="7">
        <f>YEAR(A1049)</f>
        <v/>
      </c>
      <c r="C1049" s="7">
        <f>MONTH(A1049)</f>
        <v/>
      </c>
      <c r="D1049" s="10" t="n">
        <v>0</v>
      </c>
      <c r="E1049" s="11" t="n">
        <v>6.161973824</v>
      </c>
      <c r="F1049" s="12" t="n">
        <v>0.001590313072</v>
      </c>
      <c r="G1049" s="11" t="n">
        <v>280.7203064</v>
      </c>
      <c r="H1049" s="13">
        <f>F1049*1000</f>
        <v/>
      </c>
      <c r="I1049" s="14">
        <f>G1049-273.15</f>
        <v/>
      </c>
      <c r="K1049" s="15" t="n">
        <v>2003</v>
      </c>
      <c r="L1049" s="15" t="n">
        <v>11</v>
      </c>
      <c r="M1049" s="15" t="n">
        <v>25</v>
      </c>
      <c r="N1049" s="16" t="n">
        <v>1.217279563e-05</v>
      </c>
      <c r="O1049" s="11" t="n">
        <v>280.6537091</v>
      </c>
      <c r="P1049" s="13">
        <f>N1049*86400</f>
        <v/>
      </c>
      <c r="Q1049" s="14">
        <f>O1049-273.15</f>
        <v/>
      </c>
    </row>
    <row r="1050">
      <c r="A1050" s="9" t="n">
        <v>37937</v>
      </c>
      <c r="B1050" s="7">
        <f>YEAR(A1050)</f>
        <v/>
      </c>
      <c r="C1050" s="7">
        <f>MONTH(A1050)</f>
        <v/>
      </c>
      <c r="D1050" s="10" t="n">
        <v>0</v>
      </c>
      <c r="E1050" s="11" t="n">
        <v>5.784853464</v>
      </c>
      <c r="F1050" s="12" t="n">
        <v>0</v>
      </c>
      <c r="G1050" s="11" t="n">
        <v>279.4720977</v>
      </c>
      <c r="H1050" s="13">
        <f>F1050*1000</f>
        <v/>
      </c>
      <c r="I1050" s="14">
        <f>G1050-273.15</f>
        <v/>
      </c>
      <c r="K1050" s="15" t="n">
        <v>2003</v>
      </c>
      <c r="L1050" s="15" t="n">
        <v>11</v>
      </c>
      <c r="M1050" s="15" t="n">
        <v>26</v>
      </c>
      <c r="N1050" s="16" t="n">
        <v>2.30207459e-06</v>
      </c>
      <c r="O1050" s="11" t="n">
        <v>281.1849079</v>
      </c>
      <c r="P1050" s="13">
        <f>N1050*86400</f>
        <v/>
      </c>
      <c r="Q1050" s="14">
        <f>O1050-273.15</f>
        <v/>
      </c>
    </row>
    <row r="1051">
      <c r="A1051" s="9" t="n">
        <v>37938</v>
      </c>
      <c r="B1051" s="7">
        <f>YEAR(A1051)</f>
        <v/>
      </c>
      <c r="C1051" s="7">
        <f>MONTH(A1051)</f>
        <v/>
      </c>
      <c r="D1051" s="10" t="n">
        <v>0</v>
      </c>
      <c r="E1051" s="11" t="n">
        <v>6.660698001</v>
      </c>
      <c r="F1051" s="12" t="n">
        <v>0</v>
      </c>
      <c r="G1051" s="11" t="n">
        <v>280.0813773</v>
      </c>
      <c r="H1051" s="13">
        <f>F1051*1000</f>
        <v/>
      </c>
      <c r="I1051" s="14">
        <f>G1051-273.15</f>
        <v/>
      </c>
      <c r="K1051" s="15" t="n">
        <v>2003</v>
      </c>
      <c r="L1051" s="15" t="n">
        <v>11</v>
      </c>
      <c r="M1051" s="15" t="n">
        <v>27</v>
      </c>
      <c r="N1051" s="16" t="n">
        <v>5.563279894e-08</v>
      </c>
      <c r="O1051" s="11" t="n">
        <v>280.560693</v>
      </c>
      <c r="P1051" s="13">
        <f>N1051*86400</f>
        <v/>
      </c>
      <c r="Q1051" s="14">
        <f>O1051-273.15</f>
        <v/>
      </c>
    </row>
    <row r="1052">
      <c r="A1052" s="9" t="n">
        <v>37939</v>
      </c>
      <c r="B1052" s="7">
        <f>YEAR(A1052)</f>
        <v/>
      </c>
      <c r="C1052" s="7">
        <f>MONTH(A1052)</f>
        <v/>
      </c>
      <c r="D1052" s="10" t="n">
        <v>0</v>
      </c>
      <c r="E1052" s="11" t="n">
        <v>6.480351975</v>
      </c>
      <c r="F1052" s="12" t="n">
        <v>0</v>
      </c>
      <c r="G1052" s="11" t="n">
        <v>279.6511823</v>
      </c>
      <c r="H1052" s="13">
        <f>F1052*1000</f>
        <v/>
      </c>
      <c r="I1052" s="14">
        <f>G1052-273.15</f>
        <v/>
      </c>
      <c r="K1052" s="15" t="n">
        <v>2003</v>
      </c>
      <c r="L1052" s="15" t="n">
        <v>11</v>
      </c>
      <c r="M1052" s="15" t="n">
        <v>28</v>
      </c>
      <c r="N1052" s="16" t="n">
        <v>0</v>
      </c>
      <c r="O1052" s="11" t="n">
        <v>278.6983955</v>
      </c>
      <c r="P1052" s="13">
        <f>N1052*86400</f>
        <v/>
      </c>
      <c r="Q1052" s="14">
        <f>O1052-273.15</f>
        <v/>
      </c>
    </row>
    <row r="1053">
      <c r="A1053" s="9" t="n">
        <v>37940</v>
      </c>
      <c r="B1053" s="7">
        <f>YEAR(A1053)</f>
        <v/>
      </c>
      <c r="C1053" s="7">
        <f>MONTH(A1053)</f>
        <v/>
      </c>
      <c r="D1053" s="10" t="n">
        <v>0</v>
      </c>
      <c r="E1053" s="11" t="n">
        <v>7.714099506</v>
      </c>
      <c r="F1053" s="12" t="n">
        <v>0</v>
      </c>
      <c r="G1053" s="11" t="n">
        <v>281.839706</v>
      </c>
      <c r="H1053" s="13">
        <f>F1053*1000</f>
        <v/>
      </c>
      <c r="I1053" s="14">
        <f>G1053-273.15</f>
        <v/>
      </c>
      <c r="K1053" s="15" t="n">
        <v>2003</v>
      </c>
      <c r="L1053" s="15" t="n">
        <v>11</v>
      </c>
      <c r="M1053" s="15" t="n">
        <v>29</v>
      </c>
      <c r="N1053" s="16" t="n">
        <v>1.240346959e-06</v>
      </c>
      <c r="O1053" s="11" t="n">
        <v>279.9588429</v>
      </c>
      <c r="P1053" s="13">
        <f>N1053*86400</f>
        <v/>
      </c>
      <c r="Q1053" s="14">
        <f>O1053-273.15</f>
        <v/>
      </c>
    </row>
    <row r="1054">
      <c r="A1054" s="9" t="n">
        <v>37941</v>
      </c>
      <c r="B1054" s="7">
        <f>YEAR(A1054)</f>
        <v/>
      </c>
      <c r="C1054" s="7">
        <f>MONTH(A1054)</f>
        <v/>
      </c>
      <c r="D1054" s="10" t="n">
        <v>0</v>
      </c>
      <c r="E1054" s="11" t="n">
        <v>6.683857134</v>
      </c>
      <c r="F1054" s="12" t="n">
        <v>0</v>
      </c>
      <c r="G1054" s="11" t="n">
        <v>280.8885199</v>
      </c>
      <c r="H1054" s="13">
        <f>F1054*1000</f>
        <v/>
      </c>
      <c r="I1054" s="14">
        <f>G1054-273.15</f>
        <v/>
      </c>
      <c r="K1054" s="15" t="n">
        <v>2003</v>
      </c>
      <c r="L1054" s="15" t="n">
        <v>11</v>
      </c>
      <c r="M1054" s="15" t="n">
        <v>30</v>
      </c>
      <c r="N1054" s="16" t="n">
        <v>2.008637967e-08</v>
      </c>
      <c r="O1054" s="11" t="n">
        <v>277.6751688</v>
      </c>
      <c r="P1054" s="13">
        <f>N1054*86400</f>
        <v/>
      </c>
      <c r="Q1054" s="14">
        <f>O1054-273.15</f>
        <v/>
      </c>
    </row>
    <row r="1055">
      <c r="A1055" s="9" t="n">
        <v>37942</v>
      </c>
      <c r="B1055" s="7">
        <f>YEAR(A1055)</f>
        <v/>
      </c>
      <c r="C1055" s="7">
        <f>MONTH(A1055)</f>
        <v/>
      </c>
      <c r="D1055" s="10" t="n">
        <v>0</v>
      </c>
      <c r="E1055" s="11" t="n">
        <v>6.332449918</v>
      </c>
      <c r="F1055" s="12" t="n">
        <v>0</v>
      </c>
      <c r="G1055" s="11" t="n">
        <v>279.3406963</v>
      </c>
      <c r="H1055" s="13">
        <f>F1055*1000</f>
        <v/>
      </c>
      <c r="I1055" s="14">
        <f>G1055-273.15</f>
        <v/>
      </c>
      <c r="K1055" s="15" t="n">
        <v>2003</v>
      </c>
      <c r="L1055" s="15" t="n">
        <v>12</v>
      </c>
      <c r="M1055" s="15" t="n">
        <v>1</v>
      </c>
      <c r="N1055" s="16" t="n">
        <v>0</v>
      </c>
      <c r="O1055" s="11" t="n">
        <v>277.2290383</v>
      </c>
      <c r="P1055" s="13">
        <f>N1055*86400</f>
        <v/>
      </c>
      <c r="Q1055" s="14">
        <f>O1055-273.15</f>
        <v/>
      </c>
    </row>
    <row r="1056">
      <c r="A1056" s="9" t="n">
        <v>37943</v>
      </c>
      <c r="B1056" s="7">
        <f>YEAR(A1056)</f>
        <v/>
      </c>
      <c r="C1056" s="7">
        <f>MONTH(A1056)</f>
        <v/>
      </c>
      <c r="D1056" s="10" t="n">
        <v>0</v>
      </c>
      <c r="E1056" s="11" t="n">
        <v>5.485958605</v>
      </c>
      <c r="F1056" s="12" t="n">
        <v>0</v>
      </c>
      <c r="G1056" s="11" t="n">
        <v>279.5756173</v>
      </c>
      <c r="H1056" s="13">
        <f>F1056*1000</f>
        <v/>
      </c>
      <c r="I1056" s="14">
        <f>G1056-273.15</f>
        <v/>
      </c>
      <c r="K1056" s="15" t="n">
        <v>2003</v>
      </c>
      <c r="L1056" s="15" t="n">
        <v>12</v>
      </c>
      <c r="M1056" s="15" t="n">
        <v>2</v>
      </c>
      <c r="N1056" s="16" t="n">
        <v>0</v>
      </c>
      <c r="O1056" s="11" t="n">
        <v>275.4893667</v>
      </c>
      <c r="P1056" s="13">
        <f>N1056*86400</f>
        <v/>
      </c>
      <c r="Q1056" s="14">
        <f>O1056-273.15</f>
        <v/>
      </c>
    </row>
    <row r="1057">
      <c r="A1057" s="9" t="n">
        <v>37944</v>
      </c>
      <c r="B1057" s="7">
        <f>YEAR(A1057)</f>
        <v/>
      </c>
      <c r="C1057" s="7">
        <f>MONTH(A1057)</f>
        <v/>
      </c>
      <c r="D1057" s="10" t="n">
        <v>0</v>
      </c>
      <c r="E1057" s="11" t="n">
        <v>3.730585862</v>
      </c>
      <c r="F1057" s="12" t="n">
        <v>0</v>
      </c>
      <c r="G1057" s="11" t="n">
        <v>278.3454154</v>
      </c>
      <c r="H1057" s="13">
        <f>F1057*1000</f>
        <v/>
      </c>
      <c r="I1057" s="14">
        <f>G1057-273.15</f>
        <v/>
      </c>
      <c r="K1057" s="15" t="n">
        <v>2003</v>
      </c>
      <c r="L1057" s="15" t="n">
        <v>12</v>
      </c>
      <c r="M1057" s="15" t="n">
        <v>3</v>
      </c>
      <c r="N1057" s="16" t="n">
        <v>0</v>
      </c>
      <c r="O1057" s="11" t="n">
        <v>276.1453318</v>
      </c>
      <c r="P1057" s="13">
        <f>N1057*86400</f>
        <v/>
      </c>
      <c r="Q1057" s="14">
        <f>O1057-273.15</f>
        <v/>
      </c>
    </row>
    <row r="1058">
      <c r="A1058" s="9" t="n">
        <v>37945</v>
      </c>
      <c r="B1058" s="7">
        <f>YEAR(A1058)</f>
        <v/>
      </c>
      <c r="C1058" s="7">
        <f>MONTH(A1058)</f>
        <v/>
      </c>
      <c r="D1058" s="10" t="n">
        <v>0</v>
      </c>
      <c r="E1058" s="11" t="n">
        <v>3.472662472</v>
      </c>
      <c r="F1058" s="12" t="n">
        <v>0</v>
      </c>
      <c r="G1058" s="11" t="n">
        <v>277.4278458</v>
      </c>
      <c r="H1058" s="13">
        <f>F1058*1000</f>
        <v/>
      </c>
      <c r="I1058" s="14">
        <f>G1058-273.15</f>
        <v/>
      </c>
      <c r="K1058" s="15" t="n">
        <v>2003</v>
      </c>
      <c r="L1058" s="15" t="n">
        <v>12</v>
      </c>
      <c r="M1058" s="15" t="n">
        <v>4</v>
      </c>
      <c r="N1058" s="16" t="n">
        <v>0</v>
      </c>
      <c r="O1058" s="11" t="n">
        <v>278.924764</v>
      </c>
      <c r="P1058" s="13">
        <f>N1058*86400</f>
        <v/>
      </c>
      <c r="Q1058" s="14">
        <f>O1058-273.15</f>
        <v/>
      </c>
    </row>
    <row r="1059">
      <c r="A1059" s="9" t="n">
        <v>37946</v>
      </c>
      <c r="B1059" s="7">
        <f>YEAR(A1059)</f>
        <v/>
      </c>
      <c r="C1059" s="7">
        <f>MONTH(A1059)</f>
        <v/>
      </c>
      <c r="D1059" s="10" t="n">
        <v>0</v>
      </c>
      <c r="E1059" s="11" t="n">
        <v>3.285491404</v>
      </c>
      <c r="F1059" s="12" t="n">
        <v>0</v>
      </c>
      <c r="G1059" s="11" t="n">
        <v>277.9977062</v>
      </c>
      <c r="H1059" s="13">
        <f>F1059*1000</f>
        <v/>
      </c>
      <c r="I1059" s="14">
        <f>G1059-273.15</f>
        <v/>
      </c>
      <c r="K1059" s="15" t="n">
        <v>2003</v>
      </c>
      <c r="L1059" s="15" t="n">
        <v>12</v>
      </c>
      <c r="M1059" s="15" t="n">
        <v>5</v>
      </c>
      <c r="N1059" s="16" t="n">
        <v>2.757285128e-05</v>
      </c>
      <c r="O1059" s="11" t="n">
        <v>278.2513598</v>
      </c>
      <c r="P1059" s="13">
        <f>N1059*86400</f>
        <v/>
      </c>
      <c r="Q1059" s="14">
        <f>O1059-273.15</f>
        <v/>
      </c>
    </row>
    <row r="1060">
      <c r="A1060" s="9" t="n">
        <v>37947</v>
      </c>
      <c r="B1060" s="7">
        <f>YEAR(A1060)</f>
        <v/>
      </c>
      <c r="C1060" s="7">
        <f>MONTH(A1060)</f>
        <v/>
      </c>
      <c r="D1060" s="10" t="n">
        <v>0</v>
      </c>
      <c r="E1060" s="11" t="n">
        <v>2.094371929</v>
      </c>
      <c r="F1060" s="12" t="n">
        <v>0</v>
      </c>
      <c r="G1060" s="11" t="n">
        <v>277.3909998</v>
      </c>
      <c r="H1060" s="13">
        <f>F1060*1000</f>
        <v/>
      </c>
      <c r="I1060" s="14">
        <f>G1060-273.15</f>
        <v/>
      </c>
      <c r="K1060" s="15" t="n">
        <v>2003</v>
      </c>
      <c r="L1060" s="15" t="n">
        <v>12</v>
      </c>
      <c r="M1060" s="15" t="n">
        <v>6</v>
      </c>
      <c r="N1060" s="16" t="n">
        <v>0</v>
      </c>
      <c r="O1060" s="11" t="n">
        <v>279.0153031</v>
      </c>
      <c r="P1060" s="13">
        <f>N1060*86400</f>
        <v/>
      </c>
      <c r="Q1060" s="14">
        <f>O1060-273.15</f>
        <v/>
      </c>
    </row>
    <row r="1061">
      <c r="A1061" s="9" t="n">
        <v>37948</v>
      </c>
      <c r="B1061" s="7">
        <f>YEAR(A1061)</f>
        <v/>
      </c>
      <c r="C1061" s="7">
        <f>MONTH(A1061)</f>
        <v/>
      </c>
      <c r="D1061" s="10" t="n">
        <v>0</v>
      </c>
      <c r="E1061" s="11" t="n">
        <v>3.052424694</v>
      </c>
      <c r="F1061" s="12" t="n">
        <v>0</v>
      </c>
      <c r="G1061" s="11" t="n">
        <v>277.4692331</v>
      </c>
      <c r="H1061" s="13">
        <f>F1061*1000</f>
        <v/>
      </c>
      <c r="I1061" s="14">
        <f>G1061-273.15</f>
        <v/>
      </c>
      <c r="K1061" s="15" t="n">
        <v>2003</v>
      </c>
      <c r="L1061" s="15" t="n">
        <v>12</v>
      </c>
      <c r="M1061" s="15" t="n">
        <v>7</v>
      </c>
      <c r="N1061" s="16" t="n">
        <v>0</v>
      </c>
      <c r="O1061" s="11" t="n">
        <v>277.3779097</v>
      </c>
      <c r="P1061" s="13">
        <f>N1061*86400</f>
        <v/>
      </c>
      <c r="Q1061" s="14">
        <f>O1061-273.15</f>
        <v/>
      </c>
    </row>
    <row r="1062">
      <c r="A1062" s="9" t="n">
        <v>37949</v>
      </c>
      <c r="B1062" s="7">
        <f>YEAR(A1062)</f>
        <v/>
      </c>
      <c r="C1062" s="7">
        <f>MONTH(A1062)</f>
        <v/>
      </c>
      <c r="D1062" s="10" t="n">
        <v>0</v>
      </c>
      <c r="E1062" s="11" t="n">
        <v>3.749659324</v>
      </c>
      <c r="F1062" s="12" t="n">
        <v>0.001238409239</v>
      </c>
      <c r="G1062" s="11" t="n">
        <v>277.870685</v>
      </c>
      <c r="H1062" s="13">
        <f>F1062*1000</f>
        <v/>
      </c>
      <c r="I1062" s="14">
        <f>G1062-273.15</f>
        <v/>
      </c>
      <c r="K1062" s="15" t="n">
        <v>2003</v>
      </c>
      <c r="L1062" s="15" t="n">
        <v>12</v>
      </c>
      <c r="M1062" s="15" t="n">
        <v>8</v>
      </c>
      <c r="N1062" s="16" t="n">
        <v>0</v>
      </c>
      <c r="O1062" s="11" t="n">
        <v>279.7879933</v>
      </c>
      <c r="P1062" s="13">
        <f>N1062*86400</f>
        <v/>
      </c>
      <c r="Q1062" s="14">
        <f>O1062-273.15</f>
        <v/>
      </c>
    </row>
    <row r="1063">
      <c r="A1063" s="9" t="n">
        <v>37950</v>
      </c>
      <c r="B1063" s="7">
        <f>YEAR(A1063)</f>
        <v/>
      </c>
      <c r="C1063" s="7">
        <f>MONTH(A1063)</f>
        <v/>
      </c>
      <c r="D1063" s="10" t="n">
        <v>0</v>
      </c>
      <c r="E1063" s="11" t="n">
        <v>4.786471593</v>
      </c>
      <c r="F1063" s="12" t="n">
        <v>0.002331529325</v>
      </c>
      <c r="G1063" s="11" t="n">
        <v>278.3712082</v>
      </c>
      <c r="H1063" s="13">
        <f>F1063*1000</f>
        <v/>
      </c>
      <c r="I1063" s="14">
        <f>G1063-273.15</f>
        <v/>
      </c>
      <c r="K1063" s="15" t="n">
        <v>2003</v>
      </c>
      <c r="L1063" s="15" t="n">
        <v>12</v>
      </c>
      <c r="M1063" s="15" t="n">
        <v>9</v>
      </c>
      <c r="N1063" s="16" t="n">
        <v>0</v>
      </c>
      <c r="O1063" s="11" t="n">
        <v>280.7598914</v>
      </c>
      <c r="P1063" s="13">
        <f>N1063*86400</f>
        <v/>
      </c>
      <c r="Q1063" s="14">
        <f>O1063-273.15</f>
        <v/>
      </c>
    </row>
    <row r="1064">
      <c r="A1064" s="9" t="n">
        <v>37951</v>
      </c>
      <c r="B1064" s="7">
        <f>YEAR(A1064)</f>
        <v/>
      </c>
      <c r="C1064" s="7">
        <f>MONTH(A1064)</f>
        <v/>
      </c>
      <c r="D1064" s="10" t="n">
        <v>0.5361107505</v>
      </c>
      <c r="E1064" s="11" t="n">
        <v>5.875664034</v>
      </c>
      <c r="F1064" s="12" t="n">
        <v>0.00619661201</v>
      </c>
      <c r="G1064" s="11" t="n">
        <v>279.8636624</v>
      </c>
      <c r="H1064" s="13">
        <f>F1064*1000</f>
        <v/>
      </c>
      <c r="I1064" s="14">
        <f>G1064-273.15</f>
        <v/>
      </c>
      <c r="K1064" s="15" t="n">
        <v>2003</v>
      </c>
      <c r="L1064" s="15" t="n">
        <v>12</v>
      </c>
      <c r="M1064" s="15" t="n">
        <v>10</v>
      </c>
      <c r="N1064" s="16" t="n">
        <v>4.271217903e-06</v>
      </c>
      <c r="O1064" s="11" t="n">
        <v>279.0809415</v>
      </c>
      <c r="P1064" s="13">
        <f>N1064*86400</f>
        <v/>
      </c>
      <c r="Q1064" s="14">
        <f>O1064-273.15</f>
        <v/>
      </c>
    </row>
    <row r="1065">
      <c r="A1065" s="9" t="n">
        <v>37952</v>
      </c>
      <c r="B1065" s="7">
        <f>YEAR(A1065)</f>
        <v/>
      </c>
      <c r="C1065" s="7">
        <f>MONTH(A1065)</f>
        <v/>
      </c>
      <c r="D1065" s="10" t="n">
        <v>0</v>
      </c>
      <c r="E1065" s="11" t="n">
        <v>3.523020385</v>
      </c>
      <c r="F1065" s="12" t="n">
        <v>0</v>
      </c>
      <c r="G1065" s="11" t="n">
        <v>279.1885782</v>
      </c>
      <c r="H1065" s="13">
        <f>F1065*1000</f>
        <v/>
      </c>
      <c r="I1065" s="14">
        <f>G1065-273.15</f>
        <v/>
      </c>
      <c r="K1065" s="15" t="n">
        <v>2003</v>
      </c>
      <c r="L1065" s="15" t="n">
        <v>12</v>
      </c>
      <c r="M1065" s="15" t="n">
        <v>11</v>
      </c>
      <c r="N1065" s="16" t="n">
        <v>1.197751505e-06</v>
      </c>
      <c r="O1065" s="11" t="n">
        <v>280.5280171</v>
      </c>
      <c r="P1065" s="13">
        <f>N1065*86400</f>
        <v/>
      </c>
      <c r="Q1065" s="14">
        <f>O1065-273.15</f>
        <v/>
      </c>
    </row>
    <row r="1066">
      <c r="A1066" s="9" t="n">
        <v>37953</v>
      </c>
      <c r="B1066" s="7">
        <f>YEAR(A1066)</f>
        <v/>
      </c>
      <c r="C1066" s="7">
        <f>MONTH(A1066)</f>
        <v/>
      </c>
      <c r="D1066" s="10" t="n">
        <v>0</v>
      </c>
      <c r="E1066" s="11" t="n">
        <v>1.739888191</v>
      </c>
      <c r="F1066" s="12" t="n">
        <v>0</v>
      </c>
      <c r="G1066" s="11" t="n">
        <v>276.5689948</v>
      </c>
      <c r="H1066" s="13">
        <f>F1066*1000</f>
        <v/>
      </c>
      <c r="I1066" s="14">
        <f>G1066-273.15</f>
        <v/>
      </c>
      <c r="K1066" s="15" t="n">
        <v>2003</v>
      </c>
      <c r="L1066" s="15" t="n">
        <v>12</v>
      </c>
      <c r="M1066" s="15" t="n">
        <v>12</v>
      </c>
      <c r="N1066" s="16" t="n">
        <v>1.750602895e-05</v>
      </c>
      <c r="O1066" s="11" t="n">
        <v>283.8891003</v>
      </c>
      <c r="P1066" s="13">
        <f>N1066*86400</f>
        <v/>
      </c>
      <c r="Q1066" s="14">
        <f>O1066-273.15</f>
        <v/>
      </c>
    </row>
    <row r="1067">
      <c r="A1067" s="9" t="n">
        <v>37954</v>
      </c>
      <c r="B1067" s="7">
        <f>YEAR(A1067)</f>
        <v/>
      </c>
      <c r="C1067" s="7">
        <f>MONTH(A1067)</f>
        <v/>
      </c>
      <c r="D1067" s="10" t="n">
        <v>0</v>
      </c>
      <c r="E1067" s="11" t="n">
        <v>2.82587412</v>
      </c>
      <c r="F1067" s="12" t="n">
        <v>0</v>
      </c>
      <c r="G1067" s="11" t="n">
        <v>277.0260171</v>
      </c>
      <c r="H1067" s="13">
        <f>F1067*1000</f>
        <v/>
      </c>
      <c r="I1067" s="14">
        <f>G1067-273.15</f>
        <v/>
      </c>
      <c r="K1067" s="15" t="n">
        <v>2003</v>
      </c>
      <c r="L1067" s="15" t="n">
        <v>12</v>
      </c>
      <c r="M1067" s="15" t="n">
        <v>13</v>
      </c>
      <c r="N1067" s="16" t="n">
        <v>6.25810575e-05</v>
      </c>
      <c r="O1067" s="11" t="n">
        <v>282.8031832</v>
      </c>
      <c r="P1067" s="13">
        <f>N1067*86400</f>
        <v/>
      </c>
      <c r="Q1067" s="14">
        <f>O1067-273.15</f>
        <v/>
      </c>
    </row>
    <row r="1068">
      <c r="A1068" s="9" t="n">
        <v>37955</v>
      </c>
      <c r="B1068" s="7">
        <f>YEAR(A1068)</f>
        <v/>
      </c>
      <c r="C1068" s="7">
        <f>MONTH(A1068)</f>
        <v/>
      </c>
      <c r="D1068" s="10" t="n">
        <v>0.2882473975</v>
      </c>
      <c r="E1068" s="11" t="n">
        <v>5.103868201</v>
      </c>
      <c r="F1068" s="12" t="n">
        <v>0.003129389143</v>
      </c>
      <c r="G1068" s="11" t="n">
        <v>278.7203401</v>
      </c>
      <c r="H1068" s="13">
        <f>F1068*1000</f>
        <v/>
      </c>
      <c r="I1068" s="14">
        <f>G1068-273.15</f>
        <v/>
      </c>
      <c r="K1068" s="15" t="n">
        <v>2003</v>
      </c>
      <c r="L1068" s="15" t="n">
        <v>12</v>
      </c>
      <c r="M1068" s="15" t="n">
        <v>14</v>
      </c>
      <c r="N1068" s="16" t="n">
        <v>0</v>
      </c>
      <c r="O1068" s="11" t="n">
        <v>281.1684908</v>
      </c>
      <c r="P1068" s="13">
        <f>N1068*86400</f>
        <v/>
      </c>
      <c r="Q1068" s="14">
        <f>O1068-273.15</f>
        <v/>
      </c>
    </row>
    <row r="1069">
      <c r="A1069" s="9" t="n">
        <v>37956</v>
      </c>
      <c r="B1069" s="7">
        <f>YEAR(A1069)</f>
        <v/>
      </c>
      <c r="C1069" s="7">
        <f>MONTH(A1069)</f>
        <v/>
      </c>
      <c r="D1069" s="10" t="n">
        <v>0</v>
      </c>
      <c r="E1069" s="11" t="n">
        <v>4.723669819</v>
      </c>
      <c r="F1069" s="12" t="n">
        <v>0</v>
      </c>
      <c r="G1069" s="11" t="n">
        <v>279.6099472</v>
      </c>
      <c r="H1069" s="13">
        <f>F1069*1000</f>
        <v/>
      </c>
      <c r="I1069" s="14">
        <f>G1069-273.15</f>
        <v/>
      </c>
      <c r="K1069" s="15" t="n">
        <v>2003</v>
      </c>
      <c r="L1069" s="15" t="n">
        <v>12</v>
      </c>
      <c r="M1069" s="15" t="n">
        <v>15</v>
      </c>
      <c r="N1069" s="16" t="n">
        <v>5.413780601e-07</v>
      </c>
      <c r="O1069" s="11" t="n">
        <v>280.8899078</v>
      </c>
      <c r="P1069" s="13">
        <f>N1069*86400</f>
        <v/>
      </c>
      <c r="Q1069" s="14">
        <f>O1069-273.15</f>
        <v/>
      </c>
    </row>
    <row r="1070">
      <c r="A1070" s="9" t="n">
        <v>37957</v>
      </c>
      <c r="B1070" s="7">
        <f>YEAR(A1070)</f>
        <v/>
      </c>
      <c r="C1070" s="7">
        <f>MONTH(A1070)</f>
        <v/>
      </c>
      <c r="D1070" s="10" t="n">
        <v>0</v>
      </c>
      <c r="E1070" s="11" t="n">
        <v>3.741894415</v>
      </c>
      <c r="F1070" s="12" t="n">
        <v>0</v>
      </c>
      <c r="G1070" s="11" t="n">
        <v>277.6864511</v>
      </c>
      <c r="H1070" s="13">
        <f>F1070*1000</f>
        <v/>
      </c>
      <c r="I1070" s="14">
        <f>G1070-273.15</f>
        <v/>
      </c>
      <c r="K1070" s="15" t="n">
        <v>2003</v>
      </c>
      <c r="L1070" s="15" t="n">
        <v>12</v>
      </c>
      <c r="M1070" s="15" t="n">
        <v>16</v>
      </c>
      <c r="N1070" s="16" t="n">
        <v>0</v>
      </c>
      <c r="O1070" s="11" t="n">
        <v>281.3439436</v>
      </c>
      <c r="P1070" s="13">
        <f>N1070*86400</f>
        <v/>
      </c>
      <c r="Q1070" s="14">
        <f>O1070-273.15</f>
        <v/>
      </c>
    </row>
    <row r="1071">
      <c r="A1071" s="9" t="n">
        <v>37958</v>
      </c>
      <c r="B1071" s="7">
        <f>YEAR(A1071)</f>
        <v/>
      </c>
      <c r="C1071" s="7">
        <f>MONTH(A1071)</f>
        <v/>
      </c>
      <c r="D1071" s="10" t="n">
        <v>0</v>
      </c>
      <c r="E1071" s="11" t="n">
        <v>4.09174503</v>
      </c>
      <c r="F1071" s="12" t="n">
        <v>0</v>
      </c>
      <c r="G1071" s="11" t="n">
        <v>279.2761989</v>
      </c>
      <c r="H1071" s="13">
        <f>F1071*1000</f>
        <v/>
      </c>
      <c r="I1071" s="14">
        <f>G1071-273.15</f>
        <v/>
      </c>
      <c r="K1071" s="15" t="n">
        <v>2003</v>
      </c>
      <c r="L1071" s="15" t="n">
        <v>12</v>
      </c>
      <c r="M1071" s="15" t="n">
        <v>17</v>
      </c>
      <c r="N1071" s="16" t="n">
        <v>0</v>
      </c>
      <c r="O1071" s="11" t="n">
        <v>281.7408062</v>
      </c>
      <c r="P1071" s="13">
        <f>N1071*86400</f>
        <v/>
      </c>
      <c r="Q1071" s="14">
        <f>O1071-273.15</f>
        <v/>
      </c>
    </row>
    <row r="1072">
      <c r="A1072" s="9" t="n">
        <v>37959</v>
      </c>
      <c r="B1072" s="7">
        <f>YEAR(A1072)</f>
        <v/>
      </c>
      <c r="C1072" s="7">
        <f>MONTH(A1072)</f>
        <v/>
      </c>
      <c r="D1072" s="10" t="n">
        <v>0</v>
      </c>
      <c r="E1072" s="11" t="n">
        <v>4.40449337</v>
      </c>
      <c r="F1072" s="12" t="n">
        <v>0</v>
      </c>
      <c r="G1072" s="11" t="n">
        <v>279.188156</v>
      </c>
      <c r="H1072" s="13">
        <f>F1072*1000</f>
        <v/>
      </c>
      <c r="I1072" s="14">
        <f>G1072-273.15</f>
        <v/>
      </c>
      <c r="K1072" s="15" t="n">
        <v>2003</v>
      </c>
      <c r="L1072" s="15" t="n">
        <v>12</v>
      </c>
      <c r="M1072" s="15" t="n">
        <v>18</v>
      </c>
      <c r="N1072" s="16" t="n">
        <v>0</v>
      </c>
      <c r="O1072" s="11" t="n">
        <v>283.7803201</v>
      </c>
      <c r="P1072" s="13">
        <f>N1072*86400</f>
        <v/>
      </c>
      <c r="Q1072" s="14">
        <f>O1072-273.15</f>
        <v/>
      </c>
    </row>
    <row r="1073">
      <c r="A1073" s="9" t="n">
        <v>37960</v>
      </c>
      <c r="B1073" s="7">
        <f>YEAR(A1073)</f>
        <v/>
      </c>
      <c r="C1073" s="7">
        <f>MONTH(A1073)</f>
        <v/>
      </c>
      <c r="D1073" s="10" t="n">
        <v>0</v>
      </c>
      <c r="E1073" s="11" t="n">
        <v>5.159165951</v>
      </c>
      <c r="F1073" s="12" t="n">
        <v>0</v>
      </c>
      <c r="G1073" s="11" t="n">
        <v>280.8320286</v>
      </c>
      <c r="H1073" s="13">
        <f>F1073*1000</f>
        <v/>
      </c>
      <c r="I1073" s="14">
        <f>G1073-273.15</f>
        <v/>
      </c>
      <c r="K1073" s="15" t="n">
        <v>2003</v>
      </c>
      <c r="L1073" s="15" t="n">
        <v>12</v>
      </c>
      <c r="M1073" s="15" t="n">
        <v>19</v>
      </c>
      <c r="N1073" s="16" t="n">
        <v>0</v>
      </c>
      <c r="O1073" s="11" t="n">
        <v>284.3162288</v>
      </c>
      <c r="P1073" s="13">
        <f>N1073*86400</f>
        <v/>
      </c>
      <c r="Q1073" s="14">
        <f>O1073-273.15</f>
        <v/>
      </c>
    </row>
    <row r="1074">
      <c r="A1074" s="9" t="n">
        <v>37961</v>
      </c>
      <c r="B1074" s="7">
        <f>YEAR(A1074)</f>
        <v/>
      </c>
      <c r="C1074" s="7">
        <f>MONTH(A1074)</f>
        <v/>
      </c>
      <c r="D1074" s="10" t="n">
        <v>0</v>
      </c>
      <c r="E1074" s="11" t="n">
        <v>4.276555427</v>
      </c>
      <c r="F1074" s="12" t="n">
        <v>0</v>
      </c>
      <c r="G1074" s="11" t="n">
        <v>280.0770897</v>
      </c>
      <c r="H1074" s="13">
        <f>F1074*1000</f>
        <v/>
      </c>
      <c r="I1074" s="14">
        <f>G1074-273.15</f>
        <v/>
      </c>
      <c r="K1074" s="15" t="n">
        <v>2003</v>
      </c>
      <c r="L1074" s="15" t="n">
        <v>12</v>
      </c>
      <c r="M1074" s="15" t="n">
        <v>20</v>
      </c>
      <c r="N1074" s="16" t="n">
        <v>0</v>
      </c>
      <c r="O1074" s="11" t="n">
        <v>285.6481064</v>
      </c>
      <c r="P1074" s="13">
        <f>N1074*86400</f>
        <v/>
      </c>
      <c r="Q1074" s="14">
        <f>O1074-273.15</f>
        <v/>
      </c>
    </row>
    <row r="1075">
      <c r="A1075" s="9" t="n">
        <v>37962</v>
      </c>
      <c r="B1075" s="7">
        <f>YEAR(A1075)</f>
        <v/>
      </c>
      <c r="C1075" s="7">
        <f>MONTH(A1075)</f>
        <v/>
      </c>
      <c r="D1075" s="10" t="n">
        <v>0</v>
      </c>
      <c r="E1075" s="11" t="n">
        <v>4.853463994</v>
      </c>
      <c r="F1075" s="12" t="n">
        <v>0</v>
      </c>
      <c r="G1075" s="11" t="n">
        <v>279.96361</v>
      </c>
      <c r="H1075" s="13">
        <f>F1075*1000</f>
        <v/>
      </c>
      <c r="I1075" s="14">
        <f>G1075-273.15</f>
        <v/>
      </c>
      <c r="K1075" s="15" t="n">
        <v>2003</v>
      </c>
      <c r="L1075" s="15" t="n">
        <v>12</v>
      </c>
      <c r="M1075" s="15" t="n">
        <v>21</v>
      </c>
      <c r="N1075" s="16" t="n">
        <v>0</v>
      </c>
      <c r="O1075" s="11" t="n">
        <v>283.2382551</v>
      </c>
      <c r="P1075" s="13">
        <f>N1075*86400</f>
        <v/>
      </c>
      <c r="Q1075" s="14">
        <f>O1075-273.15</f>
        <v/>
      </c>
    </row>
    <row r="1076">
      <c r="A1076" s="9" t="n">
        <v>37963</v>
      </c>
      <c r="B1076" s="7">
        <f>YEAR(A1076)</f>
        <v/>
      </c>
      <c r="C1076" s="7">
        <f>MONTH(A1076)</f>
        <v/>
      </c>
      <c r="D1076" s="10" t="n">
        <v>0</v>
      </c>
      <c r="E1076" s="11" t="n">
        <v>3.457725324</v>
      </c>
      <c r="F1076" s="12" t="n">
        <v>0</v>
      </c>
      <c r="G1076" s="11" t="n">
        <v>279.4399498</v>
      </c>
      <c r="H1076" s="13">
        <f>F1076*1000</f>
        <v/>
      </c>
      <c r="I1076" s="14">
        <f>G1076-273.15</f>
        <v/>
      </c>
      <c r="K1076" s="15" t="n">
        <v>2003</v>
      </c>
      <c r="L1076" s="15" t="n">
        <v>12</v>
      </c>
      <c r="M1076" s="15" t="n">
        <v>22</v>
      </c>
      <c r="N1076" s="16" t="n">
        <v>0</v>
      </c>
      <c r="O1076" s="11" t="n">
        <v>281.2375497</v>
      </c>
      <c r="P1076" s="13">
        <f>N1076*86400</f>
        <v/>
      </c>
      <c r="Q1076" s="14">
        <f>O1076-273.15</f>
        <v/>
      </c>
    </row>
    <row r="1077">
      <c r="A1077" s="9" t="n">
        <v>37964</v>
      </c>
      <c r="B1077" s="7">
        <f>YEAR(A1077)</f>
        <v/>
      </c>
      <c r="C1077" s="7">
        <f>MONTH(A1077)</f>
        <v/>
      </c>
      <c r="D1077" s="10" t="n">
        <v>0</v>
      </c>
      <c r="E1077" s="11" t="n">
        <v>3.254500807</v>
      </c>
      <c r="F1077" s="12" t="n">
        <v>0.0006154076549</v>
      </c>
      <c r="G1077" s="11" t="n">
        <v>279.5586411</v>
      </c>
      <c r="H1077" s="13">
        <f>F1077*1000</f>
        <v/>
      </c>
      <c r="I1077" s="14">
        <f>G1077-273.15</f>
        <v/>
      </c>
      <c r="K1077" s="15" t="n">
        <v>2003</v>
      </c>
      <c r="L1077" s="15" t="n">
        <v>12</v>
      </c>
      <c r="M1077" s="15" t="n">
        <v>23</v>
      </c>
      <c r="N1077" s="16" t="n">
        <v>0</v>
      </c>
      <c r="O1077" s="11" t="n">
        <v>279.4046923</v>
      </c>
      <c r="P1077" s="13">
        <f>N1077*86400</f>
        <v/>
      </c>
      <c r="Q1077" s="14">
        <f>O1077-273.15</f>
        <v/>
      </c>
    </row>
    <row r="1078">
      <c r="A1078" s="9" t="n">
        <v>37965</v>
      </c>
      <c r="B1078" s="7">
        <f>YEAR(A1078)</f>
        <v/>
      </c>
      <c r="C1078" s="7">
        <f>MONTH(A1078)</f>
        <v/>
      </c>
      <c r="D1078" s="10" t="n">
        <v>0</v>
      </c>
      <c r="E1078" s="11" t="n">
        <v>4.201045771</v>
      </c>
      <c r="F1078" s="12" t="n">
        <v>0.001969269406</v>
      </c>
      <c r="G1078" s="11" t="n">
        <v>279.6710368</v>
      </c>
      <c r="H1078" s="13">
        <f>F1078*1000</f>
        <v/>
      </c>
      <c r="I1078" s="14">
        <f>G1078-273.15</f>
        <v/>
      </c>
      <c r="K1078" s="15" t="n">
        <v>2003</v>
      </c>
      <c r="L1078" s="15" t="n">
        <v>12</v>
      </c>
      <c r="M1078" s="15" t="n">
        <v>24</v>
      </c>
      <c r="N1078" s="16" t="n">
        <v>0</v>
      </c>
      <c r="O1078" s="11" t="n">
        <v>280.0186537</v>
      </c>
      <c r="P1078" s="13">
        <f>N1078*86400</f>
        <v/>
      </c>
      <c r="Q1078" s="14">
        <f>O1078-273.15</f>
        <v/>
      </c>
    </row>
    <row r="1079">
      <c r="A1079" s="9" t="n">
        <v>37966</v>
      </c>
      <c r="B1079" s="7">
        <f>YEAR(A1079)</f>
        <v/>
      </c>
      <c r="C1079" s="7">
        <f>MONTH(A1079)</f>
        <v/>
      </c>
      <c r="D1079" s="10" t="n">
        <v>0</v>
      </c>
      <c r="E1079" s="11" t="n">
        <v>3.003243952</v>
      </c>
      <c r="F1079" s="12" t="n">
        <v>0</v>
      </c>
      <c r="G1079" s="11" t="n">
        <v>278.0700699</v>
      </c>
      <c r="H1079" s="13">
        <f>F1079*1000</f>
        <v/>
      </c>
      <c r="I1079" s="14">
        <f>G1079-273.15</f>
        <v/>
      </c>
      <c r="K1079" s="15" t="n">
        <v>2003</v>
      </c>
      <c r="L1079" s="15" t="n">
        <v>12</v>
      </c>
      <c r="M1079" s="15" t="n">
        <v>25</v>
      </c>
      <c r="N1079" s="16" t="n">
        <v>0</v>
      </c>
      <c r="O1079" s="11" t="n">
        <v>278.9990983</v>
      </c>
      <c r="P1079" s="13">
        <f>N1079*86400</f>
        <v/>
      </c>
      <c r="Q1079" s="14">
        <f>O1079-273.15</f>
        <v/>
      </c>
    </row>
    <row r="1080">
      <c r="A1080" s="9" t="n">
        <v>37967</v>
      </c>
      <c r="B1080" s="7">
        <f>YEAR(A1080)</f>
        <v/>
      </c>
      <c r="C1080" s="7">
        <f>MONTH(A1080)</f>
        <v/>
      </c>
      <c r="D1080" s="10" t="n">
        <v>0</v>
      </c>
      <c r="E1080" s="11" t="n">
        <v>4.859370746</v>
      </c>
      <c r="F1080" s="12" t="n">
        <v>0</v>
      </c>
      <c r="G1080" s="11" t="n">
        <v>278.5469196</v>
      </c>
      <c r="H1080" s="13">
        <f>F1080*1000</f>
        <v/>
      </c>
      <c r="I1080" s="14">
        <f>G1080-273.15</f>
        <v/>
      </c>
      <c r="K1080" s="15" t="n">
        <v>2003</v>
      </c>
      <c r="L1080" s="15" t="n">
        <v>12</v>
      </c>
      <c r="M1080" s="15" t="n">
        <v>26</v>
      </c>
      <c r="N1080" s="16" t="n">
        <v>0</v>
      </c>
      <c r="O1080" s="11" t="n">
        <v>279.3805969</v>
      </c>
      <c r="P1080" s="13">
        <f>N1080*86400</f>
        <v/>
      </c>
      <c r="Q1080" s="14">
        <f>O1080-273.15</f>
        <v/>
      </c>
    </row>
    <row r="1081">
      <c r="A1081" s="9" t="n">
        <v>37968</v>
      </c>
      <c r="B1081" s="7">
        <f>YEAR(A1081)</f>
        <v/>
      </c>
      <c r="C1081" s="7">
        <f>MONTH(A1081)</f>
        <v/>
      </c>
      <c r="D1081" s="10" t="n">
        <v>0</v>
      </c>
      <c r="E1081" s="11" t="n">
        <v>3.290763535</v>
      </c>
      <c r="F1081" s="12" t="n">
        <v>0</v>
      </c>
      <c r="G1081" s="11" t="n">
        <v>277.7650867</v>
      </c>
      <c r="H1081" s="13">
        <f>F1081*1000</f>
        <v/>
      </c>
      <c r="I1081" s="14">
        <f>G1081-273.15</f>
        <v/>
      </c>
      <c r="K1081" s="15" t="n">
        <v>2003</v>
      </c>
      <c r="L1081" s="15" t="n">
        <v>12</v>
      </c>
      <c r="M1081" s="15" t="n">
        <v>27</v>
      </c>
      <c r="N1081" s="16" t="n">
        <v>0</v>
      </c>
      <c r="O1081" s="11" t="n">
        <v>278.4384057</v>
      </c>
      <c r="P1081" s="13">
        <f>N1081*86400</f>
        <v/>
      </c>
      <c r="Q1081" s="14">
        <f>O1081-273.15</f>
        <v/>
      </c>
    </row>
    <row r="1082">
      <c r="A1082" s="9" t="n">
        <v>37969</v>
      </c>
      <c r="B1082" s="7">
        <f>YEAR(A1082)</f>
        <v/>
      </c>
      <c r="C1082" s="7">
        <f>MONTH(A1082)</f>
        <v/>
      </c>
      <c r="D1082" s="10" t="n">
        <v>3.788531615</v>
      </c>
      <c r="E1082" s="11" t="n">
        <v>2.572207855</v>
      </c>
      <c r="F1082" s="12" t="n">
        <v>0.002953083202</v>
      </c>
      <c r="G1082" s="11" t="n">
        <v>277.8133931</v>
      </c>
      <c r="H1082" s="13">
        <f>F1082*1000</f>
        <v/>
      </c>
      <c r="I1082" s="14">
        <f>G1082-273.15</f>
        <v/>
      </c>
      <c r="K1082" s="15" t="n">
        <v>2003</v>
      </c>
      <c r="L1082" s="15" t="n">
        <v>12</v>
      </c>
      <c r="M1082" s="15" t="n">
        <v>28</v>
      </c>
      <c r="N1082" s="16" t="n">
        <v>0</v>
      </c>
      <c r="O1082" s="11" t="n">
        <v>278.9554488</v>
      </c>
      <c r="P1082" s="13">
        <f>N1082*86400</f>
        <v/>
      </c>
      <c r="Q1082" s="14">
        <f>O1082-273.15</f>
        <v/>
      </c>
    </row>
    <row r="1083">
      <c r="A1083" s="9" t="n">
        <v>37970</v>
      </c>
      <c r="B1083" s="7">
        <f>YEAR(A1083)</f>
        <v/>
      </c>
      <c r="C1083" s="7">
        <f>MONTH(A1083)</f>
        <v/>
      </c>
      <c r="D1083" s="10" t="n">
        <v>4.771211233</v>
      </c>
      <c r="E1083" s="11" t="n">
        <v>1.790492583</v>
      </c>
      <c r="F1083" s="12" t="n">
        <v>0.004126189496</v>
      </c>
      <c r="G1083" s="11" t="n">
        <v>276.8592319</v>
      </c>
      <c r="H1083" s="13">
        <f>F1083*1000</f>
        <v/>
      </c>
      <c r="I1083" s="14">
        <f>G1083-273.15</f>
        <v/>
      </c>
      <c r="K1083" s="15" t="n">
        <v>2003</v>
      </c>
      <c r="L1083" s="15" t="n">
        <v>12</v>
      </c>
      <c r="M1083" s="15" t="n">
        <v>29</v>
      </c>
      <c r="N1083" s="16" t="n">
        <v>3.271564865e-06</v>
      </c>
      <c r="O1083" s="11" t="n">
        <v>279.1084779</v>
      </c>
      <c r="P1083" s="13">
        <f>N1083*86400</f>
        <v/>
      </c>
      <c r="Q1083" s="14">
        <f>O1083-273.15</f>
        <v/>
      </c>
    </row>
    <row r="1084">
      <c r="A1084" s="9" t="n">
        <v>37971</v>
      </c>
      <c r="B1084" s="7">
        <f>YEAR(A1084)</f>
        <v/>
      </c>
      <c r="C1084" s="7">
        <f>MONTH(A1084)</f>
        <v/>
      </c>
      <c r="D1084" s="10" t="n">
        <v>0</v>
      </c>
      <c r="E1084" s="11" t="n">
        <v>-1.232217369</v>
      </c>
      <c r="F1084" s="12" t="n">
        <v>0.007768134034</v>
      </c>
      <c r="G1084" s="11" t="n">
        <v>274.4609726</v>
      </c>
      <c r="H1084" s="13">
        <f>F1084*1000</f>
        <v/>
      </c>
      <c r="I1084" s="14">
        <f>G1084-273.15</f>
        <v/>
      </c>
      <c r="K1084" s="15" t="n">
        <v>2003</v>
      </c>
      <c r="L1084" s="15" t="n">
        <v>12</v>
      </c>
      <c r="M1084" s="15" t="n">
        <v>30</v>
      </c>
      <c r="N1084" s="16" t="n">
        <v>8.337565384e-05</v>
      </c>
      <c r="O1084" s="11" t="n">
        <v>281.5014593</v>
      </c>
      <c r="P1084" s="13">
        <f>N1084*86400</f>
        <v/>
      </c>
      <c r="Q1084" s="14">
        <f>O1084-273.15</f>
        <v/>
      </c>
    </row>
    <row r="1085">
      <c r="A1085" s="9" t="n">
        <v>37972</v>
      </c>
      <c r="B1085" s="7">
        <f>YEAR(A1085)</f>
        <v/>
      </c>
      <c r="C1085" s="7">
        <f>MONTH(A1085)</f>
        <v/>
      </c>
      <c r="D1085" s="10" t="n">
        <v>0</v>
      </c>
      <c r="E1085" s="11" t="n">
        <v>0.7884335385</v>
      </c>
      <c r="F1085" s="12" t="n">
        <v>0</v>
      </c>
      <c r="G1085" s="11" t="n">
        <v>276.4285317</v>
      </c>
      <c r="H1085" s="13">
        <f>F1085*1000</f>
        <v/>
      </c>
      <c r="I1085" s="14">
        <f>G1085-273.15</f>
        <v/>
      </c>
      <c r="K1085" s="15" t="n">
        <v>2004</v>
      </c>
      <c r="L1085" s="15" t="n">
        <v>1</v>
      </c>
      <c r="M1085" s="15" t="n">
        <v>1</v>
      </c>
      <c r="N1085" s="16" t="n">
        <v>2.334102348e-06</v>
      </c>
      <c r="O1085" s="11" t="n">
        <v>281.8352444</v>
      </c>
      <c r="P1085" s="13">
        <f>N1085*86400</f>
        <v/>
      </c>
      <c r="Q1085" s="14">
        <f>O1085-273.15</f>
        <v/>
      </c>
    </row>
    <row r="1086">
      <c r="A1086" s="9" t="n">
        <v>37973</v>
      </c>
      <c r="B1086" s="7">
        <f>YEAR(A1086)</f>
        <v/>
      </c>
      <c r="C1086" s="7">
        <f>MONTH(A1086)</f>
        <v/>
      </c>
      <c r="D1086" s="10" t="n">
        <v>0</v>
      </c>
      <c r="E1086" s="11" t="n">
        <v>0.9616541684</v>
      </c>
      <c r="F1086" s="12" t="n">
        <v>0</v>
      </c>
      <c r="G1086" s="11" t="n">
        <v>276.5844341</v>
      </c>
      <c r="H1086" s="13">
        <f>F1086*1000</f>
        <v/>
      </c>
      <c r="I1086" s="14">
        <f>G1086-273.15</f>
        <v/>
      </c>
      <c r="K1086" s="15" t="n">
        <v>2004</v>
      </c>
      <c r="L1086" s="15" t="n">
        <v>1</v>
      </c>
      <c r="M1086" s="15" t="n">
        <v>2</v>
      </c>
      <c r="N1086" s="16" t="n">
        <v>5.191461094e-06</v>
      </c>
      <c r="O1086" s="11" t="n">
        <v>280.3573458</v>
      </c>
      <c r="P1086" s="13">
        <f>N1086*86400</f>
        <v/>
      </c>
      <c r="Q1086" s="14">
        <f>O1086-273.15</f>
        <v/>
      </c>
    </row>
    <row r="1087">
      <c r="A1087" s="9" t="n">
        <v>37974</v>
      </c>
      <c r="B1087" s="7">
        <f>YEAR(A1087)</f>
        <v/>
      </c>
      <c r="C1087" s="7">
        <f>MONTH(A1087)</f>
        <v/>
      </c>
      <c r="D1087" s="10" t="n">
        <v>0</v>
      </c>
      <c r="E1087" s="11" t="n">
        <v>0.6009850976</v>
      </c>
      <c r="F1087" s="12" t="n">
        <v>0.00100318585</v>
      </c>
      <c r="G1087" s="11" t="n">
        <v>275.6441313</v>
      </c>
      <c r="H1087" s="13">
        <f>F1087*1000</f>
        <v/>
      </c>
      <c r="I1087" s="14">
        <f>G1087-273.15</f>
        <v/>
      </c>
      <c r="K1087" s="15" t="n">
        <v>2004</v>
      </c>
      <c r="L1087" s="15" t="n">
        <v>1</v>
      </c>
      <c r="M1087" s="15" t="n">
        <v>3</v>
      </c>
      <c r="N1087" s="16" t="n">
        <v>0</v>
      </c>
      <c r="O1087" s="11" t="n">
        <v>280.3250422</v>
      </c>
      <c r="P1087" s="13">
        <f>N1087*86400</f>
        <v/>
      </c>
      <c r="Q1087" s="14">
        <f>O1087-273.15</f>
        <v/>
      </c>
    </row>
    <row r="1088">
      <c r="A1088" s="9" t="n">
        <v>37975</v>
      </c>
      <c r="B1088" s="7">
        <f>YEAR(A1088)</f>
        <v/>
      </c>
      <c r="C1088" s="7">
        <f>MONTH(A1088)</f>
        <v/>
      </c>
      <c r="D1088" s="10" t="n">
        <v>0</v>
      </c>
      <c r="E1088" s="11" t="n">
        <v>2.020349305</v>
      </c>
      <c r="F1088" s="12" t="n">
        <v>0</v>
      </c>
      <c r="G1088" s="11" t="n">
        <v>277.1118554</v>
      </c>
      <c r="H1088" s="13">
        <f>F1088*1000</f>
        <v/>
      </c>
      <c r="I1088" s="14">
        <f>G1088-273.15</f>
        <v/>
      </c>
      <c r="K1088" s="15" t="n">
        <v>2004</v>
      </c>
      <c r="L1088" s="15" t="n">
        <v>1</v>
      </c>
      <c r="M1088" s="15" t="n">
        <v>4</v>
      </c>
      <c r="N1088" s="16" t="n">
        <v>0</v>
      </c>
      <c r="O1088" s="11" t="n">
        <v>281.2235334</v>
      </c>
      <c r="P1088" s="13">
        <f>N1088*86400</f>
        <v/>
      </c>
      <c r="Q1088" s="14">
        <f>O1088-273.15</f>
        <v/>
      </c>
    </row>
    <row r="1089">
      <c r="A1089" s="9" t="n">
        <v>37976</v>
      </c>
      <c r="B1089" s="7">
        <f>YEAR(A1089)</f>
        <v/>
      </c>
      <c r="C1089" s="7">
        <f>MONTH(A1089)</f>
        <v/>
      </c>
      <c r="D1089" s="10" t="n">
        <v>0</v>
      </c>
      <c r="E1089" s="11" t="n">
        <v>3.937043451</v>
      </c>
      <c r="F1089" s="12" t="n">
        <v>0</v>
      </c>
      <c r="G1089" s="11" t="n">
        <v>278.4881102</v>
      </c>
      <c r="H1089" s="13">
        <f>F1089*1000</f>
        <v/>
      </c>
      <c r="I1089" s="14">
        <f>G1089-273.15</f>
        <v/>
      </c>
      <c r="K1089" s="15" t="n">
        <v>2004</v>
      </c>
      <c r="L1089" s="15" t="n">
        <v>1</v>
      </c>
      <c r="M1089" s="15" t="n">
        <v>5</v>
      </c>
      <c r="N1089" s="16" t="n">
        <v>0</v>
      </c>
      <c r="O1089" s="11" t="n">
        <v>280.6263172</v>
      </c>
      <c r="P1089" s="13">
        <f>N1089*86400</f>
        <v/>
      </c>
      <c r="Q1089" s="14">
        <f>O1089-273.15</f>
        <v/>
      </c>
    </row>
    <row r="1090">
      <c r="A1090" s="9" t="n">
        <v>37977</v>
      </c>
      <c r="B1090" s="7">
        <f>YEAR(A1090)</f>
        <v/>
      </c>
      <c r="C1090" s="7">
        <f>MONTH(A1090)</f>
        <v/>
      </c>
      <c r="D1090" s="10" t="n">
        <v>0</v>
      </c>
      <c r="E1090" s="11" t="n">
        <v>4.077056204</v>
      </c>
      <c r="F1090" s="12" t="n">
        <v>0</v>
      </c>
      <c r="G1090" s="11" t="n">
        <v>278.9154688</v>
      </c>
      <c r="H1090" s="13">
        <f>F1090*1000</f>
        <v/>
      </c>
      <c r="I1090" s="14">
        <f>G1090-273.15</f>
        <v/>
      </c>
      <c r="K1090" s="15" t="n">
        <v>2004</v>
      </c>
      <c r="L1090" s="15" t="n">
        <v>1</v>
      </c>
      <c r="M1090" s="15" t="n">
        <v>6</v>
      </c>
      <c r="N1090" s="16" t="n">
        <v>7.04107241e-06</v>
      </c>
      <c r="O1090" s="11" t="n">
        <v>277.2239677</v>
      </c>
      <c r="P1090" s="13">
        <f>N1090*86400</f>
        <v/>
      </c>
      <c r="Q1090" s="14">
        <f>O1090-273.15</f>
        <v/>
      </c>
    </row>
    <row r="1091">
      <c r="A1091" s="9" t="n">
        <v>37978</v>
      </c>
      <c r="B1091" s="7">
        <f>YEAR(A1091)</f>
        <v/>
      </c>
      <c r="C1091" s="7">
        <f>MONTH(A1091)</f>
        <v/>
      </c>
      <c r="D1091" s="10" t="n">
        <v>0</v>
      </c>
      <c r="E1091" s="11" t="n">
        <v>4.812164292</v>
      </c>
      <c r="F1091" s="12" t="n">
        <v>0</v>
      </c>
      <c r="G1091" s="11" t="n">
        <v>279.7272233</v>
      </c>
      <c r="H1091" s="13">
        <f>F1091*1000</f>
        <v/>
      </c>
      <c r="I1091" s="14">
        <f>G1091-273.15</f>
        <v/>
      </c>
      <c r="K1091" s="15" t="n">
        <v>2004</v>
      </c>
      <c r="L1091" s="15" t="n">
        <v>1</v>
      </c>
      <c r="M1091" s="15" t="n">
        <v>7</v>
      </c>
      <c r="N1091" s="16" t="n">
        <v>2.066602375e-05</v>
      </c>
      <c r="O1091" s="11" t="n">
        <v>279.4676984</v>
      </c>
      <c r="P1091" s="13">
        <f>N1091*86400</f>
        <v/>
      </c>
      <c r="Q1091" s="14">
        <f>O1091-273.15</f>
        <v/>
      </c>
    </row>
    <row r="1092">
      <c r="A1092" s="9" t="n">
        <v>37979</v>
      </c>
      <c r="B1092" s="7">
        <f>YEAR(A1092)</f>
        <v/>
      </c>
      <c r="C1092" s="7">
        <f>MONTH(A1092)</f>
        <v/>
      </c>
      <c r="D1092" s="10" t="n">
        <v>0</v>
      </c>
      <c r="E1092" s="11" t="n">
        <v>5.664473744</v>
      </c>
      <c r="F1092" s="12" t="n">
        <v>0</v>
      </c>
      <c r="G1092" s="11" t="n">
        <v>280.0075921</v>
      </c>
      <c r="H1092" s="13">
        <f>F1092*1000</f>
        <v/>
      </c>
      <c r="I1092" s="14">
        <f>G1092-273.15</f>
        <v/>
      </c>
      <c r="K1092" s="15" t="n">
        <v>2004</v>
      </c>
      <c r="L1092" s="15" t="n">
        <v>1</v>
      </c>
      <c r="M1092" s="15" t="n">
        <v>8</v>
      </c>
      <c r="N1092" s="16" t="n">
        <v>0</v>
      </c>
      <c r="O1092" s="11" t="n">
        <v>280.381815</v>
      </c>
      <c r="P1092" s="13">
        <f>N1092*86400</f>
        <v/>
      </c>
      <c r="Q1092" s="14">
        <f>O1092-273.15</f>
        <v/>
      </c>
    </row>
    <row r="1093">
      <c r="A1093" s="9" t="n">
        <v>37980</v>
      </c>
      <c r="B1093" s="7">
        <f>YEAR(A1093)</f>
        <v/>
      </c>
      <c r="C1093" s="7">
        <f>MONTH(A1093)</f>
        <v/>
      </c>
      <c r="D1093" s="10" t="n">
        <v>0</v>
      </c>
      <c r="E1093" s="11" t="n">
        <v>5.436909018</v>
      </c>
      <c r="F1093" s="12" t="n">
        <v>0</v>
      </c>
      <c r="G1093" s="11" t="n">
        <v>280.2928487</v>
      </c>
      <c r="H1093" s="13">
        <f>F1093*1000</f>
        <v/>
      </c>
      <c r="I1093" s="14">
        <f>G1093-273.15</f>
        <v/>
      </c>
      <c r="K1093" s="15" t="n">
        <v>2004</v>
      </c>
      <c r="L1093" s="15" t="n">
        <v>1</v>
      </c>
      <c r="M1093" s="15" t="n">
        <v>9</v>
      </c>
      <c r="N1093" s="16" t="n">
        <v>4.994185744e-07</v>
      </c>
      <c r="O1093" s="11" t="n">
        <v>278.8976171</v>
      </c>
      <c r="P1093" s="13">
        <f>N1093*86400</f>
        <v/>
      </c>
      <c r="Q1093" s="14">
        <f>O1093-273.15</f>
        <v/>
      </c>
    </row>
    <row r="1094">
      <c r="A1094" s="9" t="n">
        <v>37981</v>
      </c>
      <c r="B1094" s="7">
        <f>YEAR(A1094)</f>
        <v/>
      </c>
      <c r="C1094" s="7">
        <f>MONTH(A1094)</f>
        <v/>
      </c>
      <c r="D1094" s="10" t="n">
        <v>0</v>
      </c>
      <c r="E1094" s="11" t="n">
        <v>3.879496217</v>
      </c>
      <c r="F1094" s="12" t="n">
        <v>0.0008747401172</v>
      </c>
      <c r="G1094" s="11" t="n">
        <v>278.8941153</v>
      </c>
      <c r="H1094" s="13">
        <f>F1094*1000</f>
        <v/>
      </c>
      <c r="I1094" s="14">
        <f>G1094-273.15</f>
        <v/>
      </c>
      <c r="K1094" s="15" t="n">
        <v>2004</v>
      </c>
      <c r="L1094" s="15" t="n">
        <v>1</v>
      </c>
      <c r="M1094" s="15" t="n">
        <v>10</v>
      </c>
      <c r="N1094" s="16" t="n">
        <v>9.554522914e-08</v>
      </c>
      <c r="O1094" s="11" t="n">
        <v>278.9983295</v>
      </c>
      <c r="P1094" s="13">
        <f>N1094*86400</f>
        <v/>
      </c>
      <c r="Q1094" s="14">
        <f>O1094-273.15</f>
        <v/>
      </c>
    </row>
    <row r="1095">
      <c r="A1095" s="9" t="n">
        <v>37982</v>
      </c>
      <c r="B1095" s="7">
        <f>YEAR(A1095)</f>
        <v/>
      </c>
      <c r="C1095" s="7">
        <f>MONTH(A1095)</f>
        <v/>
      </c>
      <c r="D1095" s="10" t="n">
        <v>4.466426139</v>
      </c>
      <c r="E1095" s="11" t="n">
        <v>4.582507766</v>
      </c>
      <c r="F1095" s="12" t="n">
        <v>0.00707921974</v>
      </c>
      <c r="G1095" s="11" t="n">
        <v>279.2138531</v>
      </c>
      <c r="H1095" s="13">
        <f>F1095*1000</f>
        <v/>
      </c>
      <c r="I1095" s="14">
        <f>G1095-273.15</f>
        <v/>
      </c>
      <c r="K1095" s="15" t="n">
        <v>2004</v>
      </c>
      <c r="L1095" s="15" t="n">
        <v>1</v>
      </c>
      <c r="M1095" s="15" t="n">
        <v>11</v>
      </c>
      <c r="N1095" s="16" t="n">
        <v>0</v>
      </c>
      <c r="O1095" s="11" t="n">
        <v>279.9465755</v>
      </c>
      <c r="P1095" s="13">
        <f>N1095*86400</f>
        <v/>
      </c>
      <c r="Q1095" s="14">
        <f>O1095-273.15</f>
        <v/>
      </c>
    </row>
    <row r="1096">
      <c r="A1096" s="9" t="n">
        <v>37983</v>
      </c>
      <c r="B1096" s="7">
        <f>YEAR(A1096)</f>
        <v/>
      </c>
      <c r="C1096" s="7">
        <f>MONTH(A1096)</f>
        <v/>
      </c>
      <c r="D1096" s="10" t="n">
        <v>0</v>
      </c>
      <c r="E1096" s="11" t="n">
        <v>2.395089841</v>
      </c>
      <c r="F1096" s="12" t="n">
        <v>0.0005446730330000001</v>
      </c>
      <c r="G1096" s="11" t="n">
        <v>277.9308928</v>
      </c>
      <c r="H1096" s="13">
        <f>F1096*1000</f>
        <v/>
      </c>
      <c r="I1096" s="14">
        <f>G1096-273.15</f>
        <v/>
      </c>
      <c r="K1096" s="15" t="n">
        <v>2004</v>
      </c>
      <c r="L1096" s="15" t="n">
        <v>1</v>
      </c>
      <c r="M1096" s="15" t="n">
        <v>12</v>
      </c>
      <c r="N1096" s="16" t="n">
        <v>1.250849278e-05</v>
      </c>
      <c r="O1096" s="11" t="n">
        <v>280.765438</v>
      </c>
      <c r="P1096" s="13">
        <f>N1096*86400</f>
        <v/>
      </c>
      <c r="Q1096" s="14">
        <f>O1096-273.15</f>
        <v/>
      </c>
    </row>
    <row r="1097">
      <c r="A1097" s="9" t="n">
        <v>37984</v>
      </c>
      <c r="B1097" s="7">
        <f>YEAR(A1097)</f>
        <v/>
      </c>
      <c r="C1097" s="7">
        <f>MONTH(A1097)</f>
        <v/>
      </c>
      <c r="D1097" s="10" t="n">
        <v>0</v>
      </c>
      <c r="E1097" s="11" t="n">
        <v>1.791304787</v>
      </c>
      <c r="F1097" s="12" t="n">
        <v>0</v>
      </c>
      <c r="G1097" s="11" t="n">
        <v>277.7431001</v>
      </c>
      <c r="H1097" s="13">
        <f>F1097*1000</f>
        <v/>
      </c>
      <c r="I1097" s="14">
        <f>G1097-273.15</f>
        <v/>
      </c>
      <c r="K1097" s="15" t="n">
        <v>2004</v>
      </c>
      <c r="L1097" s="15" t="n">
        <v>1</v>
      </c>
      <c r="M1097" s="15" t="n">
        <v>13</v>
      </c>
      <c r="N1097" s="16" t="n">
        <v>7.377554744e-06</v>
      </c>
      <c r="O1097" s="11" t="n">
        <v>281.9519986</v>
      </c>
      <c r="P1097" s="13">
        <f>N1097*86400</f>
        <v/>
      </c>
      <c r="Q1097" s="14">
        <f>O1097-273.15</f>
        <v/>
      </c>
    </row>
    <row r="1098">
      <c r="A1098" s="9" t="n">
        <v>37985</v>
      </c>
      <c r="B1098" s="7">
        <f>YEAR(A1098)</f>
        <v/>
      </c>
      <c r="C1098" s="7">
        <f>MONTH(A1098)</f>
        <v/>
      </c>
      <c r="D1098" s="10" t="n">
        <v>0</v>
      </c>
      <c r="E1098" s="11" t="n">
        <v>1.254637495</v>
      </c>
      <c r="F1098" s="12" t="n">
        <v>0</v>
      </c>
      <c r="G1098" s="11" t="n">
        <v>278.087584</v>
      </c>
      <c r="H1098" s="13">
        <f>F1098*1000</f>
        <v/>
      </c>
      <c r="I1098" s="14">
        <f>G1098-273.15</f>
        <v/>
      </c>
      <c r="K1098" s="15" t="n">
        <v>2004</v>
      </c>
      <c r="L1098" s="15" t="n">
        <v>1</v>
      </c>
      <c r="M1098" s="15" t="n">
        <v>14</v>
      </c>
      <c r="N1098" s="16" t="n">
        <v>1.777023288e-05</v>
      </c>
      <c r="O1098" s="11" t="n">
        <v>282.8244973</v>
      </c>
      <c r="P1098" s="13">
        <f>N1098*86400</f>
        <v/>
      </c>
      <c r="Q1098" s="14">
        <f>O1098-273.15</f>
        <v/>
      </c>
    </row>
    <row r="1099">
      <c r="A1099" s="9" t="n">
        <v>37986</v>
      </c>
      <c r="B1099" s="7">
        <f>YEAR(A1099)</f>
        <v/>
      </c>
      <c r="C1099" s="7">
        <f>MONTH(A1099)</f>
        <v/>
      </c>
      <c r="D1099" s="10" t="n">
        <v>0</v>
      </c>
      <c r="E1099" s="11" t="n">
        <v>2.410613188</v>
      </c>
      <c r="F1099" s="12" t="n">
        <v>0</v>
      </c>
      <c r="G1099" s="11" t="n">
        <v>279.9511465</v>
      </c>
      <c r="H1099" s="13">
        <f>F1099*1000</f>
        <v/>
      </c>
      <c r="I1099" s="14">
        <f>G1099-273.15</f>
        <v/>
      </c>
      <c r="K1099" s="15" t="n">
        <v>2004</v>
      </c>
      <c r="L1099" s="15" t="n">
        <v>1</v>
      </c>
      <c r="M1099" s="15" t="n">
        <v>15</v>
      </c>
      <c r="N1099" s="16" t="n">
        <v>1.492901139e-05</v>
      </c>
      <c r="O1099" s="11" t="n">
        <v>286.0325462</v>
      </c>
      <c r="P1099" s="13">
        <f>N1099*86400</f>
        <v/>
      </c>
      <c r="Q1099" s="14">
        <f>O1099-273.15</f>
        <v/>
      </c>
    </row>
    <row r="1100">
      <c r="A1100" s="9" t="n">
        <v>37987</v>
      </c>
      <c r="B1100" s="7">
        <f>YEAR(A1100)</f>
        <v/>
      </c>
      <c r="C1100" s="7">
        <f>MONTH(A1100)</f>
        <v/>
      </c>
      <c r="D1100" s="10" t="n">
        <v>0</v>
      </c>
      <c r="E1100" s="11" t="n">
        <v>3.266114962</v>
      </c>
      <c r="F1100" s="12" t="n">
        <v>0.00118684759</v>
      </c>
      <c r="G1100" s="11" t="n">
        <v>279.624764</v>
      </c>
      <c r="H1100" s="13">
        <f>F1100*1000</f>
        <v/>
      </c>
      <c r="I1100" s="14">
        <f>G1100-273.15</f>
        <v/>
      </c>
      <c r="K1100" s="15" t="n">
        <v>2004</v>
      </c>
      <c r="L1100" s="15" t="n">
        <v>1</v>
      </c>
      <c r="M1100" s="15" t="n">
        <v>16</v>
      </c>
      <c r="N1100" s="16" t="n">
        <v>2.78964064e-05</v>
      </c>
      <c r="O1100" s="11" t="n">
        <v>282.796392</v>
      </c>
      <c r="P1100" s="13">
        <f>N1100*86400</f>
        <v/>
      </c>
      <c r="Q1100" s="14">
        <f>O1100-273.15</f>
        <v/>
      </c>
    </row>
    <row r="1101">
      <c r="A1101" s="9" t="n">
        <v>37988</v>
      </c>
      <c r="B1101" s="7">
        <f>YEAR(A1101)</f>
        <v/>
      </c>
      <c r="C1101" s="7">
        <f>MONTH(A1101)</f>
        <v/>
      </c>
      <c r="D1101" s="10" t="n">
        <v>0</v>
      </c>
      <c r="E1101" s="11" t="n">
        <v>2.888227855</v>
      </c>
      <c r="F1101" s="12" t="n">
        <v>0.001108276095</v>
      </c>
      <c r="G1101" s="11" t="n">
        <v>278.8788699</v>
      </c>
      <c r="H1101" s="13">
        <f>F1101*1000</f>
        <v/>
      </c>
      <c r="I1101" s="14">
        <f>G1101-273.15</f>
        <v/>
      </c>
      <c r="K1101" s="15" t="n">
        <v>2004</v>
      </c>
      <c r="L1101" s="15" t="n">
        <v>1</v>
      </c>
      <c r="M1101" s="15" t="n">
        <v>17</v>
      </c>
      <c r="N1101" s="16" t="n">
        <v>2.600300507e-06</v>
      </c>
      <c r="O1101" s="11" t="n">
        <v>283.0810022</v>
      </c>
      <c r="P1101" s="13">
        <f>N1101*86400</f>
        <v/>
      </c>
      <c r="Q1101" s="14">
        <f>O1101-273.15</f>
        <v/>
      </c>
    </row>
    <row r="1102">
      <c r="A1102" s="9" t="n">
        <v>37989</v>
      </c>
      <c r="B1102" s="7">
        <f>YEAR(A1102)</f>
        <v/>
      </c>
      <c r="C1102" s="7">
        <f>MONTH(A1102)</f>
        <v/>
      </c>
      <c r="D1102" s="10" t="n">
        <v>0</v>
      </c>
      <c r="E1102" s="11" t="n">
        <v>4.289244647</v>
      </c>
      <c r="F1102" s="12" t="n">
        <v>0</v>
      </c>
      <c r="G1102" s="11" t="n">
        <v>280.8419237</v>
      </c>
      <c r="H1102" s="13">
        <f>F1102*1000</f>
        <v/>
      </c>
      <c r="I1102" s="14">
        <f>G1102-273.15</f>
        <v/>
      </c>
      <c r="K1102" s="15" t="n">
        <v>2004</v>
      </c>
      <c r="L1102" s="15" t="n">
        <v>1</v>
      </c>
      <c r="M1102" s="15" t="n">
        <v>18</v>
      </c>
      <c r="N1102" s="16" t="n">
        <v>1.156515406e-05</v>
      </c>
      <c r="O1102" s="11" t="n">
        <v>281.6092264</v>
      </c>
      <c r="P1102" s="13">
        <f>N1102*86400</f>
        <v/>
      </c>
      <c r="Q1102" s="14">
        <f>O1102-273.15</f>
        <v/>
      </c>
    </row>
    <row r="1103">
      <c r="A1103" s="9" t="n">
        <v>37990</v>
      </c>
      <c r="B1103" s="7">
        <f>YEAR(A1103)</f>
        <v/>
      </c>
      <c r="C1103" s="7">
        <f>MONTH(A1103)</f>
        <v/>
      </c>
      <c r="D1103" s="10" t="n">
        <v>0</v>
      </c>
      <c r="E1103" s="11" t="n">
        <v>4.495396684</v>
      </c>
      <c r="F1103" s="12" t="n">
        <v>0</v>
      </c>
      <c r="G1103" s="11" t="n">
        <v>279.9981599</v>
      </c>
      <c r="H1103" s="13">
        <f>F1103*1000</f>
        <v/>
      </c>
      <c r="I1103" s="14">
        <f>G1103-273.15</f>
        <v/>
      </c>
      <c r="K1103" s="15" t="n">
        <v>2004</v>
      </c>
      <c r="L1103" s="15" t="n">
        <v>1</v>
      </c>
      <c r="M1103" s="15" t="n">
        <v>19</v>
      </c>
      <c r="N1103" s="16" t="n">
        <v>0</v>
      </c>
      <c r="O1103" s="11" t="n">
        <v>281.6968596</v>
      </c>
      <c r="P1103" s="13">
        <f>N1103*86400</f>
        <v/>
      </c>
      <c r="Q1103" s="14">
        <f>O1103-273.15</f>
        <v/>
      </c>
    </row>
    <row r="1104">
      <c r="A1104" s="9" t="n">
        <v>37991</v>
      </c>
      <c r="B1104" s="7">
        <f>YEAR(A1104)</f>
        <v/>
      </c>
      <c r="C1104" s="7">
        <f>MONTH(A1104)</f>
        <v/>
      </c>
      <c r="D1104" s="10" t="n">
        <v>1.099950998</v>
      </c>
      <c r="E1104" s="11" t="n">
        <v>3.004498305</v>
      </c>
      <c r="F1104" s="12" t="n">
        <v>0</v>
      </c>
      <c r="G1104" s="11" t="n">
        <v>279.2424916</v>
      </c>
      <c r="H1104" s="13">
        <f>F1104*1000</f>
        <v/>
      </c>
      <c r="I1104" s="14">
        <f>G1104-273.15</f>
        <v/>
      </c>
      <c r="K1104" s="15" t="n">
        <v>2004</v>
      </c>
      <c r="L1104" s="15" t="n">
        <v>1</v>
      </c>
      <c r="M1104" s="15" t="n">
        <v>20</v>
      </c>
      <c r="N1104" s="16" t="n">
        <v>0</v>
      </c>
      <c r="O1104" s="11" t="n">
        <v>282.5847652</v>
      </c>
      <c r="P1104" s="13">
        <f>N1104*86400</f>
        <v/>
      </c>
      <c r="Q1104" s="14">
        <f>O1104-273.15</f>
        <v/>
      </c>
    </row>
    <row r="1105">
      <c r="A1105" s="9" t="n">
        <v>37992</v>
      </c>
      <c r="B1105" s="7">
        <f>YEAR(A1105)</f>
        <v/>
      </c>
      <c r="C1105" s="7">
        <f>MONTH(A1105)</f>
        <v/>
      </c>
      <c r="D1105" s="10" t="n">
        <v>0</v>
      </c>
      <c r="E1105" s="11" t="n">
        <v>2.316220392</v>
      </c>
      <c r="F1105" s="12" t="n">
        <v>6.983532326e-05</v>
      </c>
      <c r="G1105" s="11" t="n">
        <v>278.7335844</v>
      </c>
      <c r="H1105" s="13">
        <f>F1105*1000</f>
        <v/>
      </c>
      <c r="I1105" s="14">
        <f>G1105-273.15</f>
        <v/>
      </c>
      <c r="K1105" s="15" t="n">
        <v>2004</v>
      </c>
      <c r="L1105" s="15" t="n">
        <v>1</v>
      </c>
      <c r="M1105" s="15" t="n">
        <v>21</v>
      </c>
      <c r="N1105" s="16" t="n">
        <v>3.448071154e-06</v>
      </c>
      <c r="O1105" s="11" t="n">
        <v>283.4617375</v>
      </c>
      <c r="P1105" s="13">
        <f>N1105*86400</f>
        <v/>
      </c>
      <c r="Q1105" s="14">
        <f>O1105-273.15</f>
        <v/>
      </c>
    </row>
    <row r="1106">
      <c r="A1106" s="9" t="n">
        <v>37993</v>
      </c>
      <c r="B1106" s="7">
        <f>YEAR(A1106)</f>
        <v/>
      </c>
      <c r="C1106" s="7">
        <f>MONTH(A1106)</f>
        <v/>
      </c>
      <c r="D1106" s="10" t="n">
        <v>0.9084927473</v>
      </c>
      <c r="E1106" s="11" t="n">
        <v>2.188458907</v>
      </c>
      <c r="F1106" s="12" t="n">
        <v>0.00201599699</v>
      </c>
      <c r="G1106" s="11" t="n">
        <v>277.3769915</v>
      </c>
      <c r="H1106" s="13">
        <f>F1106*1000</f>
        <v/>
      </c>
      <c r="I1106" s="14">
        <f>G1106-273.15</f>
        <v/>
      </c>
      <c r="K1106" s="15" t="n">
        <v>2004</v>
      </c>
      <c r="L1106" s="15" t="n">
        <v>1</v>
      </c>
      <c r="M1106" s="15" t="n">
        <v>22</v>
      </c>
      <c r="N1106" s="16" t="n">
        <v>4.217870204e-05</v>
      </c>
      <c r="O1106" s="11" t="n">
        <v>283.6908321</v>
      </c>
      <c r="P1106" s="13">
        <f>N1106*86400</f>
        <v/>
      </c>
      <c r="Q1106" s="14">
        <f>O1106-273.15</f>
        <v/>
      </c>
    </row>
    <row r="1107">
      <c r="A1107" s="9" t="n">
        <v>37994</v>
      </c>
      <c r="B1107" s="7">
        <f>YEAR(A1107)</f>
        <v/>
      </c>
      <c r="C1107" s="7">
        <f>MONTH(A1107)</f>
        <v/>
      </c>
      <c r="D1107" s="10" t="n">
        <v>0</v>
      </c>
      <c r="E1107" s="11" t="n">
        <v>4.592106106</v>
      </c>
      <c r="F1107" s="12" t="n">
        <v>0</v>
      </c>
      <c r="G1107" s="11" t="n">
        <v>280.0180754</v>
      </c>
      <c r="H1107" s="13">
        <f>F1107*1000</f>
        <v/>
      </c>
      <c r="I1107" s="14">
        <f>G1107-273.15</f>
        <v/>
      </c>
      <c r="K1107" s="15" t="n">
        <v>2004</v>
      </c>
      <c r="L1107" s="15" t="n">
        <v>1</v>
      </c>
      <c r="M1107" s="15" t="n">
        <v>23</v>
      </c>
      <c r="N1107" s="16" t="n">
        <v>2.192249252e-05</v>
      </c>
      <c r="O1107" s="11" t="n">
        <v>285.1297692</v>
      </c>
      <c r="P1107" s="13">
        <f>N1107*86400</f>
        <v/>
      </c>
      <c r="Q1107" s="14">
        <f>O1107-273.15</f>
        <v/>
      </c>
    </row>
    <row r="1108">
      <c r="A1108" s="9" t="n">
        <v>37995</v>
      </c>
      <c r="B1108" s="7">
        <f>YEAR(A1108)</f>
        <v/>
      </c>
      <c r="C1108" s="7">
        <f>MONTH(A1108)</f>
        <v/>
      </c>
      <c r="D1108" s="10" t="n">
        <v>0</v>
      </c>
      <c r="E1108" s="11" t="n">
        <v>4.143698361</v>
      </c>
      <c r="F1108" s="12" t="n">
        <v>0</v>
      </c>
      <c r="G1108" s="11" t="n">
        <v>279.9243542</v>
      </c>
      <c r="H1108" s="13">
        <f>F1108*1000</f>
        <v/>
      </c>
      <c r="I1108" s="14">
        <f>G1108-273.15</f>
        <v/>
      </c>
      <c r="K1108" s="15" t="n">
        <v>2004</v>
      </c>
      <c r="L1108" s="15" t="n">
        <v>1</v>
      </c>
      <c r="M1108" s="15" t="n">
        <v>24</v>
      </c>
      <c r="N1108" s="16" t="n">
        <v>1.44474579e-06</v>
      </c>
      <c r="O1108" s="11" t="n">
        <v>284.3109161</v>
      </c>
      <c r="P1108" s="13">
        <f>N1108*86400</f>
        <v/>
      </c>
      <c r="Q1108" s="14">
        <f>O1108-273.15</f>
        <v/>
      </c>
    </row>
    <row r="1109">
      <c r="A1109" s="9" t="n">
        <v>37996</v>
      </c>
      <c r="B1109" s="7">
        <f>YEAR(A1109)</f>
        <v/>
      </c>
      <c r="C1109" s="7">
        <f>MONTH(A1109)</f>
        <v/>
      </c>
      <c r="D1109" s="10" t="n">
        <v>0</v>
      </c>
      <c r="E1109" s="11" t="n">
        <v>7.397802171</v>
      </c>
      <c r="F1109" s="12" t="n">
        <v>0</v>
      </c>
      <c r="G1109" s="11" t="n">
        <v>283.8264155</v>
      </c>
      <c r="H1109" s="13">
        <f>F1109*1000</f>
        <v/>
      </c>
      <c r="I1109" s="14">
        <f>G1109-273.15</f>
        <v/>
      </c>
      <c r="K1109" s="15" t="n">
        <v>2004</v>
      </c>
      <c r="L1109" s="15" t="n">
        <v>1</v>
      </c>
      <c r="M1109" s="15" t="n">
        <v>25</v>
      </c>
      <c r="N1109" s="16" t="n">
        <v>4.890948629e-05</v>
      </c>
      <c r="O1109" s="11" t="n">
        <v>283.5296159</v>
      </c>
      <c r="P1109" s="13">
        <f>N1109*86400</f>
        <v/>
      </c>
      <c r="Q1109" s="14">
        <f>O1109-273.15</f>
        <v/>
      </c>
    </row>
    <row r="1110">
      <c r="A1110" s="9" t="n">
        <v>37997</v>
      </c>
      <c r="B1110" s="7">
        <f>YEAR(A1110)</f>
        <v/>
      </c>
      <c r="C1110" s="7">
        <f>MONTH(A1110)</f>
        <v/>
      </c>
      <c r="D1110" s="10" t="n">
        <v>0</v>
      </c>
      <c r="E1110" s="11" t="n">
        <v>5.320128927</v>
      </c>
      <c r="F1110" s="12" t="n">
        <v>3.325588661e-06</v>
      </c>
      <c r="G1110" s="11" t="n">
        <v>281.7422689</v>
      </c>
      <c r="H1110" s="13">
        <f>F1110*1000</f>
        <v/>
      </c>
      <c r="I1110" s="14">
        <f>G1110-273.15</f>
        <v/>
      </c>
      <c r="K1110" s="15" t="n">
        <v>2004</v>
      </c>
      <c r="L1110" s="15" t="n">
        <v>1</v>
      </c>
      <c r="M1110" s="15" t="n">
        <v>26</v>
      </c>
      <c r="N1110" s="16" t="n">
        <v>8.468814049e-06</v>
      </c>
      <c r="O1110" s="11" t="n">
        <v>284.1622909</v>
      </c>
      <c r="P1110" s="13">
        <f>N1110*86400</f>
        <v/>
      </c>
      <c r="Q1110" s="14">
        <f>O1110-273.15</f>
        <v/>
      </c>
    </row>
    <row r="1111">
      <c r="A1111" s="9" t="n">
        <v>37998</v>
      </c>
      <c r="B1111" s="7">
        <f>YEAR(A1111)</f>
        <v/>
      </c>
      <c r="C1111" s="7">
        <f>MONTH(A1111)</f>
        <v/>
      </c>
      <c r="D1111" s="10" t="n">
        <v>0</v>
      </c>
      <c r="E1111" s="11" t="n">
        <v>6.346238951</v>
      </c>
      <c r="F1111" s="12" t="n">
        <v>0.0002481597299</v>
      </c>
      <c r="G1111" s="11" t="n">
        <v>282.0054257</v>
      </c>
      <c r="H1111" s="13">
        <f>F1111*1000</f>
        <v/>
      </c>
      <c r="I1111" s="14">
        <f>G1111-273.15</f>
        <v/>
      </c>
      <c r="K1111" s="15" t="n">
        <v>2004</v>
      </c>
      <c r="L1111" s="15" t="n">
        <v>1</v>
      </c>
      <c r="M1111" s="15" t="n">
        <v>27</v>
      </c>
      <c r="N1111" s="16" t="n">
        <v>9.178087213e-06</v>
      </c>
      <c r="O1111" s="11" t="n">
        <v>282.8167962</v>
      </c>
      <c r="P1111" s="13">
        <f>N1111*86400</f>
        <v/>
      </c>
      <c r="Q1111" s="14">
        <f>O1111-273.15</f>
        <v/>
      </c>
    </row>
    <row r="1112">
      <c r="A1112" s="9" t="n">
        <v>37999</v>
      </c>
      <c r="B1112" s="7">
        <f>YEAR(A1112)</f>
        <v/>
      </c>
      <c r="C1112" s="7">
        <f>MONTH(A1112)</f>
        <v/>
      </c>
      <c r="D1112" s="10" t="n">
        <v>0</v>
      </c>
      <c r="E1112" s="11" t="n">
        <v>5.57427198</v>
      </c>
      <c r="F1112" s="12" t="n">
        <v>8.228778619e-06</v>
      </c>
      <c r="G1112" s="11" t="n">
        <v>281.8992654</v>
      </c>
      <c r="H1112" s="13">
        <f>F1112*1000</f>
        <v/>
      </c>
      <c r="I1112" s="14">
        <f>G1112-273.15</f>
        <v/>
      </c>
      <c r="K1112" s="15" t="n">
        <v>2004</v>
      </c>
      <c r="L1112" s="15" t="n">
        <v>1</v>
      </c>
      <c r="M1112" s="15" t="n">
        <v>28</v>
      </c>
      <c r="N1112" s="16" t="n">
        <v>3.529041225e-06</v>
      </c>
      <c r="O1112" s="11" t="n">
        <v>282.8797354</v>
      </c>
      <c r="P1112" s="13">
        <f>N1112*86400</f>
        <v/>
      </c>
      <c r="Q1112" s="14">
        <f>O1112-273.15</f>
        <v/>
      </c>
    </row>
    <row r="1113">
      <c r="A1113" s="9" t="n">
        <v>38000</v>
      </c>
      <c r="B1113" s="7">
        <f>YEAR(A1113)</f>
        <v/>
      </c>
      <c r="C1113" s="7">
        <f>MONTH(A1113)</f>
        <v/>
      </c>
      <c r="D1113" s="10" t="n">
        <v>2.638721575</v>
      </c>
      <c r="E1113" s="11" t="n">
        <v>4.208919338</v>
      </c>
      <c r="F1113" s="12" t="n">
        <v>0.0006140432202</v>
      </c>
      <c r="G1113" s="11" t="n">
        <v>280.0542528</v>
      </c>
      <c r="H1113" s="13">
        <f>F1113*1000</f>
        <v/>
      </c>
      <c r="I1113" s="14">
        <f>G1113-273.15</f>
        <v/>
      </c>
      <c r="K1113" s="15" t="n">
        <v>2004</v>
      </c>
      <c r="L1113" s="15" t="n">
        <v>1</v>
      </c>
      <c r="M1113" s="15" t="n">
        <v>29</v>
      </c>
      <c r="N1113" s="16" t="n">
        <v>0</v>
      </c>
      <c r="O1113" s="11" t="n">
        <v>281.8936986</v>
      </c>
      <c r="P1113" s="13">
        <f>N1113*86400</f>
        <v/>
      </c>
      <c r="Q1113" s="14">
        <f>O1113-273.15</f>
        <v/>
      </c>
    </row>
    <row r="1114">
      <c r="A1114" s="9" t="n">
        <v>38001</v>
      </c>
      <c r="B1114" s="7">
        <f>YEAR(A1114)</f>
        <v/>
      </c>
      <c r="C1114" s="7">
        <f>MONTH(A1114)</f>
        <v/>
      </c>
      <c r="D1114" s="10" t="n">
        <v>0</v>
      </c>
      <c r="E1114" s="11" t="n">
        <v>4.258578708</v>
      </c>
      <c r="F1114" s="12" t="n">
        <v>0</v>
      </c>
      <c r="G1114" s="11" t="n">
        <v>280.2605804</v>
      </c>
      <c r="H1114" s="13">
        <f>F1114*1000</f>
        <v/>
      </c>
      <c r="I1114" s="14">
        <f>G1114-273.15</f>
        <v/>
      </c>
      <c r="K1114" s="15" t="n">
        <v>2004</v>
      </c>
      <c r="L1114" s="15" t="n">
        <v>1</v>
      </c>
      <c r="M1114" s="15" t="n">
        <v>30</v>
      </c>
      <c r="N1114" s="16" t="n">
        <v>0</v>
      </c>
      <c r="O1114" s="11" t="n">
        <v>280.5057489</v>
      </c>
      <c r="P1114" s="13">
        <f>N1114*86400</f>
        <v/>
      </c>
      <c r="Q1114" s="14">
        <f>O1114-273.15</f>
        <v/>
      </c>
    </row>
    <row r="1115">
      <c r="A1115" s="9" t="n">
        <v>38002</v>
      </c>
      <c r="B1115" s="7">
        <f>YEAR(A1115)</f>
        <v/>
      </c>
      <c r="C1115" s="7">
        <f>MONTH(A1115)</f>
        <v/>
      </c>
      <c r="D1115" s="10" t="n">
        <v>0</v>
      </c>
      <c r="E1115" s="11" t="n">
        <v>3.615288183</v>
      </c>
      <c r="F1115" s="12" t="n">
        <v>0</v>
      </c>
      <c r="G1115" s="11" t="n">
        <v>279.3659668</v>
      </c>
      <c r="H1115" s="13">
        <f>F1115*1000</f>
        <v/>
      </c>
      <c r="I1115" s="14">
        <f>G1115-273.15</f>
        <v/>
      </c>
      <c r="K1115" s="15" t="n">
        <v>2004</v>
      </c>
      <c r="L1115" s="15" t="n">
        <v>2</v>
      </c>
      <c r="M1115" s="15" t="n">
        <v>1</v>
      </c>
      <c r="N1115" s="16" t="n">
        <v>9.978355955e-07</v>
      </c>
      <c r="O1115" s="11" t="n">
        <v>279.5367614</v>
      </c>
      <c r="P1115" s="13">
        <f>N1115*86400</f>
        <v/>
      </c>
      <c r="Q1115" s="14">
        <f>O1115-273.15</f>
        <v/>
      </c>
    </row>
    <row r="1116">
      <c r="A1116" s="9" t="n">
        <v>38003</v>
      </c>
      <c r="B1116" s="7">
        <f>YEAR(A1116)</f>
        <v/>
      </c>
      <c r="C1116" s="7">
        <f>MONTH(A1116)</f>
        <v/>
      </c>
      <c r="D1116" s="10" t="n">
        <v>0</v>
      </c>
      <c r="E1116" s="11" t="n">
        <v>2.01834143</v>
      </c>
      <c r="F1116" s="12" t="n">
        <v>3.977157953e-06</v>
      </c>
      <c r="G1116" s="11" t="n">
        <v>278.1875098</v>
      </c>
      <c r="H1116" s="13">
        <f>F1116*1000</f>
        <v/>
      </c>
      <c r="I1116" s="14">
        <f>G1116-273.15</f>
        <v/>
      </c>
      <c r="K1116" s="15" t="n">
        <v>2004</v>
      </c>
      <c r="L1116" s="15" t="n">
        <v>2</v>
      </c>
      <c r="M1116" s="15" t="n">
        <v>2</v>
      </c>
      <c r="N1116" s="16" t="n">
        <v>0</v>
      </c>
      <c r="O1116" s="11" t="n">
        <v>279.1384573</v>
      </c>
      <c r="P1116" s="13">
        <f>N1116*86400</f>
        <v/>
      </c>
      <c r="Q1116" s="14">
        <f>O1116-273.15</f>
        <v/>
      </c>
    </row>
    <row r="1117">
      <c r="A1117" s="9" t="n">
        <v>38004</v>
      </c>
      <c r="B1117" s="7">
        <f>YEAR(A1117)</f>
        <v/>
      </c>
      <c r="C1117" s="7">
        <f>MONTH(A1117)</f>
        <v/>
      </c>
      <c r="D1117" s="10" t="n">
        <v>0</v>
      </c>
      <c r="E1117" s="11" t="n">
        <v>1.723620821</v>
      </c>
      <c r="F1117" s="12" t="n">
        <v>0</v>
      </c>
      <c r="G1117" s="11" t="n">
        <v>277.587095</v>
      </c>
      <c r="H1117" s="13">
        <f>F1117*1000</f>
        <v/>
      </c>
      <c r="I1117" s="14">
        <f>G1117-273.15</f>
        <v/>
      </c>
      <c r="K1117" s="15" t="n">
        <v>2004</v>
      </c>
      <c r="L1117" s="15" t="n">
        <v>2</v>
      </c>
      <c r="M1117" s="15" t="n">
        <v>3</v>
      </c>
      <c r="N1117" s="16" t="n">
        <v>0</v>
      </c>
      <c r="O1117" s="11" t="n">
        <v>278.7721896</v>
      </c>
      <c r="P1117" s="13">
        <f>N1117*86400</f>
        <v/>
      </c>
      <c r="Q1117" s="14">
        <f>O1117-273.15</f>
        <v/>
      </c>
    </row>
    <row r="1118">
      <c r="A1118" s="9" t="n">
        <v>38005</v>
      </c>
      <c r="B1118" s="7">
        <f>YEAR(A1118)</f>
        <v/>
      </c>
      <c r="C1118" s="7">
        <f>MONTH(A1118)</f>
        <v/>
      </c>
      <c r="D1118" s="10" t="n">
        <v>0</v>
      </c>
      <c r="E1118" s="11" t="n">
        <v>4.065387981</v>
      </c>
      <c r="F1118" s="12" t="n">
        <v>0</v>
      </c>
      <c r="G1118" s="11" t="n">
        <v>278.7474169</v>
      </c>
      <c r="H1118" s="13">
        <f>F1118*1000</f>
        <v/>
      </c>
      <c r="I1118" s="14">
        <f>G1118-273.15</f>
        <v/>
      </c>
      <c r="K1118" s="15" t="n">
        <v>2004</v>
      </c>
      <c r="L1118" s="15" t="n">
        <v>2</v>
      </c>
      <c r="M1118" s="15" t="n">
        <v>4</v>
      </c>
      <c r="N1118" s="16" t="n">
        <v>9.161796582999999e-06</v>
      </c>
      <c r="O1118" s="11" t="n">
        <v>280.3953536</v>
      </c>
      <c r="P1118" s="13">
        <f>N1118*86400</f>
        <v/>
      </c>
      <c r="Q1118" s="14">
        <f>O1118-273.15</f>
        <v/>
      </c>
    </row>
    <row r="1119">
      <c r="A1119" s="9" t="n">
        <v>38006</v>
      </c>
      <c r="B1119" s="7">
        <f>YEAR(A1119)</f>
        <v/>
      </c>
      <c r="C1119" s="7">
        <f>MONTH(A1119)</f>
        <v/>
      </c>
      <c r="D1119" s="10" t="n">
        <v>0</v>
      </c>
      <c r="E1119" s="11" t="n">
        <v>4.757409895</v>
      </c>
      <c r="F1119" s="12" t="n">
        <v>0</v>
      </c>
      <c r="G1119" s="11" t="n">
        <v>279.0749475</v>
      </c>
      <c r="H1119" s="13">
        <f>F1119*1000</f>
        <v/>
      </c>
      <c r="I1119" s="14">
        <f>G1119-273.15</f>
        <v/>
      </c>
      <c r="K1119" s="15" t="n">
        <v>2004</v>
      </c>
      <c r="L1119" s="15" t="n">
        <v>2</v>
      </c>
      <c r="M1119" s="15" t="n">
        <v>5</v>
      </c>
      <c r="N1119" s="16" t="n">
        <v>0</v>
      </c>
      <c r="O1119" s="11" t="n">
        <v>281.3823165</v>
      </c>
      <c r="P1119" s="13">
        <f>N1119*86400</f>
        <v/>
      </c>
      <c r="Q1119" s="14">
        <f>O1119-273.15</f>
        <v/>
      </c>
    </row>
    <row r="1120">
      <c r="A1120" s="9" t="n">
        <v>38007</v>
      </c>
      <c r="B1120" s="7">
        <f>YEAR(A1120)</f>
        <v/>
      </c>
      <c r="C1120" s="7">
        <f>MONTH(A1120)</f>
        <v/>
      </c>
      <c r="D1120" s="10" t="n">
        <v>0</v>
      </c>
      <c r="E1120" s="11" t="n">
        <v>8.350360417999999</v>
      </c>
      <c r="F1120" s="12" t="n">
        <v>0</v>
      </c>
      <c r="G1120" s="11" t="n">
        <v>281.0589783</v>
      </c>
      <c r="H1120" s="13">
        <f>F1120*1000</f>
        <v/>
      </c>
      <c r="I1120" s="14">
        <f>G1120-273.15</f>
        <v/>
      </c>
      <c r="K1120" s="15" t="n">
        <v>2004</v>
      </c>
      <c r="L1120" s="15" t="n">
        <v>2</v>
      </c>
      <c r="M1120" s="15" t="n">
        <v>6</v>
      </c>
      <c r="N1120" s="16" t="n">
        <v>0</v>
      </c>
      <c r="O1120" s="11" t="n">
        <v>278.7127448</v>
      </c>
      <c r="P1120" s="13">
        <f>N1120*86400</f>
        <v/>
      </c>
      <c r="Q1120" s="14">
        <f>O1120-273.15</f>
        <v/>
      </c>
    </row>
    <row r="1121">
      <c r="A1121" s="9" t="n">
        <v>38008</v>
      </c>
      <c r="B1121" s="7">
        <f>YEAR(A1121)</f>
        <v/>
      </c>
      <c r="C1121" s="7">
        <f>MONTH(A1121)</f>
        <v/>
      </c>
      <c r="D1121" s="10" t="n">
        <v>0</v>
      </c>
      <c r="E1121" s="11" t="n">
        <v>8.063321724</v>
      </c>
      <c r="F1121" s="12" t="n">
        <v>0</v>
      </c>
      <c r="G1121" s="11" t="n">
        <v>281.9881989</v>
      </c>
      <c r="H1121" s="13">
        <f>F1121*1000</f>
        <v/>
      </c>
      <c r="I1121" s="14">
        <f>G1121-273.15</f>
        <v/>
      </c>
      <c r="K1121" s="15" t="n">
        <v>2004</v>
      </c>
      <c r="L1121" s="15" t="n">
        <v>2</v>
      </c>
      <c r="M1121" s="15" t="n">
        <v>7</v>
      </c>
      <c r="N1121" s="16" t="n">
        <v>5.450916205e-05</v>
      </c>
      <c r="O1121" s="11" t="n">
        <v>279.7121544</v>
      </c>
      <c r="P1121" s="13">
        <f>N1121*86400</f>
        <v/>
      </c>
      <c r="Q1121" s="14">
        <f>O1121-273.15</f>
        <v/>
      </c>
    </row>
    <row r="1122">
      <c r="A1122" s="9" t="n">
        <v>38009</v>
      </c>
      <c r="B1122" s="7">
        <f>YEAR(A1122)</f>
        <v/>
      </c>
      <c r="C1122" s="7">
        <f>MONTH(A1122)</f>
        <v/>
      </c>
      <c r="D1122" s="10" t="n">
        <v>1.099044887</v>
      </c>
      <c r="E1122" s="11" t="n">
        <v>6.335898004</v>
      </c>
      <c r="F1122" s="12" t="n">
        <v>0.002401942638</v>
      </c>
      <c r="G1122" s="11" t="n">
        <v>281.186533</v>
      </c>
      <c r="H1122" s="13">
        <f>F1122*1000</f>
        <v/>
      </c>
      <c r="I1122" s="14">
        <f>G1122-273.15</f>
        <v/>
      </c>
      <c r="K1122" s="15" t="n">
        <v>2004</v>
      </c>
      <c r="L1122" s="15" t="n">
        <v>2</v>
      </c>
      <c r="M1122" s="15" t="n">
        <v>8</v>
      </c>
      <c r="N1122" s="16" t="n">
        <v>2.929668068e-05</v>
      </c>
      <c r="O1122" s="11" t="n">
        <v>281.3379309</v>
      </c>
      <c r="P1122" s="13">
        <f>N1122*86400</f>
        <v/>
      </c>
      <c r="Q1122" s="14">
        <f>O1122-273.15</f>
        <v/>
      </c>
    </row>
    <row r="1123">
      <c r="A1123" s="9" t="n">
        <v>38010</v>
      </c>
      <c r="B1123" s="7">
        <f>YEAR(A1123)</f>
        <v/>
      </c>
      <c r="C1123" s="7">
        <f>MONTH(A1123)</f>
        <v/>
      </c>
      <c r="D1123" s="10" t="n">
        <v>5.617846609</v>
      </c>
      <c r="E1123" s="11" t="n">
        <v>7.576920474</v>
      </c>
      <c r="F1123" s="12" t="n">
        <v>0.002446141693</v>
      </c>
      <c r="G1123" s="11" t="n">
        <v>282.1150753</v>
      </c>
      <c r="H1123" s="13">
        <f>F1123*1000</f>
        <v/>
      </c>
      <c r="I1123" s="14">
        <f>G1123-273.15</f>
        <v/>
      </c>
      <c r="K1123" s="15" t="n">
        <v>2004</v>
      </c>
      <c r="L1123" s="15" t="n">
        <v>2</v>
      </c>
      <c r="M1123" s="15" t="n">
        <v>9</v>
      </c>
      <c r="N1123" s="16" t="n">
        <v>0</v>
      </c>
      <c r="O1123" s="11" t="n">
        <v>280.856552</v>
      </c>
      <c r="P1123" s="13">
        <f>N1123*86400</f>
        <v/>
      </c>
      <c r="Q1123" s="14">
        <f>O1123-273.15</f>
        <v/>
      </c>
    </row>
    <row r="1124">
      <c r="A1124" s="9" t="n">
        <v>38011</v>
      </c>
      <c r="B1124" s="7">
        <f>YEAR(A1124)</f>
        <v/>
      </c>
      <c r="C1124" s="7">
        <f>MONTH(A1124)</f>
        <v/>
      </c>
      <c r="D1124" s="10" t="n">
        <v>4.512337698</v>
      </c>
      <c r="E1124" s="11" t="n">
        <v>5.214525274</v>
      </c>
      <c r="F1124" s="12" t="n">
        <v>0.01098000454</v>
      </c>
      <c r="G1124" s="11" t="n">
        <v>279.2465215</v>
      </c>
      <c r="H1124" s="13">
        <f>F1124*1000</f>
        <v/>
      </c>
      <c r="I1124" s="14">
        <f>G1124-273.15</f>
        <v/>
      </c>
      <c r="K1124" s="15" t="n">
        <v>2004</v>
      </c>
      <c r="L1124" s="15" t="n">
        <v>2</v>
      </c>
      <c r="M1124" s="15" t="n">
        <v>10</v>
      </c>
      <c r="N1124" s="16" t="n">
        <v>0</v>
      </c>
      <c r="O1124" s="11" t="n">
        <v>280.5304795</v>
      </c>
      <c r="P1124" s="13">
        <f>N1124*86400</f>
        <v/>
      </c>
      <c r="Q1124" s="14">
        <f>O1124-273.15</f>
        <v/>
      </c>
    </row>
    <row r="1125">
      <c r="A1125" s="9" t="n">
        <v>38012</v>
      </c>
      <c r="B1125" s="7">
        <f>YEAR(A1125)</f>
        <v/>
      </c>
      <c r="C1125" s="7">
        <f>MONTH(A1125)</f>
        <v/>
      </c>
      <c r="D1125" s="10" t="n">
        <v>0</v>
      </c>
      <c r="E1125" s="11" t="n">
        <v>5.035285535</v>
      </c>
      <c r="F1125" s="12" t="n">
        <v>0.004093129968</v>
      </c>
      <c r="G1125" s="11" t="n">
        <v>279.2180591</v>
      </c>
      <c r="H1125" s="13">
        <f>F1125*1000</f>
        <v/>
      </c>
      <c r="I1125" s="14">
        <f>G1125-273.15</f>
        <v/>
      </c>
      <c r="K1125" s="15" t="n">
        <v>2004</v>
      </c>
      <c r="L1125" s="15" t="n">
        <v>2</v>
      </c>
      <c r="M1125" s="15" t="n">
        <v>11</v>
      </c>
      <c r="N1125" s="16" t="n">
        <v>0</v>
      </c>
      <c r="O1125" s="11" t="n">
        <v>283.2443116</v>
      </c>
      <c r="P1125" s="13">
        <f>N1125*86400</f>
        <v/>
      </c>
      <c r="Q1125" s="14">
        <f>O1125-273.15</f>
        <v/>
      </c>
    </row>
    <row r="1126">
      <c r="A1126" s="9" t="n">
        <v>38013</v>
      </c>
      <c r="B1126" s="7">
        <f>YEAR(A1126)</f>
        <v/>
      </c>
      <c r="C1126" s="7">
        <f>MONTH(A1126)</f>
        <v/>
      </c>
      <c r="D1126" s="10" t="n">
        <v>0</v>
      </c>
      <c r="E1126" s="11" t="n">
        <v>5.783897918</v>
      </c>
      <c r="F1126" s="12" t="n">
        <v>0</v>
      </c>
      <c r="G1126" s="11" t="n">
        <v>279.4279132</v>
      </c>
      <c r="H1126" s="13">
        <f>F1126*1000</f>
        <v/>
      </c>
      <c r="I1126" s="14">
        <f>G1126-273.15</f>
        <v/>
      </c>
      <c r="K1126" s="15" t="n">
        <v>2004</v>
      </c>
      <c r="L1126" s="15" t="n">
        <v>2</v>
      </c>
      <c r="M1126" s="15" t="n">
        <v>12</v>
      </c>
      <c r="N1126" s="16" t="n">
        <v>0</v>
      </c>
      <c r="O1126" s="11" t="n">
        <v>284.7296925</v>
      </c>
      <c r="P1126" s="13">
        <f>N1126*86400</f>
        <v/>
      </c>
      <c r="Q1126" s="14">
        <f>O1126-273.15</f>
        <v/>
      </c>
    </row>
    <row r="1127">
      <c r="A1127" s="9" t="n">
        <v>38014</v>
      </c>
      <c r="B1127" s="7">
        <f>YEAR(A1127)</f>
        <v/>
      </c>
      <c r="C1127" s="7">
        <f>MONTH(A1127)</f>
        <v/>
      </c>
      <c r="D1127" s="10" t="n">
        <v>3.635327218</v>
      </c>
      <c r="E1127" s="11" t="n">
        <v>5.754585157</v>
      </c>
      <c r="F1127" s="12" t="n">
        <v>0.001256193571</v>
      </c>
      <c r="G1127" s="11" t="n">
        <v>279.5620301</v>
      </c>
      <c r="H1127" s="13">
        <f>F1127*1000</f>
        <v/>
      </c>
      <c r="I1127" s="14">
        <f>G1127-273.15</f>
        <v/>
      </c>
      <c r="K1127" s="15" t="n">
        <v>2004</v>
      </c>
      <c r="L1127" s="15" t="n">
        <v>2</v>
      </c>
      <c r="M1127" s="15" t="n">
        <v>13</v>
      </c>
      <c r="N1127" s="16" t="n">
        <v>0</v>
      </c>
      <c r="O1127" s="11" t="n">
        <v>284.187968</v>
      </c>
      <c r="P1127" s="13">
        <f>N1127*86400</f>
        <v/>
      </c>
      <c r="Q1127" s="14">
        <f>O1127-273.15</f>
        <v/>
      </c>
    </row>
    <row r="1128">
      <c r="A1128" s="9" t="n">
        <v>38015</v>
      </c>
      <c r="B1128" s="7">
        <f>YEAR(A1128)</f>
        <v/>
      </c>
      <c r="C1128" s="7">
        <f>MONTH(A1128)</f>
        <v/>
      </c>
      <c r="D1128" s="10" t="n">
        <v>0</v>
      </c>
      <c r="E1128" s="11" t="n">
        <v>6.912391167</v>
      </c>
      <c r="F1128" s="12" t="n">
        <v>0</v>
      </c>
      <c r="G1128" s="11" t="n">
        <v>280.6306046</v>
      </c>
      <c r="H1128" s="13">
        <f>F1128*1000</f>
        <v/>
      </c>
      <c r="I1128" s="14">
        <f>G1128-273.15</f>
        <v/>
      </c>
      <c r="K1128" s="15" t="n">
        <v>2004</v>
      </c>
      <c r="L1128" s="15" t="n">
        <v>2</v>
      </c>
      <c r="M1128" s="15" t="n">
        <v>14</v>
      </c>
      <c r="N1128" s="16" t="n">
        <v>0</v>
      </c>
      <c r="O1128" s="11" t="n">
        <v>286.8123408</v>
      </c>
      <c r="P1128" s="13">
        <f>N1128*86400</f>
        <v/>
      </c>
      <c r="Q1128" s="14">
        <f>O1128-273.15</f>
        <v/>
      </c>
    </row>
    <row r="1129">
      <c r="A1129" s="9" t="n">
        <v>38016</v>
      </c>
      <c r="B1129" s="7">
        <f>YEAR(A1129)</f>
        <v/>
      </c>
      <c r="C1129" s="7">
        <f>MONTH(A1129)</f>
        <v/>
      </c>
      <c r="D1129" s="10" t="n">
        <v>0</v>
      </c>
      <c r="E1129" s="11" t="n">
        <v>8.22850569</v>
      </c>
      <c r="F1129" s="12" t="n">
        <v>0.006707768557</v>
      </c>
      <c r="G1129" s="11" t="n">
        <v>281.995905</v>
      </c>
      <c r="H1129" s="13">
        <f>F1129*1000</f>
        <v/>
      </c>
      <c r="I1129" s="14">
        <f>G1129-273.15</f>
        <v/>
      </c>
      <c r="K1129" s="15" t="n">
        <v>2004</v>
      </c>
      <c r="L1129" s="15" t="n">
        <v>2</v>
      </c>
      <c r="M1129" s="15" t="n">
        <v>15</v>
      </c>
      <c r="N1129" s="16" t="n">
        <v>0</v>
      </c>
      <c r="O1129" s="11" t="n">
        <v>284.2125958</v>
      </c>
      <c r="P1129" s="13">
        <f>N1129*86400</f>
        <v/>
      </c>
      <c r="Q1129" s="14">
        <f>O1129-273.15</f>
        <v/>
      </c>
    </row>
    <row r="1130">
      <c r="A1130" s="9" t="n">
        <v>38017</v>
      </c>
      <c r="B1130" s="7">
        <f>YEAR(A1130)</f>
        <v/>
      </c>
      <c r="C1130" s="7">
        <f>MONTH(A1130)</f>
        <v/>
      </c>
      <c r="D1130" s="10" t="n">
        <v>0</v>
      </c>
      <c r="E1130" s="11" t="n">
        <v>8.871745863999999</v>
      </c>
      <c r="F1130" s="12" t="n">
        <v>0</v>
      </c>
      <c r="G1130" s="11" t="n">
        <v>283.614825</v>
      </c>
      <c r="H1130" s="13">
        <f>F1130*1000</f>
        <v/>
      </c>
      <c r="I1130" s="14">
        <f>G1130-273.15</f>
        <v/>
      </c>
      <c r="K1130" s="15" t="n">
        <v>2004</v>
      </c>
      <c r="L1130" s="15" t="n">
        <v>2</v>
      </c>
      <c r="M1130" s="15" t="n">
        <v>16</v>
      </c>
      <c r="N1130" s="16" t="n">
        <v>4.752183593e-06</v>
      </c>
      <c r="O1130" s="11" t="n">
        <v>284.666625</v>
      </c>
      <c r="P1130" s="13">
        <f>N1130*86400</f>
        <v/>
      </c>
      <c r="Q1130" s="14">
        <f>O1130-273.15</f>
        <v/>
      </c>
    </row>
    <row r="1131">
      <c r="A1131" s="9" t="n">
        <v>38018</v>
      </c>
      <c r="B1131" s="7">
        <f>YEAR(A1131)</f>
        <v/>
      </c>
      <c r="C1131" s="7">
        <f>MONTH(A1131)</f>
        <v/>
      </c>
      <c r="D1131" s="10" t="n">
        <v>0</v>
      </c>
      <c r="E1131" s="11" t="n">
        <v>9.047122164999999</v>
      </c>
      <c r="F1131" s="12" t="n">
        <v>0</v>
      </c>
      <c r="G1131" s="11" t="n">
        <v>283.6083993</v>
      </c>
      <c r="H1131" s="13">
        <f>F1131*1000</f>
        <v/>
      </c>
      <c r="I1131" s="14">
        <f>G1131-273.15</f>
        <v/>
      </c>
      <c r="K1131" s="15" t="n">
        <v>2004</v>
      </c>
      <c r="L1131" s="15" t="n">
        <v>2</v>
      </c>
      <c r="M1131" s="15" t="n">
        <v>17</v>
      </c>
      <c r="N1131" s="16" t="n">
        <v>0</v>
      </c>
      <c r="O1131" s="11" t="n">
        <v>285.6936614</v>
      </c>
      <c r="P1131" s="13">
        <f>N1131*86400</f>
        <v/>
      </c>
      <c r="Q1131" s="14">
        <f>O1131-273.15</f>
        <v/>
      </c>
    </row>
    <row r="1132">
      <c r="A1132" s="9" t="n">
        <v>38019</v>
      </c>
      <c r="B1132" s="7">
        <f>YEAR(A1132)</f>
        <v/>
      </c>
      <c r="C1132" s="7">
        <f>MONTH(A1132)</f>
        <v/>
      </c>
      <c r="D1132" s="10" t="n">
        <v>0</v>
      </c>
      <c r="E1132" s="11" t="n">
        <v>6.723704461</v>
      </c>
      <c r="F1132" s="12" t="n">
        <v>0</v>
      </c>
      <c r="G1132" s="11" t="n">
        <v>282.1152183</v>
      </c>
      <c r="H1132" s="13">
        <f>F1132*1000</f>
        <v/>
      </c>
      <c r="I1132" s="14">
        <f>G1132-273.15</f>
        <v/>
      </c>
      <c r="K1132" s="15" t="n">
        <v>2004</v>
      </c>
      <c r="L1132" s="15" t="n">
        <v>2</v>
      </c>
      <c r="M1132" s="15" t="n">
        <v>18</v>
      </c>
      <c r="N1132" s="16" t="n">
        <v>1.007366798e-05</v>
      </c>
      <c r="O1132" s="11" t="n">
        <v>284.9459842</v>
      </c>
      <c r="P1132" s="13">
        <f>N1132*86400</f>
        <v/>
      </c>
      <c r="Q1132" s="14">
        <f>O1132-273.15</f>
        <v/>
      </c>
    </row>
    <row r="1133">
      <c r="A1133" s="9" t="n">
        <v>38020</v>
      </c>
      <c r="B1133" s="7">
        <f>YEAR(A1133)</f>
        <v/>
      </c>
      <c r="C1133" s="7">
        <f>MONTH(A1133)</f>
        <v/>
      </c>
      <c r="D1133" s="10" t="n">
        <v>0</v>
      </c>
      <c r="E1133" s="11" t="n">
        <v>5.659683704</v>
      </c>
      <c r="F1133" s="12" t="n">
        <v>0</v>
      </c>
      <c r="G1133" s="11" t="n">
        <v>280.807821</v>
      </c>
      <c r="H1133" s="13">
        <f>F1133*1000</f>
        <v/>
      </c>
      <c r="I1133" s="14">
        <f>G1133-273.15</f>
        <v/>
      </c>
      <c r="K1133" s="15" t="n">
        <v>2004</v>
      </c>
      <c r="L1133" s="15" t="n">
        <v>2</v>
      </c>
      <c r="M1133" s="15" t="n">
        <v>19</v>
      </c>
      <c r="N1133" s="16" t="n">
        <v>0</v>
      </c>
      <c r="O1133" s="11" t="n">
        <v>284.6391618</v>
      </c>
      <c r="P1133" s="13">
        <f>N1133*86400</f>
        <v/>
      </c>
      <c r="Q1133" s="14">
        <f>O1133-273.15</f>
        <v/>
      </c>
    </row>
    <row r="1134">
      <c r="A1134" s="9" t="n">
        <v>38021</v>
      </c>
      <c r="B1134" s="7">
        <f>YEAR(A1134)</f>
        <v/>
      </c>
      <c r="C1134" s="7">
        <f>MONTH(A1134)</f>
        <v/>
      </c>
      <c r="D1134" s="10" t="n">
        <v>0</v>
      </c>
      <c r="E1134" s="11" t="n">
        <v>3.630826038</v>
      </c>
      <c r="F1134" s="12" t="n">
        <v>0</v>
      </c>
      <c r="G1134" s="11" t="n">
        <v>279.8960217</v>
      </c>
      <c r="H1134" s="13">
        <f>F1134*1000</f>
        <v/>
      </c>
      <c r="I1134" s="14">
        <f>G1134-273.15</f>
        <v/>
      </c>
      <c r="K1134" s="15" t="n">
        <v>2004</v>
      </c>
      <c r="L1134" s="15" t="n">
        <v>2</v>
      </c>
      <c r="M1134" s="15" t="n">
        <v>20</v>
      </c>
      <c r="N1134" s="16" t="n">
        <v>0</v>
      </c>
      <c r="O1134" s="11" t="n">
        <v>283.3128208</v>
      </c>
      <c r="P1134" s="13">
        <f>N1134*86400</f>
        <v/>
      </c>
      <c r="Q1134" s="14">
        <f>O1134-273.15</f>
        <v/>
      </c>
    </row>
    <row r="1135">
      <c r="A1135" s="9" t="n">
        <v>38022</v>
      </c>
      <c r="B1135" s="7">
        <f>YEAR(A1135)</f>
        <v/>
      </c>
      <c r="C1135" s="7">
        <f>MONTH(A1135)</f>
        <v/>
      </c>
      <c r="D1135" s="10" t="n">
        <v>0</v>
      </c>
      <c r="E1135" s="11" t="n">
        <v>7.051281712</v>
      </c>
      <c r="F1135" s="12" t="n">
        <v>0</v>
      </c>
      <c r="G1135" s="11" t="n">
        <v>282.9945283</v>
      </c>
      <c r="H1135" s="13">
        <f>F1135*1000</f>
        <v/>
      </c>
      <c r="I1135" s="14">
        <f>G1135-273.15</f>
        <v/>
      </c>
      <c r="K1135" s="15" t="n">
        <v>2004</v>
      </c>
      <c r="L1135" s="15" t="n">
        <v>2</v>
      </c>
      <c r="M1135" s="15" t="n">
        <v>21</v>
      </c>
      <c r="N1135" s="16" t="n">
        <v>0</v>
      </c>
      <c r="O1135" s="11" t="n">
        <v>283.2881608</v>
      </c>
      <c r="P1135" s="13">
        <f>N1135*86400</f>
        <v/>
      </c>
      <c r="Q1135" s="14">
        <f>O1135-273.15</f>
        <v/>
      </c>
    </row>
    <row r="1136">
      <c r="A1136" s="9" t="n">
        <v>38023</v>
      </c>
      <c r="B1136" s="7">
        <f>YEAR(A1136)</f>
        <v/>
      </c>
      <c r="C1136" s="7">
        <f>MONTH(A1136)</f>
        <v/>
      </c>
      <c r="D1136" s="10" t="n">
        <v>1.589831819</v>
      </c>
      <c r="E1136" s="11" t="n">
        <v>4.437982739</v>
      </c>
      <c r="F1136" s="12" t="n">
        <v>0.009915885893</v>
      </c>
      <c r="G1136" s="11" t="n">
        <v>279.953409</v>
      </c>
      <c r="H1136" s="13">
        <f>F1136*1000</f>
        <v/>
      </c>
      <c r="I1136" s="14">
        <f>G1136-273.15</f>
        <v/>
      </c>
      <c r="K1136" s="15" t="n">
        <v>2004</v>
      </c>
      <c r="L1136" s="15" t="n">
        <v>2</v>
      </c>
      <c r="M1136" s="15" t="n">
        <v>22</v>
      </c>
      <c r="N1136" s="16" t="n">
        <v>0</v>
      </c>
      <c r="O1136" s="11" t="n">
        <v>284.4301901</v>
      </c>
      <c r="P1136" s="13">
        <f>N1136*86400</f>
        <v/>
      </c>
      <c r="Q1136" s="14">
        <f>O1136-273.15</f>
        <v/>
      </c>
    </row>
    <row r="1137">
      <c r="A1137" s="9" t="n">
        <v>38024</v>
      </c>
      <c r="B1137" s="7">
        <f>YEAR(A1137)</f>
        <v/>
      </c>
      <c r="C1137" s="7">
        <f>MONTH(A1137)</f>
        <v/>
      </c>
      <c r="D1137" s="10" t="n">
        <v>0</v>
      </c>
      <c r="E1137" s="11" t="n">
        <v>2.231457854</v>
      </c>
      <c r="F1137" s="12" t="n">
        <v>0.0003043606518</v>
      </c>
      <c r="G1137" s="11" t="n">
        <v>279.3993038</v>
      </c>
      <c r="H1137" s="13">
        <f>F1137*1000</f>
        <v/>
      </c>
      <c r="I1137" s="14">
        <f>G1137-273.15</f>
        <v/>
      </c>
      <c r="K1137" s="15" t="n">
        <v>2004</v>
      </c>
      <c r="L1137" s="15" t="n">
        <v>2</v>
      </c>
      <c r="M1137" s="15" t="n">
        <v>23</v>
      </c>
      <c r="N1137" s="16" t="n">
        <v>0</v>
      </c>
      <c r="O1137" s="11" t="n">
        <v>282.5026007</v>
      </c>
      <c r="P1137" s="13">
        <f>N1137*86400</f>
        <v/>
      </c>
      <c r="Q1137" s="14">
        <f>O1137-273.15</f>
        <v/>
      </c>
    </row>
    <row r="1138">
      <c r="A1138" s="9" t="n">
        <v>38025</v>
      </c>
      <c r="B1138" s="7">
        <f>YEAR(A1138)</f>
        <v/>
      </c>
      <c r="C1138" s="7">
        <f>MONTH(A1138)</f>
        <v/>
      </c>
      <c r="D1138" s="10" t="n">
        <v>0</v>
      </c>
      <c r="E1138" s="11" t="n">
        <v>4.290409734</v>
      </c>
      <c r="F1138" s="12" t="n">
        <v>5.642183917e-05</v>
      </c>
      <c r="G1138" s="11" t="n">
        <v>281.1190316</v>
      </c>
      <c r="H1138" s="13">
        <f>F1138*1000</f>
        <v/>
      </c>
      <c r="I1138" s="14">
        <f>G1138-273.15</f>
        <v/>
      </c>
      <c r="K1138" s="15" t="n">
        <v>2004</v>
      </c>
      <c r="L1138" s="15" t="n">
        <v>2</v>
      </c>
      <c r="M1138" s="15" t="n">
        <v>24</v>
      </c>
      <c r="N1138" s="16" t="n">
        <v>0</v>
      </c>
      <c r="O1138" s="11" t="n">
        <v>280.7691662</v>
      </c>
      <c r="P1138" s="13">
        <f>N1138*86400</f>
        <v/>
      </c>
      <c r="Q1138" s="14">
        <f>O1138-273.15</f>
        <v/>
      </c>
    </row>
    <row r="1139">
      <c r="A1139" s="9" t="n">
        <v>38026</v>
      </c>
      <c r="B1139" s="7">
        <f>YEAR(A1139)</f>
        <v/>
      </c>
      <c r="C1139" s="7">
        <f>MONTH(A1139)</f>
        <v/>
      </c>
      <c r="D1139" s="10" t="n">
        <v>0</v>
      </c>
      <c r="E1139" s="11" t="n">
        <v>5.363709068</v>
      </c>
      <c r="F1139" s="12" t="n">
        <v>0</v>
      </c>
      <c r="G1139" s="11" t="n">
        <v>281.6666998</v>
      </c>
      <c r="H1139" s="13">
        <f>F1139*1000</f>
        <v/>
      </c>
      <c r="I1139" s="14">
        <f>G1139-273.15</f>
        <v/>
      </c>
      <c r="K1139" s="15" t="n">
        <v>2004</v>
      </c>
      <c r="L1139" s="15" t="n">
        <v>2</v>
      </c>
      <c r="M1139" s="15" t="n">
        <v>25</v>
      </c>
      <c r="N1139" s="16" t="n">
        <v>0</v>
      </c>
      <c r="O1139" s="11" t="n">
        <v>280.6289216</v>
      </c>
      <c r="P1139" s="13">
        <f>N1139*86400</f>
        <v/>
      </c>
      <c r="Q1139" s="14">
        <f>O1139-273.15</f>
        <v/>
      </c>
    </row>
    <row r="1140">
      <c r="A1140" s="9" t="n">
        <v>38027</v>
      </c>
      <c r="B1140" s="7">
        <f>YEAR(A1140)</f>
        <v/>
      </c>
      <c r="C1140" s="7">
        <f>MONTH(A1140)</f>
        <v/>
      </c>
      <c r="D1140" s="10" t="n">
        <v>0</v>
      </c>
      <c r="E1140" s="11" t="n">
        <v>3.93242322</v>
      </c>
      <c r="F1140" s="12" t="n">
        <v>0</v>
      </c>
      <c r="G1140" s="11" t="n">
        <v>280.2949354</v>
      </c>
      <c r="H1140" s="13">
        <f>F1140*1000</f>
        <v/>
      </c>
      <c r="I1140" s="14">
        <f>G1140-273.15</f>
        <v/>
      </c>
      <c r="K1140" s="15" t="n">
        <v>2004</v>
      </c>
      <c r="L1140" s="15" t="n">
        <v>2</v>
      </c>
      <c r="M1140" s="15" t="n">
        <v>26</v>
      </c>
      <c r="N1140" s="16" t="n">
        <v>0</v>
      </c>
      <c r="O1140" s="11" t="n">
        <v>283.7254964</v>
      </c>
      <c r="P1140" s="13">
        <f>N1140*86400</f>
        <v/>
      </c>
      <c r="Q1140" s="14">
        <f>O1140-273.15</f>
        <v/>
      </c>
    </row>
    <row r="1141">
      <c r="A1141" s="9" t="n">
        <v>38028</v>
      </c>
      <c r="B1141" s="7">
        <f>YEAR(A1141)</f>
        <v/>
      </c>
      <c r="C1141" s="7">
        <f>MONTH(A1141)</f>
        <v/>
      </c>
      <c r="D1141" s="10" t="n">
        <v>3.564880316</v>
      </c>
      <c r="E1141" s="11" t="n">
        <v>1.759124032</v>
      </c>
      <c r="F1141" s="12" t="n">
        <v>0.002802998721</v>
      </c>
      <c r="G1141" s="11" t="n">
        <v>278.2417376</v>
      </c>
      <c r="H1141" s="13">
        <f>F1141*1000</f>
        <v/>
      </c>
      <c r="I1141" s="14">
        <f>G1141-273.15</f>
        <v/>
      </c>
      <c r="K1141" s="15" t="n">
        <v>2004</v>
      </c>
      <c r="L1141" s="15" t="n">
        <v>2</v>
      </c>
      <c r="M1141" s="15" t="n">
        <v>27</v>
      </c>
      <c r="N1141" s="16" t="n">
        <v>0</v>
      </c>
      <c r="O1141" s="11" t="n">
        <v>284.0150101</v>
      </c>
      <c r="P1141" s="13">
        <f>N1141*86400</f>
        <v/>
      </c>
      <c r="Q1141" s="14">
        <f>O1141-273.15</f>
        <v/>
      </c>
    </row>
    <row r="1142">
      <c r="A1142" s="9" t="n">
        <v>38029</v>
      </c>
      <c r="B1142" s="7">
        <f>YEAR(A1142)</f>
        <v/>
      </c>
      <c r="C1142" s="7">
        <f>MONTH(A1142)</f>
        <v/>
      </c>
      <c r="D1142" s="10" t="n">
        <v>1.162016037</v>
      </c>
      <c r="E1142" s="11" t="n">
        <v>3.516417441</v>
      </c>
      <c r="F1142" s="12" t="n">
        <v>0.0002449993758</v>
      </c>
      <c r="G1142" s="11" t="n">
        <v>279.7086695</v>
      </c>
      <c r="H1142" s="13">
        <f>F1142*1000</f>
        <v/>
      </c>
      <c r="I1142" s="14">
        <f>G1142-273.15</f>
        <v/>
      </c>
      <c r="K1142" s="15" t="n">
        <v>2004</v>
      </c>
      <c r="L1142" s="15" t="n">
        <v>2</v>
      </c>
      <c r="M1142" s="15" t="n">
        <v>28</v>
      </c>
      <c r="N1142" s="16" t="n">
        <v>1.282442001e-09</v>
      </c>
      <c r="O1142" s="11" t="n">
        <v>286.0808128</v>
      </c>
      <c r="P1142" s="13">
        <f>N1142*86400</f>
        <v/>
      </c>
      <c r="Q1142" s="14">
        <f>O1142-273.15</f>
        <v/>
      </c>
    </row>
    <row r="1143">
      <c r="A1143" s="9" t="n">
        <v>38030</v>
      </c>
      <c r="B1143" s="7">
        <f>YEAR(A1143)</f>
        <v/>
      </c>
      <c r="C1143" s="7">
        <f>MONTH(A1143)</f>
        <v/>
      </c>
      <c r="D1143" s="10" t="n">
        <v>0</v>
      </c>
      <c r="E1143" s="11" t="n">
        <v>3.721314351</v>
      </c>
      <c r="F1143" s="12" t="n">
        <v>0</v>
      </c>
      <c r="G1143" s="11" t="n">
        <v>280.3041437</v>
      </c>
      <c r="H1143" s="13">
        <f>F1143*1000</f>
        <v/>
      </c>
      <c r="I1143" s="14">
        <f>G1143-273.15</f>
        <v/>
      </c>
      <c r="K1143" s="15" t="n">
        <v>2004</v>
      </c>
      <c r="L1143" s="15" t="n">
        <v>2</v>
      </c>
      <c r="M1143" s="15" t="n">
        <v>29</v>
      </c>
      <c r="N1143" s="16" t="n">
        <v>0</v>
      </c>
      <c r="O1143" s="11" t="n">
        <v>286.7370486</v>
      </c>
      <c r="P1143" s="13">
        <f>N1143*86400</f>
        <v/>
      </c>
      <c r="Q1143" s="14">
        <f>O1143-273.15</f>
        <v/>
      </c>
    </row>
    <row r="1144">
      <c r="A1144" s="9" t="n">
        <v>38031</v>
      </c>
      <c r="B1144" s="7">
        <f>YEAR(A1144)</f>
        <v/>
      </c>
      <c r="C1144" s="7">
        <f>MONTH(A1144)</f>
        <v/>
      </c>
      <c r="D1144" s="10" t="n">
        <v>0</v>
      </c>
      <c r="E1144" s="11" t="n">
        <v>5.278752819</v>
      </c>
      <c r="F1144" s="12" t="n">
        <v>0</v>
      </c>
      <c r="G1144" s="11" t="n">
        <v>280.5895277</v>
      </c>
      <c r="H1144" s="13">
        <f>F1144*1000</f>
        <v/>
      </c>
      <c r="I1144" s="14">
        <f>G1144-273.15</f>
        <v/>
      </c>
      <c r="K1144" s="15" t="n">
        <v>2004</v>
      </c>
      <c r="L1144" s="15" t="n">
        <v>2</v>
      </c>
      <c r="M1144" s="15" t="n">
        <v>30</v>
      </c>
      <c r="N1144" s="16" t="n">
        <v>0</v>
      </c>
      <c r="O1144" s="11" t="n">
        <v>286.1404359</v>
      </c>
      <c r="P1144" s="13">
        <f>N1144*86400</f>
        <v/>
      </c>
      <c r="Q1144" s="14">
        <f>O1144-273.15</f>
        <v/>
      </c>
    </row>
    <row r="1145">
      <c r="A1145" s="9" t="n">
        <v>38032</v>
      </c>
      <c r="B1145" s="7">
        <f>YEAR(A1145)</f>
        <v/>
      </c>
      <c r="C1145" s="7">
        <f>MONTH(A1145)</f>
        <v/>
      </c>
      <c r="D1145" s="10" t="n">
        <v>0</v>
      </c>
      <c r="E1145" s="11" t="n">
        <v>4.839820794</v>
      </c>
      <c r="F1145" s="12" t="n">
        <v>0</v>
      </c>
      <c r="G1145" s="11" t="n">
        <v>279.8036315</v>
      </c>
      <c r="H1145" s="13">
        <f>F1145*1000</f>
        <v/>
      </c>
      <c r="I1145" s="14">
        <f>G1145-273.15</f>
        <v/>
      </c>
      <c r="K1145" s="15" t="n">
        <v>2004</v>
      </c>
      <c r="L1145" s="15" t="n">
        <v>3</v>
      </c>
      <c r="M1145" s="15" t="n">
        <v>1</v>
      </c>
      <c r="N1145" s="16" t="n">
        <v>0</v>
      </c>
      <c r="O1145" s="11" t="n">
        <v>286.46267</v>
      </c>
      <c r="P1145" s="13">
        <f>N1145*86400</f>
        <v/>
      </c>
      <c r="Q1145" s="14">
        <f>O1145-273.15</f>
        <v/>
      </c>
    </row>
    <row r="1146">
      <c r="A1146" s="9" t="n">
        <v>38033</v>
      </c>
      <c r="B1146" s="7">
        <f>YEAR(A1146)</f>
        <v/>
      </c>
      <c r="C1146" s="7">
        <f>MONTH(A1146)</f>
        <v/>
      </c>
      <c r="D1146" s="10" t="n">
        <v>0</v>
      </c>
      <c r="E1146" s="11" t="n">
        <v>4.563209024</v>
      </c>
      <c r="F1146" s="12" t="n">
        <v>0</v>
      </c>
      <c r="G1146" s="11" t="n">
        <v>279.8128329</v>
      </c>
      <c r="H1146" s="13">
        <f>F1146*1000</f>
        <v/>
      </c>
      <c r="I1146" s="14">
        <f>G1146-273.15</f>
        <v/>
      </c>
      <c r="K1146" s="15" t="n">
        <v>2004</v>
      </c>
      <c r="L1146" s="15" t="n">
        <v>3</v>
      </c>
      <c r="M1146" s="15" t="n">
        <v>2</v>
      </c>
      <c r="N1146" s="16" t="n">
        <v>0</v>
      </c>
      <c r="O1146" s="11" t="n">
        <v>287.903434</v>
      </c>
      <c r="P1146" s="13">
        <f>N1146*86400</f>
        <v/>
      </c>
      <c r="Q1146" s="14">
        <f>O1146-273.15</f>
        <v/>
      </c>
    </row>
    <row r="1147">
      <c r="A1147" s="9" t="n">
        <v>38034</v>
      </c>
      <c r="B1147" s="7">
        <f>YEAR(A1147)</f>
        <v/>
      </c>
      <c r="C1147" s="7">
        <f>MONTH(A1147)</f>
        <v/>
      </c>
      <c r="D1147" s="10" t="n">
        <v>0</v>
      </c>
      <c r="E1147" s="11" t="n">
        <v>6.879280842</v>
      </c>
      <c r="F1147" s="12" t="n">
        <v>8.897027679e-05</v>
      </c>
      <c r="G1147" s="11" t="n">
        <v>281.4034179</v>
      </c>
      <c r="H1147" s="13">
        <f>F1147*1000</f>
        <v/>
      </c>
      <c r="I1147" s="14">
        <f>G1147-273.15</f>
        <v/>
      </c>
      <c r="K1147" s="15" t="n">
        <v>2004</v>
      </c>
      <c r="L1147" s="15" t="n">
        <v>3</v>
      </c>
      <c r="M1147" s="15" t="n">
        <v>3</v>
      </c>
      <c r="N1147" s="16" t="n">
        <v>1.287855192e-05</v>
      </c>
      <c r="O1147" s="11" t="n">
        <v>285.7888918</v>
      </c>
      <c r="P1147" s="13">
        <f>N1147*86400</f>
        <v/>
      </c>
      <c r="Q1147" s="14">
        <f>O1147-273.15</f>
        <v/>
      </c>
    </row>
    <row r="1148">
      <c r="A1148" s="9" t="n">
        <v>38035</v>
      </c>
      <c r="B1148" s="7">
        <f>YEAR(A1148)</f>
        <v/>
      </c>
      <c r="C1148" s="7">
        <f>MONTH(A1148)</f>
        <v/>
      </c>
      <c r="D1148" s="10" t="n">
        <v>0</v>
      </c>
      <c r="E1148" s="11" t="n">
        <v>7.396504266</v>
      </c>
      <c r="F1148" s="12" t="n">
        <v>0</v>
      </c>
      <c r="G1148" s="11" t="n">
        <v>281.6978409</v>
      </c>
      <c r="H1148" s="13">
        <f>F1148*1000</f>
        <v/>
      </c>
      <c r="I1148" s="14">
        <f>G1148-273.15</f>
        <v/>
      </c>
      <c r="K1148" s="15" t="n">
        <v>2004</v>
      </c>
      <c r="L1148" s="15" t="n">
        <v>3</v>
      </c>
      <c r="M1148" s="15" t="n">
        <v>4</v>
      </c>
      <c r="N1148" s="16" t="n">
        <v>3.392725872e-06</v>
      </c>
      <c r="O1148" s="11" t="n">
        <v>284.7750756</v>
      </c>
      <c r="P1148" s="13">
        <f>N1148*86400</f>
        <v/>
      </c>
      <c r="Q1148" s="14">
        <f>O1148-273.15</f>
        <v/>
      </c>
    </row>
    <row r="1149">
      <c r="A1149" s="9" t="n">
        <v>38036</v>
      </c>
      <c r="B1149" s="7">
        <f>YEAR(A1149)</f>
        <v/>
      </c>
      <c r="C1149" s="7">
        <f>MONTH(A1149)</f>
        <v/>
      </c>
      <c r="D1149" s="10" t="n">
        <v>0</v>
      </c>
      <c r="E1149" s="11" t="n">
        <v>7.445825309</v>
      </c>
      <c r="F1149" s="12" t="n">
        <v>0</v>
      </c>
      <c r="G1149" s="11" t="n">
        <v>280.6454479</v>
      </c>
      <c r="H1149" s="13">
        <f>F1149*1000</f>
        <v/>
      </c>
      <c r="I1149" s="14">
        <f>G1149-273.15</f>
        <v/>
      </c>
      <c r="K1149" s="15" t="n">
        <v>2004</v>
      </c>
      <c r="L1149" s="15" t="n">
        <v>3</v>
      </c>
      <c r="M1149" s="15" t="n">
        <v>5</v>
      </c>
      <c r="N1149" s="16" t="n">
        <v>2.965177526e-05</v>
      </c>
      <c r="O1149" s="11" t="n">
        <v>284.7004018</v>
      </c>
      <c r="P1149" s="13">
        <f>N1149*86400</f>
        <v/>
      </c>
      <c r="Q1149" s="14">
        <f>O1149-273.15</f>
        <v/>
      </c>
    </row>
    <row r="1150">
      <c r="A1150" s="9" t="n">
        <v>38037</v>
      </c>
      <c r="B1150" s="7">
        <f>YEAR(A1150)</f>
        <v/>
      </c>
      <c r="C1150" s="7">
        <f>MONTH(A1150)</f>
        <v/>
      </c>
      <c r="D1150" s="10" t="n">
        <v>0</v>
      </c>
      <c r="E1150" s="11" t="n">
        <v>10.00044526</v>
      </c>
      <c r="F1150" s="12" t="n">
        <v>0.004494423794</v>
      </c>
      <c r="G1150" s="11" t="n">
        <v>283.43081</v>
      </c>
      <c r="H1150" s="13">
        <f>F1150*1000</f>
        <v/>
      </c>
      <c r="I1150" s="14">
        <f>G1150-273.15</f>
        <v/>
      </c>
      <c r="K1150" s="15" t="n">
        <v>2004</v>
      </c>
      <c r="L1150" s="15" t="n">
        <v>3</v>
      </c>
      <c r="M1150" s="15" t="n">
        <v>6</v>
      </c>
      <c r="N1150" s="16" t="n">
        <v>2.45481296e-05</v>
      </c>
      <c r="O1150" s="11" t="n">
        <v>284.4865824</v>
      </c>
      <c r="P1150" s="13">
        <f>N1150*86400</f>
        <v/>
      </c>
      <c r="Q1150" s="14">
        <f>O1150-273.15</f>
        <v/>
      </c>
    </row>
    <row r="1151">
      <c r="A1151" s="9" t="n">
        <v>38038</v>
      </c>
      <c r="B1151" s="7">
        <f>YEAR(A1151)</f>
        <v/>
      </c>
      <c r="C1151" s="7">
        <f>MONTH(A1151)</f>
        <v/>
      </c>
      <c r="D1151" s="10" t="n">
        <v>0</v>
      </c>
      <c r="E1151" s="11" t="n">
        <v>7.362573118</v>
      </c>
      <c r="F1151" s="12" t="n">
        <v>0.001651784877</v>
      </c>
      <c r="G1151" s="11" t="n">
        <v>281.5682136</v>
      </c>
      <c r="H1151" s="13">
        <f>F1151*1000</f>
        <v/>
      </c>
      <c r="I1151" s="14">
        <f>G1151-273.15</f>
        <v/>
      </c>
      <c r="K1151" s="15" t="n">
        <v>2004</v>
      </c>
      <c r="L1151" s="15" t="n">
        <v>3</v>
      </c>
      <c r="M1151" s="15" t="n">
        <v>7</v>
      </c>
      <c r="N1151" s="16" t="n">
        <v>6.428088692e-05</v>
      </c>
      <c r="O1151" s="11" t="n">
        <v>283.5385008</v>
      </c>
      <c r="P1151" s="13">
        <f>N1151*86400</f>
        <v/>
      </c>
      <c r="Q1151" s="14">
        <f>O1151-273.15</f>
        <v/>
      </c>
    </row>
    <row r="1152">
      <c r="A1152" s="9" t="n">
        <v>38039</v>
      </c>
      <c r="B1152" s="7">
        <f>YEAR(A1152)</f>
        <v/>
      </c>
      <c r="C1152" s="7">
        <f>MONTH(A1152)</f>
        <v/>
      </c>
      <c r="D1152" s="10" t="n">
        <v>0</v>
      </c>
      <c r="E1152" s="11" t="n">
        <v>6.743957344</v>
      </c>
      <c r="F1152" s="12" t="n">
        <v>0</v>
      </c>
      <c r="G1152" s="11" t="n">
        <v>280.8206248</v>
      </c>
      <c r="H1152" s="13">
        <f>F1152*1000</f>
        <v/>
      </c>
      <c r="I1152" s="14">
        <f>G1152-273.15</f>
        <v/>
      </c>
      <c r="K1152" s="15" t="n">
        <v>2004</v>
      </c>
      <c r="L1152" s="15" t="n">
        <v>3</v>
      </c>
      <c r="M1152" s="15" t="n">
        <v>8</v>
      </c>
      <c r="N1152" s="16" t="n">
        <v>1.280774969e-05</v>
      </c>
      <c r="O1152" s="11" t="n">
        <v>282.4278074</v>
      </c>
      <c r="P1152" s="13">
        <f>N1152*86400</f>
        <v/>
      </c>
      <c r="Q1152" s="14">
        <f>O1152-273.15</f>
        <v/>
      </c>
    </row>
    <row r="1153">
      <c r="A1153" s="9" t="n">
        <v>38040</v>
      </c>
      <c r="B1153" s="7">
        <f>YEAR(A1153)</f>
        <v/>
      </c>
      <c r="C1153" s="7">
        <f>MONTH(A1153)</f>
        <v/>
      </c>
      <c r="D1153" s="10" t="n">
        <v>0</v>
      </c>
      <c r="E1153" s="11" t="n">
        <v>6.630424999</v>
      </c>
      <c r="F1153" s="12" t="n">
        <v>0</v>
      </c>
      <c r="G1153" s="11" t="n">
        <v>281.5448516</v>
      </c>
      <c r="H1153" s="13">
        <f>F1153*1000</f>
        <v/>
      </c>
      <c r="I1153" s="14">
        <f>G1153-273.15</f>
        <v/>
      </c>
      <c r="K1153" s="15" t="n">
        <v>2004</v>
      </c>
      <c r="L1153" s="15" t="n">
        <v>3</v>
      </c>
      <c r="M1153" s="15" t="n">
        <v>9</v>
      </c>
      <c r="N1153" s="16" t="n">
        <v>2.267065849e-08</v>
      </c>
      <c r="O1153" s="11" t="n">
        <v>283.2033744</v>
      </c>
      <c r="P1153" s="13">
        <f>N1153*86400</f>
        <v/>
      </c>
      <c r="Q1153" s="14">
        <f>O1153-273.15</f>
        <v/>
      </c>
    </row>
    <row r="1154">
      <c r="A1154" s="9" t="n">
        <v>38041</v>
      </c>
      <c r="B1154" s="7">
        <f>YEAR(A1154)</f>
        <v/>
      </c>
      <c r="C1154" s="7">
        <f>MONTH(A1154)</f>
        <v/>
      </c>
      <c r="D1154" s="10" t="n">
        <v>0</v>
      </c>
      <c r="E1154" s="11" t="n">
        <v>5.939953336</v>
      </c>
      <c r="F1154" s="12" t="n">
        <v>0</v>
      </c>
      <c r="G1154" s="11" t="n">
        <v>280.7360918</v>
      </c>
      <c r="H1154" s="13">
        <f>F1154*1000</f>
        <v/>
      </c>
      <c r="I1154" s="14">
        <f>G1154-273.15</f>
        <v/>
      </c>
      <c r="K1154" s="15" t="n">
        <v>2004</v>
      </c>
      <c r="L1154" s="15" t="n">
        <v>3</v>
      </c>
      <c r="M1154" s="15" t="n">
        <v>10</v>
      </c>
      <c r="N1154" s="16" t="n">
        <v>0</v>
      </c>
      <c r="O1154" s="11" t="n">
        <v>284.3877222</v>
      </c>
      <c r="P1154" s="13">
        <f>N1154*86400</f>
        <v/>
      </c>
      <c r="Q1154" s="14">
        <f>O1154-273.15</f>
        <v/>
      </c>
    </row>
    <row r="1155">
      <c r="A1155" s="9" t="n">
        <v>38042</v>
      </c>
      <c r="B1155" s="7">
        <f>YEAR(A1155)</f>
        <v/>
      </c>
      <c r="C1155" s="7">
        <f>MONTH(A1155)</f>
        <v/>
      </c>
      <c r="D1155" s="10" t="n">
        <v>0</v>
      </c>
      <c r="E1155" s="11" t="n">
        <v>7.205994784</v>
      </c>
      <c r="F1155" s="12" t="n">
        <v>0</v>
      </c>
      <c r="G1155" s="11" t="n">
        <v>281.7856954</v>
      </c>
      <c r="H1155" s="13">
        <f>F1155*1000</f>
        <v/>
      </c>
      <c r="I1155" s="14">
        <f>G1155-273.15</f>
        <v/>
      </c>
      <c r="K1155" s="15" t="n">
        <v>2004</v>
      </c>
      <c r="L1155" s="15" t="n">
        <v>3</v>
      </c>
      <c r="M1155" s="15" t="n">
        <v>11</v>
      </c>
      <c r="N1155" s="16" t="n">
        <v>1.19008811e-05</v>
      </c>
      <c r="O1155" s="11" t="n">
        <v>284.8882819</v>
      </c>
      <c r="P1155" s="13">
        <f>N1155*86400</f>
        <v/>
      </c>
      <c r="Q1155" s="14">
        <f>O1155-273.15</f>
        <v/>
      </c>
    </row>
    <row r="1156">
      <c r="A1156" s="9" t="n">
        <v>38043</v>
      </c>
      <c r="B1156" s="7">
        <f>YEAR(A1156)</f>
        <v/>
      </c>
      <c r="C1156" s="7">
        <f>MONTH(A1156)</f>
        <v/>
      </c>
      <c r="D1156" s="10" t="n">
        <v>0</v>
      </c>
      <c r="E1156" s="11" t="n">
        <v>7.710040551</v>
      </c>
      <c r="F1156" s="12" t="n">
        <v>0</v>
      </c>
      <c r="G1156" s="11" t="n">
        <v>282.4738292</v>
      </c>
      <c r="H1156" s="13">
        <f>F1156*1000</f>
        <v/>
      </c>
      <c r="I1156" s="14">
        <f>G1156-273.15</f>
        <v/>
      </c>
      <c r="K1156" s="15" t="n">
        <v>2004</v>
      </c>
      <c r="L1156" s="15" t="n">
        <v>3</v>
      </c>
      <c r="M1156" s="15" t="n">
        <v>12</v>
      </c>
      <c r="N1156" s="16" t="n">
        <v>0</v>
      </c>
      <c r="O1156" s="11" t="n">
        <v>284.0341379</v>
      </c>
      <c r="P1156" s="13">
        <f>N1156*86400</f>
        <v/>
      </c>
      <c r="Q1156" s="14">
        <f>O1156-273.15</f>
        <v/>
      </c>
    </row>
    <row r="1157">
      <c r="A1157" s="9" t="n">
        <v>38044</v>
      </c>
      <c r="B1157" s="7">
        <f>YEAR(A1157)</f>
        <v/>
      </c>
      <c r="C1157" s="7">
        <f>MONTH(A1157)</f>
        <v/>
      </c>
      <c r="D1157" s="10" t="n">
        <v>0</v>
      </c>
      <c r="E1157" s="11" t="n">
        <v>8.661264640000001</v>
      </c>
      <c r="F1157" s="12" t="n">
        <v>0.00020749898</v>
      </c>
      <c r="G1157" s="11" t="n">
        <v>282.8247118</v>
      </c>
      <c r="H1157" s="13">
        <f>F1157*1000</f>
        <v/>
      </c>
      <c r="I1157" s="14">
        <f>G1157-273.15</f>
        <v/>
      </c>
      <c r="K1157" s="15" t="n">
        <v>2004</v>
      </c>
      <c r="L1157" s="15" t="n">
        <v>3</v>
      </c>
      <c r="M1157" s="15" t="n">
        <v>13</v>
      </c>
      <c r="N1157" s="16" t="n">
        <v>0</v>
      </c>
      <c r="O1157" s="11" t="n">
        <v>283.8449146</v>
      </c>
      <c r="P1157" s="13">
        <f>N1157*86400</f>
        <v/>
      </c>
      <c r="Q1157" s="14">
        <f>O1157-273.15</f>
        <v/>
      </c>
    </row>
    <row r="1158">
      <c r="A1158" s="9" t="n">
        <v>38045</v>
      </c>
      <c r="B1158" s="7">
        <f>YEAR(A1158)</f>
        <v/>
      </c>
      <c r="C1158" s="7">
        <f>MONTH(A1158)</f>
        <v/>
      </c>
      <c r="D1158" s="10" t="n">
        <v>0</v>
      </c>
      <c r="E1158" s="11" t="n">
        <v>11.01709136</v>
      </c>
      <c r="F1158" s="12" t="n">
        <v>0</v>
      </c>
      <c r="G1158" s="11" t="n">
        <v>285.719546</v>
      </c>
      <c r="H1158" s="13">
        <f>F1158*1000</f>
        <v/>
      </c>
      <c r="I1158" s="14">
        <f>G1158-273.15</f>
        <v/>
      </c>
      <c r="K1158" s="15" t="n">
        <v>2004</v>
      </c>
      <c r="L1158" s="15" t="n">
        <v>3</v>
      </c>
      <c r="M1158" s="15" t="n">
        <v>14</v>
      </c>
      <c r="N1158" s="16" t="n">
        <v>0</v>
      </c>
      <c r="O1158" s="11" t="n">
        <v>285.0612666</v>
      </c>
      <c r="P1158" s="13">
        <f>N1158*86400</f>
        <v/>
      </c>
      <c r="Q1158" s="14">
        <f>O1158-273.15</f>
        <v/>
      </c>
    </row>
    <row r="1159">
      <c r="A1159" s="9" t="n">
        <v>38046</v>
      </c>
      <c r="B1159" s="7">
        <f>YEAR(A1159)</f>
        <v/>
      </c>
      <c r="C1159" s="7">
        <f>MONTH(A1159)</f>
        <v/>
      </c>
      <c r="D1159" s="10" t="n">
        <v>0</v>
      </c>
      <c r="E1159" s="11" t="n">
        <v>10.860809</v>
      </c>
      <c r="F1159" s="12" t="n">
        <v>0</v>
      </c>
      <c r="G1159" s="11" t="n">
        <v>284.9317794</v>
      </c>
      <c r="H1159" s="13">
        <f>F1159*1000</f>
        <v/>
      </c>
      <c r="I1159" s="14">
        <f>G1159-273.15</f>
        <v/>
      </c>
      <c r="K1159" s="15" t="n">
        <v>2004</v>
      </c>
      <c r="L1159" s="15" t="n">
        <v>3</v>
      </c>
      <c r="M1159" s="15" t="n">
        <v>15</v>
      </c>
      <c r="N1159" s="16" t="n">
        <v>0</v>
      </c>
      <c r="O1159" s="11" t="n">
        <v>284.570258</v>
      </c>
      <c r="P1159" s="13">
        <f>N1159*86400</f>
        <v/>
      </c>
      <c r="Q1159" s="14">
        <f>O1159-273.15</f>
        <v/>
      </c>
    </row>
    <row r="1160">
      <c r="A1160" s="9" t="n">
        <v>38047</v>
      </c>
      <c r="B1160" s="7">
        <f>YEAR(A1160)</f>
        <v/>
      </c>
      <c r="C1160" s="7">
        <f>MONTH(A1160)</f>
        <v/>
      </c>
      <c r="D1160" s="10" t="n">
        <v>0</v>
      </c>
      <c r="E1160" s="11" t="n">
        <v>8.961269740000001</v>
      </c>
      <c r="F1160" s="12" t="n">
        <v>0</v>
      </c>
      <c r="G1160" s="11" t="n">
        <v>283.3674252</v>
      </c>
      <c r="H1160" s="13">
        <f>F1160*1000</f>
        <v/>
      </c>
      <c r="I1160" s="14">
        <f>G1160-273.15</f>
        <v/>
      </c>
      <c r="K1160" s="15" t="n">
        <v>2004</v>
      </c>
      <c r="L1160" s="15" t="n">
        <v>3</v>
      </c>
      <c r="M1160" s="15" t="n">
        <v>16</v>
      </c>
      <c r="N1160" s="16" t="n">
        <v>0</v>
      </c>
      <c r="O1160" s="11" t="n">
        <v>285.0389379</v>
      </c>
      <c r="P1160" s="13">
        <f>N1160*86400</f>
        <v/>
      </c>
      <c r="Q1160" s="14">
        <f>O1160-273.15</f>
        <v/>
      </c>
    </row>
    <row r="1161">
      <c r="A1161" s="9" t="n">
        <v>38048</v>
      </c>
      <c r="B1161" s="7">
        <f>YEAR(A1161)</f>
        <v/>
      </c>
      <c r="C1161" s="7">
        <f>MONTH(A1161)</f>
        <v/>
      </c>
      <c r="D1161" s="10" t="n">
        <v>0</v>
      </c>
      <c r="E1161" s="11" t="n">
        <v>8.528509368</v>
      </c>
      <c r="F1161" s="12" t="n">
        <v>0</v>
      </c>
      <c r="G1161" s="11" t="n">
        <v>283.6190307</v>
      </c>
      <c r="H1161" s="13">
        <f>F1161*1000</f>
        <v/>
      </c>
      <c r="I1161" s="14">
        <f>G1161-273.15</f>
        <v/>
      </c>
      <c r="K1161" s="15" t="n">
        <v>2004</v>
      </c>
      <c r="L1161" s="15" t="n">
        <v>3</v>
      </c>
      <c r="M1161" s="15" t="n">
        <v>17</v>
      </c>
      <c r="N1161" s="16" t="n">
        <v>0</v>
      </c>
      <c r="O1161" s="11" t="n">
        <v>284.0101284</v>
      </c>
      <c r="P1161" s="13">
        <f>N1161*86400</f>
        <v/>
      </c>
      <c r="Q1161" s="14">
        <f>O1161-273.15</f>
        <v/>
      </c>
    </row>
    <row r="1162">
      <c r="A1162" s="9" t="n">
        <v>38049</v>
      </c>
      <c r="B1162" s="7">
        <f>YEAR(A1162)</f>
        <v/>
      </c>
      <c r="C1162" s="7">
        <f>MONTH(A1162)</f>
        <v/>
      </c>
      <c r="D1162" s="10" t="n">
        <v>0</v>
      </c>
      <c r="E1162" s="11" t="n">
        <v>8.576646189</v>
      </c>
      <c r="F1162" s="12" t="n">
        <v>0</v>
      </c>
      <c r="G1162" s="11" t="n">
        <v>283.7944525</v>
      </c>
      <c r="H1162" s="13">
        <f>F1162*1000</f>
        <v/>
      </c>
      <c r="I1162" s="14">
        <f>G1162-273.15</f>
        <v/>
      </c>
      <c r="K1162" s="15" t="n">
        <v>2004</v>
      </c>
      <c r="L1162" s="15" t="n">
        <v>3</v>
      </c>
      <c r="M1162" s="15" t="n">
        <v>18</v>
      </c>
      <c r="N1162" s="16" t="n">
        <v>0</v>
      </c>
      <c r="O1162" s="11" t="n">
        <v>285.15434</v>
      </c>
      <c r="P1162" s="13">
        <f>N1162*86400</f>
        <v/>
      </c>
      <c r="Q1162" s="14">
        <f>O1162-273.15</f>
        <v/>
      </c>
    </row>
    <row r="1163">
      <c r="A1163" s="9" t="n">
        <v>38050</v>
      </c>
      <c r="B1163" s="7">
        <f>YEAR(A1163)</f>
        <v/>
      </c>
      <c r="C1163" s="7">
        <f>MONTH(A1163)</f>
        <v/>
      </c>
      <c r="D1163" s="10" t="n">
        <v>0</v>
      </c>
      <c r="E1163" s="11" t="n">
        <v>8.321384454</v>
      </c>
      <c r="F1163" s="12" t="n">
        <v>0</v>
      </c>
      <c r="G1163" s="11" t="n">
        <v>283.2129505</v>
      </c>
      <c r="H1163" s="13">
        <f>F1163*1000</f>
        <v/>
      </c>
      <c r="I1163" s="14">
        <f>G1163-273.15</f>
        <v/>
      </c>
      <c r="K1163" s="15" t="n">
        <v>2004</v>
      </c>
      <c r="L1163" s="15" t="n">
        <v>3</v>
      </c>
      <c r="M1163" s="15" t="n">
        <v>19</v>
      </c>
      <c r="N1163" s="16" t="n">
        <v>1.205897068e-05</v>
      </c>
      <c r="O1163" s="11" t="n">
        <v>285.0428632</v>
      </c>
      <c r="P1163" s="13">
        <f>N1163*86400</f>
        <v/>
      </c>
      <c r="Q1163" s="14">
        <f>O1163-273.15</f>
        <v/>
      </c>
    </row>
    <row r="1164">
      <c r="A1164" s="9" t="n">
        <v>38051</v>
      </c>
      <c r="B1164" s="7">
        <f>YEAR(A1164)</f>
        <v/>
      </c>
      <c r="C1164" s="7">
        <f>MONTH(A1164)</f>
        <v/>
      </c>
      <c r="D1164" s="10" t="n">
        <v>0</v>
      </c>
      <c r="E1164" s="11" t="n">
        <v>10.0388791</v>
      </c>
      <c r="F1164" s="12" t="n">
        <v>0</v>
      </c>
      <c r="G1164" s="11" t="n">
        <v>285.1123517</v>
      </c>
      <c r="H1164" s="13">
        <f>F1164*1000</f>
        <v/>
      </c>
      <c r="I1164" s="14">
        <f>G1164-273.15</f>
        <v/>
      </c>
      <c r="K1164" s="15" t="n">
        <v>2004</v>
      </c>
      <c r="L1164" s="15" t="n">
        <v>3</v>
      </c>
      <c r="M1164" s="15" t="n">
        <v>20</v>
      </c>
      <c r="N1164" s="16" t="n">
        <v>0.0001026526895</v>
      </c>
      <c r="O1164" s="11" t="n">
        <v>285.0666232</v>
      </c>
      <c r="P1164" s="13">
        <f>N1164*86400</f>
        <v/>
      </c>
      <c r="Q1164" s="14">
        <f>O1164-273.15</f>
        <v/>
      </c>
    </row>
    <row r="1165">
      <c r="A1165" s="9" t="n">
        <v>38052</v>
      </c>
      <c r="B1165" s="7">
        <f>YEAR(A1165)</f>
        <v/>
      </c>
      <c r="C1165" s="7">
        <f>MONTH(A1165)</f>
        <v/>
      </c>
      <c r="D1165" s="10" t="n">
        <v>11.91531685</v>
      </c>
      <c r="E1165" s="11" t="n">
        <v>8.932926123</v>
      </c>
      <c r="F1165" s="12" t="n">
        <v>0.0007946052168</v>
      </c>
      <c r="G1165" s="11" t="n">
        <v>284.7520577</v>
      </c>
      <c r="H1165" s="13">
        <f>F1165*1000</f>
        <v/>
      </c>
      <c r="I1165" s="14">
        <f>G1165-273.15</f>
        <v/>
      </c>
      <c r="K1165" s="15" t="n">
        <v>2004</v>
      </c>
      <c r="L1165" s="15" t="n">
        <v>3</v>
      </c>
      <c r="M1165" s="15" t="n">
        <v>21</v>
      </c>
      <c r="N1165" s="16" t="n">
        <v>2.616340195e-06</v>
      </c>
      <c r="O1165" s="11" t="n">
        <v>285.8463091</v>
      </c>
      <c r="P1165" s="13">
        <f>N1165*86400</f>
        <v/>
      </c>
      <c r="Q1165" s="14">
        <f>O1165-273.15</f>
        <v/>
      </c>
    </row>
    <row r="1166">
      <c r="A1166" s="9" t="n">
        <v>38053</v>
      </c>
      <c r="B1166" s="7">
        <f>YEAR(A1166)</f>
        <v/>
      </c>
      <c r="C1166" s="7">
        <f>MONTH(A1166)</f>
        <v/>
      </c>
      <c r="D1166" s="10" t="n">
        <v>4.138346021</v>
      </c>
      <c r="E1166" s="11" t="n">
        <v>7.328069346</v>
      </c>
      <c r="F1166" s="12" t="n">
        <v>0.003356835234</v>
      </c>
      <c r="G1166" s="11" t="n">
        <v>282.5652701</v>
      </c>
      <c r="H1166" s="13">
        <f>F1166*1000</f>
        <v/>
      </c>
      <c r="I1166" s="14">
        <f>G1166-273.15</f>
        <v/>
      </c>
      <c r="K1166" s="15" t="n">
        <v>2004</v>
      </c>
      <c r="L1166" s="15" t="n">
        <v>3</v>
      </c>
      <c r="M1166" s="15" t="n">
        <v>22</v>
      </c>
      <c r="N1166" s="16" t="n">
        <v>0</v>
      </c>
      <c r="O1166" s="11" t="n">
        <v>285.6657106</v>
      </c>
      <c r="P1166" s="13">
        <f>N1166*86400</f>
        <v/>
      </c>
      <c r="Q1166" s="14">
        <f>O1166-273.15</f>
        <v/>
      </c>
    </row>
    <row r="1167">
      <c r="A1167" s="9" t="n">
        <v>38054</v>
      </c>
      <c r="B1167" s="7">
        <f>YEAR(A1167)</f>
        <v/>
      </c>
      <c r="C1167" s="7">
        <f>MONTH(A1167)</f>
        <v/>
      </c>
      <c r="D1167" s="10" t="n">
        <v>0</v>
      </c>
      <c r="E1167" s="11" t="n">
        <v>8.477049715</v>
      </c>
      <c r="F1167" s="12" t="n">
        <v>0.0003559523893</v>
      </c>
      <c r="G1167" s="11" t="n">
        <v>283.19526</v>
      </c>
      <c r="H1167" s="13">
        <f>F1167*1000</f>
        <v/>
      </c>
      <c r="I1167" s="14">
        <f>G1167-273.15</f>
        <v/>
      </c>
      <c r="K1167" s="15" t="n">
        <v>2004</v>
      </c>
      <c r="L1167" s="15" t="n">
        <v>3</v>
      </c>
      <c r="M1167" s="15" t="n">
        <v>23</v>
      </c>
      <c r="N1167" s="16" t="n">
        <v>5.808638031e-06</v>
      </c>
      <c r="O1167" s="11" t="n">
        <v>285.8912408</v>
      </c>
      <c r="P1167" s="13">
        <f>N1167*86400</f>
        <v/>
      </c>
      <c r="Q1167" s="14">
        <f>O1167-273.15</f>
        <v/>
      </c>
    </row>
    <row r="1168">
      <c r="A1168" s="9" t="n">
        <v>38055</v>
      </c>
      <c r="B1168" s="7">
        <f>YEAR(A1168)</f>
        <v/>
      </c>
      <c r="C1168" s="7">
        <f>MONTH(A1168)</f>
        <v/>
      </c>
      <c r="D1168" s="10" t="n">
        <v>3.43197297</v>
      </c>
      <c r="E1168" s="11" t="n">
        <v>6.671969566</v>
      </c>
      <c r="F1168" s="12" t="n">
        <v>0.0008414223373</v>
      </c>
      <c r="G1168" s="11" t="n">
        <v>283.1478189</v>
      </c>
      <c r="H1168" s="13">
        <f>F1168*1000</f>
        <v/>
      </c>
      <c r="I1168" s="14">
        <f>G1168-273.15</f>
        <v/>
      </c>
      <c r="K1168" s="15" t="n">
        <v>2004</v>
      </c>
      <c r="L1168" s="15" t="n">
        <v>3</v>
      </c>
      <c r="M1168" s="15" t="n">
        <v>24</v>
      </c>
      <c r="N1168" s="16" t="n">
        <v>5.854203225e-06</v>
      </c>
      <c r="O1168" s="11" t="n">
        <v>285.3799373</v>
      </c>
      <c r="P1168" s="13">
        <f>N1168*86400</f>
        <v/>
      </c>
      <c r="Q1168" s="14">
        <f>O1168-273.15</f>
        <v/>
      </c>
    </row>
    <row r="1169">
      <c r="A1169" s="9" t="n">
        <v>38056</v>
      </c>
      <c r="B1169" s="7">
        <f>YEAR(A1169)</f>
        <v/>
      </c>
      <c r="C1169" s="7">
        <f>MONTH(A1169)</f>
        <v/>
      </c>
      <c r="D1169" s="10" t="n">
        <v>0</v>
      </c>
      <c r="E1169" s="11" t="n">
        <v>6.896194308</v>
      </c>
      <c r="F1169" s="12" t="n">
        <v>0</v>
      </c>
      <c r="G1169" s="11" t="n">
        <v>282.7944896</v>
      </c>
      <c r="H1169" s="13">
        <f>F1169*1000</f>
        <v/>
      </c>
      <c r="I1169" s="14">
        <f>G1169-273.15</f>
        <v/>
      </c>
      <c r="K1169" s="15" t="n">
        <v>2004</v>
      </c>
      <c r="L1169" s="15" t="n">
        <v>3</v>
      </c>
      <c r="M1169" s="15" t="n">
        <v>25</v>
      </c>
      <c r="N1169" s="16" t="n">
        <v>0</v>
      </c>
      <c r="O1169" s="11" t="n">
        <v>284.204964</v>
      </c>
      <c r="P1169" s="13">
        <f>N1169*86400</f>
        <v/>
      </c>
      <c r="Q1169" s="14">
        <f>O1169-273.15</f>
        <v/>
      </c>
    </row>
    <row r="1170">
      <c r="A1170" s="9" t="n">
        <v>38057</v>
      </c>
      <c r="B1170" s="7">
        <f>YEAR(A1170)</f>
        <v/>
      </c>
      <c r="C1170" s="7">
        <f>MONTH(A1170)</f>
        <v/>
      </c>
      <c r="D1170" s="10" t="n">
        <v>0</v>
      </c>
      <c r="E1170" s="11" t="n">
        <v>9.283692493</v>
      </c>
      <c r="F1170" s="12" t="n">
        <v>0</v>
      </c>
      <c r="G1170" s="11" t="n">
        <v>284.1779867</v>
      </c>
      <c r="H1170" s="13">
        <f>F1170*1000</f>
        <v/>
      </c>
      <c r="I1170" s="14">
        <f>G1170-273.15</f>
        <v/>
      </c>
      <c r="K1170" s="15" t="n">
        <v>2004</v>
      </c>
      <c r="L1170" s="15" t="n">
        <v>3</v>
      </c>
      <c r="M1170" s="15" t="n">
        <v>26</v>
      </c>
      <c r="N1170" s="16" t="n">
        <v>2.49263102e-06</v>
      </c>
      <c r="O1170" s="11" t="n">
        <v>282.0549308</v>
      </c>
      <c r="P1170" s="13">
        <f>N1170*86400</f>
        <v/>
      </c>
      <c r="Q1170" s="14">
        <f>O1170-273.15</f>
        <v/>
      </c>
    </row>
    <row r="1171">
      <c r="A1171" s="9" t="n">
        <v>38058</v>
      </c>
      <c r="B1171" s="7">
        <f>YEAR(A1171)</f>
        <v/>
      </c>
      <c r="C1171" s="7">
        <f>MONTH(A1171)</f>
        <v/>
      </c>
      <c r="D1171" s="10" t="n">
        <v>0</v>
      </c>
      <c r="E1171" s="11" t="n">
        <v>10.13245097</v>
      </c>
      <c r="F1171" s="12" t="n">
        <v>0</v>
      </c>
      <c r="G1171" s="11" t="n">
        <v>284.920199</v>
      </c>
      <c r="H1171" s="13">
        <f>F1171*1000</f>
        <v/>
      </c>
      <c r="I1171" s="14">
        <f>G1171-273.15</f>
        <v/>
      </c>
      <c r="K1171" s="15" t="n">
        <v>2004</v>
      </c>
      <c r="L1171" s="15" t="n">
        <v>3</v>
      </c>
      <c r="M1171" s="15" t="n">
        <v>27</v>
      </c>
      <c r="N1171" s="16" t="n">
        <v>3.381572541e-06</v>
      </c>
      <c r="O1171" s="11" t="n">
        <v>282.8368023</v>
      </c>
      <c r="P1171" s="13">
        <f>N1171*86400</f>
        <v/>
      </c>
      <c r="Q1171" s="14">
        <f>O1171-273.15</f>
        <v/>
      </c>
    </row>
    <row r="1172">
      <c r="A1172" s="9" t="n">
        <v>38059</v>
      </c>
      <c r="B1172" s="7">
        <f>YEAR(A1172)</f>
        <v/>
      </c>
      <c r="C1172" s="7">
        <f>MONTH(A1172)</f>
        <v/>
      </c>
      <c r="D1172" s="10" t="n">
        <v>0</v>
      </c>
      <c r="E1172" s="11" t="n">
        <v>8.661109207999999</v>
      </c>
      <c r="F1172" s="12" t="n">
        <v>0</v>
      </c>
      <c r="G1172" s="11" t="n">
        <v>283.8683265</v>
      </c>
      <c r="H1172" s="13">
        <f>F1172*1000</f>
        <v/>
      </c>
      <c r="I1172" s="14">
        <f>G1172-273.15</f>
        <v/>
      </c>
      <c r="K1172" s="15" t="n">
        <v>2004</v>
      </c>
      <c r="L1172" s="15" t="n">
        <v>3</v>
      </c>
      <c r="M1172" s="15" t="n">
        <v>28</v>
      </c>
      <c r="N1172" s="16" t="n">
        <v>0</v>
      </c>
      <c r="O1172" s="11" t="n">
        <v>283.2876309</v>
      </c>
      <c r="P1172" s="13">
        <f>N1172*86400</f>
        <v/>
      </c>
      <c r="Q1172" s="14">
        <f>O1172-273.15</f>
        <v/>
      </c>
    </row>
    <row r="1173">
      <c r="A1173" s="9" t="n">
        <v>38060</v>
      </c>
      <c r="B1173" s="7">
        <f>YEAR(A1173)</f>
        <v/>
      </c>
      <c r="C1173" s="7">
        <f>MONTH(A1173)</f>
        <v/>
      </c>
      <c r="D1173" s="10" t="n">
        <v>0</v>
      </c>
      <c r="E1173" s="11" t="n">
        <v>9.266157075000001</v>
      </c>
      <c r="F1173" s="12" t="n">
        <v>0</v>
      </c>
      <c r="G1173" s="11" t="n">
        <v>284.25947</v>
      </c>
      <c r="H1173" s="13">
        <f>F1173*1000</f>
        <v/>
      </c>
      <c r="I1173" s="14">
        <f>G1173-273.15</f>
        <v/>
      </c>
      <c r="K1173" s="15" t="n">
        <v>2004</v>
      </c>
      <c r="L1173" s="15" t="n">
        <v>3</v>
      </c>
      <c r="M1173" s="15" t="n">
        <v>29</v>
      </c>
      <c r="N1173" s="16" t="n">
        <v>0</v>
      </c>
      <c r="O1173" s="11" t="n">
        <v>285.3650034</v>
      </c>
      <c r="P1173" s="13">
        <f>N1173*86400</f>
        <v/>
      </c>
      <c r="Q1173" s="14">
        <f>O1173-273.15</f>
        <v/>
      </c>
    </row>
    <row r="1174">
      <c r="A1174" s="9" t="n">
        <v>38061</v>
      </c>
      <c r="B1174" s="7">
        <f>YEAR(A1174)</f>
        <v/>
      </c>
      <c r="C1174" s="7">
        <f>MONTH(A1174)</f>
        <v/>
      </c>
      <c r="D1174" s="10" t="n">
        <v>0</v>
      </c>
      <c r="E1174" s="11" t="n">
        <v>11.08874269</v>
      </c>
      <c r="F1174" s="12" t="n">
        <v>0</v>
      </c>
      <c r="G1174" s="11" t="n">
        <v>285.4647918</v>
      </c>
      <c r="H1174" s="13">
        <f>F1174*1000</f>
        <v/>
      </c>
      <c r="I1174" s="14">
        <f>G1174-273.15</f>
        <v/>
      </c>
      <c r="K1174" s="15" t="n">
        <v>2004</v>
      </c>
      <c r="L1174" s="15" t="n">
        <v>3</v>
      </c>
      <c r="M1174" s="15" t="n">
        <v>30</v>
      </c>
      <c r="N1174" s="16" t="n">
        <v>2.358094957e-07</v>
      </c>
      <c r="O1174" s="11" t="n">
        <v>285.1457258</v>
      </c>
      <c r="P1174" s="13">
        <f>N1174*86400</f>
        <v/>
      </c>
      <c r="Q1174" s="14">
        <f>O1174-273.15</f>
        <v/>
      </c>
    </row>
    <row r="1175">
      <c r="A1175" s="9" t="n">
        <v>38062</v>
      </c>
      <c r="B1175" s="7">
        <f>YEAR(A1175)</f>
        <v/>
      </c>
      <c r="C1175" s="7">
        <f>MONTH(A1175)</f>
        <v/>
      </c>
      <c r="D1175" s="10" t="n">
        <v>0.6365945516</v>
      </c>
      <c r="E1175" s="11" t="n">
        <v>11.48460659</v>
      </c>
      <c r="F1175" s="12" t="n">
        <v>0.0007892078736</v>
      </c>
      <c r="G1175" s="11" t="n">
        <v>285.19318</v>
      </c>
      <c r="H1175" s="13">
        <f>F1175*1000</f>
        <v/>
      </c>
      <c r="I1175" s="14">
        <f>G1175-273.15</f>
        <v/>
      </c>
      <c r="K1175" s="15" t="n">
        <v>2004</v>
      </c>
      <c r="L1175" s="15" t="n">
        <v>4</v>
      </c>
      <c r="M1175" s="15" t="n">
        <v>1</v>
      </c>
      <c r="N1175" s="16" t="n">
        <v>0.0001075179163</v>
      </c>
      <c r="O1175" s="11" t="n">
        <v>286.8562796</v>
      </c>
      <c r="P1175" s="13">
        <f>N1175*86400</f>
        <v/>
      </c>
      <c r="Q1175" s="14">
        <f>O1175-273.15</f>
        <v/>
      </c>
    </row>
    <row r="1176">
      <c r="A1176" s="9" t="n">
        <v>38063</v>
      </c>
      <c r="B1176" s="7">
        <f>YEAR(A1176)</f>
        <v/>
      </c>
      <c r="C1176" s="7">
        <f>MONTH(A1176)</f>
        <v/>
      </c>
      <c r="D1176" s="10" t="n">
        <v>1.467277815</v>
      </c>
      <c r="E1176" s="11" t="n">
        <v>10.57661256</v>
      </c>
      <c r="F1176" s="12" t="n">
        <v>0.002650012723</v>
      </c>
      <c r="G1176" s="11" t="n">
        <v>285.1180854</v>
      </c>
      <c r="H1176" s="13">
        <f>F1176*1000</f>
        <v/>
      </c>
      <c r="I1176" s="14">
        <f>G1176-273.15</f>
        <v/>
      </c>
      <c r="K1176" s="15" t="n">
        <v>2004</v>
      </c>
      <c r="L1176" s="15" t="n">
        <v>4</v>
      </c>
      <c r="M1176" s="15" t="n">
        <v>2</v>
      </c>
      <c r="N1176" s="16" t="n">
        <v>0</v>
      </c>
      <c r="O1176" s="11" t="n">
        <v>289.5363931</v>
      </c>
      <c r="P1176" s="13">
        <f>N1176*86400</f>
        <v/>
      </c>
      <c r="Q1176" s="14">
        <f>O1176-273.15</f>
        <v/>
      </c>
    </row>
    <row r="1177">
      <c r="A1177" s="9" t="n">
        <v>38064</v>
      </c>
      <c r="B1177" s="7">
        <f>YEAR(A1177)</f>
        <v/>
      </c>
      <c r="C1177" s="7">
        <f>MONTH(A1177)</f>
        <v/>
      </c>
      <c r="D1177" s="10" t="n">
        <v>0</v>
      </c>
      <c r="E1177" s="11" t="n">
        <v>10.54942213</v>
      </c>
      <c r="F1177" s="12" t="n">
        <v>0</v>
      </c>
      <c r="G1177" s="11" t="n">
        <v>284.645009</v>
      </c>
      <c r="H1177" s="13">
        <f>F1177*1000</f>
        <v/>
      </c>
      <c r="I1177" s="14">
        <f>G1177-273.15</f>
        <v/>
      </c>
      <c r="K1177" s="15" t="n">
        <v>2004</v>
      </c>
      <c r="L1177" s="15" t="n">
        <v>4</v>
      </c>
      <c r="M1177" s="15" t="n">
        <v>3</v>
      </c>
      <c r="N1177" s="16" t="n">
        <v>0.0001189955666</v>
      </c>
      <c r="O1177" s="11" t="n">
        <v>290.0509229</v>
      </c>
      <c r="P1177" s="13">
        <f>N1177*86400</f>
        <v/>
      </c>
      <c r="Q1177" s="14">
        <f>O1177-273.15</f>
        <v/>
      </c>
    </row>
    <row r="1178">
      <c r="A1178" s="9" t="n">
        <v>38065</v>
      </c>
      <c r="B1178" s="7">
        <f>YEAR(A1178)</f>
        <v/>
      </c>
      <c r="C1178" s="7">
        <f>MONTH(A1178)</f>
        <v/>
      </c>
      <c r="D1178" s="10" t="n">
        <v>0</v>
      </c>
      <c r="E1178" s="11" t="n">
        <v>9.118445918999999</v>
      </c>
      <c r="F1178" s="12" t="n">
        <v>0</v>
      </c>
      <c r="G1178" s="11" t="n">
        <v>283.7637823</v>
      </c>
      <c r="H1178" s="13">
        <f>F1178*1000</f>
        <v/>
      </c>
      <c r="I1178" s="14">
        <f>G1178-273.15</f>
        <v/>
      </c>
      <c r="K1178" s="15" t="n">
        <v>2004</v>
      </c>
      <c r="L1178" s="15" t="n">
        <v>4</v>
      </c>
      <c r="M1178" s="15" t="n">
        <v>4</v>
      </c>
      <c r="N1178" s="16" t="n">
        <v>9.151332082e-05</v>
      </c>
      <c r="O1178" s="11" t="n">
        <v>291.3613225</v>
      </c>
      <c r="P1178" s="13">
        <f>N1178*86400</f>
        <v/>
      </c>
      <c r="Q1178" s="14">
        <f>O1178-273.15</f>
        <v/>
      </c>
    </row>
    <row r="1179">
      <c r="A1179" s="9" t="n">
        <v>38066</v>
      </c>
      <c r="B1179" s="7">
        <f>YEAR(A1179)</f>
        <v/>
      </c>
      <c r="C1179" s="7">
        <f>MONTH(A1179)</f>
        <v/>
      </c>
      <c r="D1179" s="10" t="n">
        <v>0</v>
      </c>
      <c r="E1179" s="11" t="n">
        <v>8.442355627</v>
      </c>
      <c r="F1179" s="12" t="n">
        <v>0</v>
      </c>
      <c r="G1179" s="11" t="n">
        <v>283.4908749</v>
      </c>
      <c r="H1179" s="13">
        <f>F1179*1000</f>
        <v/>
      </c>
      <c r="I1179" s="14">
        <f>G1179-273.15</f>
        <v/>
      </c>
      <c r="K1179" s="15" t="n">
        <v>2004</v>
      </c>
      <c r="L1179" s="15" t="n">
        <v>4</v>
      </c>
      <c r="M1179" s="15" t="n">
        <v>5</v>
      </c>
      <c r="N1179" s="16" t="n">
        <v>4.124059829e-05</v>
      </c>
      <c r="O1179" s="11" t="n">
        <v>290.6646893</v>
      </c>
      <c r="P1179" s="13">
        <f>N1179*86400</f>
        <v/>
      </c>
      <c r="Q1179" s="14">
        <f>O1179-273.15</f>
        <v/>
      </c>
    </row>
    <row r="1180">
      <c r="A1180" s="9" t="n">
        <v>38067</v>
      </c>
      <c r="B1180" s="7">
        <f>YEAR(A1180)</f>
        <v/>
      </c>
      <c r="C1180" s="7">
        <f>MONTH(A1180)</f>
        <v/>
      </c>
      <c r="D1180" s="10" t="n">
        <v>0</v>
      </c>
      <c r="E1180" s="11" t="n">
        <v>10.27325396</v>
      </c>
      <c r="F1180" s="12" t="n">
        <v>0</v>
      </c>
      <c r="G1180" s="11" t="n">
        <v>285.6992432</v>
      </c>
      <c r="H1180" s="13">
        <f>F1180*1000</f>
        <v/>
      </c>
      <c r="I1180" s="14">
        <f>G1180-273.15</f>
        <v/>
      </c>
      <c r="K1180" s="15" t="n">
        <v>2004</v>
      </c>
      <c r="L1180" s="15" t="n">
        <v>4</v>
      </c>
      <c r="M1180" s="15" t="n">
        <v>6</v>
      </c>
      <c r="N1180" s="16" t="n">
        <v>2.369969618e-05</v>
      </c>
      <c r="O1180" s="11" t="n">
        <v>286.8058004</v>
      </c>
      <c r="P1180" s="13">
        <f>N1180*86400</f>
        <v/>
      </c>
      <c r="Q1180" s="14">
        <f>O1180-273.15</f>
        <v/>
      </c>
    </row>
    <row r="1181">
      <c r="A1181" s="9" t="n">
        <v>38068</v>
      </c>
      <c r="B1181" s="7">
        <f>YEAR(A1181)</f>
        <v/>
      </c>
      <c r="C1181" s="7">
        <f>MONTH(A1181)</f>
        <v/>
      </c>
      <c r="D1181" s="10" t="n">
        <v>0</v>
      </c>
      <c r="E1181" s="11" t="n">
        <v>8.524820934999999</v>
      </c>
      <c r="F1181" s="12" t="n">
        <v>0</v>
      </c>
      <c r="G1181" s="11" t="n">
        <v>283.9911558</v>
      </c>
      <c r="H1181" s="13">
        <f>F1181*1000</f>
        <v/>
      </c>
      <c r="I1181" s="14">
        <f>G1181-273.15</f>
        <v/>
      </c>
      <c r="K1181" s="15" t="n">
        <v>2004</v>
      </c>
      <c r="L1181" s="15" t="n">
        <v>4</v>
      </c>
      <c r="M1181" s="15" t="n">
        <v>7</v>
      </c>
      <c r="N1181" s="16" t="n">
        <v>1.363417135e-05</v>
      </c>
      <c r="O1181" s="11" t="n">
        <v>287.3557229</v>
      </c>
      <c r="P1181" s="13">
        <f>N1181*86400</f>
        <v/>
      </c>
      <c r="Q1181" s="14">
        <f>O1181-273.15</f>
        <v/>
      </c>
    </row>
    <row r="1182">
      <c r="A1182" s="9" t="n">
        <v>38069</v>
      </c>
      <c r="B1182" s="7">
        <f>YEAR(A1182)</f>
        <v/>
      </c>
      <c r="C1182" s="7">
        <f>MONTH(A1182)</f>
        <v/>
      </c>
      <c r="D1182" s="10" t="n">
        <v>0</v>
      </c>
      <c r="E1182" s="11" t="n">
        <v>7.867285214</v>
      </c>
      <c r="F1182" s="12" t="n">
        <v>0</v>
      </c>
      <c r="G1182" s="11" t="n">
        <v>284.0351827</v>
      </c>
      <c r="H1182" s="13">
        <f>F1182*1000</f>
        <v/>
      </c>
      <c r="I1182" s="14">
        <f>G1182-273.15</f>
        <v/>
      </c>
      <c r="K1182" s="15" t="n">
        <v>2004</v>
      </c>
      <c r="L1182" s="15" t="n">
        <v>4</v>
      </c>
      <c r="M1182" s="15" t="n">
        <v>8</v>
      </c>
      <c r="N1182" s="16" t="n">
        <v>1.700545483e-05</v>
      </c>
      <c r="O1182" s="11" t="n">
        <v>288.4121558</v>
      </c>
      <c r="P1182" s="13">
        <f>N1182*86400</f>
        <v/>
      </c>
      <c r="Q1182" s="14">
        <f>O1182-273.15</f>
        <v/>
      </c>
    </row>
    <row r="1183">
      <c r="A1183" s="9" t="n">
        <v>38070</v>
      </c>
      <c r="B1183" s="7">
        <f>YEAR(A1183)</f>
        <v/>
      </c>
      <c r="C1183" s="7">
        <f>MONTH(A1183)</f>
        <v/>
      </c>
      <c r="D1183" s="10" t="n">
        <v>0</v>
      </c>
      <c r="E1183" s="11" t="n">
        <v>7.207470417</v>
      </c>
      <c r="F1183" s="12" t="n">
        <v>0.002062643306</v>
      </c>
      <c r="G1183" s="11" t="n">
        <v>283.459914</v>
      </c>
      <c r="H1183" s="13">
        <f>F1183*1000</f>
        <v/>
      </c>
      <c r="I1183" s="14">
        <f>G1183-273.15</f>
        <v/>
      </c>
      <c r="K1183" s="15" t="n">
        <v>2004</v>
      </c>
      <c r="L1183" s="15" t="n">
        <v>4</v>
      </c>
      <c r="M1183" s="15" t="n">
        <v>9</v>
      </c>
      <c r="N1183" s="16" t="n">
        <v>0.000115801927</v>
      </c>
      <c r="O1183" s="11" t="n">
        <v>289.7789061</v>
      </c>
      <c r="P1183" s="13">
        <f>N1183*86400</f>
        <v/>
      </c>
      <c r="Q1183" s="14">
        <f>O1183-273.15</f>
        <v/>
      </c>
    </row>
    <row r="1184">
      <c r="A1184" s="9" t="n">
        <v>38071</v>
      </c>
      <c r="B1184" s="7">
        <f>YEAR(A1184)</f>
        <v/>
      </c>
      <c r="C1184" s="7">
        <f>MONTH(A1184)</f>
        <v/>
      </c>
      <c r="D1184" s="10" t="n">
        <v>0</v>
      </c>
      <c r="E1184" s="11" t="n">
        <v>7.66247769</v>
      </c>
      <c r="F1184" s="12" t="n">
        <v>0</v>
      </c>
      <c r="G1184" s="11" t="n">
        <v>284.927412</v>
      </c>
      <c r="H1184" s="13">
        <f>F1184*1000</f>
        <v/>
      </c>
      <c r="I1184" s="14">
        <f>G1184-273.15</f>
        <v/>
      </c>
      <c r="K1184" s="15" t="n">
        <v>2004</v>
      </c>
      <c r="L1184" s="15" t="n">
        <v>4</v>
      </c>
      <c r="M1184" s="15" t="n">
        <v>10</v>
      </c>
      <c r="N1184" s="16" t="n">
        <v>0</v>
      </c>
      <c r="O1184" s="11" t="n">
        <v>288.9790736</v>
      </c>
      <c r="P1184" s="13">
        <f>N1184*86400</f>
        <v/>
      </c>
      <c r="Q1184" s="14">
        <f>O1184-273.15</f>
        <v/>
      </c>
    </row>
    <row r="1185">
      <c r="A1185" s="9" t="n">
        <v>38072</v>
      </c>
      <c r="B1185" s="7">
        <f>YEAR(A1185)</f>
        <v/>
      </c>
      <c r="C1185" s="7">
        <f>MONTH(A1185)</f>
        <v/>
      </c>
      <c r="D1185" s="10" t="n">
        <v>3.037198876</v>
      </c>
      <c r="E1185" s="11" t="n">
        <v>9.093937163</v>
      </c>
      <c r="F1185" s="12" t="n">
        <v>0.00816282122</v>
      </c>
      <c r="G1185" s="11" t="n">
        <v>286.0346652</v>
      </c>
      <c r="H1185" s="13">
        <f>F1185*1000</f>
        <v/>
      </c>
      <c r="I1185" s="14">
        <f>G1185-273.15</f>
        <v/>
      </c>
      <c r="K1185" s="15" t="n">
        <v>2004</v>
      </c>
      <c r="L1185" s="15" t="n">
        <v>4</v>
      </c>
      <c r="M1185" s="15" t="n">
        <v>11</v>
      </c>
      <c r="N1185" s="16" t="n">
        <v>0</v>
      </c>
      <c r="O1185" s="11" t="n">
        <v>290.4781719</v>
      </c>
      <c r="P1185" s="13">
        <f>N1185*86400</f>
        <v/>
      </c>
      <c r="Q1185" s="14">
        <f>O1185-273.15</f>
        <v/>
      </c>
    </row>
    <row r="1186">
      <c r="A1186" s="9" t="n">
        <v>38073</v>
      </c>
      <c r="B1186" s="7">
        <f>YEAR(A1186)</f>
        <v/>
      </c>
      <c r="C1186" s="7">
        <f>MONTH(A1186)</f>
        <v/>
      </c>
      <c r="D1186" s="10" t="n">
        <v>8.806406065999999</v>
      </c>
      <c r="E1186" s="11" t="n">
        <v>10.41542447</v>
      </c>
      <c r="F1186" s="12" t="n">
        <v>0.01295522604</v>
      </c>
      <c r="G1186" s="11" t="n">
        <v>286.7084988</v>
      </c>
      <c r="H1186" s="13">
        <f>F1186*1000</f>
        <v/>
      </c>
      <c r="I1186" s="14">
        <f>G1186-273.15</f>
        <v/>
      </c>
      <c r="K1186" s="15" t="n">
        <v>2004</v>
      </c>
      <c r="L1186" s="15" t="n">
        <v>4</v>
      </c>
      <c r="M1186" s="15" t="n">
        <v>12</v>
      </c>
      <c r="N1186" s="16" t="n">
        <v>0</v>
      </c>
      <c r="O1186" s="11" t="n">
        <v>289.7747475</v>
      </c>
      <c r="P1186" s="13">
        <f>N1186*86400</f>
        <v/>
      </c>
      <c r="Q1186" s="14">
        <f>O1186-273.15</f>
        <v/>
      </c>
    </row>
    <row r="1187">
      <c r="A1187" s="9" t="n">
        <v>38074</v>
      </c>
      <c r="B1187" s="7">
        <f>YEAR(A1187)</f>
        <v/>
      </c>
      <c r="C1187" s="7">
        <f>MONTH(A1187)</f>
        <v/>
      </c>
      <c r="D1187" s="10" t="n">
        <v>14.14173299</v>
      </c>
      <c r="E1187" s="11" t="n">
        <v>9.394668363999999</v>
      </c>
      <c r="F1187" s="12" t="n">
        <v>0.006482429365</v>
      </c>
      <c r="G1187" s="11" t="n">
        <v>286.0992933</v>
      </c>
      <c r="H1187" s="13">
        <f>F1187*1000</f>
        <v/>
      </c>
      <c r="I1187" s="14">
        <f>G1187-273.15</f>
        <v/>
      </c>
      <c r="K1187" s="15" t="n">
        <v>2004</v>
      </c>
      <c r="L1187" s="15" t="n">
        <v>4</v>
      </c>
      <c r="M1187" s="15" t="n">
        <v>13</v>
      </c>
      <c r="N1187" s="16" t="n">
        <v>0</v>
      </c>
      <c r="O1187" s="11" t="n">
        <v>288.4609011</v>
      </c>
      <c r="P1187" s="13">
        <f>N1187*86400</f>
        <v/>
      </c>
      <c r="Q1187" s="14">
        <f>O1187-273.15</f>
        <v/>
      </c>
    </row>
    <row r="1188">
      <c r="A1188" s="9" t="n">
        <v>38075</v>
      </c>
      <c r="B1188" s="7">
        <f>YEAR(A1188)</f>
        <v/>
      </c>
      <c r="C1188" s="7">
        <f>MONTH(A1188)</f>
        <v/>
      </c>
      <c r="D1188" s="10" t="n">
        <v>0</v>
      </c>
      <c r="E1188" s="11" t="n">
        <v>9.672987595</v>
      </c>
      <c r="F1188" s="12" t="n">
        <v>0</v>
      </c>
      <c r="G1188" s="11" t="n">
        <v>287.5333078</v>
      </c>
      <c r="H1188" s="13">
        <f>F1188*1000</f>
        <v/>
      </c>
      <c r="I1188" s="14">
        <f>G1188-273.15</f>
        <v/>
      </c>
      <c r="K1188" s="15" t="n">
        <v>2004</v>
      </c>
      <c r="L1188" s="15" t="n">
        <v>4</v>
      </c>
      <c r="M1188" s="15" t="n">
        <v>14</v>
      </c>
      <c r="N1188" s="16" t="n">
        <v>1.33844396e-06</v>
      </c>
      <c r="O1188" s="11" t="n">
        <v>289.1817373</v>
      </c>
      <c r="P1188" s="13">
        <f>N1188*86400</f>
        <v/>
      </c>
      <c r="Q1188" s="14">
        <f>O1188-273.15</f>
        <v/>
      </c>
    </row>
    <row r="1189">
      <c r="A1189" s="9" t="n">
        <v>38076</v>
      </c>
      <c r="B1189" s="7">
        <f>YEAR(A1189)</f>
        <v/>
      </c>
      <c r="C1189" s="7">
        <f>MONTH(A1189)</f>
        <v/>
      </c>
      <c r="D1189" s="10" t="n">
        <v>0</v>
      </c>
      <c r="E1189" s="11" t="n">
        <v>11.01530188</v>
      </c>
      <c r="F1189" s="12" t="n">
        <v>0.0001772353843</v>
      </c>
      <c r="G1189" s="11" t="n">
        <v>287.5884495</v>
      </c>
      <c r="H1189" s="13">
        <f>F1189*1000</f>
        <v/>
      </c>
      <c r="I1189" s="14">
        <f>G1189-273.15</f>
        <v/>
      </c>
      <c r="K1189" s="15" t="n">
        <v>2004</v>
      </c>
      <c r="L1189" s="15" t="n">
        <v>4</v>
      </c>
      <c r="M1189" s="15" t="n">
        <v>15</v>
      </c>
      <c r="N1189" s="16" t="n">
        <v>2.492643395e-07</v>
      </c>
      <c r="O1189" s="11" t="n">
        <v>288.6637409</v>
      </c>
      <c r="P1189" s="13">
        <f>N1189*86400</f>
        <v/>
      </c>
      <c r="Q1189" s="14">
        <f>O1189-273.15</f>
        <v/>
      </c>
    </row>
    <row r="1190">
      <c r="A1190" s="9" t="n">
        <v>38077</v>
      </c>
      <c r="B1190" s="7">
        <f>YEAR(A1190)</f>
        <v/>
      </c>
      <c r="C1190" s="7">
        <f>MONTH(A1190)</f>
        <v/>
      </c>
      <c r="D1190" s="10" t="n">
        <v>0</v>
      </c>
      <c r="E1190" s="11" t="n">
        <v>12.4509886</v>
      </c>
      <c r="F1190" s="12" t="n">
        <v>0</v>
      </c>
      <c r="G1190" s="11" t="n">
        <v>288.4317869</v>
      </c>
      <c r="H1190" s="13">
        <f>F1190*1000</f>
        <v/>
      </c>
      <c r="I1190" s="14">
        <f>G1190-273.15</f>
        <v/>
      </c>
      <c r="K1190" s="15" t="n">
        <v>2004</v>
      </c>
      <c r="L1190" s="15" t="n">
        <v>4</v>
      </c>
      <c r="M1190" s="15" t="n">
        <v>16</v>
      </c>
      <c r="N1190" s="16" t="n">
        <v>0</v>
      </c>
      <c r="O1190" s="11" t="n">
        <v>287.9495219</v>
      </c>
      <c r="P1190" s="13">
        <f>N1190*86400</f>
        <v/>
      </c>
      <c r="Q1190" s="14">
        <f>O1190-273.15</f>
        <v/>
      </c>
    </row>
    <row r="1191">
      <c r="A1191" s="9" t="n">
        <v>38078</v>
      </c>
      <c r="B1191" s="7">
        <f>YEAR(A1191)</f>
        <v/>
      </c>
      <c r="C1191" s="7">
        <f>MONTH(A1191)</f>
        <v/>
      </c>
      <c r="D1191" s="10" t="n">
        <v>0</v>
      </c>
      <c r="E1191" s="11" t="n">
        <v>11.72550126</v>
      </c>
      <c r="F1191" s="12" t="n">
        <v>0</v>
      </c>
      <c r="G1191" s="11" t="n">
        <v>287.4940232</v>
      </c>
      <c r="H1191" s="13">
        <f>F1191*1000</f>
        <v/>
      </c>
      <c r="I1191" s="14">
        <f>G1191-273.15</f>
        <v/>
      </c>
      <c r="K1191" s="15" t="n">
        <v>2004</v>
      </c>
      <c r="L1191" s="15" t="n">
        <v>4</v>
      </c>
      <c r="M1191" s="15" t="n">
        <v>17</v>
      </c>
      <c r="N1191" s="16" t="n">
        <v>7.404427446e-07</v>
      </c>
      <c r="O1191" s="11" t="n">
        <v>289.2169231</v>
      </c>
      <c r="P1191" s="13">
        <f>N1191*86400</f>
        <v/>
      </c>
      <c r="Q1191" s="14">
        <f>O1191-273.15</f>
        <v/>
      </c>
    </row>
    <row r="1192">
      <c r="A1192" s="9" t="n">
        <v>38079</v>
      </c>
      <c r="B1192" s="7">
        <f>YEAR(A1192)</f>
        <v/>
      </c>
      <c r="C1192" s="7">
        <f>MONTH(A1192)</f>
        <v/>
      </c>
      <c r="D1192" s="10" t="n">
        <v>0</v>
      </c>
      <c r="E1192" s="11" t="n">
        <v>12.55688419</v>
      </c>
      <c r="F1192" s="12" t="n">
        <v>0</v>
      </c>
      <c r="G1192" s="11" t="n">
        <v>288.5595562</v>
      </c>
      <c r="H1192" s="13">
        <f>F1192*1000</f>
        <v/>
      </c>
      <c r="I1192" s="14">
        <f>G1192-273.15</f>
        <v/>
      </c>
      <c r="K1192" s="15" t="n">
        <v>2004</v>
      </c>
      <c r="L1192" s="15" t="n">
        <v>4</v>
      </c>
      <c r="M1192" s="15" t="n">
        <v>18</v>
      </c>
      <c r="N1192" s="16" t="n">
        <v>3.176908336e-05</v>
      </c>
      <c r="O1192" s="11" t="n">
        <v>288.9229838</v>
      </c>
      <c r="P1192" s="13">
        <f>N1192*86400</f>
        <v/>
      </c>
      <c r="Q1192" s="14">
        <f>O1192-273.15</f>
        <v/>
      </c>
    </row>
    <row r="1193">
      <c r="A1193" s="9" t="n">
        <v>38080</v>
      </c>
      <c r="B1193" s="7">
        <f>YEAR(A1193)</f>
        <v/>
      </c>
      <c r="C1193" s="7">
        <f>MONTH(A1193)</f>
        <v/>
      </c>
      <c r="D1193" s="10" t="n">
        <v>0</v>
      </c>
      <c r="E1193" s="11" t="n">
        <v>14.01162229</v>
      </c>
      <c r="F1193" s="12" t="n">
        <v>0</v>
      </c>
      <c r="G1193" s="11" t="n">
        <v>289.923385</v>
      </c>
      <c r="H1193" s="13">
        <f>F1193*1000</f>
        <v/>
      </c>
      <c r="I1193" s="14">
        <f>G1193-273.15</f>
        <v/>
      </c>
      <c r="K1193" s="15" t="n">
        <v>2004</v>
      </c>
      <c r="L1193" s="15" t="n">
        <v>4</v>
      </c>
      <c r="M1193" s="15" t="n">
        <v>19</v>
      </c>
      <c r="N1193" s="16" t="n">
        <v>1.178526351e-07</v>
      </c>
      <c r="O1193" s="11" t="n">
        <v>289.200891</v>
      </c>
      <c r="P1193" s="13">
        <f>N1193*86400</f>
        <v/>
      </c>
      <c r="Q1193" s="14">
        <f>O1193-273.15</f>
        <v/>
      </c>
    </row>
    <row r="1194">
      <c r="A1194" s="9" t="n">
        <v>38081</v>
      </c>
      <c r="B1194" s="7">
        <f>YEAR(A1194)</f>
        <v/>
      </c>
      <c r="C1194" s="7">
        <f>MONTH(A1194)</f>
        <v/>
      </c>
      <c r="D1194" s="10" t="n">
        <v>0</v>
      </c>
      <c r="E1194" s="11" t="n">
        <v>13.59324557</v>
      </c>
      <c r="F1194" s="12" t="n">
        <v>0</v>
      </c>
      <c r="G1194" s="11" t="n">
        <v>288.9439684</v>
      </c>
      <c r="H1194" s="13">
        <f>F1194*1000</f>
        <v/>
      </c>
      <c r="I1194" s="14">
        <f>G1194-273.15</f>
        <v/>
      </c>
      <c r="K1194" s="15" t="n">
        <v>2004</v>
      </c>
      <c r="L1194" s="15" t="n">
        <v>4</v>
      </c>
      <c r="M1194" s="15" t="n">
        <v>20</v>
      </c>
      <c r="N1194" s="16" t="n">
        <v>1.385495925e-05</v>
      </c>
      <c r="O1194" s="11" t="n">
        <v>287.206299</v>
      </c>
      <c r="P1194" s="13">
        <f>N1194*86400</f>
        <v/>
      </c>
      <c r="Q1194" s="14">
        <f>O1194-273.15</f>
        <v/>
      </c>
    </row>
    <row r="1195">
      <c r="A1195" s="9" t="n">
        <v>38082</v>
      </c>
      <c r="B1195" s="7">
        <f>YEAR(A1195)</f>
        <v/>
      </c>
      <c r="C1195" s="7">
        <f>MONTH(A1195)</f>
        <v/>
      </c>
      <c r="D1195" s="10" t="n">
        <v>0</v>
      </c>
      <c r="E1195" s="11" t="n">
        <v>12.09587898</v>
      </c>
      <c r="F1195" s="12" t="n">
        <v>0</v>
      </c>
      <c r="G1195" s="11" t="n">
        <v>287.3547874</v>
      </c>
      <c r="H1195" s="13">
        <f>F1195*1000</f>
        <v/>
      </c>
      <c r="I1195" s="14">
        <f>G1195-273.15</f>
        <v/>
      </c>
      <c r="K1195" s="15" t="n">
        <v>2004</v>
      </c>
      <c r="L1195" s="15" t="n">
        <v>4</v>
      </c>
      <c r="M1195" s="15" t="n">
        <v>21</v>
      </c>
      <c r="N1195" s="16" t="n">
        <v>2.741075491e-06</v>
      </c>
      <c r="O1195" s="11" t="n">
        <v>287.3969502</v>
      </c>
      <c r="P1195" s="13">
        <f>N1195*86400</f>
        <v/>
      </c>
      <c r="Q1195" s="14">
        <f>O1195-273.15</f>
        <v/>
      </c>
    </row>
    <row r="1196">
      <c r="A1196" s="9" t="n">
        <v>38083</v>
      </c>
      <c r="B1196" s="7">
        <f>YEAR(A1196)</f>
        <v/>
      </c>
      <c r="C1196" s="7">
        <f>MONTH(A1196)</f>
        <v/>
      </c>
      <c r="D1196" s="10" t="n">
        <v>0</v>
      </c>
      <c r="E1196" s="11" t="n">
        <v>10.75864398</v>
      </c>
      <c r="F1196" s="12" t="n">
        <v>0</v>
      </c>
      <c r="G1196" s="11" t="n">
        <v>286.7912843</v>
      </c>
      <c r="H1196" s="13">
        <f>F1196*1000</f>
        <v/>
      </c>
      <c r="I1196" s="14">
        <f>G1196-273.15</f>
        <v/>
      </c>
      <c r="K1196" s="15" t="n">
        <v>2004</v>
      </c>
      <c r="L1196" s="15" t="n">
        <v>4</v>
      </c>
      <c r="M1196" s="15" t="n">
        <v>22</v>
      </c>
      <c r="N1196" s="16" t="n">
        <v>3.55330575e-05</v>
      </c>
      <c r="O1196" s="11" t="n">
        <v>290.551693</v>
      </c>
      <c r="P1196" s="13">
        <f>N1196*86400</f>
        <v/>
      </c>
      <c r="Q1196" s="14">
        <f>O1196-273.15</f>
        <v/>
      </c>
    </row>
    <row r="1197">
      <c r="A1197" s="9" t="n">
        <v>38084</v>
      </c>
      <c r="B1197" s="7">
        <f>YEAR(A1197)</f>
        <v/>
      </c>
      <c r="C1197" s="7">
        <f>MONTH(A1197)</f>
        <v/>
      </c>
      <c r="D1197" s="10" t="n">
        <v>0</v>
      </c>
      <c r="E1197" s="11" t="n">
        <v>12.14849989</v>
      </c>
      <c r="F1197" s="12" t="n">
        <v>0.002157492417</v>
      </c>
      <c r="G1197" s="11" t="n">
        <v>287.603196</v>
      </c>
      <c r="H1197" s="13">
        <f>F1197*1000</f>
        <v/>
      </c>
      <c r="I1197" s="14">
        <f>G1197-273.15</f>
        <v/>
      </c>
      <c r="K1197" s="15" t="n">
        <v>2004</v>
      </c>
      <c r="L1197" s="15" t="n">
        <v>4</v>
      </c>
      <c r="M1197" s="15" t="n">
        <v>23</v>
      </c>
      <c r="N1197" s="16" t="n">
        <v>8.625636165e-06</v>
      </c>
      <c r="O1197" s="11" t="n">
        <v>290.2378725</v>
      </c>
      <c r="P1197" s="13">
        <f>N1197*86400</f>
        <v/>
      </c>
      <c r="Q1197" s="14">
        <f>O1197-273.15</f>
        <v/>
      </c>
    </row>
    <row r="1198">
      <c r="A1198" s="9" t="n">
        <v>38085</v>
      </c>
      <c r="B1198" s="7">
        <f>YEAR(A1198)</f>
        <v/>
      </c>
      <c r="C1198" s="7">
        <f>MONTH(A1198)</f>
        <v/>
      </c>
      <c r="D1198" s="10" t="n">
        <v>0</v>
      </c>
      <c r="E1198" s="11" t="n">
        <v>12.2625595</v>
      </c>
      <c r="F1198" s="12" t="n">
        <v>0.0003048443698</v>
      </c>
      <c r="G1198" s="11" t="n">
        <v>288.2868025</v>
      </c>
      <c r="H1198" s="13">
        <f>F1198*1000</f>
        <v/>
      </c>
      <c r="I1198" s="14">
        <f>G1198-273.15</f>
        <v/>
      </c>
      <c r="K1198" s="15" t="n">
        <v>2004</v>
      </c>
      <c r="L1198" s="15" t="n">
        <v>4</v>
      </c>
      <c r="M1198" s="15" t="n">
        <v>24</v>
      </c>
      <c r="N1198" s="16" t="n">
        <v>2.737624969e-06</v>
      </c>
      <c r="O1198" s="11" t="n">
        <v>290.6395155</v>
      </c>
      <c r="P1198" s="13">
        <f>N1198*86400</f>
        <v/>
      </c>
      <c r="Q1198" s="14">
        <f>O1198-273.15</f>
        <v/>
      </c>
    </row>
    <row r="1199">
      <c r="A1199" s="9" t="n">
        <v>38086</v>
      </c>
      <c r="B1199" s="7">
        <f>YEAR(A1199)</f>
        <v/>
      </c>
      <c r="C1199" s="7">
        <f>MONTH(A1199)</f>
        <v/>
      </c>
      <c r="D1199" s="10" t="n">
        <v>0</v>
      </c>
      <c r="E1199" s="11" t="n">
        <v>10.20855089</v>
      </c>
      <c r="F1199" s="12" t="n">
        <v>0.0002522532576</v>
      </c>
      <c r="G1199" s="11" t="n">
        <v>286.5960734</v>
      </c>
      <c r="H1199" s="13">
        <f>F1199*1000</f>
        <v/>
      </c>
      <c r="I1199" s="14">
        <f>G1199-273.15</f>
        <v/>
      </c>
      <c r="K1199" s="15" t="n">
        <v>2004</v>
      </c>
      <c r="L1199" s="15" t="n">
        <v>4</v>
      </c>
      <c r="M1199" s="15" t="n">
        <v>25</v>
      </c>
      <c r="N1199" s="16" t="n">
        <v>4.167099435e-05</v>
      </c>
      <c r="O1199" s="11" t="n">
        <v>292.2738769</v>
      </c>
      <c r="P1199" s="13">
        <f>N1199*86400</f>
        <v/>
      </c>
      <c r="Q1199" s="14">
        <f>O1199-273.15</f>
        <v/>
      </c>
    </row>
    <row r="1200">
      <c r="A1200" s="9" t="n">
        <v>38087</v>
      </c>
      <c r="B1200" s="7">
        <f>YEAR(A1200)</f>
        <v/>
      </c>
      <c r="C1200" s="7">
        <f>MONTH(A1200)</f>
        <v/>
      </c>
      <c r="D1200" s="10" t="n">
        <v>0</v>
      </c>
      <c r="E1200" s="11" t="n">
        <v>13.41124886</v>
      </c>
      <c r="F1200" s="12" t="n">
        <v>0</v>
      </c>
      <c r="G1200" s="11" t="n">
        <v>288.9860094</v>
      </c>
      <c r="H1200" s="13">
        <f>F1200*1000</f>
        <v/>
      </c>
      <c r="I1200" s="14">
        <f>G1200-273.15</f>
        <v/>
      </c>
      <c r="K1200" s="15" t="n">
        <v>2004</v>
      </c>
      <c r="L1200" s="15" t="n">
        <v>4</v>
      </c>
      <c r="M1200" s="15" t="n">
        <v>26</v>
      </c>
      <c r="N1200" s="16" t="n">
        <v>4.566927391e-07</v>
      </c>
      <c r="O1200" s="11" t="n">
        <v>290.0814845</v>
      </c>
      <c r="P1200" s="13">
        <f>N1200*86400</f>
        <v/>
      </c>
      <c r="Q1200" s="14">
        <f>O1200-273.15</f>
        <v/>
      </c>
    </row>
    <row r="1201">
      <c r="A1201" s="9" t="n">
        <v>38088</v>
      </c>
      <c r="B1201" s="7">
        <f>YEAR(A1201)</f>
        <v/>
      </c>
      <c r="C1201" s="7">
        <f>MONTH(A1201)</f>
        <v/>
      </c>
      <c r="D1201" s="10" t="n">
        <v>8.520567584</v>
      </c>
      <c r="E1201" s="11" t="n">
        <v>14.87350196</v>
      </c>
      <c r="F1201" s="12" t="n">
        <v>0</v>
      </c>
      <c r="G1201" s="11" t="n">
        <v>290.3882839</v>
      </c>
      <c r="H1201" s="13">
        <f>F1201*1000</f>
        <v/>
      </c>
      <c r="I1201" s="14">
        <f>G1201-273.15</f>
        <v/>
      </c>
      <c r="K1201" s="15" t="n">
        <v>2004</v>
      </c>
      <c r="L1201" s="15" t="n">
        <v>4</v>
      </c>
      <c r="M1201" s="15" t="n">
        <v>27</v>
      </c>
      <c r="N1201" s="16" t="n">
        <v>5.920242537e-06</v>
      </c>
      <c r="O1201" s="11" t="n">
        <v>289.4950033</v>
      </c>
      <c r="P1201" s="13">
        <f>N1201*86400</f>
        <v/>
      </c>
      <c r="Q1201" s="14">
        <f>O1201-273.15</f>
        <v/>
      </c>
    </row>
    <row r="1202">
      <c r="A1202" s="9" t="n">
        <v>38089</v>
      </c>
      <c r="B1202" s="7">
        <f>YEAR(A1202)</f>
        <v/>
      </c>
      <c r="C1202" s="7">
        <f>MONTH(A1202)</f>
        <v/>
      </c>
      <c r="D1202" s="10" t="n">
        <v>6.954028064</v>
      </c>
      <c r="E1202" s="11" t="n">
        <v>13.29677234</v>
      </c>
      <c r="F1202" s="12" t="n">
        <v>0.004153290354</v>
      </c>
      <c r="G1202" s="11" t="n">
        <v>289.0982278</v>
      </c>
      <c r="H1202" s="13">
        <f>F1202*1000</f>
        <v/>
      </c>
      <c r="I1202" s="14">
        <f>G1202-273.15</f>
        <v/>
      </c>
      <c r="K1202" s="15" t="n">
        <v>2004</v>
      </c>
      <c r="L1202" s="15" t="n">
        <v>4</v>
      </c>
      <c r="M1202" s="15" t="n">
        <v>28</v>
      </c>
      <c r="N1202" s="16" t="n">
        <v>0</v>
      </c>
      <c r="O1202" s="11" t="n">
        <v>289.2210096</v>
      </c>
      <c r="P1202" s="13">
        <f>N1202*86400</f>
        <v/>
      </c>
      <c r="Q1202" s="14">
        <f>O1202-273.15</f>
        <v/>
      </c>
    </row>
    <row r="1203">
      <c r="A1203" s="9" t="n">
        <v>38090</v>
      </c>
      <c r="B1203" s="7">
        <f>YEAR(A1203)</f>
        <v/>
      </c>
      <c r="C1203" s="7">
        <f>MONTH(A1203)</f>
        <v/>
      </c>
      <c r="D1203" s="10" t="n">
        <v>0</v>
      </c>
      <c r="E1203" s="11" t="n">
        <v>12.18391733</v>
      </c>
      <c r="F1203" s="12" t="n">
        <v>0</v>
      </c>
      <c r="G1203" s="11" t="n">
        <v>288.3777875</v>
      </c>
      <c r="H1203" s="13">
        <f>F1203*1000</f>
        <v/>
      </c>
      <c r="I1203" s="14">
        <f>G1203-273.15</f>
        <v/>
      </c>
      <c r="K1203" s="15" t="n">
        <v>2004</v>
      </c>
      <c r="L1203" s="15" t="n">
        <v>4</v>
      </c>
      <c r="M1203" s="15" t="n">
        <v>29</v>
      </c>
      <c r="N1203" s="16" t="n">
        <v>1.285651703e-07</v>
      </c>
      <c r="O1203" s="11" t="n">
        <v>290.1554427</v>
      </c>
      <c r="P1203" s="13">
        <f>N1203*86400</f>
        <v/>
      </c>
      <c r="Q1203" s="14">
        <f>O1203-273.15</f>
        <v/>
      </c>
    </row>
    <row r="1204">
      <c r="A1204" s="9" t="n">
        <v>38091</v>
      </c>
      <c r="B1204" s="7">
        <f>YEAR(A1204)</f>
        <v/>
      </c>
      <c r="C1204" s="7">
        <f>MONTH(A1204)</f>
        <v/>
      </c>
      <c r="D1204" s="10" t="n">
        <v>0</v>
      </c>
      <c r="E1204" s="11" t="n">
        <v>13.22894967</v>
      </c>
      <c r="F1204" s="12" t="n">
        <v>0.0005860187901</v>
      </c>
      <c r="G1204" s="11" t="n">
        <v>288.7769356</v>
      </c>
      <c r="H1204" s="13">
        <f>F1204*1000</f>
        <v/>
      </c>
      <c r="I1204" s="14">
        <f>G1204-273.15</f>
        <v/>
      </c>
      <c r="K1204" s="15" t="n">
        <v>2004</v>
      </c>
      <c r="L1204" s="15" t="n">
        <v>4</v>
      </c>
      <c r="M1204" s="15" t="n">
        <v>30</v>
      </c>
      <c r="N1204" s="16" t="n">
        <v>1.612703007e-05</v>
      </c>
      <c r="O1204" s="11" t="n">
        <v>290.1377066</v>
      </c>
      <c r="P1204" s="13">
        <f>N1204*86400</f>
        <v/>
      </c>
      <c r="Q1204" s="14">
        <f>O1204-273.15</f>
        <v/>
      </c>
    </row>
    <row r="1205">
      <c r="A1205" s="9" t="n">
        <v>38092</v>
      </c>
      <c r="B1205" s="7">
        <f>YEAR(A1205)</f>
        <v/>
      </c>
      <c r="C1205" s="7">
        <f>MONTH(A1205)</f>
        <v/>
      </c>
      <c r="D1205" s="10" t="n">
        <v>0</v>
      </c>
      <c r="E1205" s="11" t="n">
        <v>13.26466837</v>
      </c>
      <c r="F1205" s="12" t="n">
        <v>0</v>
      </c>
      <c r="G1205" s="11" t="n">
        <v>288.3376596</v>
      </c>
      <c r="H1205" s="13">
        <f>F1205*1000</f>
        <v/>
      </c>
      <c r="I1205" s="14">
        <f>G1205-273.15</f>
        <v/>
      </c>
      <c r="K1205" s="15" t="n">
        <v>2004</v>
      </c>
      <c r="L1205" s="15" t="n">
        <v>5</v>
      </c>
      <c r="M1205" s="15" t="n">
        <v>1</v>
      </c>
      <c r="N1205" s="16" t="n">
        <v>0</v>
      </c>
      <c r="O1205" s="11" t="n">
        <v>290.0713873</v>
      </c>
      <c r="P1205" s="13">
        <f>N1205*86400</f>
        <v/>
      </c>
      <c r="Q1205" s="14">
        <f>O1205-273.15</f>
        <v/>
      </c>
    </row>
    <row r="1206">
      <c r="A1206" s="9" t="n">
        <v>38093</v>
      </c>
      <c r="B1206" s="7">
        <f>YEAR(A1206)</f>
        <v/>
      </c>
      <c r="C1206" s="7">
        <f>MONTH(A1206)</f>
        <v/>
      </c>
      <c r="D1206" s="10" t="n">
        <v>0</v>
      </c>
      <c r="E1206" s="11" t="n">
        <v>12.9634371</v>
      </c>
      <c r="F1206" s="12" t="n">
        <v>0</v>
      </c>
      <c r="G1206" s="11" t="n">
        <v>287.5776231</v>
      </c>
      <c r="H1206" s="13">
        <f>F1206*1000</f>
        <v/>
      </c>
      <c r="I1206" s="14">
        <f>G1206-273.15</f>
        <v/>
      </c>
      <c r="K1206" s="15" t="n">
        <v>2004</v>
      </c>
      <c r="L1206" s="15" t="n">
        <v>5</v>
      </c>
      <c r="M1206" s="15" t="n">
        <v>2</v>
      </c>
      <c r="N1206" s="16" t="n">
        <v>3.035165308e-05</v>
      </c>
      <c r="O1206" s="11" t="n">
        <v>292.3364494</v>
      </c>
      <c r="P1206" s="13">
        <f>N1206*86400</f>
        <v/>
      </c>
      <c r="Q1206" s="14">
        <f>O1206-273.15</f>
        <v/>
      </c>
    </row>
    <row r="1207">
      <c r="A1207" s="9" t="n">
        <v>38094</v>
      </c>
      <c r="B1207" s="7">
        <f>YEAR(A1207)</f>
        <v/>
      </c>
      <c r="C1207" s="7">
        <f>MONTH(A1207)</f>
        <v/>
      </c>
      <c r="D1207" s="10" t="n">
        <v>0</v>
      </c>
      <c r="E1207" s="11" t="n">
        <v>16.33398566</v>
      </c>
      <c r="F1207" s="12" t="n">
        <v>0</v>
      </c>
      <c r="G1207" s="11" t="n">
        <v>290.904802</v>
      </c>
      <c r="H1207" s="13">
        <f>F1207*1000</f>
        <v/>
      </c>
      <c r="I1207" s="14">
        <f>G1207-273.15</f>
        <v/>
      </c>
      <c r="K1207" s="15" t="n">
        <v>2004</v>
      </c>
      <c r="L1207" s="15" t="n">
        <v>5</v>
      </c>
      <c r="M1207" s="15" t="n">
        <v>3</v>
      </c>
      <c r="N1207" s="16" t="n">
        <v>0</v>
      </c>
      <c r="O1207" s="11" t="n">
        <v>291.014519</v>
      </c>
      <c r="P1207" s="13">
        <f>N1207*86400</f>
        <v/>
      </c>
      <c r="Q1207" s="14">
        <f>O1207-273.15</f>
        <v/>
      </c>
    </row>
    <row r="1208">
      <c r="A1208" s="9" t="n">
        <v>38095</v>
      </c>
      <c r="B1208" s="7">
        <f>YEAR(A1208)</f>
        <v/>
      </c>
      <c r="C1208" s="7">
        <f>MONTH(A1208)</f>
        <v/>
      </c>
      <c r="D1208" s="10" t="n">
        <v>0</v>
      </c>
      <c r="E1208" s="11" t="n">
        <v>14.65400701</v>
      </c>
      <c r="F1208" s="12" t="n">
        <v>0</v>
      </c>
      <c r="G1208" s="11" t="n">
        <v>289.6161511</v>
      </c>
      <c r="H1208" s="13">
        <f>F1208*1000</f>
        <v/>
      </c>
      <c r="I1208" s="14">
        <f>G1208-273.15</f>
        <v/>
      </c>
      <c r="K1208" s="15" t="n">
        <v>2004</v>
      </c>
      <c r="L1208" s="15" t="n">
        <v>5</v>
      </c>
      <c r="M1208" s="15" t="n">
        <v>4</v>
      </c>
      <c r="N1208" s="16" t="n">
        <v>5.901621142e-07</v>
      </c>
      <c r="O1208" s="11" t="n">
        <v>291.5017784</v>
      </c>
      <c r="P1208" s="13">
        <f>N1208*86400</f>
        <v/>
      </c>
      <c r="Q1208" s="14">
        <f>O1208-273.15</f>
        <v/>
      </c>
    </row>
    <row r="1209">
      <c r="A1209" s="9" t="n">
        <v>38096</v>
      </c>
      <c r="B1209" s="7">
        <f>YEAR(A1209)</f>
        <v/>
      </c>
      <c r="C1209" s="7">
        <f>MONTH(A1209)</f>
        <v/>
      </c>
      <c r="D1209" s="10" t="n">
        <v>0</v>
      </c>
      <c r="E1209" s="11" t="n">
        <v>13.39653224</v>
      </c>
      <c r="F1209" s="12" t="n">
        <v>0</v>
      </c>
      <c r="G1209" s="11" t="n">
        <v>289.4755693</v>
      </c>
      <c r="H1209" s="13">
        <f>F1209*1000</f>
        <v/>
      </c>
      <c r="I1209" s="14">
        <f>G1209-273.15</f>
        <v/>
      </c>
      <c r="K1209" s="15" t="n">
        <v>2004</v>
      </c>
      <c r="L1209" s="15" t="n">
        <v>5</v>
      </c>
      <c r="M1209" s="15" t="n">
        <v>5</v>
      </c>
      <c r="N1209" s="16" t="n">
        <v>0</v>
      </c>
      <c r="O1209" s="11" t="n">
        <v>290.5501034</v>
      </c>
      <c r="P1209" s="13">
        <f>N1209*86400</f>
        <v/>
      </c>
      <c r="Q1209" s="14">
        <f>O1209-273.15</f>
        <v/>
      </c>
    </row>
    <row r="1210">
      <c r="A1210" s="9" t="n">
        <v>38097</v>
      </c>
      <c r="B1210" s="7">
        <f>YEAR(A1210)</f>
        <v/>
      </c>
      <c r="C1210" s="7">
        <f>MONTH(A1210)</f>
        <v/>
      </c>
      <c r="D1210" s="10" t="n">
        <v>0</v>
      </c>
      <c r="E1210" s="11" t="n">
        <v>13.23706482</v>
      </c>
      <c r="F1210" s="12" t="n">
        <v>0.0004485996952</v>
      </c>
      <c r="G1210" s="11" t="n">
        <v>289.1254505</v>
      </c>
      <c r="H1210" s="13">
        <f>F1210*1000</f>
        <v/>
      </c>
      <c r="I1210" s="14">
        <f>G1210-273.15</f>
        <v/>
      </c>
      <c r="K1210" s="15" t="n">
        <v>2004</v>
      </c>
      <c r="L1210" s="15" t="n">
        <v>5</v>
      </c>
      <c r="M1210" s="15" t="n">
        <v>6</v>
      </c>
      <c r="N1210" s="16" t="n">
        <v>1.883470338e-07</v>
      </c>
      <c r="O1210" s="11" t="n">
        <v>291.2999482</v>
      </c>
      <c r="P1210" s="13">
        <f>N1210*86400</f>
        <v/>
      </c>
      <c r="Q1210" s="14">
        <f>O1210-273.15</f>
        <v/>
      </c>
    </row>
    <row r="1211">
      <c r="A1211" s="9" t="n">
        <v>38098</v>
      </c>
      <c r="B1211" s="7">
        <f>YEAR(A1211)</f>
        <v/>
      </c>
      <c r="C1211" s="7">
        <f>MONTH(A1211)</f>
        <v/>
      </c>
      <c r="D1211" s="10" t="n">
        <v>0</v>
      </c>
      <c r="E1211" s="11" t="n">
        <v>13.81830349</v>
      </c>
      <c r="F1211" s="12" t="n">
        <v>0.009252204411</v>
      </c>
      <c r="G1211" s="11" t="n">
        <v>289.6906317</v>
      </c>
      <c r="H1211" s="13">
        <f>F1211*1000</f>
        <v/>
      </c>
      <c r="I1211" s="14">
        <f>G1211-273.15</f>
        <v/>
      </c>
      <c r="K1211" s="15" t="n">
        <v>2004</v>
      </c>
      <c r="L1211" s="15" t="n">
        <v>5</v>
      </c>
      <c r="M1211" s="15" t="n">
        <v>7</v>
      </c>
      <c r="N1211" s="16" t="n">
        <v>1.271223048e-05</v>
      </c>
      <c r="O1211" s="11" t="n">
        <v>289.9985692</v>
      </c>
      <c r="P1211" s="13">
        <f>N1211*86400</f>
        <v/>
      </c>
      <c r="Q1211" s="14">
        <f>O1211-273.15</f>
        <v/>
      </c>
    </row>
    <row r="1212">
      <c r="A1212" s="9" t="n">
        <v>38099</v>
      </c>
      <c r="B1212" s="7">
        <f>YEAR(A1212)</f>
        <v/>
      </c>
      <c r="C1212" s="7">
        <f>MONTH(A1212)</f>
        <v/>
      </c>
      <c r="D1212" s="10" t="n">
        <v>0</v>
      </c>
      <c r="E1212" s="11" t="n">
        <v>12.69272798</v>
      </c>
      <c r="F1212" s="12" t="n">
        <v>0</v>
      </c>
      <c r="G1212" s="11" t="n">
        <v>290.1301842</v>
      </c>
      <c r="H1212" s="13">
        <f>F1212*1000</f>
        <v/>
      </c>
      <c r="I1212" s="14">
        <f>G1212-273.15</f>
        <v/>
      </c>
      <c r="K1212" s="15" t="n">
        <v>2004</v>
      </c>
      <c r="L1212" s="15" t="n">
        <v>5</v>
      </c>
      <c r="M1212" s="15" t="n">
        <v>8</v>
      </c>
      <c r="N1212" s="16" t="n">
        <v>0</v>
      </c>
      <c r="O1212" s="11" t="n">
        <v>290.6487275</v>
      </c>
      <c r="P1212" s="13">
        <f>N1212*86400</f>
        <v/>
      </c>
      <c r="Q1212" s="14">
        <f>O1212-273.15</f>
        <v/>
      </c>
    </row>
    <row r="1213">
      <c r="A1213" s="9" t="n">
        <v>38100</v>
      </c>
      <c r="B1213" s="7">
        <f>YEAR(A1213)</f>
        <v/>
      </c>
      <c r="C1213" s="7">
        <f>MONTH(A1213)</f>
        <v/>
      </c>
      <c r="D1213" s="10" t="n">
        <v>0</v>
      </c>
      <c r="E1213" s="11" t="n">
        <v>12.66510494</v>
      </c>
      <c r="F1213" s="12" t="n">
        <v>0</v>
      </c>
      <c r="G1213" s="11" t="n">
        <v>289.7034009</v>
      </c>
      <c r="H1213" s="13">
        <f>F1213*1000</f>
        <v/>
      </c>
      <c r="I1213" s="14">
        <f>G1213-273.15</f>
        <v/>
      </c>
      <c r="K1213" s="15" t="n">
        <v>2004</v>
      </c>
      <c r="L1213" s="15" t="n">
        <v>5</v>
      </c>
      <c r="M1213" s="15" t="n">
        <v>9</v>
      </c>
      <c r="N1213" s="16" t="n">
        <v>0</v>
      </c>
      <c r="O1213" s="11" t="n">
        <v>293.2582282</v>
      </c>
      <c r="P1213" s="13">
        <f>N1213*86400</f>
        <v/>
      </c>
      <c r="Q1213" s="14">
        <f>O1213-273.15</f>
        <v/>
      </c>
    </row>
    <row r="1214">
      <c r="A1214" s="9" t="n">
        <v>38101</v>
      </c>
      <c r="B1214" s="7">
        <f>YEAR(A1214)</f>
        <v/>
      </c>
      <c r="C1214" s="7">
        <f>MONTH(A1214)</f>
        <v/>
      </c>
      <c r="D1214" s="10" t="n">
        <v>0</v>
      </c>
      <c r="E1214" s="11" t="n">
        <v>12.65693223</v>
      </c>
      <c r="F1214" s="12" t="n">
        <v>0</v>
      </c>
      <c r="G1214" s="11" t="n">
        <v>289.8310553</v>
      </c>
      <c r="H1214" s="13">
        <f>F1214*1000</f>
        <v/>
      </c>
      <c r="I1214" s="14">
        <f>G1214-273.15</f>
        <v/>
      </c>
      <c r="K1214" s="15" t="n">
        <v>2004</v>
      </c>
      <c r="L1214" s="15" t="n">
        <v>5</v>
      </c>
      <c r="M1214" s="15" t="n">
        <v>10</v>
      </c>
      <c r="N1214" s="16" t="n">
        <v>0</v>
      </c>
      <c r="O1214" s="11" t="n">
        <v>294.5037727</v>
      </c>
      <c r="P1214" s="13">
        <f>N1214*86400</f>
        <v/>
      </c>
      <c r="Q1214" s="14">
        <f>O1214-273.15</f>
        <v/>
      </c>
    </row>
    <row r="1215">
      <c r="A1215" s="9" t="n">
        <v>38102</v>
      </c>
      <c r="B1215" s="7">
        <f>YEAR(A1215)</f>
        <v/>
      </c>
      <c r="C1215" s="7">
        <f>MONTH(A1215)</f>
        <v/>
      </c>
      <c r="D1215" s="10" t="n">
        <v>0</v>
      </c>
      <c r="E1215" s="11" t="n">
        <v>13.89325851</v>
      </c>
      <c r="F1215" s="12" t="n">
        <v>0</v>
      </c>
      <c r="G1215" s="11" t="n">
        <v>290.4602448</v>
      </c>
      <c r="H1215" s="13">
        <f>F1215*1000</f>
        <v/>
      </c>
      <c r="I1215" s="14">
        <f>G1215-273.15</f>
        <v/>
      </c>
      <c r="K1215" s="15" t="n">
        <v>2004</v>
      </c>
      <c r="L1215" s="15" t="n">
        <v>5</v>
      </c>
      <c r="M1215" s="15" t="n">
        <v>11</v>
      </c>
      <c r="N1215" s="16" t="n">
        <v>5.410312022e-07</v>
      </c>
      <c r="O1215" s="11" t="n">
        <v>293.1863717</v>
      </c>
      <c r="P1215" s="13">
        <f>N1215*86400</f>
        <v/>
      </c>
      <c r="Q1215" s="14">
        <f>O1215-273.15</f>
        <v/>
      </c>
    </row>
    <row r="1216">
      <c r="A1216" s="9" t="n">
        <v>38103</v>
      </c>
      <c r="B1216" s="7">
        <f>YEAR(A1216)</f>
        <v/>
      </c>
      <c r="C1216" s="7">
        <f>MONTH(A1216)</f>
        <v/>
      </c>
      <c r="D1216" s="10" t="n">
        <v>0</v>
      </c>
      <c r="E1216" s="11" t="n">
        <v>14.96832668</v>
      </c>
      <c r="F1216" s="12" t="n">
        <v>0.0008925813251</v>
      </c>
      <c r="G1216" s="11" t="n">
        <v>290.9951593</v>
      </c>
      <c r="H1216" s="13">
        <f>F1216*1000</f>
        <v/>
      </c>
      <c r="I1216" s="14">
        <f>G1216-273.15</f>
        <v/>
      </c>
      <c r="K1216" s="15" t="n">
        <v>2004</v>
      </c>
      <c r="L1216" s="15" t="n">
        <v>5</v>
      </c>
      <c r="M1216" s="15" t="n">
        <v>12</v>
      </c>
      <c r="N1216" s="16" t="n">
        <v>1.152247477e-06</v>
      </c>
      <c r="O1216" s="11" t="n">
        <v>290.251175</v>
      </c>
      <c r="P1216" s="13">
        <f>N1216*86400</f>
        <v/>
      </c>
      <c r="Q1216" s="14">
        <f>O1216-273.15</f>
        <v/>
      </c>
    </row>
    <row r="1217">
      <c r="A1217" s="9" t="n">
        <v>38104</v>
      </c>
      <c r="B1217" s="7">
        <f>YEAR(A1217)</f>
        <v/>
      </c>
      <c r="C1217" s="7">
        <f>MONTH(A1217)</f>
        <v/>
      </c>
      <c r="D1217" s="10" t="n">
        <v>0</v>
      </c>
      <c r="E1217" s="11" t="n">
        <v>18.01905957</v>
      </c>
      <c r="F1217" s="12" t="n">
        <v>0.0009036337526</v>
      </c>
      <c r="G1217" s="11" t="n">
        <v>293.2477392</v>
      </c>
      <c r="H1217" s="13">
        <f>F1217*1000</f>
        <v/>
      </c>
      <c r="I1217" s="14">
        <f>G1217-273.15</f>
        <v/>
      </c>
      <c r="K1217" s="15" t="n">
        <v>2004</v>
      </c>
      <c r="L1217" s="15" t="n">
        <v>5</v>
      </c>
      <c r="M1217" s="15" t="n">
        <v>13</v>
      </c>
      <c r="N1217" s="16" t="n">
        <v>8.066959807e-06</v>
      </c>
      <c r="O1217" s="11" t="n">
        <v>289.1990698</v>
      </c>
      <c r="P1217" s="13">
        <f>N1217*86400</f>
        <v/>
      </c>
      <c r="Q1217" s="14">
        <f>O1217-273.15</f>
        <v/>
      </c>
    </row>
    <row r="1218">
      <c r="A1218" s="9" t="n">
        <v>38105</v>
      </c>
      <c r="B1218" s="7">
        <f>YEAR(A1218)</f>
        <v/>
      </c>
      <c r="C1218" s="7">
        <f>MONTH(A1218)</f>
        <v/>
      </c>
      <c r="D1218" s="10" t="n">
        <v>1.281734508</v>
      </c>
      <c r="E1218" s="11" t="n">
        <v>16.26150719</v>
      </c>
      <c r="F1218" s="12" t="n">
        <v>0.004213696749</v>
      </c>
      <c r="G1218" s="11" t="n">
        <v>290.8276333</v>
      </c>
      <c r="H1218" s="13">
        <f>F1218*1000</f>
        <v/>
      </c>
      <c r="I1218" s="14">
        <f>G1218-273.15</f>
        <v/>
      </c>
      <c r="K1218" s="15" t="n">
        <v>2004</v>
      </c>
      <c r="L1218" s="15" t="n">
        <v>5</v>
      </c>
      <c r="M1218" s="15" t="n">
        <v>14</v>
      </c>
      <c r="N1218" s="16" t="n">
        <v>8.146680954e-08</v>
      </c>
      <c r="O1218" s="11" t="n">
        <v>289.4915568</v>
      </c>
      <c r="P1218" s="13">
        <f>N1218*86400</f>
        <v/>
      </c>
      <c r="Q1218" s="14">
        <f>O1218-273.15</f>
        <v/>
      </c>
    </row>
    <row r="1219">
      <c r="A1219" s="9" t="n">
        <v>38106</v>
      </c>
      <c r="B1219" s="7">
        <f>YEAR(A1219)</f>
        <v/>
      </c>
      <c r="C1219" s="7">
        <f>MONTH(A1219)</f>
        <v/>
      </c>
      <c r="D1219" s="10" t="n">
        <v>0</v>
      </c>
      <c r="E1219" s="11" t="n">
        <v>16.63462641</v>
      </c>
      <c r="F1219" s="12" t="n">
        <v>0.001735043488</v>
      </c>
      <c r="G1219" s="11" t="n">
        <v>292.2608737</v>
      </c>
      <c r="H1219" s="13">
        <f>F1219*1000</f>
        <v/>
      </c>
      <c r="I1219" s="14">
        <f>G1219-273.15</f>
        <v/>
      </c>
      <c r="K1219" s="15" t="n">
        <v>2004</v>
      </c>
      <c r="L1219" s="15" t="n">
        <v>5</v>
      </c>
      <c r="M1219" s="15" t="n">
        <v>15</v>
      </c>
      <c r="N1219" s="16" t="n">
        <v>7.096582215e-07</v>
      </c>
      <c r="O1219" s="11" t="n">
        <v>290.5776843</v>
      </c>
      <c r="P1219" s="13">
        <f>N1219*86400</f>
        <v/>
      </c>
      <c r="Q1219" s="14">
        <f>O1219-273.15</f>
        <v/>
      </c>
    </row>
    <row r="1220">
      <c r="A1220" s="9" t="n">
        <v>38107</v>
      </c>
      <c r="B1220" s="7">
        <f>YEAR(A1220)</f>
        <v/>
      </c>
      <c r="C1220" s="7">
        <f>MONTH(A1220)</f>
        <v/>
      </c>
      <c r="D1220" s="10" t="n">
        <v>2.307833243</v>
      </c>
      <c r="E1220" s="11" t="n">
        <v>17.07169028</v>
      </c>
      <c r="F1220" s="12" t="n">
        <v>0.01556671185</v>
      </c>
      <c r="G1220" s="11" t="n">
        <v>292.0549899</v>
      </c>
      <c r="H1220" s="13">
        <f>F1220*1000</f>
        <v/>
      </c>
      <c r="I1220" s="14">
        <f>G1220-273.15</f>
        <v/>
      </c>
      <c r="K1220" s="15" t="n">
        <v>2004</v>
      </c>
      <c r="L1220" s="15" t="n">
        <v>5</v>
      </c>
      <c r="M1220" s="15" t="n">
        <v>16</v>
      </c>
      <c r="N1220" s="16" t="n">
        <v>4.213478969e-05</v>
      </c>
      <c r="O1220" s="11" t="n">
        <v>291.4163143</v>
      </c>
      <c r="P1220" s="13">
        <f>N1220*86400</f>
        <v/>
      </c>
      <c r="Q1220" s="14">
        <f>O1220-273.15</f>
        <v/>
      </c>
    </row>
    <row r="1221">
      <c r="A1221" s="9" t="n">
        <v>38108</v>
      </c>
      <c r="B1221" s="7">
        <f>YEAR(A1221)</f>
        <v/>
      </c>
      <c r="C1221" s="7">
        <f>MONTH(A1221)</f>
        <v/>
      </c>
      <c r="D1221" s="10" t="n">
        <v>0</v>
      </c>
      <c r="E1221" s="11" t="n">
        <v>17.14110885</v>
      </c>
      <c r="F1221" s="12" t="n">
        <v>0.002107335294</v>
      </c>
      <c r="G1221" s="11" t="n">
        <v>291.8378994</v>
      </c>
      <c r="H1221" s="13">
        <f>F1221*1000</f>
        <v/>
      </c>
      <c r="I1221" s="14">
        <f>G1221-273.15</f>
        <v/>
      </c>
      <c r="K1221" s="15" t="n">
        <v>2004</v>
      </c>
      <c r="L1221" s="15" t="n">
        <v>5</v>
      </c>
      <c r="M1221" s="15" t="n">
        <v>17</v>
      </c>
      <c r="N1221" s="16" t="n">
        <v>7.116665192e-06</v>
      </c>
      <c r="O1221" s="11" t="n">
        <v>291.1038494</v>
      </c>
      <c r="P1221" s="13">
        <f>N1221*86400</f>
        <v/>
      </c>
      <c r="Q1221" s="14">
        <f>O1221-273.15</f>
        <v/>
      </c>
    </row>
    <row r="1222">
      <c r="A1222" s="9" t="n">
        <v>38109</v>
      </c>
      <c r="B1222" s="7">
        <f>YEAR(A1222)</f>
        <v/>
      </c>
      <c r="C1222" s="7">
        <f>MONTH(A1222)</f>
        <v/>
      </c>
      <c r="D1222" s="10" t="n">
        <v>0</v>
      </c>
      <c r="E1222" s="11" t="n">
        <v>16.46258293</v>
      </c>
      <c r="F1222" s="12" t="n">
        <v>5.508254853e-05</v>
      </c>
      <c r="G1222" s="11" t="n">
        <v>290.3436952</v>
      </c>
      <c r="H1222" s="13">
        <f>F1222*1000</f>
        <v/>
      </c>
      <c r="I1222" s="14">
        <f>G1222-273.15</f>
        <v/>
      </c>
      <c r="K1222" s="15" t="n">
        <v>2004</v>
      </c>
      <c r="L1222" s="15" t="n">
        <v>5</v>
      </c>
      <c r="M1222" s="15" t="n">
        <v>18</v>
      </c>
      <c r="N1222" s="16" t="n">
        <v>2.397943447e-05</v>
      </c>
      <c r="O1222" s="11" t="n">
        <v>290.016312</v>
      </c>
      <c r="P1222" s="13">
        <f>N1222*86400</f>
        <v/>
      </c>
      <c r="Q1222" s="14">
        <f>O1222-273.15</f>
        <v/>
      </c>
    </row>
    <row r="1223">
      <c r="A1223" s="9" t="n">
        <v>38110</v>
      </c>
      <c r="B1223" s="7">
        <f>YEAR(A1223)</f>
        <v/>
      </c>
      <c r="C1223" s="7">
        <f>MONTH(A1223)</f>
        <v/>
      </c>
      <c r="D1223" s="10" t="n">
        <v>6.037121904</v>
      </c>
      <c r="E1223" s="11" t="n">
        <v>16.08577109</v>
      </c>
      <c r="F1223" s="12" t="n">
        <v>0.007105222769</v>
      </c>
      <c r="G1223" s="11" t="n">
        <v>290.5819611</v>
      </c>
      <c r="H1223" s="13">
        <f>F1223*1000</f>
        <v/>
      </c>
      <c r="I1223" s="14">
        <f>G1223-273.15</f>
        <v/>
      </c>
      <c r="K1223" s="15" t="n">
        <v>2004</v>
      </c>
      <c r="L1223" s="15" t="n">
        <v>5</v>
      </c>
      <c r="M1223" s="15" t="n">
        <v>19</v>
      </c>
      <c r="N1223" s="16" t="n">
        <v>7.655071972e-06</v>
      </c>
      <c r="O1223" s="11" t="n">
        <v>290.9736008</v>
      </c>
      <c r="P1223" s="13">
        <f>N1223*86400</f>
        <v/>
      </c>
      <c r="Q1223" s="14">
        <f>O1223-273.15</f>
        <v/>
      </c>
    </row>
    <row r="1224">
      <c r="A1224" s="9" t="n">
        <v>38111</v>
      </c>
      <c r="B1224" s="7">
        <f>YEAR(A1224)</f>
        <v/>
      </c>
      <c r="C1224" s="7">
        <f>MONTH(A1224)</f>
        <v/>
      </c>
      <c r="D1224" s="10" t="n">
        <v>0.6919298101</v>
      </c>
      <c r="E1224" s="11" t="n">
        <v>16.06852741</v>
      </c>
      <c r="F1224" s="12" t="n">
        <v>0.00642252303</v>
      </c>
      <c r="G1224" s="11" t="n">
        <v>290.4176076</v>
      </c>
      <c r="H1224" s="13">
        <f>F1224*1000</f>
        <v/>
      </c>
      <c r="I1224" s="14">
        <f>G1224-273.15</f>
        <v/>
      </c>
      <c r="K1224" s="15" t="n">
        <v>2004</v>
      </c>
      <c r="L1224" s="15" t="n">
        <v>5</v>
      </c>
      <c r="M1224" s="15" t="n">
        <v>20</v>
      </c>
      <c r="N1224" s="16" t="n">
        <v>2.257794952e-05</v>
      </c>
      <c r="O1224" s="11" t="n">
        <v>290.9497705</v>
      </c>
      <c r="P1224" s="13">
        <f>N1224*86400</f>
        <v/>
      </c>
      <c r="Q1224" s="14">
        <f>O1224-273.15</f>
        <v/>
      </c>
    </row>
    <row r="1225">
      <c r="A1225" s="9" t="n">
        <v>38112</v>
      </c>
      <c r="B1225" s="7">
        <f>YEAR(A1225)</f>
        <v/>
      </c>
      <c r="C1225" s="7">
        <f>MONTH(A1225)</f>
        <v/>
      </c>
      <c r="D1225" s="10" t="n">
        <v>0</v>
      </c>
      <c r="E1225" s="11" t="n">
        <v>15.12918937</v>
      </c>
      <c r="F1225" s="12" t="n">
        <v>0.0009121699686</v>
      </c>
      <c r="G1225" s="11" t="n">
        <v>289.3941263</v>
      </c>
      <c r="H1225" s="13">
        <f>F1225*1000</f>
        <v/>
      </c>
      <c r="I1225" s="14">
        <f>G1225-273.15</f>
        <v/>
      </c>
      <c r="K1225" s="15" t="n">
        <v>2004</v>
      </c>
      <c r="L1225" s="15" t="n">
        <v>5</v>
      </c>
      <c r="M1225" s="15" t="n">
        <v>21</v>
      </c>
      <c r="N1225" s="16" t="n">
        <v>5.844696442e-06</v>
      </c>
      <c r="O1225" s="11" t="n">
        <v>292.3637587</v>
      </c>
      <c r="P1225" s="13">
        <f>N1225*86400</f>
        <v/>
      </c>
      <c r="Q1225" s="14">
        <f>O1225-273.15</f>
        <v/>
      </c>
    </row>
    <row r="1226">
      <c r="A1226" s="9" t="n">
        <v>38113</v>
      </c>
      <c r="B1226" s="7">
        <f>YEAR(A1226)</f>
        <v/>
      </c>
      <c r="C1226" s="7">
        <f>MONTH(A1226)</f>
        <v/>
      </c>
      <c r="D1226" s="10" t="n">
        <v>0</v>
      </c>
      <c r="E1226" s="11" t="n">
        <v>16.06834002</v>
      </c>
      <c r="F1226" s="12" t="n">
        <v>0.0001353854602</v>
      </c>
      <c r="G1226" s="11" t="n">
        <v>291.3432628</v>
      </c>
      <c r="H1226" s="13">
        <f>F1226*1000</f>
        <v/>
      </c>
      <c r="I1226" s="14">
        <f>G1226-273.15</f>
        <v/>
      </c>
      <c r="K1226" s="15" t="n">
        <v>2004</v>
      </c>
      <c r="L1226" s="15" t="n">
        <v>5</v>
      </c>
      <c r="M1226" s="15" t="n">
        <v>22</v>
      </c>
      <c r="N1226" s="16" t="n">
        <v>4.131132995e-05</v>
      </c>
      <c r="O1226" s="11" t="n">
        <v>293.3657172</v>
      </c>
      <c r="P1226" s="13">
        <f>N1226*86400</f>
        <v/>
      </c>
      <c r="Q1226" s="14">
        <f>O1226-273.15</f>
        <v/>
      </c>
    </row>
    <row r="1227">
      <c r="A1227" s="9" t="n">
        <v>38114</v>
      </c>
      <c r="B1227" s="7">
        <f>YEAR(A1227)</f>
        <v/>
      </c>
      <c r="C1227" s="7">
        <f>MONTH(A1227)</f>
        <v/>
      </c>
      <c r="D1227" s="10" t="n">
        <v>1.456648113</v>
      </c>
      <c r="E1227" s="11" t="n">
        <v>17.53263433</v>
      </c>
      <c r="F1227" s="12" t="n">
        <v>0.0008807379136</v>
      </c>
      <c r="G1227" s="11" t="n">
        <v>292.9385724</v>
      </c>
      <c r="H1227" s="13">
        <f>F1227*1000</f>
        <v/>
      </c>
      <c r="I1227" s="14">
        <f>G1227-273.15</f>
        <v/>
      </c>
      <c r="K1227" s="15" t="n">
        <v>2004</v>
      </c>
      <c r="L1227" s="15" t="n">
        <v>5</v>
      </c>
      <c r="M1227" s="15" t="n">
        <v>23</v>
      </c>
      <c r="N1227" s="16" t="n">
        <v>8.748057652e-05</v>
      </c>
      <c r="O1227" s="11" t="n">
        <v>294.159071</v>
      </c>
      <c r="P1227" s="13">
        <f>N1227*86400</f>
        <v/>
      </c>
      <c r="Q1227" s="14">
        <f>O1227-273.15</f>
        <v/>
      </c>
    </row>
    <row r="1228">
      <c r="A1228" s="9" t="n">
        <v>38115</v>
      </c>
      <c r="B1228" s="7">
        <f>YEAR(A1228)</f>
        <v/>
      </c>
      <c r="C1228" s="7">
        <f>MONTH(A1228)</f>
        <v/>
      </c>
      <c r="D1228" s="10" t="n">
        <v>0</v>
      </c>
      <c r="E1228" s="11" t="n">
        <v>18.36039466</v>
      </c>
      <c r="F1228" s="12" t="n">
        <v>0</v>
      </c>
      <c r="G1228" s="11" t="n">
        <v>292.3428291</v>
      </c>
      <c r="H1228" s="13">
        <f>F1228*1000</f>
        <v/>
      </c>
      <c r="I1228" s="14">
        <f>G1228-273.15</f>
        <v/>
      </c>
      <c r="K1228" s="15" t="n">
        <v>2004</v>
      </c>
      <c r="L1228" s="15" t="n">
        <v>5</v>
      </c>
      <c r="M1228" s="15" t="n">
        <v>24</v>
      </c>
      <c r="N1228" s="16" t="n">
        <v>3.382280487e-05</v>
      </c>
      <c r="O1228" s="11" t="n">
        <v>292.924828</v>
      </c>
      <c r="P1228" s="13">
        <f>N1228*86400</f>
        <v/>
      </c>
      <c r="Q1228" s="14">
        <f>O1228-273.15</f>
        <v/>
      </c>
    </row>
    <row r="1229">
      <c r="A1229" s="9" t="n">
        <v>38116</v>
      </c>
      <c r="B1229" s="7">
        <f>YEAR(A1229)</f>
        <v/>
      </c>
      <c r="C1229" s="7">
        <f>MONTH(A1229)</f>
        <v/>
      </c>
      <c r="D1229" s="10" t="n">
        <v>0</v>
      </c>
      <c r="E1229" s="11" t="n">
        <v>16.70096881</v>
      </c>
      <c r="F1229" s="12" t="n">
        <v>0</v>
      </c>
      <c r="G1229" s="11" t="n">
        <v>291.3645941</v>
      </c>
      <c r="H1229" s="13">
        <f>F1229*1000</f>
        <v/>
      </c>
      <c r="I1229" s="14">
        <f>G1229-273.15</f>
        <v/>
      </c>
      <c r="K1229" s="15" t="n">
        <v>2004</v>
      </c>
      <c r="L1229" s="15" t="n">
        <v>5</v>
      </c>
      <c r="M1229" s="15" t="n">
        <v>25</v>
      </c>
      <c r="N1229" s="16" t="n">
        <v>9.875450159000001e-06</v>
      </c>
      <c r="O1229" s="11" t="n">
        <v>292.2913316</v>
      </c>
      <c r="P1229" s="13">
        <f>N1229*86400</f>
        <v/>
      </c>
      <c r="Q1229" s="14">
        <f>O1229-273.15</f>
        <v/>
      </c>
    </row>
    <row r="1230">
      <c r="A1230" s="9" t="n">
        <v>38117</v>
      </c>
      <c r="B1230" s="7">
        <f>YEAR(A1230)</f>
        <v/>
      </c>
      <c r="C1230" s="7">
        <f>MONTH(A1230)</f>
        <v/>
      </c>
      <c r="D1230" s="10" t="n">
        <v>6.194084743</v>
      </c>
      <c r="E1230" s="11" t="n">
        <v>15.83881038</v>
      </c>
      <c r="F1230" s="12" t="n">
        <v>0.0001749096258</v>
      </c>
      <c r="G1230" s="11" t="n">
        <v>291.0878986</v>
      </c>
      <c r="H1230" s="13">
        <f>F1230*1000</f>
        <v/>
      </c>
      <c r="I1230" s="14">
        <f>G1230-273.15</f>
        <v/>
      </c>
      <c r="K1230" s="15" t="n">
        <v>2004</v>
      </c>
      <c r="L1230" s="15" t="n">
        <v>5</v>
      </c>
      <c r="M1230" s="15" t="n">
        <v>26</v>
      </c>
      <c r="N1230" s="16" t="n">
        <v>3.141909617e-06</v>
      </c>
      <c r="O1230" s="11" t="n">
        <v>289.0714375</v>
      </c>
      <c r="P1230" s="13">
        <f>N1230*86400</f>
        <v/>
      </c>
      <c r="Q1230" s="14">
        <f>O1230-273.15</f>
        <v/>
      </c>
    </row>
    <row r="1231">
      <c r="A1231" s="9" t="n">
        <v>38118</v>
      </c>
      <c r="B1231" s="7">
        <f>YEAR(A1231)</f>
        <v/>
      </c>
      <c r="C1231" s="7">
        <f>MONTH(A1231)</f>
        <v/>
      </c>
      <c r="D1231" s="10" t="n">
        <v>1.305815036</v>
      </c>
      <c r="E1231" s="11" t="n">
        <v>16.76896504</v>
      </c>
      <c r="F1231" s="12" t="n">
        <v>0.002087744732</v>
      </c>
      <c r="G1231" s="11" t="n">
        <v>292.2777517</v>
      </c>
      <c r="H1231" s="13">
        <f>F1231*1000</f>
        <v/>
      </c>
      <c r="I1231" s="14">
        <f>G1231-273.15</f>
        <v/>
      </c>
      <c r="K1231" s="15" t="n">
        <v>2004</v>
      </c>
      <c r="L1231" s="15" t="n">
        <v>5</v>
      </c>
      <c r="M1231" s="15" t="n">
        <v>27</v>
      </c>
      <c r="N1231" s="16" t="n">
        <v>0.0001887313134</v>
      </c>
      <c r="O1231" s="11" t="n">
        <v>290.8560345</v>
      </c>
      <c r="P1231" s="13">
        <f>N1231*86400</f>
        <v/>
      </c>
      <c r="Q1231" s="14">
        <f>O1231-273.15</f>
        <v/>
      </c>
    </row>
    <row r="1232">
      <c r="A1232" s="9" t="n">
        <v>38119</v>
      </c>
      <c r="B1232" s="7">
        <f>YEAR(A1232)</f>
        <v/>
      </c>
      <c r="C1232" s="7">
        <f>MONTH(A1232)</f>
        <v/>
      </c>
      <c r="D1232" s="10" t="n">
        <v>0</v>
      </c>
      <c r="E1232" s="11" t="n">
        <v>18.35545039</v>
      </c>
      <c r="F1232" s="12" t="n">
        <v>0.003402741451</v>
      </c>
      <c r="G1232" s="11" t="n">
        <v>292.6642416</v>
      </c>
      <c r="H1232" s="13">
        <f>F1232*1000</f>
        <v/>
      </c>
      <c r="I1232" s="14">
        <f>G1232-273.15</f>
        <v/>
      </c>
      <c r="K1232" s="15" t="n">
        <v>2004</v>
      </c>
      <c r="L1232" s="15" t="n">
        <v>5</v>
      </c>
      <c r="M1232" s="15" t="n">
        <v>28</v>
      </c>
      <c r="N1232" s="16" t="n">
        <v>6.56562169e-06</v>
      </c>
      <c r="O1232" s="11" t="n">
        <v>290.7976945</v>
      </c>
      <c r="P1232" s="13">
        <f>N1232*86400</f>
        <v/>
      </c>
      <c r="Q1232" s="14">
        <f>O1232-273.15</f>
        <v/>
      </c>
    </row>
    <row r="1233">
      <c r="A1233" s="9" t="n">
        <v>38120</v>
      </c>
      <c r="B1233" s="7">
        <f>YEAR(A1233)</f>
        <v/>
      </c>
      <c r="C1233" s="7">
        <f>MONTH(A1233)</f>
        <v/>
      </c>
      <c r="D1233" s="10" t="n">
        <v>0</v>
      </c>
      <c r="E1233" s="11" t="n">
        <v>16.0600334</v>
      </c>
      <c r="F1233" s="12" t="n">
        <v>0.0003155671</v>
      </c>
      <c r="G1233" s="11" t="n">
        <v>291.0833738</v>
      </c>
      <c r="H1233" s="13">
        <f>F1233*1000</f>
        <v/>
      </c>
      <c r="I1233" s="14">
        <f>G1233-273.15</f>
        <v/>
      </c>
      <c r="K1233" s="15" t="n">
        <v>2004</v>
      </c>
      <c r="L1233" s="15" t="n">
        <v>5</v>
      </c>
      <c r="M1233" s="15" t="n">
        <v>29</v>
      </c>
      <c r="N1233" s="16" t="n">
        <v>2.316181873e-07</v>
      </c>
      <c r="O1233" s="11" t="n">
        <v>292.6251384</v>
      </c>
      <c r="P1233" s="13">
        <f>N1233*86400</f>
        <v/>
      </c>
      <c r="Q1233" s="14">
        <f>O1233-273.15</f>
        <v/>
      </c>
    </row>
    <row r="1234">
      <c r="A1234" s="9" t="n">
        <v>38121</v>
      </c>
      <c r="B1234" s="7">
        <f>YEAR(A1234)</f>
        <v/>
      </c>
      <c r="C1234" s="7">
        <f>MONTH(A1234)</f>
        <v/>
      </c>
      <c r="D1234" s="10" t="n">
        <v>0</v>
      </c>
      <c r="E1234" s="11" t="n">
        <v>14.33075409</v>
      </c>
      <c r="F1234" s="12" t="n">
        <v>0</v>
      </c>
      <c r="G1234" s="11" t="n">
        <v>289.9841715</v>
      </c>
      <c r="H1234" s="13">
        <f>F1234*1000</f>
        <v/>
      </c>
      <c r="I1234" s="14">
        <f>G1234-273.15</f>
        <v/>
      </c>
      <c r="K1234" s="15" t="n">
        <v>2004</v>
      </c>
      <c r="L1234" s="15" t="n">
        <v>5</v>
      </c>
      <c r="M1234" s="15" t="n">
        <v>30</v>
      </c>
      <c r="N1234" s="16" t="n">
        <v>4.384659735e-05</v>
      </c>
      <c r="O1234" s="11" t="n">
        <v>294.3835999</v>
      </c>
      <c r="P1234" s="13">
        <f>N1234*86400</f>
        <v/>
      </c>
      <c r="Q1234" s="14">
        <f>O1234-273.15</f>
        <v/>
      </c>
    </row>
    <row r="1235">
      <c r="A1235" s="9" t="n">
        <v>38122</v>
      </c>
      <c r="B1235" s="7">
        <f>YEAR(A1235)</f>
        <v/>
      </c>
      <c r="C1235" s="7">
        <f>MONTH(A1235)</f>
        <v/>
      </c>
      <c r="D1235" s="10" t="n">
        <v>0</v>
      </c>
      <c r="E1235" s="11" t="n">
        <v>16.32098861</v>
      </c>
      <c r="F1235" s="12" t="n">
        <v>0.0003040197064</v>
      </c>
      <c r="G1235" s="11" t="n">
        <v>292.2359277</v>
      </c>
      <c r="H1235" s="13">
        <f>F1235*1000</f>
        <v/>
      </c>
      <c r="I1235" s="14">
        <f>G1235-273.15</f>
        <v/>
      </c>
      <c r="K1235" s="15" t="n">
        <v>2004</v>
      </c>
      <c r="L1235" s="15" t="n">
        <v>6</v>
      </c>
      <c r="M1235" s="15" t="n">
        <v>1</v>
      </c>
      <c r="N1235" s="16" t="n">
        <v>1.389678212e-05</v>
      </c>
      <c r="O1235" s="11" t="n">
        <v>291.9304618</v>
      </c>
      <c r="P1235" s="13">
        <f>N1235*86400</f>
        <v/>
      </c>
      <c r="Q1235" s="14">
        <f>O1235-273.15</f>
        <v/>
      </c>
    </row>
    <row r="1236">
      <c r="A1236" s="9" t="n">
        <v>38123</v>
      </c>
      <c r="B1236" s="7">
        <f>YEAR(A1236)</f>
        <v/>
      </c>
      <c r="C1236" s="7">
        <f>MONTH(A1236)</f>
        <v/>
      </c>
      <c r="D1236" s="10" t="n">
        <v>0</v>
      </c>
      <c r="E1236" s="11" t="n">
        <v>18.60330303</v>
      </c>
      <c r="F1236" s="12" t="n">
        <v>0.000677577195</v>
      </c>
      <c r="G1236" s="11" t="n">
        <v>292.8185361</v>
      </c>
      <c r="H1236" s="13">
        <f>F1236*1000</f>
        <v/>
      </c>
      <c r="I1236" s="14">
        <f>G1236-273.15</f>
        <v/>
      </c>
      <c r="K1236" s="15" t="n">
        <v>2004</v>
      </c>
      <c r="L1236" s="15" t="n">
        <v>6</v>
      </c>
      <c r="M1236" s="15" t="n">
        <v>2</v>
      </c>
      <c r="N1236" s="16" t="n">
        <v>2.398561483e-05</v>
      </c>
      <c r="O1236" s="11" t="n">
        <v>293.3116256</v>
      </c>
      <c r="P1236" s="13">
        <f>N1236*86400</f>
        <v/>
      </c>
      <c r="Q1236" s="14">
        <f>O1236-273.15</f>
        <v/>
      </c>
    </row>
    <row r="1237">
      <c r="A1237" s="9" t="n">
        <v>38124</v>
      </c>
      <c r="B1237" s="7">
        <f>YEAR(A1237)</f>
        <v/>
      </c>
      <c r="C1237" s="7">
        <f>MONTH(A1237)</f>
        <v/>
      </c>
      <c r="D1237" s="10" t="n">
        <v>0</v>
      </c>
      <c r="E1237" s="11" t="n">
        <v>17.1586199</v>
      </c>
      <c r="F1237" s="12" t="n">
        <v>1.352028624e-05</v>
      </c>
      <c r="G1237" s="11" t="n">
        <v>292.891006</v>
      </c>
      <c r="H1237" s="13">
        <f>F1237*1000</f>
        <v/>
      </c>
      <c r="I1237" s="14">
        <f>G1237-273.15</f>
        <v/>
      </c>
      <c r="K1237" s="15" t="n">
        <v>2004</v>
      </c>
      <c r="L1237" s="15" t="n">
        <v>6</v>
      </c>
      <c r="M1237" s="15" t="n">
        <v>3</v>
      </c>
      <c r="N1237" s="16" t="n">
        <v>0</v>
      </c>
      <c r="O1237" s="11" t="n">
        <v>294.4235866</v>
      </c>
      <c r="P1237" s="13">
        <f>N1237*86400</f>
        <v/>
      </c>
      <c r="Q1237" s="14">
        <f>O1237-273.15</f>
        <v/>
      </c>
    </row>
    <row r="1238">
      <c r="A1238" s="9" t="n">
        <v>38125</v>
      </c>
      <c r="B1238" s="7">
        <f>YEAR(A1238)</f>
        <v/>
      </c>
      <c r="C1238" s="7">
        <f>MONTH(A1238)</f>
        <v/>
      </c>
      <c r="D1238" s="10" t="n">
        <v>2.043200637</v>
      </c>
      <c r="E1238" s="11" t="n">
        <v>16.00129389</v>
      </c>
      <c r="F1238" s="12" t="n">
        <v>0.001434583004</v>
      </c>
      <c r="G1238" s="11" t="n">
        <v>291.996492</v>
      </c>
      <c r="H1238" s="13">
        <f>F1238*1000</f>
        <v/>
      </c>
      <c r="I1238" s="14">
        <f>G1238-273.15</f>
        <v/>
      </c>
      <c r="K1238" s="15" t="n">
        <v>2004</v>
      </c>
      <c r="L1238" s="15" t="n">
        <v>6</v>
      </c>
      <c r="M1238" s="15" t="n">
        <v>4</v>
      </c>
      <c r="N1238" s="16" t="n">
        <v>1.122934146e-09</v>
      </c>
      <c r="O1238" s="11" t="n">
        <v>291.8636531</v>
      </c>
      <c r="P1238" s="13">
        <f>N1238*86400</f>
        <v/>
      </c>
      <c r="Q1238" s="14">
        <f>O1238-273.15</f>
        <v/>
      </c>
    </row>
    <row r="1239">
      <c r="A1239" s="9" t="n">
        <v>38126</v>
      </c>
      <c r="B1239" s="7">
        <f>YEAR(A1239)</f>
        <v/>
      </c>
      <c r="C1239" s="7">
        <f>MONTH(A1239)</f>
        <v/>
      </c>
      <c r="D1239" s="10" t="n">
        <v>3.528209347</v>
      </c>
      <c r="E1239" s="11" t="n">
        <v>14.93406708</v>
      </c>
      <c r="F1239" s="12" t="n">
        <v>0.001058727177</v>
      </c>
      <c r="G1239" s="11" t="n">
        <v>291.4982646</v>
      </c>
      <c r="H1239" s="13">
        <f>F1239*1000</f>
        <v/>
      </c>
      <c r="I1239" s="14">
        <f>G1239-273.15</f>
        <v/>
      </c>
      <c r="K1239" s="15" t="n">
        <v>2004</v>
      </c>
      <c r="L1239" s="15" t="n">
        <v>6</v>
      </c>
      <c r="M1239" s="15" t="n">
        <v>5</v>
      </c>
      <c r="N1239" s="16" t="n">
        <v>2.359006882e-06</v>
      </c>
      <c r="O1239" s="11" t="n">
        <v>291.8697544</v>
      </c>
      <c r="P1239" s="13">
        <f>N1239*86400</f>
        <v/>
      </c>
      <c r="Q1239" s="14">
        <f>O1239-273.15</f>
        <v/>
      </c>
    </row>
    <row r="1240">
      <c r="A1240" s="9" t="n">
        <v>38127</v>
      </c>
      <c r="B1240" s="7">
        <f>YEAR(A1240)</f>
        <v/>
      </c>
      <c r="C1240" s="7">
        <f>MONTH(A1240)</f>
        <v/>
      </c>
      <c r="D1240" s="10" t="n">
        <v>0</v>
      </c>
      <c r="E1240" s="11" t="n">
        <v>13.95773183</v>
      </c>
      <c r="F1240" s="12" t="n">
        <v>0</v>
      </c>
      <c r="G1240" s="11" t="n">
        <v>290.5112959</v>
      </c>
      <c r="H1240" s="13">
        <f>F1240*1000</f>
        <v/>
      </c>
      <c r="I1240" s="14">
        <f>G1240-273.15</f>
        <v/>
      </c>
      <c r="K1240" s="15" t="n">
        <v>2004</v>
      </c>
      <c r="L1240" s="15" t="n">
        <v>6</v>
      </c>
      <c r="M1240" s="15" t="n">
        <v>6</v>
      </c>
      <c r="N1240" s="16" t="n">
        <v>3.418902e-05</v>
      </c>
      <c r="O1240" s="11" t="n">
        <v>290.9574558</v>
      </c>
      <c r="P1240" s="13">
        <f>N1240*86400</f>
        <v/>
      </c>
      <c r="Q1240" s="14">
        <f>O1240-273.15</f>
        <v/>
      </c>
    </row>
    <row r="1241">
      <c r="A1241" s="9" t="n">
        <v>38128</v>
      </c>
      <c r="B1241" s="7">
        <f>YEAR(A1241)</f>
        <v/>
      </c>
      <c r="C1241" s="7">
        <f>MONTH(A1241)</f>
        <v/>
      </c>
      <c r="D1241" s="10" t="n">
        <v>0</v>
      </c>
      <c r="E1241" s="11" t="n">
        <v>13.67039544</v>
      </c>
      <c r="F1241" s="12" t="n">
        <v>0.0006379015515</v>
      </c>
      <c r="G1241" s="11" t="n">
        <v>290.4230088</v>
      </c>
      <c r="H1241" s="13">
        <f>F1241*1000</f>
        <v/>
      </c>
      <c r="I1241" s="14">
        <f>G1241-273.15</f>
        <v/>
      </c>
      <c r="K1241" s="15" t="n">
        <v>2004</v>
      </c>
      <c r="L1241" s="15" t="n">
        <v>6</v>
      </c>
      <c r="M1241" s="15" t="n">
        <v>7</v>
      </c>
      <c r="N1241" s="16" t="n">
        <v>0</v>
      </c>
      <c r="O1241" s="11" t="n">
        <v>291.3497206</v>
      </c>
      <c r="P1241" s="13">
        <f>N1241*86400</f>
        <v/>
      </c>
      <c r="Q1241" s="14">
        <f>O1241-273.15</f>
        <v/>
      </c>
    </row>
    <row r="1242">
      <c r="A1242" s="9" t="n">
        <v>38129</v>
      </c>
      <c r="B1242" s="7">
        <f>YEAR(A1242)</f>
        <v/>
      </c>
      <c r="C1242" s="7">
        <f>MONTH(A1242)</f>
        <v/>
      </c>
      <c r="D1242" s="10" t="n">
        <v>0</v>
      </c>
      <c r="E1242" s="11" t="n">
        <v>14.66483343</v>
      </c>
      <c r="F1242" s="12" t="n">
        <v>0.0004212649353</v>
      </c>
      <c r="G1242" s="11" t="n">
        <v>290.3934339</v>
      </c>
      <c r="H1242" s="13">
        <f>F1242*1000</f>
        <v/>
      </c>
      <c r="I1242" s="14">
        <f>G1242-273.15</f>
        <v/>
      </c>
      <c r="K1242" s="15" t="n">
        <v>2004</v>
      </c>
      <c r="L1242" s="15" t="n">
        <v>6</v>
      </c>
      <c r="M1242" s="15" t="n">
        <v>8</v>
      </c>
      <c r="N1242" s="16" t="n">
        <v>0</v>
      </c>
      <c r="O1242" s="11" t="n">
        <v>294.0428205</v>
      </c>
      <c r="P1242" s="13">
        <f>N1242*86400</f>
        <v/>
      </c>
      <c r="Q1242" s="14">
        <f>O1242-273.15</f>
        <v/>
      </c>
    </row>
    <row r="1243">
      <c r="A1243" s="9" t="n">
        <v>38130</v>
      </c>
      <c r="B1243" s="7">
        <f>YEAR(A1243)</f>
        <v/>
      </c>
      <c r="C1243" s="7">
        <f>MONTH(A1243)</f>
        <v/>
      </c>
      <c r="D1243" s="10" t="n">
        <v>0</v>
      </c>
      <c r="E1243" s="11" t="n">
        <v>15.21160093</v>
      </c>
      <c r="F1243" s="12" t="n">
        <v>0.002743429624</v>
      </c>
      <c r="G1243" s="11" t="n">
        <v>290.5311124</v>
      </c>
      <c r="H1243" s="13">
        <f>F1243*1000</f>
        <v/>
      </c>
      <c r="I1243" s="14">
        <f>G1243-273.15</f>
        <v/>
      </c>
      <c r="K1243" s="15" t="n">
        <v>2004</v>
      </c>
      <c r="L1243" s="15" t="n">
        <v>6</v>
      </c>
      <c r="M1243" s="15" t="n">
        <v>9</v>
      </c>
      <c r="N1243" s="16" t="n">
        <v>1.319125771e-08</v>
      </c>
      <c r="O1243" s="11" t="n">
        <v>293.3932382</v>
      </c>
      <c r="P1243" s="13">
        <f>N1243*86400</f>
        <v/>
      </c>
      <c r="Q1243" s="14">
        <f>O1243-273.15</f>
        <v/>
      </c>
    </row>
    <row r="1244">
      <c r="A1244" s="9" t="n">
        <v>38131</v>
      </c>
      <c r="B1244" s="7">
        <f>YEAR(A1244)</f>
        <v/>
      </c>
      <c r="C1244" s="7">
        <f>MONTH(A1244)</f>
        <v/>
      </c>
      <c r="D1244" s="10" t="n">
        <v>0</v>
      </c>
      <c r="E1244" s="11" t="n">
        <v>13.94830506</v>
      </c>
      <c r="F1244" s="12" t="n">
        <v>0.0006102919773</v>
      </c>
      <c r="G1244" s="11" t="n">
        <v>290.1561916</v>
      </c>
      <c r="H1244" s="13">
        <f>F1244*1000</f>
        <v/>
      </c>
      <c r="I1244" s="14">
        <f>G1244-273.15</f>
        <v/>
      </c>
      <c r="K1244" s="15" t="n">
        <v>2004</v>
      </c>
      <c r="L1244" s="15" t="n">
        <v>6</v>
      </c>
      <c r="M1244" s="15" t="n">
        <v>10</v>
      </c>
      <c r="N1244" s="16" t="n">
        <v>0</v>
      </c>
      <c r="O1244" s="11" t="n">
        <v>293.7300404</v>
      </c>
      <c r="P1244" s="13">
        <f>N1244*86400</f>
        <v/>
      </c>
      <c r="Q1244" s="14">
        <f>O1244-273.15</f>
        <v/>
      </c>
    </row>
    <row r="1245">
      <c r="A1245" s="9" t="n">
        <v>38132</v>
      </c>
      <c r="B1245" s="7">
        <f>YEAR(A1245)</f>
        <v/>
      </c>
      <c r="C1245" s="7">
        <f>MONTH(A1245)</f>
        <v/>
      </c>
      <c r="D1245" s="10" t="n">
        <v>15.05304065</v>
      </c>
      <c r="E1245" s="11" t="n">
        <v>15.17440412</v>
      </c>
      <c r="F1245" s="12" t="n">
        <v>0.01328827144</v>
      </c>
      <c r="G1245" s="11" t="n">
        <v>290.5525121</v>
      </c>
      <c r="H1245" s="13">
        <f>F1245*1000</f>
        <v/>
      </c>
      <c r="I1245" s="14">
        <f>G1245-273.15</f>
        <v/>
      </c>
      <c r="K1245" s="15" t="n">
        <v>2004</v>
      </c>
      <c r="L1245" s="15" t="n">
        <v>6</v>
      </c>
      <c r="M1245" s="15" t="n">
        <v>11</v>
      </c>
      <c r="N1245" s="16" t="n">
        <v>0</v>
      </c>
      <c r="O1245" s="11" t="n">
        <v>291.894646</v>
      </c>
      <c r="P1245" s="13">
        <f>N1245*86400</f>
        <v/>
      </c>
      <c r="Q1245" s="14">
        <f>O1245-273.15</f>
        <v/>
      </c>
    </row>
    <row r="1246">
      <c r="A1246" s="9" t="n">
        <v>38133</v>
      </c>
      <c r="B1246" s="7">
        <f>YEAR(A1246)</f>
        <v/>
      </c>
      <c r="C1246" s="7">
        <f>MONTH(A1246)</f>
        <v/>
      </c>
      <c r="D1246" s="10" t="n">
        <v>3.683084302</v>
      </c>
      <c r="E1246" s="11" t="n">
        <v>14.85502167</v>
      </c>
      <c r="F1246" s="12" t="n">
        <v>0.02122118791</v>
      </c>
      <c r="G1246" s="11" t="n">
        <v>290.1078078</v>
      </c>
      <c r="H1246" s="13">
        <f>F1246*1000</f>
        <v/>
      </c>
      <c r="I1246" s="14">
        <f>G1246-273.15</f>
        <v/>
      </c>
      <c r="K1246" s="15" t="n">
        <v>2004</v>
      </c>
      <c r="L1246" s="15" t="n">
        <v>6</v>
      </c>
      <c r="M1246" s="15" t="n">
        <v>12</v>
      </c>
      <c r="N1246" s="16" t="n">
        <v>0.0001049501549</v>
      </c>
      <c r="O1246" s="11" t="n">
        <v>292.4204955</v>
      </c>
      <c r="P1246" s="13">
        <f>N1246*86400</f>
        <v/>
      </c>
      <c r="Q1246" s="14">
        <f>O1246-273.15</f>
        <v/>
      </c>
    </row>
    <row r="1247">
      <c r="A1247" s="9" t="n">
        <v>38134</v>
      </c>
      <c r="B1247" s="7">
        <f>YEAR(A1247)</f>
        <v/>
      </c>
      <c r="C1247" s="7">
        <f>MONTH(A1247)</f>
        <v/>
      </c>
      <c r="D1247" s="10" t="n">
        <v>0.5136585561</v>
      </c>
      <c r="E1247" s="11" t="n">
        <v>15.52276904</v>
      </c>
      <c r="F1247" s="12" t="n">
        <v>0.00279819549</v>
      </c>
      <c r="G1247" s="11" t="n">
        <v>291.5938819</v>
      </c>
      <c r="H1247" s="13">
        <f>F1247*1000</f>
        <v/>
      </c>
      <c r="I1247" s="14">
        <f>G1247-273.15</f>
        <v/>
      </c>
      <c r="K1247" s="15" t="n">
        <v>2004</v>
      </c>
      <c r="L1247" s="15" t="n">
        <v>6</v>
      </c>
      <c r="M1247" s="15" t="n">
        <v>13</v>
      </c>
      <c r="N1247" s="16" t="n">
        <v>2.06249593e-06</v>
      </c>
      <c r="O1247" s="11" t="n">
        <v>292.4892281</v>
      </c>
      <c r="P1247" s="13">
        <f>N1247*86400</f>
        <v/>
      </c>
      <c r="Q1247" s="14">
        <f>O1247-273.15</f>
        <v/>
      </c>
    </row>
    <row r="1248">
      <c r="A1248" s="9" t="n">
        <v>38135</v>
      </c>
      <c r="B1248" s="7">
        <f>YEAR(A1248)</f>
        <v/>
      </c>
      <c r="C1248" s="7">
        <f>MONTH(A1248)</f>
        <v/>
      </c>
      <c r="D1248" s="10" t="n">
        <v>1.339058113</v>
      </c>
      <c r="E1248" s="11" t="n">
        <v>16.85497235</v>
      </c>
      <c r="F1248" s="12" t="n">
        <v>0.001108864537</v>
      </c>
      <c r="G1248" s="11" t="n">
        <v>292.1021138</v>
      </c>
      <c r="H1248" s="13">
        <f>F1248*1000</f>
        <v/>
      </c>
      <c r="I1248" s="14">
        <f>G1248-273.15</f>
        <v/>
      </c>
      <c r="K1248" s="15" t="n">
        <v>2004</v>
      </c>
      <c r="L1248" s="15" t="n">
        <v>6</v>
      </c>
      <c r="M1248" s="15" t="n">
        <v>14</v>
      </c>
      <c r="N1248" s="16" t="n">
        <v>0</v>
      </c>
      <c r="O1248" s="11" t="n">
        <v>293.1308572</v>
      </c>
      <c r="P1248" s="13">
        <f>N1248*86400</f>
        <v/>
      </c>
      <c r="Q1248" s="14">
        <f>O1248-273.15</f>
        <v/>
      </c>
    </row>
    <row r="1249">
      <c r="A1249" s="9" t="n">
        <v>38136</v>
      </c>
      <c r="B1249" s="7">
        <f>YEAR(A1249)</f>
        <v/>
      </c>
      <c r="C1249" s="7">
        <f>MONTH(A1249)</f>
        <v/>
      </c>
      <c r="D1249" s="10" t="n">
        <v>0</v>
      </c>
      <c r="E1249" s="11" t="n">
        <v>16.42256454</v>
      </c>
      <c r="F1249" s="12" t="n">
        <v>0</v>
      </c>
      <c r="G1249" s="11" t="n">
        <v>291.2818268</v>
      </c>
      <c r="H1249" s="13">
        <f>F1249*1000</f>
        <v/>
      </c>
      <c r="I1249" s="14">
        <f>G1249-273.15</f>
        <v/>
      </c>
      <c r="K1249" s="15" t="n">
        <v>2004</v>
      </c>
      <c r="L1249" s="15" t="n">
        <v>6</v>
      </c>
      <c r="M1249" s="15" t="n">
        <v>15</v>
      </c>
      <c r="N1249" s="16" t="n">
        <v>0</v>
      </c>
      <c r="O1249" s="11" t="n">
        <v>292.8253464</v>
      </c>
      <c r="P1249" s="13">
        <f>N1249*86400</f>
        <v/>
      </c>
      <c r="Q1249" s="14">
        <f>O1249-273.15</f>
        <v/>
      </c>
    </row>
    <row r="1250">
      <c r="A1250" s="9" t="n">
        <v>38137</v>
      </c>
      <c r="B1250" s="7">
        <f>YEAR(A1250)</f>
        <v/>
      </c>
      <c r="C1250" s="7">
        <f>MONTH(A1250)</f>
        <v/>
      </c>
      <c r="D1250" s="10" t="n">
        <v>0</v>
      </c>
      <c r="E1250" s="11" t="n">
        <v>14.88762646</v>
      </c>
      <c r="F1250" s="12" t="n">
        <v>0</v>
      </c>
      <c r="G1250" s="11" t="n">
        <v>290.1460983</v>
      </c>
      <c r="H1250" s="13">
        <f>F1250*1000</f>
        <v/>
      </c>
      <c r="I1250" s="14">
        <f>G1250-273.15</f>
        <v/>
      </c>
      <c r="K1250" s="15" t="n">
        <v>2004</v>
      </c>
      <c r="L1250" s="15" t="n">
        <v>6</v>
      </c>
      <c r="M1250" s="15" t="n">
        <v>16</v>
      </c>
      <c r="N1250" s="16" t="n">
        <v>0</v>
      </c>
      <c r="O1250" s="11" t="n">
        <v>292.8299499</v>
      </c>
      <c r="P1250" s="13">
        <f>N1250*86400</f>
        <v/>
      </c>
      <c r="Q1250" s="14">
        <f>O1250-273.15</f>
        <v/>
      </c>
    </row>
    <row r="1251">
      <c r="A1251" s="9" t="n">
        <v>38138</v>
      </c>
      <c r="B1251" s="7">
        <f>YEAR(A1251)</f>
        <v/>
      </c>
      <c r="C1251" s="7">
        <f>MONTH(A1251)</f>
        <v/>
      </c>
      <c r="D1251" s="10" t="n">
        <v>0</v>
      </c>
      <c r="E1251" s="11" t="n">
        <v>15.25198573</v>
      </c>
      <c r="F1251" s="12" t="n">
        <v>0</v>
      </c>
      <c r="G1251" s="11" t="n">
        <v>289.8284544</v>
      </c>
      <c r="H1251" s="13">
        <f>F1251*1000</f>
        <v/>
      </c>
      <c r="I1251" s="14">
        <f>G1251-273.15</f>
        <v/>
      </c>
      <c r="K1251" s="15" t="n">
        <v>2004</v>
      </c>
      <c r="L1251" s="15" t="n">
        <v>6</v>
      </c>
      <c r="M1251" s="15" t="n">
        <v>17</v>
      </c>
      <c r="N1251" s="16" t="n">
        <v>0</v>
      </c>
      <c r="O1251" s="11" t="n">
        <v>292.138437</v>
      </c>
      <c r="P1251" s="13">
        <f>N1251*86400</f>
        <v/>
      </c>
      <c r="Q1251" s="14">
        <f>O1251-273.15</f>
        <v/>
      </c>
    </row>
    <row r="1252">
      <c r="A1252" s="9" t="n">
        <v>38139</v>
      </c>
      <c r="B1252" s="7">
        <f>YEAR(A1252)</f>
        <v/>
      </c>
      <c r="C1252" s="7">
        <f>MONTH(A1252)</f>
        <v/>
      </c>
      <c r="D1252" s="10" t="n">
        <v>0</v>
      </c>
      <c r="E1252" s="11" t="n">
        <v>16.11410933</v>
      </c>
      <c r="F1252" s="12" t="n">
        <v>0</v>
      </c>
      <c r="G1252" s="11" t="n">
        <v>291.2485411</v>
      </c>
      <c r="H1252" s="13">
        <f>F1252*1000</f>
        <v/>
      </c>
      <c r="I1252" s="14">
        <f>G1252-273.15</f>
        <v/>
      </c>
      <c r="K1252" s="15" t="n">
        <v>2004</v>
      </c>
      <c r="L1252" s="15" t="n">
        <v>6</v>
      </c>
      <c r="M1252" s="15" t="n">
        <v>18</v>
      </c>
      <c r="N1252" s="16" t="n">
        <v>5.537746584e-06</v>
      </c>
      <c r="O1252" s="11" t="n">
        <v>292.3756197</v>
      </c>
      <c r="P1252" s="13">
        <f>N1252*86400</f>
        <v/>
      </c>
      <c r="Q1252" s="14">
        <f>O1252-273.15</f>
        <v/>
      </c>
    </row>
    <row r="1253">
      <c r="A1253" s="9" t="n">
        <v>38140</v>
      </c>
      <c r="B1253" s="7">
        <f>YEAR(A1253)</f>
        <v/>
      </c>
      <c r="C1253" s="7">
        <f>MONTH(A1253)</f>
        <v/>
      </c>
      <c r="D1253" s="10" t="n">
        <v>0</v>
      </c>
      <c r="E1253" s="11" t="n">
        <v>17.47685548</v>
      </c>
      <c r="F1253" s="12" t="n">
        <v>0.001083798824</v>
      </c>
      <c r="G1253" s="11" t="n">
        <v>292.4495245</v>
      </c>
      <c r="H1253" s="13">
        <f>F1253*1000</f>
        <v/>
      </c>
      <c r="I1253" s="14">
        <f>G1253-273.15</f>
        <v/>
      </c>
      <c r="K1253" s="15" t="n">
        <v>2004</v>
      </c>
      <c r="L1253" s="15" t="n">
        <v>6</v>
      </c>
      <c r="M1253" s="15" t="n">
        <v>19</v>
      </c>
      <c r="N1253" s="16" t="n">
        <v>0.000105454823</v>
      </c>
      <c r="O1253" s="11" t="n">
        <v>292.5998116</v>
      </c>
      <c r="P1253" s="13">
        <f>N1253*86400</f>
        <v/>
      </c>
      <c r="Q1253" s="14">
        <f>O1253-273.15</f>
        <v/>
      </c>
    </row>
    <row r="1254">
      <c r="A1254" s="9" t="n">
        <v>38141</v>
      </c>
      <c r="B1254" s="7">
        <f>YEAR(A1254)</f>
        <v/>
      </c>
      <c r="C1254" s="7">
        <f>MONTH(A1254)</f>
        <v/>
      </c>
      <c r="D1254" s="10" t="n">
        <v>1.789134932</v>
      </c>
      <c r="E1254" s="11" t="n">
        <v>17.85742653</v>
      </c>
      <c r="F1254" s="12" t="n">
        <v>0.003100748863</v>
      </c>
      <c r="G1254" s="11" t="n">
        <v>292.8263672</v>
      </c>
      <c r="H1254" s="13">
        <f>F1254*1000</f>
        <v/>
      </c>
      <c r="I1254" s="14">
        <f>G1254-273.15</f>
        <v/>
      </c>
      <c r="K1254" s="15" t="n">
        <v>2004</v>
      </c>
      <c r="L1254" s="15" t="n">
        <v>6</v>
      </c>
      <c r="M1254" s="15" t="n">
        <v>20</v>
      </c>
      <c r="N1254" s="16" t="n">
        <v>7.931428567000001e-06</v>
      </c>
      <c r="O1254" s="11" t="n">
        <v>291.4687161</v>
      </c>
      <c r="P1254" s="13">
        <f>N1254*86400</f>
        <v/>
      </c>
      <c r="Q1254" s="14">
        <f>O1254-273.15</f>
        <v/>
      </c>
    </row>
    <row r="1255">
      <c r="A1255" s="9" t="n">
        <v>38142</v>
      </c>
      <c r="B1255" s="7">
        <f>YEAR(A1255)</f>
        <v/>
      </c>
      <c r="C1255" s="7">
        <f>MONTH(A1255)</f>
        <v/>
      </c>
      <c r="D1255" s="10" t="n">
        <v>2.085733609</v>
      </c>
      <c r="E1255" s="11" t="n">
        <v>17.20593095</v>
      </c>
      <c r="F1255" s="12" t="n">
        <v>9.333283506e-05</v>
      </c>
      <c r="G1255" s="11" t="n">
        <v>291.7291506</v>
      </c>
      <c r="H1255" s="13">
        <f>F1255*1000</f>
        <v/>
      </c>
      <c r="I1255" s="14">
        <f>G1255-273.15</f>
        <v/>
      </c>
      <c r="K1255" s="15" t="n">
        <v>2004</v>
      </c>
      <c r="L1255" s="15" t="n">
        <v>6</v>
      </c>
      <c r="M1255" s="15" t="n">
        <v>21</v>
      </c>
      <c r="N1255" s="16" t="n">
        <v>0</v>
      </c>
      <c r="O1255" s="11" t="n">
        <v>291.8056114</v>
      </c>
      <c r="P1255" s="13">
        <f>N1255*86400</f>
        <v/>
      </c>
      <c r="Q1255" s="14">
        <f>O1255-273.15</f>
        <v/>
      </c>
    </row>
    <row r="1256">
      <c r="A1256" s="9" t="n">
        <v>38143</v>
      </c>
      <c r="B1256" s="7">
        <f>YEAR(A1256)</f>
        <v/>
      </c>
      <c r="C1256" s="7">
        <f>MONTH(A1256)</f>
        <v/>
      </c>
      <c r="D1256" s="10" t="n">
        <v>0</v>
      </c>
      <c r="E1256" s="11" t="n">
        <v>17.55285715</v>
      </c>
      <c r="F1256" s="12" t="n">
        <v>1.483244745e-05</v>
      </c>
      <c r="G1256" s="11" t="n">
        <v>292.307363</v>
      </c>
      <c r="H1256" s="13">
        <f>F1256*1000</f>
        <v/>
      </c>
      <c r="I1256" s="14">
        <f>G1256-273.15</f>
        <v/>
      </c>
      <c r="K1256" s="15" t="n">
        <v>2004</v>
      </c>
      <c r="L1256" s="15" t="n">
        <v>6</v>
      </c>
      <c r="M1256" s="15" t="n">
        <v>22</v>
      </c>
      <c r="N1256" s="16" t="n">
        <v>0</v>
      </c>
      <c r="O1256" s="11" t="n">
        <v>292.3344777</v>
      </c>
      <c r="P1256" s="13">
        <f>N1256*86400</f>
        <v/>
      </c>
      <c r="Q1256" s="14">
        <f>O1256-273.15</f>
        <v/>
      </c>
    </row>
    <row r="1257">
      <c r="A1257" s="9" t="n">
        <v>38144</v>
      </c>
      <c r="B1257" s="7">
        <f>YEAR(A1257)</f>
        <v/>
      </c>
      <c r="C1257" s="7">
        <f>MONTH(A1257)</f>
        <v/>
      </c>
      <c r="D1257" s="10" t="n">
        <v>8.467992843999999</v>
      </c>
      <c r="E1257" s="11" t="n">
        <v>17.7677188</v>
      </c>
      <c r="F1257" s="12" t="n">
        <v>0.001082038412</v>
      </c>
      <c r="G1257" s="11" t="n">
        <v>293.2319076</v>
      </c>
      <c r="H1257" s="13">
        <f>F1257*1000</f>
        <v/>
      </c>
      <c r="I1257" s="14">
        <f>G1257-273.15</f>
        <v/>
      </c>
      <c r="K1257" s="15" t="n">
        <v>2004</v>
      </c>
      <c r="L1257" s="15" t="n">
        <v>6</v>
      </c>
      <c r="M1257" s="15" t="n">
        <v>23</v>
      </c>
      <c r="N1257" s="16" t="n">
        <v>1.986368993e-06</v>
      </c>
      <c r="O1257" s="11" t="n">
        <v>290.3737412</v>
      </c>
      <c r="P1257" s="13">
        <f>N1257*86400</f>
        <v/>
      </c>
      <c r="Q1257" s="14">
        <f>O1257-273.15</f>
        <v/>
      </c>
    </row>
    <row r="1258">
      <c r="A1258" s="9" t="n">
        <v>38145</v>
      </c>
      <c r="B1258" s="7">
        <f>YEAR(A1258)</f>
        <v/>
      </c>
      <c r="C1258" s="7">
        <f>MONTH(A1258)</f>
        <v/>
      </c>
      <c r="D1258" s="10" t="n">
        <v>15.12724796</v>
      </c>
      <c r="E1258" s="11" t="n">
        <v>17.60344197</v>
      </c>
      <c r="F1258" s="12" t="n">
        <v>0.008690980225999999</v>
      </c>
      <c r="G1258" s="11" t="n">
        <v>293.7952503</v>
      </c>
      <c r="H1258" s="13">
        <f>F1258*1000</f>
        <v/>
      </c>
      <c r="I1258" s="14">
        <f>G1258-273.15</f>
        <v/>
      </c>
      <c r="K1258" s="15" t="n">
        <v>2004</v>
      </c>
      <c r="L1258" s="15" t="n">
        <v>6</v>
      </c>
      <c r="M1258" s="15" t="n">
        <v>24</v>
      </c>
      <c r="N1258" s="16" t="n">
        <v>0</v>
      </c>
      <c r="O1258" s="11" t="n">
        <v>291.8424378</v>
      </c>
      <c r="P1258" s="13">
        <f>N1258*86400</f>
        <v/>
      </c>
      <c r="Q1258" s="14">
        <f>O1258-273.15</f>
        <v/>
      </c>
    </row>
    <row r="1259">
      <c r="A1259" s="9" t="n">
        <v>38146</v>
      </c>
      <c r="B1259" s="7">
        <f>YEAR(A1259)</f>
        <v/>
      </c>
      <c r="C1259" s="7">
        <f>MONTH(A1259)</f>
        <v/>
      </c>
      <c r="D1259" s="10" t="n">
        <v>0</v>
      </c>
      <c r="E1259" s="11" t="n">
        <v>16.21019849</v>
      </c>
      <c r="F1259" s="12" t="n">
        <v>0.0003308580998</v>
      </c>
      <c r="G1259" s="11" t="n">
        <v>292.3366947</v>
      </c>
      <c r="H1259" s="13">
        <f>F1259*1000</f>
        <v/>
      </c>
      <c r="I1259" s="14">
        <f>G1259-273.15</f>
        <v/>
      </c>
      <c r="K1259" s="15" t="n">
        <v>2004</v>
      </c>
      <c r="L1259" s="15" t="n">
        <v>6</v>
      </c>
      <c r="M1259" s="15" t="n">
        <v>25</v>
      </c>
      <c r="N1259" s="16" t="n">
        <v>2.510877372e-06</v>
      </c>
      <c r="O1259" s="11" t="n">
        <v>293.5220024</v>
      </c>
      <c r="P1259" s="13">
        <f>N1259*86400</f>
        <v/>
      </c>
      <c r="Q1259" s="14">
        <f>O1259-273.15</f>
        <v/>
      </c>
    </row>
    <row r="1260">
      <c r="A1260" s="9" t="n">
        <v>38147</v>
      </c>
      <c r="B1260" s="7">
        <f>YEAR(A1260)</f>
        <v/>
      </c>
      <c r="C1260" s="7">
        <f>MONTH(A1260)</f>
        <v/>
      </c>
      <c r="D1260" s="10" t="n">
        <v>10.94754553</v>
      </c>
      <c r="E1260" s="11" t="n">
        <v>17.84382282</v>
      </c>
      <c r="F1260" s="12" t="n">
        <v>0.0005915210112</v>
      </c>
      <c r="G1260" s="11" t="n">
        <v>293.0269298</v>
      </c>
      <c r="H1260" s="13">
        <f>F1260*1000</f>
        <v/>
      </c>
      <c r="I1260" s="14">
        <f>G1260-273.15</f>
        <v/>
      </c>
      <c r="K1260" s="15" t="n">
        <v>2004</v>
      </c>
      <c r="L1260" s="15" t="n">
        <v>6</v>
      </c>
      <c r="M1260" s="15" t="n">
        <v>26</v>
      </c>
      <c r="N1260" s="16" t="n">
        <v>0.0001602583075</v>
      </c>
      <c r="O1260" s="11" t="n">
        <v>294.6925789</v>
      </c>
      <c r="P1260" s="13">
        <f>N1260*86400</f>
        <v/>
      </c>
      <c r="Q1260" s="14">
        <f>O1260-273.15</f>
        <v/>
      </c>
    </row>
    <row r="1261">
      <c r="A1261" s="9" t="n">
        <v>38148</v>
      </c>
      <c r="B1261" s="7">
        <f>YEAR(A1261)</f>
        <v/>
      </c>
      <c r="C1261" s="7">
        <f>MONTH(A1261)</f>
        <v/>
      </c>
      <c r="D1261" s="10" t="n">
        <v>0.3526027051</v>
      </c>
      <c r="E1261" s="11" t="n">
        <v>17.88481556</v>
      </c>
      <c r="F1261" s="12" t="n">
        <v>0.002214935137</v>
      </c>
      <c r="G1261" s="11" t="n">
        <v>292.3350195</v>
      </c>
      <c r="H1261" s="13">
        <f>F1261*1000</f>
        <v/>
      </c>
      <c r="I1261" s="14">
        <f>G1261-273.15</f>
        <v/>
      </c>
      <c r="K1261" s="15" t="n">
        <v>2004</v>
      </c>
      <c r="L1261" s="15" t="n">
        <v>6</v>
      </c>
      <c r="M1261" s="15" t="n">
        <v>27</v>
      </c>
      <c r="N1261" s="16" t="n">
        <v>6.253096721e-05</v>
      </c>
      <c r="O1261" s="11" t="n">
        <v>294.1342186</v>
      </c>
      <c r="P1261" s="13">
        <f>N1261*86400</f>
        <v/>
      </c>
      <c r="Q1261" s="14">
        <f>O1261-273.15</f>
        <v/>
      </c>
    </row>
    <row r="1262">
      <c r="A1262" s="9" t="n">
        <v>38149</v>
      </c>
      <c r="B1262" s="7">
        <f>YEAR(A1262)</f>
        <v/>
      </c>
      <c r="C1262" s="7">
        <f>MONTH(A1262)</f>
        <v/>
      </c>
      <c r="D1262" s="10" t="n">
        <v>0</v>
      </c>
      <c r="E1262" s="11" t="n">
        <v>17.39366247</v>
      </c>
      <c r="F1262" s="12" t="n">
        <v>0</v>
      </c>
      <c r="G1262" s="11" t="n">
        <v>291.7394455</v>
      </c>
      <c r="H1262" s="13">
        <f>F1262*1000</f>
        <v/>
      </c>
      <c r="I1262" s="14">
        <f>G1262-273.15</f>
        <v/>
      </c>
      <c r="K1262" s="15" t="n">
        <v>2004</v>
      </c>
      <c r="L1262" s="15" t="n">
        <v>6</v>
      </c>
      <c r="M1262" s="15" t="n">
        <v>28</v>
      </c>
      <c r="N1262" s="16" t="n">
        <v>5.022989021e-05</v>
      </c>
      <c r="O1262" s="11" t="n">
        <v>291.0262759</v>
      </c>
      <c r="P1262" s="13">
        <f>N1262*86400</f>
        <v/>
      </c>
      <c r="Q1262" s="14">
        <f>O1262-273.15</f>
        <v/>
      </c>
    </row>
    <row r="1263">
      <c r="A1263" s="9" t="n">
        <v>38150</v>
      </c>
      <c r="B1263" s="7">
        <f>YEAR(A1263)</f>
        <v/>
      </c>
      <c r="C1263" s="7">
        <f>MONTH(A1263)</f>
        <v/>
      </c>
      <c r="D1263" s="10" t="n">
        <v>2.68375748</v>
      </c>
      <c r="E1263" s="11" t="n">
        <v>16.66887723</v>
      </c>
      <c r="F1263" s="12" t="n">
        <v>0.004469344537</v>
      </c>
      <c r="G1263" s="11" t="n">
        <v>291.366661</v>
      </c>
      <c r="H1263" s="13">
        <f>F1263*1000</f>
        <v/>
      </c>
      <c r="I1263" s="14">
        <f>G1263-273.15</f>
        <v/>
      </c>
      <c r="K1263" s="15" t="n">
        <v>2004</v>
      </c>
      <c r="L1263" s="15" t="n">
        <v>6</v>
      </c>
      <c r="M1263" s="15" t="n">
        <v>29</v>
      </c>
      <c r="N1263" s="16" t="n">
        <v>0.0001641499203</v>
      </c>
      <c r="O1263" s="11" t="n">
        <v>291.5870862</v>
      </c>
      <c r="P1263" s="13">
        <f>N1263*86400</f>
        <v/>
      </c>
      <c r="Q1263" s="14">
        <f>O1263-273.15</f>
        <v/>
      </c>
    </row>
    <row r="1264">
      <c r="A1264" s="9" t="n">
        <v>38151</v>
      </c>
      <c r="B1264" s="7">
        <f>YEAR(A1264)</f>
        <v/>
      </c>
      <c r="C1264" s="7">
        <f>MONTH(A1264)</f>
        <v/>
      </c>
      <c r="D1264" s="10" t="n">
        <v>3.597755581</v>
      </c>
      <c r="E1264" s="11" t="n">
        <v>16.13165188</v>
      </c>
      <c r="F1264" s="12" t="n">
        <v>0.006968819724</v>
      </c>
      <c r="G1264" s="11" t="n">
        <v>290.6197626</v>
      </c>
      <c r="H1264" s="13">
        <f>F1264*1000</f>
        <v/>
      </c>
      <c r="I1264" s="14">
        <f>G1264-273.15</f>
        <v/>
      </c>
      <c r="K1264" s="15" t="n">
        <v>2004</v>
      </c>
      <c r="L1264" s="15" t="n">
        <v>6</v>
      </c>
      <c r="M1264" s="15" t="n">
        <v>30</v>
      </c>
      <c r="N1264" s="16" t="n">
        <v>1.616701836e-05</v>
      </c>
      <c r="O1264" s="11" t="n">
        <v>290.6296267</v>
      </c>
      <c r="P1264" s="13">
        <f>N1264*86400</f>
        <v/>
      </c>
      <c r="Q1264" s="14">
        <f>O1264-273.15</f>
        <v/>
      </c>
    </row>
    <row r="1265">
      <c r="A1265" s="9" t="n">
        <v>38152</v>
      </c>
      <c r="B1265" s="7">
        <f>YEAR(A1265)</f>
        <v/>
      </c>
      <c r="C1265" s="7">
        <f>MONTH(A1265)</f>
        <v/>
      </c>
      <c r="D1265" s="10" t="n">
        <v>0</v>
      </c>
      <c r="E1265" s="11" t="n">
        <v>16.12942775</v>
      </c>
      <c r="F1265" s="12" t="n">
        <v>0.003982387053</v>
      </c>
      <c r="G1265" s="11" t="n">
        <v>290.766284</v>
      </c>
      <c r="H1265" s="13">
        <f>F1265*1000</f>
        <v/>
      </c>
      <c r="I1265" s="14">
        <f>G1265-273.15</f>
        <v/>
      </c>
      <c r="K1265" s="15" t="n">
        <v>2004</v>
      </c>
      <c r="L1265" s="15" t="n">
        <v>7</v>
      </c>
      <c r="M1265" s="15" t="n">
        <v>1</v>
      </c>
      <c r="N1265" s="16" t="n">
        <v>0.0001188283543</v>
      </c>
      <c r="O1265" s="11" t="n">
        <v>289.9345834</v>
      </c>
      <c r="P1265" s="13">
        <f>N1265*86400</f>
        <v/>
      </c>
      <c r="Q1265" s="14">
        <f>O1265-273.15</f>
        <v/>
      </c>
    </row>
    <row r="1266">
      <c r="A1266" s="9" t="n">
        <v>38153</v>
      </c>
      <c r="B1266" s="7">
        <f>YEAR(A1266)</f>
        <v/>
      </c>
      <c r="C1266" s="7">
        <f>MONTH(A1266)</f>
        <v/>
      </c>
      <c r="D1266" s="10" t="n">
        <v>9.700341772</v>
      </c>
      <c r="E1266" s="11" t="n">
        <v>19.3540556</v>
      </c>
      <c r="F1266" s="12" t="n">
        <v>0.00158956244</v>
      </c>
      <c r="G1266" s="11" t="n">
        <v>293.3145871</v>
      </c>
      <c r="H1266" s="13">
        <f>F1266*1000</f>
        <v/>
      </c>
      <c r="I1266" s="14">
        <f>G1266-273.15</f>
        <v/>
      </c>
      <c r="K1266" s="15" t="n">
        <v>2004</v>
      </c>
      <c r="L1266" s="15" t="n">
        <v>7</v>
      </c>
      <c r="M1266" s="15" t="n">
        <v>2</v>
      </c>
      <c r="N1266" s="16" t="n">
        <v>3.321156921e-05</v>
      </c>
      <c r="O1266" s="11" t="n">
        <v>292.751288</v>
      </c>
      <c r="P1266" s="13">
        <f>N1266*86400</f>
        <v/>
      </c>
      <c r="Q1266" s="14">
        <f>O1266-273.15</f>
        <v/>
      </c>
    </row>
    <row r="1267">
      <c r="A1267" s="9" t="n">
        <v>38154</v>
      </c>
      <c r="B1267" s="7">
        <f>YEAR(A1267)</f>
        <v/>
      </c>
      <c r="C1267" s="7">
        <f>MONTH(A1267)</f>
        <v/>
      </c>
      <c r="D1267" s="10" t="n">
        <v>1.979844422</v>
      </c>
      <c r="E1267" s="11" t="n">
        <v>20.10279064</v>
      </c>
      <c r="F1267" s="12" t="n">
        <v>0.01567010864</v>
      </c>
      <c r="G1267" s="11" t="n">
        <v>293.3880071</v>
      </c>
      <c r="H1267" s="13">
        <f>F1267*1000</f>
        <v/>
      </c>
      <c r="I1267" s="14">
        <f>G1267-273.15</f>
        <v/>
      </c>
      <c r="K1267" s="15" t="n">
        <v>2004</v>
      </c>
      <c r="L1267" s="15" t="n">
        <v>7</v>
      </c>
      <c r="M1267" s="15" t="n">
        <v>3</v>
      </c>
      <c r="N1267" s="16" t="n">
        <v>1.083578703e-05</v>
      </c>
      <c r="O1267" s="11" t="n">
        <v>292.760521</v>
      </c>
      <c r="P1267" s="13">
        <f>N1267*86400</f>
        <v/>
      </c>
      <c r="Q1267" s="14">
        <f>O1267-273.15</f>
        <v/>
      </c>
    </row>
    <row r="1268">
      <c r="A1268" s="9" t="n">
        <v>38155</v>
      </c>
      <c r="B1268" s="7">
        <f>YEAR(A1268)</f>
        <v/>
      </c>
      <c r="C1268" s="7">
        <f>MONTH(A1268)</f>
        <v/>
      </c>
      <c r="D1268" s="10" t="n">
        <v>0</v>
      </c>
      <c r="E1268" s="11" t="n">
        <v>17.72840215</v>
      </c>
      <c r="F1268" s="12" t="n">
        <v>0.00191012799</v>
      </c>
      <c r="G1268" s="11" t="n">
        <v>291.5671977</v>
      </c>
      <c r="H1268" s="13">
        <f>F1268*1000</f>
        <v/>
      </c>
      <c r="I1268" s="14">
        <f>G1268-273.15</f>
        <v/>
      </c>
      <c r="K1268" s="15" t="n">
        <v>2004</v>
      </c>
      <c r="L1268" s="15" t="n">
        <v>7</v>
      </c>
      <c r="M1268" s="15" t="n">
        <v>4</v>
      </c>
      <c r="N1268" s="16" t="n">
        <v>2.906720819e-06</v>
      </c>
      <c r="O1268" s="11" t="n">
        <v>292.6193534</v>
      </c>
      <c r="P1268" s="13">
        <f>N1268*86400</f>
        <v/>
      </c>
      <c r="Q1268" s="14">
        <f>O1268-273.15</f>
        <v/>
      </c>
    </row>
    <row r="1269">
      <c r="A1269" s="9" t="n">
        <v>38156</v>
      </c>
      <c r="B1269" s="7">
        <f>YEAR(A1269)</f>
        <v/>
      </c>
      <c r="C1269" s="7">
        <f>MONTH(A1269)</f>
        <v/>
      </c>
      <c r="D1269" s="10" t="n">
        <v>0</v>
      </c>
      <c r="E1269" s="11" t="n">
        <v>17.6198123</v>
      </c>
      <c r="F1269" s="12" t="n">
        <v>0.01434850977</v>
      </c>
      <c r="G1269" s="11" t="n">
        <v>292.0402705</v>
      </c>
      <c r="H1269" s="13">
        <f>F1269*1000</f>
        <v/>
      </c>
      <c r="I1269" s="14">
        <f>G1269-273.15</f>
        <v/>
      </c>
      <c r="K1269" s="15" t="n">
        <v>2004</v>
      </c>
      <c r="L1269" s="15" t="n">
        <v>7</v>
      </c>
      <c r="M1269" s="15" t="n">
        <v>5</v>
      </c>
      <c r="N1269" s="16" t="n">
        <v>4.096518469e-06</v>
      </c>
      <c r="O1269" s="11" t="n">
        <v>291.3123902</v>
      </c>
      <c r="P1269" s="13">
        <f>N1269*86400</f>
        <v/>
      </c>
      <c r="Q1269" s="14">
        <f>O1269-273.15</f>
        <v/>
      </c>
    </row>
    <row r="1270">
      <c r="A1270" s="9" t="n">
        <v>38157</v>
      </c>
      <c r="B1270" s="7">
        <f>YEAR(A1270)</f>
        <v/>
      </c>
      <c r="C1270" s="7">
        <f>MONTH(A1270)</f>
        <v/>
      </c>
      <c r="D1270" s="10" t="n">
        <v>0</v>
      </c>
      <c r="E1270" s="11" t="n">
        <v>19.13813964</v>
      </c>
      <c r="F1270" s="12" t="n">
        <v>0</v>
      </c>
      <c r="G1270" s="11" t="n">
        <v>294.8554028</v>
      </c>
      <c r="H1270" s="13">
        <f>F1270*1000</f>
        <v/>
      </c>
      <c r="I1270" s="14">
        <f>G1270-273.15</f>
        <v/>
      </c>
      <c r="K1270" s="15" t="n">
        <v>2004</v>
      </c>
      <c r="L1270" s="15" t="n">
        <v>7</v>
      </c>
      <c r="M1270" s="15" t="n">
        <v>6</v>
      </c>
      <c r="N1270" s="16" t="n">
        <v>2.39587007e-05</v>
      </c>
      <c r="O1270" s="11" t="n">
        <v>291.1134198</v>
      </c>
      <c r="P1270" s="13">
        <f>N1270*86400</f>
        <v/>
      </c>
      <c r="Q1270" s="14">
        <f>O1270-273.15</f>
        <v/>
      </c>
    </row>
    <row r="1271">
      <c r="A1271" s="9" t="n">
        <v>38158</v>
      </c>
      <c r="B1271" s="7">
        <f>YEAR(A1271)</f>
        <v/>
      </c>
      <c r="C1271" s="7">
        <f>MONTH(A1271)</f>
        <v/>
      </c>
      <c r="D1271" s="10" t="n">
        <v>0</v>
      </c>
      <c r="E1271" s="11" t="n">
        <v>16.67972012</v>
      </c>
      <c r="F1271" s="12" t="n">
        <v>0</v>
      </c>
      <c r="G1271" s="11" t="n">
        <v>292.654822</v>
      </c>
      <c r="H1271" s="13">
        <f>F1271*1000</f>
        <v/>
      </c>
      <c r="I1271" s="14">
        <f>G1271-273.15</f>
        <v/>
      </c>
      <c r="K1271" s="15" t="n">
        <v>2004</v>
      </c>
      <c r="L1271" s="15" t="n">
        <v>7</v>
      </c>
      <c r="M1271" s="15" t="n">
        <v>7</v>
      </c>
      <c r="N1271" s="16" t="n">
        <v>1.055643413e-05</v>
      </c>
      <c r="O1271" s="11" t="n">
        <v>291.685201</v>
      </c>
      <c r="P1271" s="13">
        <f>N1271*86400</f>
        <v/>
      </c>
      <c r="Q1271" s="14">
        <f>O1271-273.15</f>
        <v/>
      </c>
    </row>
    <row r="1272">
      <c r="A1272" s="9" t="n">
        <v>38159</v>
      </c>
      <c r="B1272" s="7">
        <f>YEAR(A1272)</f>
        <v/>
      </c>
      <c r="C1272" s="7">
        <f>MONTH(A1272)</f>
        <v/>
      </c>
      <c r="D1272" s="10" t="n">
        <v>0</v>
      </c>
      <c r="E1272" s="11" t="n">
        <v>15.97933405</v>
      </c>
      <c r="F1272" s="12" t="n">
        <v>3.054012125e-05</v>
      </c>
      <c r="G1272" s="11" t="n">
        <v>291.1722905</v>
      </c>
      <c r="H1272" s="13">
        <f>F1272*1000</f>
        <v/>
      </c>
      <c r="I1272" s="14">
        <f>G1272-273.15</f>
        <v/>
      </c>
      <c r="K1272" s="15" t="n">
        <v>2004</v>
      </c>
      <c r="L1272" s="15" t="n">
        <v>7</v>
      </c>
      <c r="M1272" s="15" t="n">
        <v>8</v>
      </c>
      <c r="N1272" s="16" t="n">
        <v>0.0001461700352</v>
      </c>
      <c r="O1272" s="11" t="n">
        <v>292.8810272</v>
      </c>
      <c r="P1272" s="13">
        <f>N1272*86400</f>
        <v/>
      </c>
      <c r="Q1272" s="14">
        <f>O1272-273.15</f>
        <v/>
      </c>
    </row>
    <row r="1273">
      <c r="A1273" s="9" t="n">
        <v>38160</v>
      </c>
      <c r="B1273" s="7">
        <f>YEAR(A1273)</f>
        <v/>
      </c>
      <c r="C1273" s="7">
        <f>MONTH(A1273)</f>
        <v/>
      </c>
      <c r="D1273" s="10" t="n">
        <v>9.566069864999999</v>
      </c>
      <c r="E1273" s="11" t="n">
        <v>15.81842066</v>
      </c>
      <c r="F1273" s="12" t="n">
        <v>0.002686345891</v>
      </c>
      <c r="G1273" s="11" t="n">
        <v>291.9757244</v>
      </c>
      <c r="H1273" s="13">
        <f>F1273*1000</f>
        <v/>
      </c>
      <c r="I1273" s="14">
        <f>G1273-273.15</f>
        <v/>
      </c>
      <c r="K1273" s="15" t="n">
        <v>2004</v>
      </c>
      <c r="L1273" s="15" t="n">
        <v>7</v>
      </c>
      <c r="M1273" s="15" t="n">
        <v>9</v>
      </c>
      <c r="N1273" s="16" t="n">
        <v>1.048737399e-05</v>
      </c>
      <c r="O1273" s="11" t="n">
        <v>294.0280287</v>
      </c>
      <c r="P1273" s="13">
        <f>N1273*86400</f>
        <v/>
      </c>
      <c r="Q1273" s="14">
        <f>O1273-273.15</f>
        <v/>
      </c>
    </row>
    <row r="1274">
      <c r="A1274" s="9" t="n">
        <v>38161</v>
      </c>
      <c r="B1274" s="7">
        <f>YEAR(A1274)</f>
        <v/>
      </c>
      <c r="C1274" s="7">
        <f>MONTH(A1274)</f>
        <v/>
      </c>
      <c r="D1274" s="10" t="n">
        <v>17.92887814</v>
      </c>
      <c r="E1274" s="11" t="n">
        <v>16.77933532</v>
      </c>
      <c r="F1274" s="12" t="n">
        <v>0.01964682528</v>
      </c>
      <c r="G1274" s="11" t="n">
        <v>291.6806503</v>
      </c>
      <c r="H1274" s="13">
        <f>F1274*1000</f>
        <v/>
      </c>
      <c r="I1274" s="14">
        <f>G1274-273.15</f>
        <v/>
      </c>
      <c r="K1274" s="15" t="n">
        <v>2004</v>
      </c>
      <c r="L1274" s="15" t="n">
        <v>7</v>
      </c>
      <c r="M1274" s="15" t="n">
        <v>10</v>
      </c>
      <c r="N1274" s="16" t="n">
        <v>1.643482732e-05</v>
      </c>
      <c r="O1274" s="11" t="n">
        <v>292.8019261</v>
      </c>
      <c r="P1274" s="13">
        <f>N1274*86400</f>
        <v/>
      </c>
      <c r="Q1274" s="14">
        <f>O1274-273.15</f>
        <v/>
      </c>
    </row>
    <row r="1275">
      <c r="A1275" s="9" t="n">
        <v>38162</v>
      </c>
      <c r="B1275" s="7">
        <f>YEAR(A1275)</f>
        <v/>
      </c>
      <c r="C1275" s="7">
        <f>MONTH(A1275)</f>
        <v/>
      </c>
      <c r="D1275" s="10" t="n">
        <v>0</v>
      </c>
      <c r="E1275" s="11" t="n">
        <v>15.82352586</v>
      </c>
      <c r="F1275" s="12" t="n">
        <v>0.0123680207</v>
      </c>
      <c r="G1275" s="11" t="n">
        <v>291.1071599</v>
      </c>
      <c r="H1275" s="13">
        <f>F1275*1000</f>
        <v/>
      </c>
      <c r="I1275" s="14">
        <f>G1275-273.15</f>
        <v/>
      </c>
      <c r="K1275" s="15" t="n">
        <v>2004</v>
      </c>
      <c r="L1275" s="15" t="n">
        <v>7</v>
      </c>
      <c r="M1275" s="15" t="n">
        <v>11</v>
      </c>
      <c r="N1275" s="16" t="n">
        <v>0</v>
      </c>
      <c r="O1275" s="11" t="n">
        <v>291.964321</v>
      </c>
      <c r="P1275" s="13">
        <f>N1275*86400</f>
        <v/>
      </c>
      <c r="Q1275" s="14">
        <f>O1275-273.15</f>
        <v/>
      </c>
    </row>
    <row r="1276">
      <c r="A1276" s="9" t="n">
        <v>38163</v>
      </c>
      <c r="B1276" s="7">
        <f>YEAR(A1276)</f>
        <v/>
      </c>
      <c r="C1276" s="7">
        <f>MONTH(A1276)</f>
        <v/>
      </c>
      <c r="D1276" s="10" t="n">
        <v>29.69734057</v>
      </c>
      <c r="E1276" s="11" t="n">
        <v>12.2951983</v>
      </c>
      <c r="F1276" s="12" t="n">
        <v>0.01480530901</v>
      </c>
      <c r="G1276" s="11" t="n">
        <v>288.9985823</v>
      </c>
      <c r="H1276" s="13">
        <f>F1276*1000</f>
        <v/>
      </c>
      <c r="I1276" s="14">
        <f>G1276-273.15</f>
        <v/>
      </c>
      <c r="K1276" s="15" t="n">
        <v>2004</v>
      </c>
      <c r="L1276" s="15" t="n">
        <v>7</v>
      </c>
      <c r="M1276" s="15" t="n">
        <v>12</v>
      </c>
      <c r="N1276" s="16" t="n">
        <v>1.014627751e-05</v>
      </c>
      <c r="O1276" s="11" t="n">
        <v>290.3579262</v>
      </c>
      <c r="P1276" s="13">
        <f>N1276*86400</f>
        <v/>
      </c>
      <c r="Q1276" s="14">
        <f>O1276-273.15</f>
        <v/>
      </c>
    </row>
    <row r="1277">
      <c r="A1277" s="9" t="n">
        <v>38164</v>
      </c>
      <c r="B1277" s="7">
        <f>YEAR(A1277)</f>
        <v/>
      </c>
      <c r="C1277" s="7">
        <f>MONTH(A1277)</f>
        <v/>
      </c>
      <c r="D1277" s="10" t="n">
        <v>14.30143812</v>
      </c>
      <c r="E1277" s="11" t="n">
        <v>14.32138812</v>
      </c>
      <c r="F1277" s="12" t="n">
        <v>0.01128292816</v>
      </c>
      <c r="G1277" s="11" t="n">
        <v>289.795444</v>
      </c>
      <c r="H1277" s="13">
        <f>F1277*1000</f>
        <v/>
      </c>
      <c r="I1277" s="14">
        <f>G1277-273.15</f>
        <v/>
      </c>
      <c r="K1277" s="15" t="n">
        <v>2004</v>
      </c>
      <c r="L1277" s="15" t="n">
        <v>7</v>
      </c>
      <c r="M1277" s="15" t="n">
        <v>13</v>
      </c>
      <c r="N1277" s="16" t="n">
        <v>1.185322127e-06</v>
      </c>
      <c r="O1277" s="11" t="n">
        <v>290.8094763</v>
      </c>
      <c r="P1277" s="13">
        <f>N1277*86400</f>
        <v/>
      </c>
      <c r="Q1277" s="14">
        <f>O1277-273.15</f>
        <v/>
      </c>
    </row>
    <row r="1278">
      <c r="A1278" s="9" t="n">
        <v>38165</v>
      </c>
      <c r="B1278" s="7">
        <f>YEAR(A1278)</f>
        <v/>
      </c>
      <c r="C1278" s="7">
        <f>MONTH(A1278)</f>
        <v/>
      </c>
      <c r="D1278" s="10" t="n">
        <v>0.2024754162</v>
      </c>
      <c r="E1278" s="11" t="n">
        <v>14.28428746</v>
      </c>
      <c r="F1278" s="12" t="n">
        <v>0.003391940226</v>
      </c>
      <c r="G1278" s="11" t="n">
        <v>289.5254946</v>
      </c>
      <c r="H1278" s="13">
        <f>F1278*1000</f>
        <v/>
      </c>
      <c r="I1278" s="14">
        <f>G1278-273.15</f>
        <v/>
      </c>
      <c r="K1278" s="15" t="n">
        <v>2004</v>
      </c>
      <c r="L1278" s="15" t="n">
        <v>7</v>
      </c>
      <c r="M1278" s="15" t="n">
        <v>14</v>
      </c>
      <c r="N1278" s="16" t="n">
        <v>1.337441898e-05</v>
      </c>
      <c r="O1278" s="11" t="n">
        <v>288.1275066</v>
      </c>
      <c r="P1278" s="13">
        <f>N1278*86400</f>
        <v/>
      </c>
      <c r="Q1278" s="14">
        <f>O1278-273.15</f>
        <v/>
      </c>
    </row>
    <row r="1279">
      <c r="A1279" s="9" t="n">
        <v>38166</v>
      </c>
      <c r="B1279" s="7">
        <f>YEAR(A1279)</f>
        <v/>
      </c>
      <c r="C1279" s="7">
        <f>MONTH(A1279)</f>
        <v/>
      </c>
      <c r="D1279" s="10" t="n">
        <v>9.408634585</v>
      </c>
      <c r="E1279" s="11" t="n">
        <v>14.13437085</v>
      </c>
      <c r="F1279" s="12" t="n">
        <v>0.01454122249</v>
      </c>
      <c r="G1279" s="11" t="n">
        <v>289.5144516</v>
      </c>
      <c r="H1279" s="13">
        <f>F1279*1000</f>
        <v/>
      </c>
      <c r="I1279" s="14">
        <f>G1279-273.15</f>
        <v/>
      </c>
      <c r="K1279" s="15" t="n">
        <v>2004</v>
      </c>
      <c r="L1279" s="15" t="n">
        <v>7</v>
      </c>
      <c r="M1279" s="15" t="n">
        <v>15</v>
      </c>
      <c r="N1279" s="16" t="n">
        <v>0</v>
      </c>
      <c r="O1279" s="11" t="n">
        <v>288.2611406</v>
      </c>
      <c r="P1279" s="13">
        <f>N1279*86400</f>
        <v/>
      </c>
      <c r="Q1279" s="14">
        <f>O1279-273.15</f>
        <v/>
      </c>
    </row>
    <row r="1280">
      <c r="A1280" s="9" t="n">
        <v>38167</v>
      </c>
      <c r="B1280" s="7">
        <f>YEAR(A1280)</f>
        <v/>
      </c>
      <c r="C1280" s="7">
        <f>MONTH(A1280)</f>
        <v/>
      </c>
      <c r="D1280" s="10" t="n">
        <v>0</v>
      </c>
      <c r="E1280" s="11" t="n">
        <v>16.5136378</v>
      </c>
      <c r="F1280" s="12" t="n">
        <v>0.0012274533</v>
      </c>
      <c r="G1280" s="11" t="n">
        <v>291.2638798</v>
      </c>
      <c r="H1280" s="13">
        <f>F1280*1000</f>
        <v/>
      </c>
      <c r="I1280" s="14">
        <f>G1280-273.15</f>
        <v/>
      </c>
      <c r="K1280" s="15" t="n">
        <v>2004</v>
      </c>
      <c r="L1280" s="15" t="n">
        <v>7</v>
      </c>
      <c r="M1280" s="15" t="n">
        <v>16</v>
      </c>
      <c r="N1280" s="16" t="n">
        <v>1.017506583e-05</v>
      </c>
      <c r="O1280" s="11" t="n">
        <v>289.2323114</v>
      </c>
      <c r="P1280" s="13">
        <f>N1280*86400</f>
        <v/>
      </c>
      <c r="Q1280" s="14">
        <f>O1280-273.15</f>
        <v/>
      </c>
    </row>
    <row r="1281">
      <c r="A1281" s="9" t="n">
        <v>38168</v>
      </c>
      <c r="B1281" s="7">
        <f>YEAR(A1281)</f>
        <v/>
      </c>
      <c r="C1281" s="7">
        <f>MONTH(A1281)</f>
        <v/>
      </c>
      <c r="D1281" s="10" t="n">
        <v>0</v>
      </c>
      <c r="E1281" s="11" t="n">
        <v>17.04588791</v>
      </c>
      <c r="F1281" s="12" t="n">
        <v>0.005851968519</v>
      </c>
      <c r="G1281" s="11" t="n">
        <v>291.9893754</v>
      </c>
      <c r="H1281" s="13">
        <f>F1281*1000</f>
        <v/>
      </c>
      <c r="I1281" s="14">
        <f>G1281-273.15</f>
        <v/>
      </c>
      <c r="K1281" s="15" t="n">
        <v>2004</v>
      </c>
      <c r="L1281" s="15" t="n">
        <v>7</v>
      </c>
      <c r="M1281" s="15" t="n">
        <v>17</v>
      </c>
      <c r="N1281" s="16" t="n">
        <v>0.0003597076904</v>
      </c>
      <c r="O1281" s="11" t="n">
        <v>289.5241037</v>
      </c>
      <c r="P1281" s="13">
        <f>N1281*86400</f>
        <v/>
      </c>
      <c r="Q1281" s="14">
        <f>O1281-273.15</f>
        <v/>
      </c>
    </row>
    <row r="1282">
      <c r="A1282" s="9" t="n">
        <v>38169</v>
      </c>
      <c r="B1282" s="7">
        <f>YEAR(A1282)</f>
        <v/>
      </c>
      <c r="C1282" s="7">
        <f>MONTH(A1282)</f>
        <v/>
      </c>
      <c r="D1282" s="10" t="n">
        <v>0</v>
      </c>
      <c r="E1282" s="11" t="n">
        <v>17.57051663</v>
      </c>
      <c r="F1282" s="12" t="n">
        <v>0.00540487854</v>
      </c>
      <c r="G1282" s="11" t="n">
        <v>292.5601249</v>
      </c>
      <c r="H1282" s="13">
        <f>F1282*1000</f>
        <v/>
      </c>
      <c r="I1282" s="14">
        <f>G1282-273.15</f>
        <v/>
      </c>
      <c r="K1282" s="15" t="n">
        <v>2004</v>
      </c>
      <c r="L1282" s="15" t="n">
        <v>7</v>
      </c>
      <c r="M1282" s="15" t="n">
        <v>18</v>
      </c>
      <c r="N1282" s="16" t="n">
        <v>5.418202054e-05</v>
      </c>
      <c r="O1282" s="11" t="n">
        <v>287.1418747</v>
      </c>
      <c r="P1282" s="13">
        <f>N1282*86400</f>
        <v/>
      </c>
      <c r="Q1282" s="14">
        <f>O1282-273.15</f>
        <v/>
      </c>
    </row>
    <row r="1283">
      <c r="A1283" s="9" t="n">
        <v>38170</v>
      </c>
      <c r="B1283" s="7">
        <f>YEAR(A1283)</f>
        <v/>
      </c>
      <c r="C1283" s="7">
        <f>MONTH(A1283)</f>
        <v/>
      </c>
      <c r="D1283" s="10" t="n">
        <v>7.831694097</v>
      </c>
      <c r="E1283" s="11" t="n">
        <v>17.79819263</v>
      </c>
      <c r="F1283" s="12" t="n">
        <v>0.01453909661</v>
      </c>
      <c r="G1283" s="11" t="n">
        <v>291.4190621</v>
      </c>
      <c r="H1283" s="13">
        <f>F1283*1000</f>
        <v/>
      </c>
      <c r="I1283" s="14">
        <f>G1283-273.15</f>
        <v/>
      </c>
      <c r="K1283" s="15" t="n">
        <v>2004</v>
      </c>
      <c r="L1283" s="15" t="n">
        <v>7</v>
      </c>
      <c r="M1283" s="15" t="n">
        <v>19</v>
      </c>
      <c r="N1283" s="16" t="n">
        <v>5.570351989e-05</v>
      </c>
      <c r="O1283" s="11" t="n">
        <v>287.8546782</v>
      </c>
      <c r="P1283" s="13">
        <f>N1283*86400</f>
        <v/>
      </c>
      <c r="Q1283" s="14">
        <f>O1283-273.15</f>
        <v/>
      </c>
    </row>
    <row r="1284">
      <c r="A1284" s="9" t="n">
        <v>38171</v>
      </c>
      <c r="B1284" s="7">
        <f>YEAR(A1284)</f>
        <v/>
      </c>
      <c r="C1284" s="7">
        <f>MONTH(A1284)</f>
        <v/>
      </c>
      <c r="D1284" s="10" t="n">
        <v>46.42798752</v>
      </c>
      <c r="E1284" s="11" t="n">
        <v>18.89469193</v>
      </c>
      <c r="F1284" s="12" t="n">
        <v>0.04819755851</v>
      </c>
      <c r="G1284" s="11" t="n">
        <v>294.049465</v>
      </c>
      <c r="H1284" s="13">
        <f>F1284*1000</f>
        <v/>
      </c>
      <c r="I1284" s="14">
        <f>G1284-273.15</f>
        <v/>
      </c>
      <c r="K1284" s="15" t="n">
        <v>2004</v>
      </c>
      <c r="L1284" s="15" t="n">
        <v>7</v>
      </c>
      <c r="M1284" s="15" t="n">
        <v>20</v>
      </c>
      <c r="N1284" s="16" t="n">
        <v>3.993271034e-06</v>
      </c>
      <c r="O1284" s="11" t="n">
        <v>287.7653647</v>
      </c>
      <c r="P1284" s="13">
        <f>N1284*86400</f>
        <v/>
      </c>
      <c r="Q1284" s="14">
        <f>O1284-273.15</f>
        <v/>
      </c>
    </row>
    <row r="1285">
      <c r="A1285" s="9" t="n">
        <v>38172</v>
      </c>
      <c r="B1285" s="7">
        <f>YEAR(A1285)</f>
        <v/>
      </c>
      <c r="C1285" s="7">
        <f>MONTH(A1285)</f>
        <v/>
      </c>
      <c r="D1285" s="10" t="n">
        <v>7.384988022</v>
      </c>
      <c r="E1285" s="11" t="n">
        <v>20.33339158</v>
      </c>
      <c r="F1285" s="12" t="n">
        <v>0.00531807207</v>
      </c>
      <c r="G1285" s="11" t="n">
        <v>294.1601409</v>
      </c>
      <c r="H1285" s="13">
        <f>F1285*1000</f>
        <v/>
      </c>
      <c r="I1285" s="14">
        <f>G1285-273.15</f>
        <v/>
      </c>
      <c r="K1285" s="15" t="n">
        <v>2004</v>
      </c>
      <c r="L1285" s="15" t="n">
        <v>7</v>
      </c>
      <c r="M1285" s="15" t="n">
        <v>21</v>
      </c>
      <c r="N1285" s="16" t="n">
        <v>5.86646985e-06</v>
      </c>
      <c r="O1285" s="11" t="n">
        <v>288.5970444</v>
      </c>
      <c r="P1285" s="13">
        <f>N1285*86400</f>
        <v/>
      </c>
      <c r="Q1285" s="14">
        <f>O1285-273.15</f>
        <v/>
      </c>
    </row>
    <row r="1286">
      <c r="A1286" s="9" t="n">
        <v>38173</v>
      </c>
      <c r="B1286" s="7">
        <f>YEAR(A1286)</f>
        <v/>
      </c>
      <c r="C1286" s="7">
        <f>MONTH(A1286)</f>
        <v/>
      </c>
      <c r="D1286" s="10" t="n">
        <v>0</v>
      </c>
      <c r="E1286" s="11" t="n">
        <v>19.7987478</v>
      </c>
      <c r="F1286" s="12" t="n">
        <v>0.001225653118</v>
      </c>
      <c r="G1286" s="11" t="n">
        <v>293.5411055</v>
      </c>
      <c r="H1286" s="13">
        <f>F1286*1000</f>
        <v/>
      </c>
      <c r="I1286" s="14">
        <f>G1286-273.15</f>
        <v/>
      </c>
      <c r="K1286" s="15" t="n">
        <v>2004</v>
      </c>
      <c r="L1286" s="15" t="n">
        <v>7</v>
      </c>
      <c r="M1286" s="15" t="n">
        <v>22</v>
      </c>
      <c r="N1286" s="16" t="n">
        <v>1.776835607e-05</v>
      </c>
      <c r="O1286" s="11" t="n">
        <v>289.8246457</v>
      </c>
      <c r="P1286" s="13">
        <f>N1286*86400</f>
        <v/>
      </c>
      <c r="Q1286" s="14">
        <f>O1286-273.15</f>
        <v/>
      </c>
    </row>
    <row r="1287">
      <c r="A1287" s="9" t="n">
        <v>38174</v>
      </c>
      <c r="B1287" s="7">
        <f>YEAR(A1287)</f>
        <v/>
      </c>
      <c r="C1287" s="7">
        <f>MONTH(A1287)</f>
        <v/>
      </c>
      <c r="D1287" s="10" t="n">
        <v>1.085967029</v>
      </c>
      <c r="E1287" s="11" t="n">
        <v>21.67029742</v>
      </c>
      <c r="F1287" s="12" t="n">
        <v>0.001772945031</v>
      </c>
      <c r="G1287" s="11" t="n">
        <v>295.9578153</v>
      </c>
      <c r="H1287" s="13">
        <f>F1287*1000</f>
        <v/>
      </c>
      <c r="I1287" s="14">
        <f>G1287-273.15</f>
        <v/>
      </c>
      <c r="K1287" s="15" t="n">
        <v>2004</v>
      </c>
      <c r="L1287" s="15" t="n">
        <v>7</v>
      </c>
      <c r="M1287" s="15" t="n">
        <v>23</v>
      </c>
      <c r="N1287" s="16" t="n">
        <v>0.0001462033561</v>
      </c>
      <c r="O1287" s="11" t="n">
        <v>290.3461694</v>
      </c>
      <c r="P1287" s="13">
        <f>N1287*86400</f>
        <v/>
      </c>
      <c r="Q1287" s="14">
        <f>O1287-273.15</f>
        <v/>
      </c>
    </row>
    <row r="1288">
      <c r="A1288" s="9" t="n">
        <v>38175</v>
      </c>
      <c r="B1288" s="7">
        <f>YEAR(A1288)</f>
        <v/>
      </c>
      <c r="C1288" s="7">
        <f>MONTH(A1288)</f>
        <v/>
      </c>
      <c r="D1288" s="10" t="n">
        <v>20.68237634</v>
      </c>
      <c r="E1288" s="11" t="n">
        <v>20.0588096</v>
      </c>
      <c r="F1288" s="12" t="n">
        <v>0.007383564245</v>
      </c>
      <c r="G1288" s="11" t="n">
        <v>294.5721117</v>
      </c>
      <c r="H1288" s="13">
        <f>F1288*1000</f>
        <v/>
      </c>
      <c r="I1288" s="14">
        <f>G1288-273.15</f>
        <v/>
      </c>
      <c r="K1288" s="15" t="n">
        <v>2004</v>
      </c>
      <c r="L1288" s="15" t="n">
        <v>7</v>
      </c>
      <c r="M1288" s="15" t="n">
        <v>24</v>
      </c>
      <c r="N1288" s="16" t="n">
        <v>0.0003228079877</v>
      </c>
      <c r="O1288" s="11" t="n">
        <v>291.7375307</v>
      </c>
      <c r="P1288" s="13">
        <f>N1288*86400</f>
        <v/>
      </c>
      <c r="Q1288" s="14">
        <f>O1288-273.15</f>
        <v/>
      </c>
    </row>
    <row r="1289">
      <c r="A1289" s="9" t="n">
        <v>38176</v>
      </c>
      <c r="B1289" s="7">
        <f>YEAR(A1289)</f>
        <v/>
      </c>
      <c r="C1289" s="7">
        <f>MONTH(A1289)</f>
        <v/>
      </c>
      <c r="D1289" s="10" t="n">
        <v>8.678263717</v>
      </c>
      <c r="E1289" s="11" t="n">
        <v>18.83299262</v>
      </c>
      <c r="F1289" s="12" t="n">
        <v>0.01326245773</v>
      </c>
      <c r="G1289" s="11" t="n">
        <v>294.0108086</v>
      </c>
      <c r="H1289" s="13">
        <f>F1289*1000</f>
        <v/>
      </c>
      <c r="I1289" s="14">
        <f>G1289-273.15</f>
        <v/>
      </c>
      <c r="K1289" s="15" t="n">
        <v>2004</v>
      </c>
      <c r="L1289" s="15" t="n">
        <v>7</v>
      </c>
      <c r="M1289" s="15" t="n">
        <v>25</v>
      </c>
      <c r="N1289" s="16" t="n">
        <v>0.0002433861978</v>
      </c>
      <c r="O1289" s="11" t="n">
        <v>290.5651297</v>
      </c>
      <c r="P1289" s="13">
        <f>N1289*86400</f>
        <v/>
      </c>
      <c r="Q1289" s="14">
        <f>O1289-273.15</f>
        <v/>
      </c>
    </row>
    <row r="1290">
      <c r="A1290" s="9" t="n">
        <v>38177</v>
      </c>
      <c r="B1290" s="7">
        <f>YEAR(A1290)</f>
        <v/>
      </c>
      <c r="C1290" s="7">
        <f>MONTH(A1290)</f>
        <v/>
      </c>
      <c r="D1290" s="10" t="n">
        <v>8.992776535000001</v>
      </c>
      <c r="E1290" s="11" t="n">
        <v>16.16979323</v>
      </c>
      <c r="F1290" s="12" t="n">
        <v>0.005797127508</v>
      </c>
      <c r="G1290" s="11" t="n">
        <v>290.7974312</v>
      </c>
      <c r="H1290" s="13">
        <f>F1290*1000</f>
        <v/>
      </c>
      <c r="I1290" s="14">
        <f>G1290-273.15</f>
        <v/>
      </c>
      <c r="K1290" s="15" t="n">
        <v>2004</v>
      </c>
      <c r="L1290" s="15" t="n">
        <v>7</v>
      </c>
      <c r="M1290" s="15" t="n">
        <v>26</v>
      </c>
      <c r="N1290" s="16" t="n">
        <v>9.019227501e-05</v>
      </c>
      <c r="O1290" s="11" t="n">
        <v>293.5726444</v>
      </c>
      <c r="P1290" s="13">
        <f>N1290*86400</f>
        <v/>
      </c>
      <c r="Q1290" s="14">
        <f>O1290-273.15</f>
        <v/>
      </c>
    </row>
    <row r="1291">
      <c r="A1291" s="9" t="n">
        <v>38178</v>
      </c>
      <c r="B1291" s="7">
        <f>YEAR(A1291)</f>
        <v/>
      </c>
      <c r="C1291" s="7">
        <f>MONTH(A1291)</f>
        <v/>
      </c>
      <c r="D1291" s="10" t="n">
        <v>0.9349790146</v>
      </c>
      <c r="E1291" s="11" t="n">
        <v>16.14491719</v>
      </c>
      <c r="F1291" s="12" t="n">
        <v>0.007757010922</v>
      </c>
      <c r="G1291" s="11" t="n">
        <v>290.7203516</v>
      </c>
      <c r="H1291" s="13">
        <f>F1291*1000</f>
        <v/>
      </c>
      <c r="I1291" s="14">
        <f>G1291-273.15</f>
        <v/>
      </c>
      <c r="K1291" s="15" t="n">
        <v>2004</v>
      </c>
      <c r="L1291" s="15" t="n">
        <v>7</v>
      </c>
      <c r="M1291" s="15" t="n">
        <v>27</v>
      </c>
      <c r="N1291" s="16" t="n">
        <v>0</v>
      </c>
      <c r="O1291" s="11" t="n">
        <v>293.3788338</v>
      </c>
      <c r="P1291" s="13">
        <f>N1291*86400</f>
        <v/>
      </c>
      <c r="Q1291" s="14">
        <f>O1291-273.15</f>
        <v/>
      </c>
    </row>
    <row r="1292">
      <c r="A1292" s="9" t="n">
        <v>38179</v>
      </c>
      <c r="B1292" s="7">
        <f>YEAR(A1292)</f>
        <v/>
      </c>
      <c r="C1292" s="7">
        <f>MONTH(A1292)</f>
        <v/>
      </c>
      <c r="D1292" s="10" t="n">
        <v>48.75240026</v>
      </c>
      <c r="E1292" s="11" t="n">
        <v>18.02679564</v>
      </c>
      <c r="F1292" s="12" t="n">
        <v>0.04855140281</v>
      </c>
      <c r="G1292" s="11" t="n">
        <v>291.8708621</v>
      </c>
      <c r="H1292" s="13">
        <f>F1292*1000</f>
        <v/>
      </c>
      <c r="I1292" s="14">
        <f>G1292-273.15</f>
        <v/>
      </c>
      <c r="K1292" s="15" t="n">
        <v>2004</v>
      </c>
      <c r="L1292" s="15" t="n">
        <v>7</v>
      </c>
      <c r="M1292" s="15" t="n">
        <v>28</v>
      </c>
      <c r="N1292" s="16" t="n">
        <v>4.140124202e-05</v>
      </c>
      <c r="O1292" s="11" t="n">
        <v>290.6746419</v>
      </c>
      <c r="P1292" s="13">
        <f>N1292*86400</f>
        <v/>
      </c>
      <c r="Q1292" s="14">
        <f>O1292-273.15</f>
        <v/>
      </c>
    </row>
    <row r="1293">
      <c r="A1293" s="9" t="n">
        <v>38180</v>
      </c>
      <c r="B1293" s="7">
        <f>YEAR(A1293)</f>
        <v/>
      </c>
      <c r="C1293" s="7">
        <f>MONTH(A1293)</f>
        <v/>
      </c>
      <c r="D1293" s="10" t="n">
        <v>0</v>
      </c>
      <c r="E1293" s="11" t="n">
        <v>16.87123917</v>
      </c>
      <c r="F1293" s="12" t="n">
        <v>0.002233857032</v>
      </c>
      <c r="G1293" s="11" t="n">
        <v>290.9699585</v>
      </c>
      <c r="H1293" s="13">
        <f>F1293*1000</f>
        <v/>
      </c>
      <c r="I1293" s="14">
        <f>G1293-273.15</f>
        <v/>
      </c>
      <c r="K1293" s="15" t="n">
        <v>2004</v>
      </c>
      <c r="L1293" s="15" t="n">
        <v>7</v>
      </c>
      <c r="M1293" s="15" t="n">
        <v>29</v>
      </c>
      <c r="N1293" s="16" t="n">
        <v>3.280129529e-05</v>
      </c>
      <c r="O1293" s="11" t="n">
        <v>290.526231</v>
      </c>
      <c r="P1293" s="13">
        <f>N1293*86400</f>
        <v/>
      </c>
      <c r="Q1293" s="14">
        <f>O1293-273.15</f>
        <v/>
      </c>
    </row>
    <row r="1294">
      <c r="A1294" s="9" t="n">
        <v>38181</v>
      </c>
      <c r="B1294" s="7">
        <f>YEAR(A1294)</f>
        <v/>
      </c>
      <c r="C1294" s="7">
        <f>MONTH(A1294)</f>
        <v/>
      </c>
      <c r="D1294" s="10" t="n">
        <v>0.2051362741</v>
      </c>
      <c r="E1294" s="11" t="n">
        <v>17.4150825</v>
      </c>
      <c r="F1294" s="12" t="n">
        <v>0.0008467933055</v>
      </c>
      <c r="G1294" s="11" t="n">
        <v>292.4002127</v>
      </c>
      <c r="H1294" s="13">
        <f>F1294*1000</f>
        <v/>
      </c>
      <c r="I1294" s="14">
        <f>G1294-273.15</f>
        <v/>
      </c>
      <c r="K1294" s="15" t="n">
        <v>2004</v>
      </c>
      <c r="L1294" s="15" t="n">
        <v>7</v>
      </c>
      <c r="M1294" s="15" t="n">
        <v>30</v>
      </c>
      <c r="N1294" s="16" t="n">
        <v>2.248679869e-05</v>
      </c>
      <c r="O1294" s="11" t="n">
        <v>289.7121073</v>
      </c>
      <c r="P1294" s="13">
        <f>N1294*86400</f>
        <v/>
      </c>
      <c r="Q1294" s="14">
        <f>O1294-273.15</f>
        <v/>
      </c>
    </row>
    <row r="1295">
      <c r="A1295" s="9" t="n">
        <v>38182</v>
      </c>
      <c r="B1295" s="7">
        <f>YEAR(A1295)</f>
        <v/>
      </c>
      <c r="C1295" s="7">
        <f>MONTH(A1295)</f>
        <v/>
      </c>
      <c r="D1295" s="10" t="n">
        <v>0</v>
      </c>
      <c r="E1295" s="11" t="n">
        <v>16.93889048</v>
      </c>
      <c r="F1295" s="12" t="n">
        <v>0.001225026168</v>
      </c>
      <c r="G1295" s="11" t="n">
        <v>291.166337</v>
      </c>
      <c r="H1295" s="13">
        <f>F1295*1000</f>
        <v/>
      </c>
      <c r="I1295" s="14">
        <f>G1295-273.15</f>
        <v/>
      </c>
      <c r="K1295" s="15" t="n">
        <v>2004</v>
      </c>
      <c r="L1295" s="15" t="n">
        <v>8</v>
      </c>
      <c r="M1295" s="15" t="n">
        <v>1</v>
      </c>
      <c r="N1295" s="16" t="n">
        <v>0.0001613972292</v>
      </c>
      <c r="O1295" s="11" t="n">
        <v>291.0371264</v>
      </c>
      <c r="P1295" s="13">
        <f>N1295*86400</f>
        <v/>
      </c>
      <c r="Q1295" s="14">
        <f>O1295-273.15</f>
        <v/>
      </c>
    </row>
    <row r="1296">
      <c r="A1296" s="9" t="n">
        <v>38183</v>
      </c>
      <c r="B1296" s="7">
        <f>YEAR(A1296)</f>
        <v/>
      </c>
      <c r="C1296" s="7">
        <f>MONTH(A1296)</f>
        <v/>
      </c>
      <c r="D1296" s="10" t="n">
        <v>1.931860883</v>
      </c>
      <c r="E1296" s="11" t="n">
        <v>16.30200739</v>
      </c>
      <c r="F1296" s="12" t="n">
        <v>0.001479511511</v>
      </c>
      <c r="G1296" s="11" t="n">
        <v>290.9057469</v>
      </c>
      <c r="H1296" s="13">
        <f>F1296*1000</f>
        <v/>
      </c>
      <c r="I1296" s="14">
        <f>G1296-273.15</f>
        <v/>
      </c>
      <c r="K1296" s="15" t="n">
        <v>2004</v>
      </c>
      <c r="L1296" s="15" t="n">
        <v>8</v>
      </c>
      <c r="M1296" s="15" t="n">
        <v>2</v>
      </c>
      <c r="N1296" s="16" t="n">
        <v>0.0003907772678</v>
      </c>
      <c r="O1296" s="11" t="n">
        <v>292.4209968</v>
      </c>
      <c r="P1296" s="13">
        <f>N1296*86400</f>
        <v/>
      </c>
      <c r="Q1296" s="14">
        <f>O1296-273.15</f>
        <v/>
      </c>
    </row>
    <row r="1297">
      <c r="A1297" s="9" t="n">
        <v>38184</v>
      </c>
      <c r="B1297" s="7">
        <f>YEAR(A1297)</f>
        <v/>
      </c>
      <c r="C1297" s="7">
        <f>MONTH(A1297)</f>
        <v/>
      </c>
      <c r="D1297" s="10" t="n">
        <v>28.90328272</v>
      </c>
      <c r="E1297" s="11" t="n">
        <v>14.28795834</v>
      </c>
      <c r="F1297" s="12" t="n">
        <v>0.01294359186</v>
      </c>
      <c r="G1297" s="11" t="n">
        <v>289.9101841</v>
      </c>
      <c r="H1297" s="13">
        <f>F1297*1000</f>
        <v/>
      </c>
      <c r="I1297" s="14">
        <f>G1297-273.15</f>
        <v/>
      </c>
      <c r="K1297" s="15" t="n">
        <v>2004</v>
      </c>
      <c r="L1297" s="15" t="n">
        <v>8</v>
      </c>
      <c r="M1297" s="15" t="n">
        <v>3</v>
      </c>
      <c r="N1297" s="16" t="n">
        <v>0.0003178519805</v>
      </c>
      <c r="O1297" s="11" t="n">
        <v>293.9898487</v>
      </c>
      <c r="P1297" s="13">
        <f>N1297*86400</f>
        <v/>
      </c>
      <c r="Q1297" s="14">
        <f>O1297-273.15</f>
        <v/>
      </c>
    </row>
    <row r="1298">
      <c r="A1298" s="9" t="n">
        <v>38185</v>
      </c>
      <c r="B1298" s="7">
        <f>YEAR(A1298)</f>
        <v/>
      </c>
      <c r="C1298" s="7">
        <f>MONTH(A1298)</f>
        <v/>
      </c>
      <c r="D1298" s="10" t="n">
        <v>71.62089733000001</v>
      </c>
      <c r="E1298" s="11" t="n">
        <v>15.37803636</v>
      </c>
      <c r="F1298" s="12" t="n">
        <v>0.03426073872</v>
      </c>
      <c r="G1298" s="11" t="n">
        <v>290.1270298</v>
      </c>
      <c r="H1298" s="13">
        <f>F1298*1000</f>
        <v/>
      </c>
      <c r="I1298" s="14">
        <f>G1298-273.15</f>
        <v/>
      </c>
      <c r="K1298" s="15" t="n">
        <v>2004</v>
      </c>
      <c r="L1298" s="15" t="n">
        <v>8</v>
      </c>
      <c r="M1298" s="15" t="n">
        <v>4</v>
      </c>
      <c r="N1298" s="16" t="n">
        <v>1.50326645e-05</v>
      </c>
      <c r="O1298" s="11" t="n">
        <v>292.8504254</v>
      </c>
      <c r="P1298" s="13">
        <f>N1298*86400</f>
        <v/>
      </c>
      <c r="Q1298" s="14">
        <f>O1298-273.15</f>
        <v/>
      </c>
    </row>
    <row r="1299">
      <c r="A1299" s="9" t="n">
        <v>38186</v>
      </c>
      <c r="B1299" s="7">
        <f>YEAR(A1299)</f>
        <v/>
      </c>
      <c r="C1299" s="7">
        <f>MONTH(A1299)</f>
        <v/>
      </c>
      <c r="D1299" s="10" t="n">
        <v>2.450768263</v>
      </c>
      <c r="E1299" s="11" t="n">
        <v>15.79599239</v>
      </c>
      <c r="F1299" s="12" t="n">
        <v>0.001474669563</v>
      </c>
      <c r="G1299" s="11" t="n">
        <v>290.6431338</v>
      </c>
      <c r="H1299" s="13">
        <f>F1299*1000</f>
        <v/>
      </c>
      <c r="I1299" s="14">
        <f>G1299-273.15</f>
        <v/>
      </c>
      <c r="K1299" s="15" t="n">
        <v>2004</v>
      </c>
      <c r="L1299" s="15" t="n">
        <v>8</v>
      </c>
      <c r="M1299" s="15" t="n">
        <v>5</v>
      </c>
      <c r="N1299" s="16" t="n">
        <v>0</v>
      </c>
      <c r="O1299" s="11" t="n">
        <v>289.3072552</v>
      </c>
      <c r="P1299" s="13">
        <f>N1299*86400</f>
        <v/>
      </c>
      <c r="Q1299" s="14">
        <f>O1299-273.15</f>
        <v/>
      </c>
    </row>
    <row r="1300">
      <c r="A1300" s="9" t="n">
        <v>38187</v>
      </c>
      <c r="B1300" s="7">
        <f>YEAR(A1300)</f>
        <v/>
      </c>
      <c r="C1300" s="7">
        <f>MONTH(A1300)</f>
        <v/>
      </c>
      <c r="D1300" s="10" t="n">
        <v>0.1027390734</v>
      </c>
      <c r="E1300" s="11" t="n">
        <v>15.45112505</v>
      </c>
      <c r="F1300" s="12" t="n">
        <v>0.003185809893</v>
      </c>
      <c r="G1300" s="11" t="n">
        <v>290.4196063</v>
      </c>
      <c r="H1300" s="13">
        <f>F1300*1000</f>
        <v/>
      </c>
      <c r="I1300" s="14">
        <f>G1300-273.15</f>
        <v/>
      </c>
      <c r="K1300" s="15" t="n">
        <v>2004</v>
      </c>
      <c r="L1300" s="15" t="n">
        <v>8</v>
      </c>
      <c r="M1300" s="15" t="n">
        <v>6</v>
      </c>
      <c r="N1300" s="16" t="n">
        <v>9.172629284e-06</v>
      </c>
      <c r="O1300" s="11" t="n">
        <v>289.061508</v>
      </c>
      <c r="P1300" s="13">
        <f>N1300*86400</f>
        <v/>
      </c>
      <c r="Q1300" s="14">
        <f>O1300-273.15</f>
        <v/>
      </c>
    </row>
    <row r="1301">
      <c r="A1301" s="9" t="n">
        <v>38188</v>
      </c>
      <c r="B1301" s="7">
        <f>YEAR(A1301)</f>
        <v/>
      </c>
      <c r="C1301" s="7">
        <f>MONTH(A1301)</f>
        <v/>
      </c>
      <c r="D1301" s="10" t="n">
        <v>0</v>
      </c>
      <c r="E1301" s="11" t="n">
        <v>14.7871349</v>
      </c>
      <c r="F1301" s="12" t="n">
        <v>0.0006291270875</v>
      </c>
      <c r="G1301" s="11" t="n">
        <v>290.009903</v>
      </c>
      <c r="H1301" s="13">
        <f>F1301*1000</f>
        <v/>
      </c>
      <c r="I1301" s="14">
        <f>G1301-273.15</f>
        <v/>
      </c>
      <c r="K1301" s="15" t="n">
        <v>2004</v>
      </c>
      <c r="L1301" s="15" t="n">
        <v>8</v>
      </c>
      <c r="M1301" s="15" t="n">
        <v>7</v>
      </c>
      <c r="N1301" s="16" t="n">
        <v>2.382452539e-05</v>
      </c>
      <c r="O1301" s="11" t="n">
        <v>287.6619376</v>
      </c>
      <c r="P1301" s="13">
        <f>N1301*86400</f>
        <v/>
      </c>
      <c r="Q1301" s="14">
        <f>O1301-273.15</f>
        <v/>
      </c>
    </row>
    <row r="1302">
      <c r="A1302" s="9" t="n">
        <v>38189</v>
      </c>
      <c r="B1302" s="7">
        <f>YEAR(A1302)</f>
        <v/>
      </c>
      <c r="C1302" s="7">
        <f>MONTH(A1302)</f>
        <v/>
      </c>
      <c r="D1302" s="10" t="n">
        <v>0</v>
      </c>
      <c r="E1302" s="11" t="n">
        <v>13.64771286</v>
      </c>
      <c r="F1302" s="12" t="n">
        <v>0.002752265166</v>
      </c>
      <c r="G1302" s="11" t="n">
        <v>290.6782506</v>
      </c>
      <c r="H1302" s="13">
        <f>F1302*1000</f>
        <v/>
      </c>
      <c r="I1302" s="14">
        <f>G1302-273.15</f>
        <v/>
      </c>
      <c r="K1302" s="15" t="n">
        <v>2004</v>
      </c>
      <c r="L1302" s="15" t="n">
        <v>8</v>
      </c>
      <c r="M1302" s="15" t="n">
        <v>8</v>
      </c>
      <c r="N1302" s="16" t="n">
        <v>0</v>
      </c>
      <c r="O1302" s="11" t="n">
        <v>285.7581845</v>
      </c>
      <c r="P1302" s="13">
        <f>N1302*86400</f>
        <v/>
      </c>
      <c r="Q1302" s="14">
        <f>O1302-273.15</f>
        <v/>
      </c>
    </row>
    <row r="1303">
      <c r="A1303" s="9" t="n">
        <v>38190</v>
      </c>
      <c r="B1303" s="7">
        <f>YEAR(A1303)</f>
        <v/>
      </c>
      <c r="C1303" s="7">
        <f>MONTH(A1303)</f>
        <v/>
      </c>
      <c r="D1303" s="10" t="n">
        <v>0</v>
      </c>
      <c r="E1303" s="11" t="n">
        <v>12.26696672</v>
      </c>
      <c r="F1303" s="12" t="n">
        <v>0.005451083395</v>
      </c>
      <c r="G1303" s="11" t="n">
        <v>289.092557</v>
      </c>
      <c r="H1303" s="13">
        <f>F1303*1000</f>
        <v/>
      </c>
      <c r="I1303" s="14">
        <f>G1303-273.15</f>
        <v/>
      </c>
      <c r="K1303" s="15" t="n">
        <v>2004</v>
      </c>
      <c r="L1303" s="15" t="n">
        <v>8</v>
      </c>
      <c r="M1303" s="15" t="n">
        <v>9</v>
      </c>
      <c r="N1303" s="16" t="n">
        <v>1.82455355e-05</v>
      </c>
      <c r="O1303" s="11" t="n">
        <v>285.5808396</v>
      </c>
      <c r="P1303" s="13">
        <f>N1303*86400</f>
        <v/>
      </c>
      <c r="Q1303" s="14">
        <f>O1303-273.15</f>
        <v/>
      </c>
    </row>
    <row r="1304">
      <c r="A1304" s="9" t="n">
        <v>38191</v>
      </c>
      <c r="B1304" s="7">
        <f>YEAR(A1304)</f>
        <v/>
      </c>
      <c r="C1304" s="7">
        <f>MONTH(A1304)</f>
        <v/>
      </c>
      <c r="D1304" s="10" t="n">
        <v>0</v>
      </c>
      <c r="E1304" s="11" t="n">
        <v>12.48454727</v>
      </c>
      <c r="F1304" s="12" t="n">
        <v>0.005030644767</v>
      </c>
      <c r="G1304" s="11" t="n">
        <v>288.9386379</v>
      </c>
      <c r="H1304" s="13">
        <f>F1304*1000</f>
        <v/>
      </c>
      <c r="I1304" s="14">
        <f>G1304-273.15</f>
        <v/>
      </c>
      <c r="K1304" s="15" t="n">
        <v>2004</v>
      </c>
      <c r="L1304" s="15" t="n">
        <v>8</v>
      </c>
      <c r="M1304" s="15" t="n">
        <v>10</v>
      </c>
      <c r="N1304" s="16" t="n">
        <v>0.000107071368</v>
      </c>
      <c r="O1304" s="11" t="n">
        <v>287.8420373</v>
      </c>
      <c r="P1304" s="13">
        <f>N1304*86400</f>
        <v/>
      </c>
      <c r="Q1304" s="14">
        <f>O1304-273.15</f>
        <v/>
      </c>
    </row>
    <row r="1305">
      <c r="A1305" s="9" t="n">
        <v>38192</v>
      </c>
      <c r="B1305" s="7">
        <f>YEAR(A1305)</f>
        <v/>
      </c>
      <c r="C1305" s="7">
        <f>MONTH(A1305)</f>
        <v/>
      </c>
      <c r="D1305" s="10" t="n">
        <v>0</v>
      </c>
      <c r="E1305" s="11" t="n">
        <v>16.55630694</v>
      </c>
      <c r="F1305" s="12" t="n">
        <v>0.006841654698</v>
      </c>
      <c r="G1305" s="11" t="n">
        <v>291.8027389</v>
      </c>
      <c r="H1305" s="13">
        <f>F1305*1000</f>
        <v/>
      </c>
      <c r="I1305" s="14">
        <f>G1305-273.15</f>
        <v/>
      </c>
      <c r="K1305" s="15" t="n">
        <v>2004</v>
      </c>
      <c r="L1305" s="15" t="n">
        <v>8</v>
      </c>
      <c r="M1305" s="15" t="n">
        <v>11</v>
      </c>
      <c r="N1305" s="16" t="n">
        <v>0.000330639874</v>
      </c>
      <c r="O1305" s="11" t="n">
        <v>286.4084362</v>
      </c>
      <c r="P1305" s="13">
        <f>N1305*86400</f>
        <v/>
      </c>
      <c r="Q1305" s="14">
        <f>O1305-273.15</f>
        <v/>
      </c>
    </row>
    <row r="1306">
      <c r="A1306" s="9" t="n">
        <v>38193</v>
      </c>
      <c r="B1306" s="7">
        <f>YEAR(A1306)</f>
        <v/>
      </c>
      <c r="C1306" s="7">
        <f>MONTH(A1306)</f>
        <v/>
      </c>
      <c r="D1306" s="10" t="n">
        <v>23.70765867</v>
      </c>
      <c r="E1306" s="11" t="n">
        <v>14.92969818</v>
      </c>
      <c r="F1306" s="12" t="n">
        <v>0.02807375971</v>
      </c>
      <c r="G1306" s="11" t="n">
        <v>290.3590591</v>
      </c>
      <c r="H1306" s="13">
        <f>F1306*1000</f>
        <v/>
      </c>
      <c r="I1306" s="14">
        <f>G1306-273.15</f>
        <v/>
      </c>
      <c r="K1306" s="15" t="n">
        <v>2004</v>
      </c>
      <c r="L1306" s="15" t="n">
        <v>8</v>
      </c>
      <c r="M1306" s="15" t="n">
        <v>12</v>
      </c>
      <c r="N1306" s="16" t="n">
        <v>0.0005115757017</v>
      </c>
      <c r="O1306" s="11" t="n">
        <v>286.1778605</v>
      </c>
      <c r="P1306" s="13">
        <f>N1306*86400</f>
        <v/>
      </c>
      <c r="Q1306" s="14">
        <f>O1306-273.15</f>
        <v/>
      </c>
    </row>
    <row r="1307">
      <c r="A1307" s="9" t="n">
        <v>38194</v>
      </c>
      <c r="B1307" s="7">
        <f>YEAR(A1307)</f>
        <v/>
      </c>
      <c r="C1307" s="7">
        <f>MONTH(A1307)</f>
        <v/>
      </c>
      <c r="D1307" s="10" t="n">
        <v>18.44770908</v>
      </c>
      <c r="E1307" s="11" t="n">
        <v>14.11101749</v>
      </c>
      <c r="F1307" s="12" t="n">
        <v>0.009884075565000001</v>
      </c>
      <c r="G1307" s="11" t="n">
        <v>289.7952634</v>
      </c>
      <c r="H1307" s="13">
        <f>F1307*1000</f>
        <v/>
      </c>
      <c r="I1307" s="14">
        <f>G1307-273.15</f>
        <v/>
      </c>
      <c r="K1307" s="15" t="n">
        <v>2004</v>
      </c>
      <c r="L1307" s="15" t="n">
        <v>8</v>
      </c>
      <c r="M1307" s="15" t="n">
        <v>13</v>
      </c>
      <c r="N1307" s="16" t="n">
        <v>0.0001317440723</v>
      </c>
      <c r="O1307" s="11" t="n">
        <v>286.417051</v>
      </c>
      <c r="P1307" s="13">
        <f>N1307*86400</f>
        <v/>
      </c>
      <c r="Q1307" s="14">
        <f>O1307-273.15</f>
        <v/>
      </c>
    </row>
    <row r="1308">
      <c r="A1308" s="9" t="n">
        <v>38195</v>
      </c>
      <c r="B1308" s="7">
        <f>YEAR(A1308)</f>
        <v/>
      </c>
      <c r="C1308" s="7">
        <f>MONTH(A1308)</f>
        <v/>
      </c>
      <c r="D1308" s="10" t="n">
        <v>31.89208073</v>
      </c>
      <c r="E1308" s="11" t="n">
        <v>12.05725566</v>
      </c>
      <c r="F1308" s="12" t="n">
        <v>0.01639619237</v>
      </c>
      <c r="G1308" s="11" t="n">
        <v>287.6338501</v>
      </c>
      <c r="H1308" s="13">
        <f>F1308*1000</f>
        <v/>
      </c>
      <c r="I1308" s="14">
        <f>G1308-273.15</f>
        <v/>
      </c>
      <c r="K1308" s="15" t="n">
        <v>2004</v>
      </c>
      <c r="L1308" s="15" t="n">
        <v>8</v>
      </c>
      <c r="M1308" s="15" t="n">
        <v>14</v>
      </c>
      <c r="N1308" s="16" t="n">
        <v>3.597203562e-05</v>
      </c>
      <c r="O1308" s="11" t="n">
        <v>286.2955365</v>
      </c>
      <c r="P1308" s="13">
        <f>N1308*86400</f>
        <v/>
      </c>
      <c r="Q1308" s="14">
        <f>O1308-273.15</f>
        <v/>
      </c>
    </row>
    <row r="1309">
      <c r="A1309" s="9" t="n">
        <v>38196</v>
      </c>
      <c r="B1309" s="7">
        <f>YEAR(A1309)</f>
        <v/>
      </c>
      <c r="C1309" s="7">
        <f>MONTH(A1309)</f>
        <v/>
      </c>
      <c r="D1309" s="10" t="n">
        <v>20.75869375</v>
      </c>
      <c r="E1309" s="11" t="n">
        <v>12.06717994</v>
      </c>
      <c r="F1309" s="12" t="n">
        <v>0.01803133264</v>
      </c>
      <c r="G1309" s="11" t="n">
        <v>287.8119092</v>
      </c>
      <c r="H1309" s="13">
        <f>F1309*1000</f>
        <v/>
      </c>
      <c r="I1309" s="14">
        <f>G1309-273.15</f>
        <v/>
      </c>
      <c r="K1309" s="15" t="n">
        <v>2004</v>
      </c>
      <c r="L1309" s="15" t="n">
        <v>8</v>
      </c>
      <c r="M1309" s="15" t="n">
        <v>15</v>
      </c>
      <c r="N1309" s="16" t="n">
        <v>1.202736884e-05</v>
      </c>
      <c r="O1309" s="11" t="n">
        <v>286.7631214</v>
      </c>
      <c r="P1309" s="13">
        <f>N1309*86400</f>
        <v/>
      </c>
      <c r="Q1309" s="14">
        <f>O1309-273.15</f>
        <v/>
      </c>
    </row>
    <row r="1310">
      <c r="A1310" s="9" t="n">
        <v>38197</v>
      </c>
      <c r="B1310" s="7">
        <f>YEAR(A1310)</f>
        <v/>
      </c>
      <c r="C1310" s="7">
        <f>MONTH(A1310)</f>
        <v/>
      </c>
      <c r="D1310" s="10" t="n">
        <v>6.668722593</v>
      </c>
      <c r="E1310" s="11" t="n">
        <v>11.46834509</v>
      </c>
      <c r="F1310" s="12" t="n">
        <v>0.00380701446</v>
      </c>
      <c r="G1310" s="11" t="n">
        <v>286.1223716</v>
      </c>
      <c r="H1310" s="13">
        <f>F1310*1000</f>
        <v/>
      </c>
      <c r="I1310" s="14">
        <f>G1310-273.15</f>
        <v/>
      </c>
      <c r="K1310" s="15" t="n">
        <v>2004</v>
      </c>
      <c r="L1310" s="15" t="n">
        <v>8</v>
      </c>
      <c r="M1310" s="15" t="n">
        <v>16</v>
      </c>
      <c r="N1310" s="16" t="n">
        <v>3.225945215e-05</v>
      </c>
      <c r="O1310" s="11" t="n">
        <v>285.6320836</v>
      </c>
      <c r="P1310" s="13">
        <f>N1310*86400</f>
        <v/>
      </c>
      <c r="Q1310" s="14">
        <f>O1310-273.15</f>
        <v/>
      </c>
    </row>
    <row r="1311">
      <c r="A1311" s="9" t="n">
        <v>38198</v>
      </c>
      <c r="B1311" s="7">
        <f>YEAR(A1311)</f>
        <v/>
      </c>
      <c r="C1311" s="7">
        <f>MONTH(A1311)</f>
        <v/>
      </c>
      <c r="D1311" s="10" t="n">
        <v>0.1141736383</v>
      </c>
      <c r="E1311" s="11" t="n">
        <v>13.18078096</v>
      </c>
      <c r="F1311" s="12" t="n">
        <v>0</v>
      </c>
      <c r="G1311" s="11" t="n">
        <v>287.5667145</v>
      </c>
      <c r="H1311" s="13">
        <f>F1311*1000</f>
        <v/>
      </c>
      <c r="I1311" s="14">
        <f>G1311-273.15</f>
        <v/>
      </c>
      <c r="K1311" s="15" t="n">
        <v>2004</v>
      </c>
      <c r="L1311" s="15" t="n">
        <v>8</v>
      </c>
      <c r="M1311" s="15" t="n">
        <v>17</v>
      </c>
      <c r="N1311" s="16" t="n">
        <v>6.837497462e-07</v>
      </c>
      <c r="O1311" s="11" t="n">
        <v>285.4849814</v>
      </c>
      <c r="P1311" s="13">
        <f>N1311*86400</f>
        <v/>
      </c>
      <c r="Q1311" s="14">
        <f>O1311-273.15</f>
        <v/>
      </c>
    </row>
    <row r="1312">
      <c r="A1312" s="9" t="n">
        <v>38199</v>
      </c>
      <c r="B1312" s="7">
        <f>YEAR(A1312)</f>
        <v/>
      </c>
      <c r="C1312" s="7">
        <f>MONTH(A1312)</f>
        <v/>
      </c>
      <c r="D1312" s="10" t="n">
        <v>13.60098714</v>
      </c>
      <c r="E1312" s="11" t="n">
        <v>15.61521609</v>
      </c>
      <c r="F1312" s="12" t="n">
        <v>0.001013776402</v>
      </c>
      <c r="G1312" s="11" t="n">
        <v>289.4402347</v>
      </c>
      <c r="H1312" s="13">
        <f>F1312*1000</f>
        <v/>
      </c>
      <c r="I1312" s="14">
        <f>G1312-273.15</f>
        <v/>
      </c>
      <c r="K1312" s="15" t="n">
        <v>2004</v>
      </c>
      <c r="L1312" s="15" t="n">
        <v>8</v>
      </c>
      <c r="M1312" s="15" t="n">
        <v>18</v>
      </c>
      <c r="N1312" s="16" t="n">
        <v>0.0001903921808</v>
      </c>
      <c r="O1312" s="11" t="n">
        <v>284.3697006</v>
      </c>
      <c r="P1312" s="13">
        <f>N1312*86400</f>
        <v/>
      </c>
      <c r="Q1312" s="14">
        <f>O1312-273.15</f>
        <v/>
      </c>
    </row>
    <row r="1313">
      <c r="A1313" s="9" t="n">
        <v>38200</v>
      </c>
      <c r="B1313" s="7">
        <f>YEAR(A1313)</f>
        <v/>
      </c>
      <c r="C1313" s="7">
        <f>MONTH(A1313)</f>
        <v/>
      </c>
      <c r="D1313" s="10" t="n">
        <v>10.73566838</v>
      </c>
      <c r="E1313" s="11" t="n">
        <v>16.44272044</v>
      </c>
      <c r="F1313" s="12" t="n">
        <v>0.008676375049</v>
      </c>
      <c r="G1313" s="11" t="n">
        <v>290.810792</v>
      </c>
      <c r="H1313" s="13">
        <f>F1313*1000</f>
        <v/>
      </c>
      <c r="I1313" s="14">
        <f>G1313-273.15</f>
        <v/>
      </c>
      <c r="K1313" s="15" t="n">
        <v>2004</v>
      </c>
      <c r="L1313" s="15" t="n">
        <v>8</v>
      </c>
      <c r="M1313" s="15" t="n">
        <v>19</v>
      </c>
      <c r="N1313" s="16" t="n">
        <v>3.918037905e-05</v>
      </c>
      <c r="O1313" s="11" t="n">
        <v>283.596036</v>
      </c>
      <c r="P1313" s="13">
        <f>N1313*86400</f>
        <v/>
      </c>
      <c r="Q1313" s="14">
        <f>O1313-273.15</f>
        <v/>
      </c>
    </row>
    <row r="1314">
      <c r="A1314" s="9" t="n">
        <v>38201</v>
      </c>
      <c r="B1314" s="7">
        <f>YEAR(A1314)</f>
        <v/>
      </c>
      <c r="C1314" s="7">
        <f>MONTH(A1314)</f>
        <v/>
      </c>
      <c r="D1314" s="10" t="n">
        <v>0.7873638318</v>
      </c>
      <c r="E1314" s="11" t="n">
        <v>16.26056045</v>
      </c>
      <c r="F1314" s="12" t="n">
        <v>0.007752166469</v>
      </c>
      <c r="G1314" s="11" t="n">
        <v>290.864118</v>
      </c>
      <c r="H1314" s="13">
        <f>F1314*1000</f>
        <v/>
      </c>
      <c r="I1314" s="14">
        <f>G1314-273.15</f>
        <v/>
      </c>
      <c r="K1314" s="15" t="n">
        <v>2004</v>
      </c>
      <c r="L1314" s="15" t="n">
        <v>8</v>
      </c>
      <c r="M1314" s="15" t="n">
        <v>20</v>
      </c>
      <c r="N1314" s="16" t="n">
        <v>3.980059093e-05</v>
      </c>
      <c r="O1314" s="11" t="n">
        <v>285.9680953</v>
      </c>
      <c r="P1314" s="13">
        <f>N1314*86400</f>
        <v/>
      </c>
      <c r="Q1314" s="14">
        <f>O1314-273.15</f>
        <v/>
      </c>
    </row>
    <row r="1315">
      <c r="A1315" s="9" t="n">
        <v>38202</v>
      </c>
      <c r="B1315" s="7">
        <f>YEAR(A1315)</f>
        <v/>
      </c>
      <c r="C1315" s="7">
        <f>MONTH(A1315)</f>
        <v/>
      </c>
      <c r="D1315" s="10" t="n">
        <v>2.582873061</v>
      </c>
      <c r="E1315" s="11" t="n">
        <v>15.75738209</v>
      </c>
      <c r="F1315" s="12" t="n">
        <v>0.01056597688</v>
      </c>
      <c r="G1315" s="11" t="n">
        <v>289.2960466</v>
      </c>
      <c r="H1315" s="13">
        <f>F1315*1000</f>
        <v/>
      </c>
      <c r="I1315" s="14">
        <f>G1315-273.15</f>
        <v/>
      </c>
      <c r="K1315" s="15" t="n">
        <v>2004</v>
      </c>
      <c r="L1315" s="15" t="n">
        <v>8</v>
      </c>
      <c r="M1315" s="15" t="n">
        <v>21</v>
      </c>
      <c r="N1315" s="16" t="n">
        <v>0.0001454542303</v>
      </c>
      <c r="O1315" s="11" t="n">
        <v>283.5189934</v>
      </c>
      <c r="P1315" s="13">
        <f>N1315*86400</f>
        <v/>
      </c>
      <c r="Q1315" s="14">
        <f>O1315-273.15</f>
        <v/>
      </c>
    </row>
    <row r="1316">
      <c r="A1316" s="9" t="n">
        <v>38203</v>
      </c>
      <c r="B1316" s="7">
        <f>YEAR(A1316)</f>
        <v/>
      </c>
      <c r="C1316" s="7">
        <f>MONTH(A1316)</f>
        <v/>
      </c>
      <c r="D1316" s="10" t="n">
        <v>40.05072074</v>
      </c>
      <c r="E1316" s="11" t="n">
        <v>16.80374655</v>
      </c>
      <c r="F1316" s="12" t="n">
        <v>0.04864496457</v>
      </c>
      <c r="G1316" s="11" t="n">
        <v>289.8545121</v>
      </c>
      <c r="H1316" s="13">
        <f>F1316*1000</f>
        <v/>
      </c>
      <c r="I1316" s="14">
        <f>G1316-273.15</f>
        <v/>
      </c>
      <c r="K1316" s="15" t="n">
        <v>2004</v>
      </c>
      <c r="L1316" s="15" t="n">
        <v>8</v>
      </c>
      <c r="M1316" s="15" t="n">
        <v>22</v>
      </c>
      <c r="N1316" s="16" t="n">
        <v>5.786018118e-05</v>
      </c>
      <c r="O1316" s="11" t="n">
        <v>287.2969559</v>
      </c>
      <c r="P1316" s="13">
        <f>N1316*86400</f>
        <v/>
      </c>
      <c r="Q1316" s="14">
        <f>O1316-273.15</f>
        <v/>
      </c>
    </row>
    <row r="1317">
      <c r="A1317" s="9" t="n">
        <v>38204</v>
      </c>
      <c r="B1317" s="7">
        <f>YEAR(A1317)</f>
        <v/>
      </c>
      <c r="C1317" s="7">
        <f>MONTH(A1317)</f>
        <v/>
      </c>
      <c r="D1317" s="10" t="n">
        <v>0</v>
      </c>
      <c r="E1317" s="11" t="n">
        <v>16.14124761</v>
      </c>
      <c r="F1317" s="12" t="n">
        <v>0.004712761288</v>
      </c>
      <c r="G1317" s="11" t="n">
        <v>289.6131161</v>
      </c>
      <c r="H1317" s="13">
        <f>F1317*1000</f>
        <v/>
      </c>
      <c r="I1317" s="14">
        <f>G1317-273.15</f>
        <v/>
      </c>
      <c r="K1317" s="15" t="n">
        <v>2004</v>
      </c>
      <c r="L1317" s="15" t="n">
        <v>8</v>
      </c>
      <c r="M1317" s="15" t="n">
        <v>23</v>
      </c>
      <c r="N1317" s="16" t="n">
        <v>4.376307195e-05</v>
      </c>
      <c r="O1317" s="11" t="n">
        <v>288.358094</v>
      </c>
      <c r="P1317" s="13">
        <f>N1317*86400</f>
        <v/>
      </c>
      <c r="Q1317" s="14">
        <f>O1317-273.15</f>
        <v/>
      </c>
    </row>
    <row r="1318">
      <c r="A1318" s="9" t="n">
        <v>38205</v>
      </c>
      <c r="B1318" s="7">
        <f>YEAR(A1318)</f>
        <v/>
      </c>
      <c r="C1318" s="7">
        <f>MONTH(A1318)</f>
        <v/>
      </c>
      <c r="D1318" s="10" t="n">
        <v>8.834614927000001</v>
      </c>
      <c r="E1318" s="11" t="n">
        <v>16.06544858</v>
      </c>
      <c r="F1318" s="12" t="n">
        <v>0.0008451156578</v>
      </c>
      <c r="G1318" s="11" t="n">
        <v>290.3252436</v>
      </c>
      <c r="H1318" s="13">
        <f>F1318*1000</f>
        <v/>
      </c>
      <c r="I1318" s="14">
        <f>G1318-273.15</f>
        <v/>
      </c>
      <c r="K1318" s="15" t="n">
        <v>2004</v>
      </c>
      <c r="L1318" s="15" t="n">
        <v>8</v>
      </c>
      <c r="M1318" s="15" t="n">
        <v>24</v>
      </c>
      <c r="N1318" s="16" t="n">
        <v>0.000540544689</v>
      </c>
      <c r="O1318" s="11" t="n">
        <v>289.0312605</v>
      </c>
      <c r="P1318" s="13">
        <f>N1318*86400</f>
        <v/>
      </c>
      <c r="Q1318" s="14">
        <f>O1318-273.15</f>
        <v/>
      </c>
    </row>
    <row r="1319">
      <c r="A1319" s="9" t="n">
        <v>38206</v>
      </c>
      <c r="B1319" s="7">
        <f>YEAR(A1319)</f>
        <v/>
      </c>
      <c r="C1319" s="7">
        <f>MONTH(A1319)</f>
        <v/>
      </c>
      <c r="D1319" s="10" t="n">
        <v>12.59301329</v>
      </c>
      <c r="E1319" s="11" t="n">
        <v>14.01975694</v>
      </c>
      <c r="F1319" s="12" t="n">
        <v>0.01417741234</v>
      </c>
      <c r="G1319" s="11" t="n">
        <v>289.8763929</v>
      </c>
      <c r="H1319" s="13">
        <f>F1319*1000</f>
        <v/>
      </c>
      <c r="I1319" s="14">
        <f>G1319-273.15</f>
        <v/>
      </c>
      <c r="K1319" s="15" t="n">
        <v>2004</v>
      </c>
      <c r="L1319" s="15" t="n">
        <v>8</v>
      </c>
      <c r="M1319" s="15" t="n">
        <v>25</v>
      </c>
      <c r="N1319" s="16" t="n">
        <v>7.059558313e-06</v>
      </c>
      <c r="O1319" s="11" t="n">
        <v>290.3353544</v>
      </c>
      <c r="P1319" s="13">
        <f>N1319*86400</f>
        <v/>
      </c>
      <c r="Q1319" s="14">
        <f>O1319-273.15</f>
        <v/>
      </c>
    </row>
    <row r="1320">
      <c r="A1320" s="9" t="n">
        <v>38207</v>
      </c>
      <c r="B1320" s="7">
        <f>YEAR(A1320)</f>
        <v/>
      </c>
      <c r="C1320" s="7">
        <f>MONTH(A1320)</f>
        <v/>
      </c>
      <c r="D1320" s="10" t="n">
        <v>9.710555707999999</v>
      </c>
      <c r="E1320" s="11" t="n">
        <v>15.4931549</v>
      </c>
      <c r="F1320" s="12" t="n">
        <v>0.01416784711</v>
      </c>
      <c r="G1320" s="11" t="n">
        <v>291.536682</v>
      </c>
      <c r="H1320" s="13">
        <f>F1320*1000</f>
        <v/>
      </c>
      <c r="I1320" s="14">
        <f>G1320-273.15</f>
        <v/>
      </c>
      <c r="K1320" s="15" t="n">
        <v>2004</v>
      </c>
      <c r="L1320" s="15" t="n">
        <v>8</v>
      </c>
      <c r="M1320" s="15" t="n">
        <v>26</v>
      </c>
      <c r="N1320" s="16" t="n">
        <v>8.595923939999999e-05</v>
      </c>
      <c r="O1320" s="11" t="n">
        <v>290.6469505</v>
      </c>
      <c r="P1320" s="13">
        <f>N1320*86400</f>
        <v/>
      </c>
      <c r="Q1320" s="14">
        <f>O1320-273.15</f>
        <v/>
      </c>
    </row>
    <row r="1321">
      <c r="A1321" s="9" t="n">
        <v>38208</v>
      </c>
      <c r="B1321" s="7">
        <f>YEAR(A1321)</f>
        <v/>
      </c>
      <c r="C1321" s="7">
        <f>MONTH(A1321)</f>
        <v/>
      </c>
      <c r="D1321" s="10" t="n">
        <v>0</v>
      </c>
      <c r="E1321" s="11" t="n">
        <v>14.79522241</v>
      </c>
      <c r="F1321" s="12" t="n">
        <v>0.000259997177</v>
      </c>
      <c r="G1321" s="11" t="n">
        <v>291.0035777</v>
      </c>
      <c r="H1321" s="13">
        <f>F1321*1000</f>
        <v/>
      </c>
      <c r="I1321" s="14">
        <f>G1321-273.15</f>
        <v/>
      </c>
      <c r="K1321" s="15" t="n">
        <v>2004</v>
      </c>
      <c r="L1321" s="15" t="n">
        <v>8</v>
      </c>
      <c r="M1321" s="15" t="n">
        <v>27</v>
      </c>
      <c r="N1321" s="16" t="n">
        <v>2.383344354e-05</v>
      </c>
      <c r="O1321" s="11" t="n">
        <v>290.5467201</v>
      </c>
      <c r="P1321" s="13">
        <f>N1321*86400</f>
        <v/>
      </c>
      <c r="Q1321" s="14">
        <f>O1321-273.15</f>
        <v/>
      </c>
    </row>
    <row r="1322">
      <c r="A1322" s="9" t="n">
        <v>38209</v>
      </c>
      <c r="B1322" s="7">
        <f>YEAR(A1322)</f>
        <v/>
      </c>
      <c r="C1322" s="7">
        <f>MONTH(A1322)</f>
        <v/>
      </c>
      <c r="D1322" s="10" t="n">
        <v>1.283328199</v>
      </c>
      <c r="E1322" s="11" t="n">
        <v>16.26000465</v>
      </c>
      <c r="F1322" s="12" t="n">
        <v>0.004538913805</v>
      </c>
      <c r="G1322" s="11" t="n">
        <v>291.918692</v>
      </c>
      <c r="H1322" s="13">
        <f>F1322*1000</f>
        <v/>
      </c>
      <c r="I1322" s="14">
        <f>G1322-273.15</f>
        <v/>
      </c>
      <c r="K1322" s="15" t="n">
        <v>2004</v>
      </c>
      <c r="L1322" s="15" t="n">
        <v>8</v>
      </c>
      <c r="M1322" s="15" t="n">
        <v>28</v>
      </c>
      <c r="N1322" s="16" t="n">
        <v>0.0001362318571</v>
      </c>
      <c r="O1322" s="11" t="n">
        <v>288.7179814</v>
      </c>
      <c r="P1322" s="13">
        <f>N1322*86400</f>
        <v/>
      </c>
      <c r="Q1322" s="14">
        <f>O1322-273.15</f>
        <v/>
      </c>
    </row>
    <row r="1323">
      <c r="A1323" s="9" t="n">
        <v>38210</v>
      </c>
      <c r="B1323" s="7">
        <f>YEAR(A1323)</f>
        <v/>
      </c>
      <c r="C1323" s="7">
        <f>MONTH(A1323)</f>
        <v/>
      </c>
      <c r="D1323" s="10" t="n">
        <v>5.083193935</v>
      </c>
      <c r="E1323" s="11" t="n">
        <v>17.39054193</v>
      </c>
      <c r="F1323" s="12" t="n">
        <v>0.01458472578</v>
      </c>
      <c r="G1323" s="11" t="n">
        <v>291.828941</v>
      </c>
      <c r="H1323" s="13">
        <f>F1323*1000</f>
        <v/>
      </c>
      <c r="I1323" s="14">
        <f>G1323-273.15</f>
        <v/>
      </c>
      <c r="K1323" s="15" t="n">
        <v>2004</v>
      </c>
      <c r="L1323" s="15" t="n">
        <v>8</v>
      </c>
      <c r="M1323" s="15" t="n">
        <v>29</v>
      </c>
      <c r="N1323" s="16" t="n">
        <v>9.442978786999999e-05</v>
      </c>
      <c r="O1323" s="11" t="n">
        <v>288.0411786</v>
      </c>
      <c r="P1323" s="13">
        <f>N1323*86400</f>
        <v/>
      </c>
      <c r="Q1323" s="14">
        <f>O1323-273.15</f>
        <v/>
      </c>
    </row>
    <row r="1324">
      <c r="A1324" s="9" t="n">
        <v>38211</v>
      </c>
      <c r="B1324" s="7">
        <f>YEAR(A1324)</f>
        <v/>
      </c>
      <c r="C1324" s="7">
        <f>MONTH(A1324)</f>
        <v/>
      </c>
      <c r="D1324" s="10" t="n">
        <v>13.86239946</v>
      </c>
      <c r="E1324" s="11" t="n">
        <v>17.54938121</v>
      </c>
      <c r="F1324" s="12" t="n">
        <v>0.02974377617</v>
      </c>
      <c r="G1324" s="11" t="n">
        <v>292.4778019</v>
      </c>
      <c r="H1324" s="13">
        <f>F1324*1000</f>
        <v/>
      </c>
      <c r="I1324" s="14">
        <f>G1324-273.15</f>
        <v/>
      </c>
      <c r="K1324" s="15" t="n">
        <v>2004</v>
      </c>
      <c r="L1324" s="15" t="n">
        <v>8</v>
      </c>
      <c r="M1324" s="15" t="n">
        <v>30</v>
      </c>
      <c r="N1324" s="16" t="n">
        <v>0.0001239464869</v>
      </c>
      <c r="O1324" s="11" t="n">
        <v>289.5686327</v>
      </c>
      <c r="P1324" s="13">
        <f>N1324*86400</f>
        <v/>
      </c>
      <c r="Q1324" s="14">
        <f>O1324-273.15</f>
        <v/>
      </c>
    </row>
    <row r="1325">
      <c r="A1325" s="9" t="n">
        <v>38212</v>
      </c>
      <c r="B1325" s="7">
        <f>YEAR(A1325)</f>
        <v/>
      </c>
      <c r="C1325" s="7">
        <f>MONTH(A1325)</f>
        <v/>
      </c>
      <c r="D1325" s="10" t="n">
        <v>0</v>
      </c>
      <c r="E1325" s="11" t="n">
        <v>17.21611268</v>
      </c>
      <c r="F1325" s="12" t="n">
        <v>0.0001334893022</v>
      </c>
      <c r="G1325" s="11" t="n">
        <v>292.277414</v>
      </c>
      <c r="H1325" s="13">
        <f>F1325*1000</f>
        <v/>
      </c>
      <c r="I1325" s="14">
        <f>G1325-273.15</f>
        <v/>
      </c>
      <c r="K1325" s="15" t="n">
        <v>2004</v>
      </c>
      <c r="L1325" s="15" t="n">
        <v>9</v>
      </c>
      <c r="M1325" s="15" t="n">
        <v>1</v>
      </c>
      <c r="N1325" s="16" t="n">
        <v>0.0002056313669</v>
      </c>
      <c r="O1325" s="11" t="n">
        <v>289.266234</v>
      </c>
      <c r="P1325" s="13">
        <f>N1325*86400</f>
        <v/>
      </c>
      <c r="Q1325" s="14">
        <f>O1325-273.15</f>
        <v/>
      </c>
    </row>
    <row r="1326">
      <c r="A1326" s="9" t="n">
        <v>38213</v>
      </c>
      <c r="B1326" s="7">
        <f>YEAR(A1326)</f>
        <v/>
      </c>
      <c r="C1326" s="7">
        <f>MONTH(A1326)</f>
        <v/>
      </c>
      <c r="D1326" s="10" t="n">
        <v>3.153871263</v>
      </c>
      <c r="E1326" s="11" t="n">
        <v>16.48534776</v>
      </c>
      <c r="F1326" s="12" t="n">
        <v>0.005488876419</v>
      </c>
      <c r="G1326" s="11" t="n">
        <v>291.2802114</v>
      </c>
      <c r="H1326" s="13">
        <f>F1326*1000</f>
        <v/>
      </c>
      <c r="I1326" s="14">
        <f>G1326-273.15</f>
        <v/>
      </c>
      <c r="K1326" s="15" t="n">
        <v>2004</v>
      </c>
      <c r="L1326" s="15" t="n">
        <v>9</v>
      </c>
      <c r="M1326" s="15" t="n">
        <v>2</v>
      </c>
      <c r="N1326" s="16" t="n">
        <v>3.689386044e-05</v>
      </c>
      <c r="O1326" s="11" t="n">
        <v>289.1663496</v>
      </c>
      <c r="P1326" s="13">
        <f>N1326*86400</f>
        <v/>
      </c>
      <c r="Q1326" s="14">
        <f>O1326-273.15</f>
        <v/>
      </c>
    </row>
    <row r="1327">
      <c r="A1327" s="9" t="n">
        <v>38214</v>
      </c>
      <c r="B1327" s="7">
        <f>YEAR(A1327)</f>
        <v/>
      </c>
      <c r="C1327" s="7">
        <f>MONTH(A1327)</f>
        <v/>
      </c>
      <c r="D1327" s="10" t="n">
        <v>66.99694131</v>
      </c>
      <c r="E1327" s="11" t="n">
        <v>15.11574352</v>
      </c>
      <c r="F1327" s="12" t="n">
        <v>0.03037166558</v>
      </c>
      <c r="G1327" s="11" t="n">
        <v>289.6353052</v>
      </c>
      <c r="H1327" s="13">
        <f>F1327*1000</f>
        <v/>
      </c>
      <c r="I1327" s="14">
        <f>G1327-273.15</f>
        <v/>
      </c>
      <c r="K1327" s="15" t="n">
        <v>2004</v>
      </c>
      <c r="L1327" s="15" t="n">
        <v>9</v>
      </c>
      <c r="M1327" s="15" t="n">
        <v>3</v>
      </c>
      <c r="N1327" s="16" t="n">
        <v>4.254709237e-05</v>
      </c>
      <c r="O1327" s="11" t="n">
        <v>284.2863284</v>
      </c>
      <c r="P1327" s="13">
        <f>N1327*86400</f>
        <v/>
      </c>
      <c r="Q1327" s="14">
        <f>O1327-273.15</f>
        <v/>
      </c>
    </row>
    <row r="1328">
      <c r="A1328" s="9" t="n">
        <v>38215</v>
      </c>
      <c r="B1328" s="7">
        <f>YEAR(A1328)</f>
        <v/>
      </c>
      <c r="C1328" s="7">
        <f>MONTH(A1328)</f>
        <v/>
      </c>
      <c r="D1328" s="10" t="n">
        <v>19.11847596</v>
      </c>
      <c r="E1328" s="11" t="n">
        <v>15.11973072</v>
      </c>
      <c r="F1328" s="12" t="n">
        <v>0.03207459084</v>
      </c>
      <c r="G1328" s="11" t="n">
        <v>289.9623792</v>
      </c>
      <c r="H1328" s="13">
        <f>F1328*1000</f>
        <v/>
      </c>
      <c r="I1328" s="14">
        <f>G1328-273.15</f>
        <v/>
      </c>
      <c r="K1328" s="15" t="n">
        <v>2004</v>
      </c>
      <c r="L1328" s="15" t="n">
        <v>9</v>
      </c>
      <c r="M1328" s="15" t="n">
        <v>4</v>
      </c>
      <c r="N1328" s="16" t="n">
        <v>4.599358649e-05</v>
      </c>
      <c r="O1328" s="11" t="n">
        <v>285.1161014</v>
      </c>
      <c r="P1328" s="13">
        <f>N1328*86400</f>
        <v/>
      </c>
      <c r="Q1328" s="14">
        <f>O1328-273.15</f>
        <v/>
      </c>
    </row>
    <row r="1329">
      <c r="A1329" s="9" t="n">
        <v>38216</v>
      </c>
      <c r="B1329" s="7">
        <f>YEAR(A1329)</f>
        <v/>
      </c>
      <c r="C1329" s="7">
        <f>MONTH(A1329)</f>
        <v/>
      </c>
      <c r="D1329" s="10" t="n">
        <v>14.86522144</v>
      </c>
      <c r="E1329" s="11" t="n">
        <v>11.86294372</v>
      </c>
      <c r="F1329" s="12" t="n">
        <v>0.01419553145</v>
      </c>
      <c r="G1329" s="11" t="n">
        <v>287.2285348</v>
      </c>
      <c r="H1329" s="13">
        <f>F1329*1000</f>
        <v/>
      </c>
      <c r="I1329" s="14">
        <f>G1329-273.15</f>
        <v/>
      </c>
      <c r="K1329" s="15" t="n">
        <v>2004</v>
      </c>
      <c r="L1329" s="15" t="n">
        <v>9</v>
      </c>
      <c r="M1329" s="15" t="n">
        <v>5</v>
      </c>
      <c r="N1329" s="16" t="n">
        <v>0.000100374904</v>
      </c>
      <c r="O1329" s="11" t="n">
        <v>285.7471187</v>
      </c>
      <c r="P1329" s="13">
        <f>N1329*86400</f>
        <v/>
      </c>
      <c r="Q1329" s="14">
        <f>O1329-273.15</f>
        <v/>
      </c>
    </row>
    <row r="1330">
      <c r="A1330" s="9" t="n">
        <v>38217</v>
      </c>
      <c r="B1330" s="7">
        <f>YEAR(A1330)</f>
        <v/>
      </c>
      <c r="C1330" s="7">
        <f>MONTH(A1330)</f>
        <v/>
      </c>
      <c r="D1330" s="10" t="n">
        <v>30.6423629</v>
      </c>
      <c r="E1330" s="11" t="n">
        <v>12.40826632</v>
      </c>
      <c r="F1330" s="12" t="n">
        <v>0.0195241441</v>
      </c>
      <c r="G1330" s="11" t="n">
        <v>288.5712368</v>
      </c>
      <c r="H1330" s="13">
        <f>F1330*1000</f>
        <v/>
      </c>
      <c r="I1330" s="14">
        <f>G1330-273.15</f>
        <v/>
      </c>
      <c r="K1330" s="15" t="n">
        <v>2004</v>
      </c>
      <c r="L1330" s="15" t="n">
        <v>9</v>
      </c>
      <c r="M1330" s="15" t="n">
        <v>6</v>
      </c>
      <c r="N1330" s="16" t="n">
        <v>0.0001654001897</v>
      </c>
      <c r="O1330" s="11" t="n">
        <v>287.5720465</v>
      </c>
      <c r="P1330" s="13">
        <f>N1330*86400</f>
        <v/>
      </c>
      <c r="Q1330" s="14">
        <f>O1330-273.15</f>
        <v/>
      </c>
    </row>
    <row r="1331">
      <c r="A1331" s="9" t="n">
        <v>38218</v>
      </c>
      <c r="B1331" s="7">
        <f>YEAR(A1331)</f>
        <v/>
      </c>
      <c r="C1331" s="7">
        <f>MONTH(A1331)</f>
        <v/>
      </c>
      <c r="D1331" s="10" t="n">
        <v>0</v>
      </c>
      <c r="E1331" s="11" t="n">
        <v>12.95376846</v>
      </c>
      <c r="F1331" s="12" t="n">
        <v>0</v>
      </c>
      <c r="G1331" s="11" t="n">
        <v>289.3380764</v>
      </c>
      <c r="H1331" s="13">
        <f>F1331*1000</f>
        <v/>
      </c>
      <c r="I1331" s="14">
        <f>G1331-273.15</f>
        <v/>
      </c>
      <c r="K1331" s="15" t="n">
        <v>2004</v>
      </c>
      <c r="L1331" s="15" t="n">
        <v>9</v>
      </c>
      <c r="M1331" s="15" t="n">
        <v>7</v>
      </c>
      <c r="N1331" s="16" t="n">
        <v>8.767452127e-05</v>
      </c>
      <c r="O1331" s="11" t="n">
        <v>287.525109</v>
      </c>
      <c r="P1331" s="13">
        <f>N1331*86400</f>
        <v/>
      </c>
      <c r="Q1331" s="14">
        <f>O1331-273.15</f>
        <v/>
      </c>
    </row>
    <row r="1332">
      <c r="A1332" s="9" t="n">
        <v>38219</v>
      </c>
      <c r="B1332" s="7">
        <f>YEAR(A1332)</f>
        <v/>
      </c>
      <c r="C1332" s="7">
        <f>MONTH(A1332)</f>
        <v/>
      </c>
      <c r="D1332" s="10" t="n">
        <v>11.04598173</v>
      </c>
      <c r="E1332" s="11" t="n">
        <v>11.79601908</v>
      </c>
      <c r="F1332" s="12" t="n">
        <v>0.002505495561</v>
      </c>
      <c r="G1332" s="11" t="n">
        <v>287.4870229</v>
      </c>
      <c r="H1332" s="13">
        <f>F1332*1000</f>
        <v/>
      </c>
      <c r="I1332" s="14">
        <f>G1332-273.15</f>
        <v/>
      </c>
      <c r="K1332" s="15" t="n">
        <v>2004</v>
      </c>
      <c r="L1332" s="15" t="n">
        <v>9</v>
      </c>
      <c r="M1332" s="15" t="n">
        <v>8</v>
      </c>
      <c r="N1332" s="16" t="n">
        <v>0.0001396295945</v>
      </c>
      <c r="O1332" s="11" t="n">
        <v>286.8781456</v>
      </c>
      <c r="P1332" s="13">
        <f>N1332*86400</f>
        <v/>
      </c>
      <c r="Q1332" s="14">
        <f>O1332-273.15</f>
        <v/>
      </c>
    </row>
    <row r="1333">
      <c r="A1333" s="9" t="n">
        <v>38220</v>
      </c>
      <c r="B1333" s="7">
        <f>YEAR(A1333)</f>
        <v/>
      </c>
      <c r="C1333" s="7">
        <f>MONTH(A1333)</f>
        <v/>
      </c>
      <c r="D1333" s="10" t="n">
        <v>0.08719362018</v>
      </c>
      <c r="E1333" s="11" t="n">
        <v>11.02355616</v>
      </c>
      <c r="F1333" s="12" t="n">
        <v>0.0006997519592</v>
      </c>
      <c r="G1333" s="11" t="n">
        <v>286.7648049</v>
      </c>
      <c r="H1333" s="13">
        <f>F1333*1000</f>
        <v/>
      </c>
      <c r="I1333" s="14">
        <f>G1333-273.15</f>
        <v/>
      </c>
      <c r="K1333" s="15" t="n">
        <v>2004</v>
      </c>
      <c r="L1333" s="15" t="n">
        <v>9</v>
      </c>
      <c r="M1333" s="15" t="n">
        <v>9</v>
      </c>
      <c r="N1333" s="16" t="n">
        <v>6.466867814e-05</v>
      </c>
      <c r="O1333" s="11" t="n">
        <v>287.949277</v>
      </c>
      <c r="P1333" s="13">
        <f>N1333*86400</f>
        <v/>
      </c>
      <c r="Q1333" s="14">
        <f>O1333-273.15</f>
        <v/>
      </c>
    </row>
    <row r="1334">
      <c r="A1334" s="9" t="n">
        <v>38221</v>
      </c>
      <c r="B1334" s="7">
        <f>YEAR(A1334)</f>
        <v/>
      </c>
      <c r="C1334" s="7">
        <f>MONTH(A1334)</f>
        <v/>
      </c>
      <c r="D1334" s="10" t="n">
        <v>0</v>
      </c>
      <c r="E1334" s="11" t="n">
        <v>9.491217772000001</v>
      </c>
      <c r="F1334" s="12" t="n">
        <v>0</v>
      </c>
      <c r="G1334" s="11" t="n">
        <v>285.8930306</v>
      </c>
      <c r="H1334" s="13">
        <f>F1334*1000</f>
        <v/>
      </c>
      <c r="I1334" s="14">
        <f>G1334-273.15</f>
        <v/>
      </c>
      <c r="K1334" s="15" t="n">
        <v>2004</v>
      </c>
      <c r="L1334" s="15" t="n">
        <v>9</v>
      </c>
      <c r="M1334" s="15" t="n">
        <v>10</v>
      </c>
      <c r="N1334" s="16" t="n">
        <v>0.0002261390394</v>
      </c>
      <c r="O1334" s="11" t="n">
        <v>288.7859287</v>
      </c>
      <c r="P1334" s="13">
        <f>N1334*86400</f>
        <v/>
      </c>
      <c r="Q1334" s="14">
        <f>O1334-273.15</f>
        <v/>
      </c>
    </row>
    <row r="1335">
      <c r="A1335" s="9" t="n">
        <v>38222</v>
      </c>
      <c r="B1335" s="7">
        <f>YEAR(A1335)</f>
        <v/>
      </c>
      <c r="C1335" s="7">
        <f>MONTH(A1335)</f>
        <v/>
      </c>
      <c r="D1335" s="10" t="n">
        <v>0</v>
      </c>
      <c r="E1335" s="11" t="n">
        <v>9.864501598</v>
      </c>
      <c r="F1335" s="12" t="n">
        <v>0.0003764952233</v>
      </c>
      <c r="G1335" s="11" t="n">
        <v>286.1099408</v>
      </c>
      <c r="H1335" s="13">
        <f>F1335*1000</f>
        <v/>
      </c>
      <c r="I1335" s="14">
        <f>G1335-273.15</f>
        <v/>
      </c>
      <c r="K1335" s="15" t="n">
        <v>2004</v>
      </c>
      <c r="L1335" s="15" t="n">
        <v>9</v>
      </c>
      <c r="M1335" s="15" t="n">
        <v>11</v>
      </c>
      <c r="N1335" s="16" t="n">
        <v>0.0002266739107</v>
      </c>
      <c r="O1335" s="11" t="n">
        <v>289.4574434</v>
      </c>
      <c r="P1335" s="13">
        <f>N1335*86400</f>
        <v/>
      </c>
      <c r="Q1335" s="14">
        <f>O1335-273.15</f>
        <v/>
      </c>
    </row>
    <row r="1336">
      <c r="A1336" s="9" t="n">
        <v>38223</v>
      </c>
      <c r="B1336" s="7">
        <f>YEAR(A1336)</f>
        <v/>
      </c>
      <c r="C1336" s="7">
        <f>MONTH(A1336)</f>
        <v/>
      </c>
      <c r="D1336" s="10" t="n">
        <v>0</v>
      </c>
      <c r="E1336" s="11" t="n">
        <v>9.979192205</v>
      </c>
      <c r="F1336" s="12" t="n">
        <v>0.001604516595</v>
      </c>
      <c r="G1336" s="11" t="n">
        <v>285.6227859</v>
      </c>
      <c r="H1336" s="13">
        <f>F1336*1000</f>
        <v/>
      </c>
      <c r="I1336" s="14">
        <f>G1336-273.15</f>
        <v/>
      </c>
      <c r="K1336" s="15" t="n">
        <v>2004</v>
      </c>
      <c r="L1336" s="15" t="n">
        <v>9</v>
      </c>
      <c r="M1336" s="15" t="n">
        <v>12</v>
      </c>
      <c r="N1336" s="16" t="n">
        <v>0.0001517528777</v>
      </c>
      <c r="O1336" s="11" t="n">
        <v>288.5619329</v>
      </c>
      <c r="P1336" s="13">
        <f>N1336*86400</f>
        <v/>
      </c>
      <c r="Q1336" s="14">
        <f>O1336-273.15</f>
        <v/>
      </c>
    </row>
    <row r="1337">
      <c r="A1337" s="9" t="n">
        <v>38224</v>
      </c>
      <c r="B1337" s="7">
        <f>YEAR(A1337)</f>
        <v/>
      </c>
      <c r="C1337" s="7">
        <f>MONTH(A1337)</f>
        <v/>
      </c>
      <c r="D1337" s="10" t="n">
        <v>7.870308504</v>
      </c>
      <c r="E1337" s="11" t="n">
        <v>7.742492807</v>
      </c>
      <c r="F1337" s="12" t="n">
        <v>0.005034024167</v>
      </c>
      <c r="G1337" s="11" t="n">
        <v>284.0143394</v>
      </c>
      <c r="H1337" s="13">
        <f>F1337*1000</f>
        <v/>
      </c>
      <c r="I1337" s="14">
        <f>G1337-273.15</f>
        <v/>
      </c>
      <c r="K1337" s="15" t="n">
        <v>2004</v>
      </c>
      <c r="L1337" s="15" t="n">
        <v>9</v>
      </c>
      <c r="M1337" s="15" t="n">
        <v>13</v>
      </c>
      <c r="N1337" s="16" t="n">
        <v>0.0001462770111</v>
      </c>
      <c r="O1337" s="11" t="n">
        <v>288.4505877</v>
      </c>
      <c r="P1337" s="13">
        <f>N1337*86400</f>
        <v/>
      </c>
      <c r="Q1337" s="14">
        <f>O1337-273.15</f>
        <v/>
      </c>
    </row>
    <row r="1338">
      <c r="A1338" s="9" t="n">
        <v>38225</v>
      </c>
      <c r="B1338" s="7">
        <f>YEAR(A1338)</f>
        <v/>
      </c>
      <c r="C1338" s="7">
        <f>MONTH(A1338)</f>
        <v/>
      </c>
      <c r="D1338" s="10" t="n">
        <v>0</v>
      </c>
      <c r="E1338" s="11" t="n">
        <v>8.549300092999999</v>
      </c>
      <c r="F1338" s="12" t="n">
        <v>0.0006441897429</v>
      </c>
      <c r="G1338" s="11" t="n">
        <v>284.4738974</v>
      </c>
      <c r="H1338" s="13">
        <f>F1338*1000</f>
        <v/>
      </c>
      <c r="I1338" s="14">
        <f>G1338-273.15</f>
        <v/>
      </c>
      <c r="K1338" s="15" t="n">
        <v>2004</v>
      </c>
      <c r="L1338" s="15" t="n">
        <v>9</v>
      </c>
      <c r="M1338" s="15" t="n">
        <v>14</v>
      </c>
      <c r="N1338" s="16" t="n">
        <v>9.571229396e-06</v>
      </c>
      <c r="O1338" s="11" t="n">
        <v>287.8496841</v>
      </c>
      <c r="P1338" s="13">
        <f>N1338*86400</f>
        <v/>
      </c>
      <c r="Q1338" s="14">
        <f>O1338-273.15</f>
        <v/>
      </c>
    </row>
    <row r="1339">
      <c r="A1339" s="9" t="n">
        <v>38226</v>
      </c>
      <c r="B1339" s="7">
        <f>YEAR(A1339)</f>
        <v/>
      </c>
      <c r="C1339" s="7">
        <f>MONTH(A1339)</f>
        <v/>
      </c>
      <c r="D1339" s="10" t="n">
        <v>0</v>
      </c>
      <c r="E1339" s="11" t="n">
        <v>7.981092589</v>
      </c>
      <c r="F1339" s="12" t="n">
        <v>0</v>
      </c>
      <c r="G1339" s="11" t="n">
        <v>284.6136379</v>
      </c>
      <c r="H1339" s="13">
        <f>F1339*1000</f>
        <v/>
      </c>
      <c r="I1339" s="14">
        <f>G1339-273.15</f>
        <v/>
      </c>
      <c r="K1339" s="15" t="n">
        <v>2004</v>
      </c>
      <c r="L1339" s="15" t="n">
        <v>9</v>
      </c>
      <c r="M1339" s="15" t="n">
        <v>15</v>
      </c>
      <c r="N1339" s="16" t="n">
        <v>0</v>
      </c>
      <c r="O1339" s="11" t="n">
        <v>285.9436648</v>
      </c>
      <c r="P1339" s="13">
        <f>N1339*86400</f>
        <v/>
      </c>
      <c r="Q1339" s="14">
        <f>O1339-273.15</f>
        <v/>
      </c>
    </row>
    <row r="1340">
      <c r="A1340" s="9" t="n">
        <v>38227</v>
      </c>
      <c r="B1340" s="7">
        <f>YEAR(A1340)</f>
        <v/>
      </c>
      <c r="C1340" s="7">
        <f>MONTH(A1340)</f>
        <v/>
      </c>
      <c r="D1340" s="10" t="n">
        <v>0</v>
      </c>
      <c r="E1340" s="11" t="n">
        <v>9.841229623</v>
      </c>
      <c r="F1340" s="12" t="n">
        <v>3.365889929e-05</v>
      </c>
      <c r="G1340" s="11" t="n">
        <v>285.4927425</v>
      </c>
      <c r="H1340" s="13">
        <f>F1340*1000</f>
        <v/>
      </c>
      <c r="I1340" s="14">
        <f>G1340-273.15</f>
        <v/>
      </c>
      <c r="K1340" s="15" t="n">
        <v>2004</v>
      </c>
      <c r="L1340" s="15" t="n">
        <v>9</v>
      </c>
      <c r="M1340" s="15" t="n">
        <v>16</v>
      </c>
      <c r="N1340" s="16" t="n">
        <v>0</v>
      </c>
      <c r="O1340" s="11" t="n">
        <v>285.2793731</v>
      </c>
      <c r="P1340" s="13">
        <f>N1340*86400</f>
        <v/>
      </c>
      <c r="Q1340" s="14">
        <f>O1340-273.15</f>
        <v/>
      </c>
    </row>
    <row r="1341">
      <c r="A1341" s="9" t="n">
        <v>38228</v>
      </c>
      <c r="B1341" s="7">
        <f>YEAR(A1341)</f>
        <v/>
      </c>
      <c r="C1341" s="7">
        <f>MONTH(A1341)</f>
        <v/>
      </c>
      <c r="D1341" s="10" t="n">
        <v>0</v>
      </c>
      <c r="E1341" s="11" t="n">
        <v>10.51168427</v>
      </c>
      <c r="F1341" s="12" t="n">
        <v>0</v>
      </c>
      <c r="G1341" s="11" t="n">
        <v>286.8508443</v>
      </c>
      <c r="H1341" s="13">
        <f>F1341*1000</f>
        <v/>
      </c>
      <c r="I1341" s="14">
        <f>G1341-273.15</f>
        <v/>
      </c>
      <c r="K1341" s="15" t="n">
        <v>2004</v>
      </c>
      <c r="L1341" s="15" t="n">
        <v>9</v>
      </c>
      <c r="M1341" s="15" t="n">
        <v>17</v>
      </c>
      <c r="N1341" s="16" t="n">
        <v>0</v>
      </c>
      <c r="O1341" s="11" t="n">
        <v>284.3306227</v>
      </c>
      <c r="P1341" s="13">
        <f>N1341*86400</f>
        <v/>
      </c>
      <c r="Q1341" s="14">
        <f>O1341-273.15</f>
        <v/>
      </c>
    </row>
    <row r="1342">
      <c r="A1342" s="9" t="n">
        <v>38229</v>
      </c>
      <c r="B1342" s="7">
        <f>YEAR(A1342)</f>
        <v/>
      </c>
      <c r="C1342" s="7">
        <f>MONTH(A1342)</f>
        <v/>
      </c>
      <c r="D1342" s="10" t="n">
        <v>0</v>
      </c>
      <c r="E1342" s="11" t="n">
        <v>10.08150512</v>
      </c>
      <c r="F1342" s="12" t="n">
        <v>0.001472446642</v>
      </c>
      <c r="G1342" s="11" t="n">
        <v>286.975007</v>
      </c>
      <c r="H1342" s="13">
        <f>F1342*1000</f>
        <v/>
      </c>
      <c r="I1342" s="14">
        <f>G1342-273.15</f>
        <v/>
      </c>
      <c r="K1342" s="15" t="n">
        <v>2004</v>
      </c>
      <c r="L1342" s="15" t="n">
        <v>9</v>
      </c>
      <c r="M1342" s="15" t="n">
        <v>18</v>
      </c>
      <c r="N1342" s="16" t="n">
        <v>4.907976161e-06</v>
      </c>
      <c r="O1342" s="11" t="n">
        <v>281.9673288</v>
      </c>
      <c r="P1342" s="13">
        <f>N1342*86400</f>
        <v/>
      </c>
      <c r="Q1342" s="14">
        <f>O1342-273.15</f>
        <v/>
      </c>
    </row>
    <row r="1343">
      <c r="A1343" s="9" t="n">
        <v>38230</v>
      </c>
      <c r="B1343" s="7">
        <f>YEAR(A1343)</f>
        <v/>
      </c>
      <c r="C1343" s="7">
        <f>MONTH(A1343)</f>
        <v/>
      </c>
      <c r="D1343" s="10" t="n">
        <v>10.84509191</v>
      </c>
      <c r="E1343" s="11" t="n">
        <v>9.19508312</v>
      </c>
      <c r="F1343" s="12" t="n">
        <v>0.004236884254</v>
      </c>
      <c r="G1343" s="11" t="n">
        <v>286.1414301</v>
      </c>
      <c r="H1343" s="13">
        <f>F1343*1000</f>
        <v/>
      </c>
      <c r="I1343" s="14">
        <f>G1343-273.15</f>
        <v/>
      </c>
      <c r="K1343" s="15" t="n">
        <v>2004</v>
      </c>
      <c r="L1343" s="15" t="n">
        <v>9</v>
      </c>
      <c r="M1343" s="15" t="n">
        <v>19</v>
      </c>
      <c r="N1343" s="16" t="n">
        <v>0.0001439430566</v>
      </c>
      <c r="O1343" s="11" t="n">
        <v>281.5428762</v>
      </c>
      <c r="P1343" s="13">
        <f>N1343*86400</f>
        <v/>
      </c>
      <c r="Q1343" s="14">
        <f>O1343-273.15</f>
        <v/>
      </c>
    </row>
    <row r="1344">
      <c r="A1344" s="9" t="n">
        <v>38231</v>
      </c>
      <c r="B1344" s="7">
        <f>YEAR(A1344)</f>
        <v/>
      </c>
      <c r="C1344" s="7">
        <f>MONTH(A1344)</f>
        <v/>
      </c>
      <c r="D1344" s="10" t="n">
        <v>0</v>
      </c>
      <c r="E1344" s="11" t="n">
        <v>10.34149415</v>
      </c>
      <c r="F1344" s="12" t="n">
        <v>0.0003476204427</v>
      </c>
      <c r="G1344" s="11" t="n">
        <v>286.7077224</v>
      </c>
      <c r="H1344" s="13">
        <f>F1344*1000</f>
        <v/>
      </c>
      <c r="I1344" s="14">
        <f>G1344-273.15</f>
        <v/>
      </c>
      <c r="K1344" s="15" t="n">
        <v>2004</v>
      </c>
      <c r="L1344" s="15" t="n">
        <v>9</v>
      </c>
      <c r="M1344" s="15" t="n">
        <v>20</v>
      </c>
      <c r="N1344" s="16" t="n">
        <v>0.0001303404752</v>
      </c>
      <c r="O1344" s="11" t="n">
        <v>281.3832428</v>
      </c>
      <c r="P1344" s="13">
        <f>N1344*86400</f>
        <v/>
      </c>
      <c r="Q1344" s="14">
        <f>O1344-273.15</f>
        <v/>
      </c>
    </row>
    <row r="1345">
      <c r="A1345" s="9" t="n">
        <v>38232</v>
      </c>
      <c r="B1345" s="7">
        <f>YEAR(A1345)</f>
        <v/>
      </c>
      <c r="C1345" s="7">
        <f>MONTH(A1345)</f>
        <v/>
      </c>
      <c r="D1345" s="10" t="n">
        <v>0</v>
      </c>
      <c r="E1345" s="11" t="n">
        <v>11.5003423</v>
      </c>
      <c r="F1345" s="12" t="n">
        <v>3.606403313e-05</v>
      </c>
      <c r="G1345" s="11" t="n">
        <v>287.2484196</v>
      </c>
      <c r="H1345" s="13">
        <f>F1345*1000</f>
        <v/>
      </c>
      <c r="I1345" s="14">
        <f>G1345-273.15</f>
        <v/>
      </c>
      <c r="K1345" s="15" t="n">
        <v>2004</v>
      </c>
      <c r="L1345" s="15" t="n">
        <v>9</v>
      </c>
      <c r="M1345" s="15" t="n">
        <v>21</v>
      </c>
      <c r="N1345" s="16" t="n">
        <v>2.191055496e-06</v>
      </c>
      <c r="O1345" s="11" t="n">
        <v>283.531335</v>
      </c>
      <c r="P1345" s="13">
        <f>N1345*86400</f>
        <v/>
      </c>
      <c r="Q1345" s="14">
        <f>O1345-273.15</f>
        <v/>
      </c>
    </row>
    <row r="1346">
      <c r="A1346" s="9" t="n">
        <v>38233</v>
      </c>
      <c r="B1346" s="7">
        <f>YEAR(A1346)</f>
        <v/>
      </c>
      <c r="C1346" s="7">
        <f>MONTH(A1346)</f>
        <v/>
      </c>
      <c r="D1346" s="10" t="n">
        <v>0</v>
      </c>
      <c r="E1346" s="11" t="n">
        <v>10.87329077</v>
      </c>
      <c r="F1346" s="12" t="n">
        <v>0.002117513708</v>
      </c>
      <c r="G1346" s="11" t="n">
        <v>286.0228165</v>
      </c>
      <c r="H1346" s="13">
        <f>F1346*1000</f>
        <v/>
      </c>
      <c r="I1346" s="14">
        <f>G1346-273.15</f>
        <v/>
      </c>
      <c r="K1346" s="15" t="n">
        <v>2004</v>
      </c>
      <c r="L1346" s="15" t="n">
        <v>9</v>
      </c>
      <c r="M1346" s="15" t="n">
        <v>22</v>
      </c>
      <c r="N1346" s="16" t="n">
        <v>3.789616407e-05</v>
      </c>
      <c r="O1346" s="11" t="n">
        <v>286.0615483</v>
      </c>
      <c r="P1346" s="13">
        <f>N1346*86400</f>
        <v/>
      </c>
      <c r="Q1346" s="14">
        <f>O1346-273.15</f>
        <v/>
      </c>
    </row>
    <row r="1347">
      <c r="A1347" s="9" t="n">
        <v>38234</v>
      </c>
      <c r="B1347" s="7">
        <f>YEAR(A1347)</f>
        <v/>
      </c>
      <c r="C1347" s="7">
        <f>MONTH(A1347)</f>
        <v/>
      </c>
      <c r="D1347" s="10" t="n">
        <v>0</v>
      </c>
      <c r="E1347" s="11" t="n">
        <v>12.99621645</v>
      </c>
      <c r="F1347" s="12" t="n">
        <v>0.002215568129</v>
      </c>
      <c r="G1347" s="11" t="n">
        <v>287.4896581</v>
      </c>
      <c r="H1347" s="13">
        <f>F1347*1000</f>
        <v/>
      </c>
      <c r="I1347" s="14">
        <f>G1347-273.15</f>
        <v/>
      </c>
      <c r="K1347" s="15" t="n">
        <v>2004</v>
      </c>
      <c r="L1347" s="15" t="n">
        <v>9</v>
      </c>
      <c r="M1347" s="15" t="n">
        <v>23</v>
      </c>
      <c r="N1347" s="16" t="n">
        <v>0</v>
      </c>
      <c r="O1347" s="11" t="n">
        <v>285.5807423</v>
      </c>
      <c r="P1347" s="13">
        <f>N1347*86400</f>
        <v/>
      </c>
      <c r="Q1347" s="14">
        <f>O1347-273.15</f>
        <v/>
      </c>
    </row>
    <row r="1348">
      <c r="A1348" s="9" t="n">
        <v>38235</v>
      </c>
      <c r="B1348" s="7">
        <f>YEAR(A1348)</f>
        <v/>
      </c>
      <c r="C1348" s="7">
        <f>MONTH(A1348)</f>
        <v/>
      </c>
      <c r="D1348" s="10" t="n">
        <v>0</v>
      </c>
      <c r="E1348" s="11" t="n">
        <v>11.06391576</v>
      </c>
      <c r="F1348" s="12" t="n">
        <v>0.0001543336267</v>
      </c>
      <c r="G1348" s="11" t="n">
        <v>286.8366839</v>
      </c>
      <c r="H1348" s="13">
        <f>F1348*1000</f>
        <v/>
      </c>
      <c r="I1348" s="14">
        <f>G1348-273.15</f>
        <v/>
      </c>
      <c r="K1348" s="15" t="n">
        <v>2004</v>
      </c>
      <c r="L1348" s="15" t="n">
        <v>9</v>
      </c>
      <c r="M1348" s="15" t="n">
        <v>24</v>
      </c>
      <c r="N1348" s="16" t="n">
        <v>1.115956431e-05</v>
      </c>
      <c r="O1348" s="11" t="n">
        <v>285.8729454</v>
      </c>
      <c r="P1348" s="13">
        <f>N1348*86400</f>
        <v/>
      </c>
      <c r="Q1348" s="14">
        <f>O1348-273.15</f>
        <v/>
      </c>
    </row>
    <row r="1349">
      <c r="A1349" s="9" t="n">
        <v>38236</v>
      </c>
      <c r="B1349" s="7">
        <f>YEAR(A1349)</f>
        <v/>
      </c>
      <c r="C1349" s="7">
        <f>MONTH(A1349)</f>
        <v/>
      </c>
      <c r="D1349" s="10" t="n">
        <v>0</v>
      </c>
      <c r="E1349" s="11" t="n">
        <v>12.91477093</v>
      </c>
      <c r="F1349" s="12" t="n">
        <v>0</v>
      </c>
      <c r="G1349" s="11" t="n">
        <v>288.9694335</v>
      </c>
      <c r="H1349" s="13">
        <f>F1349*1000</f>
        <v/>
      </c>
      <c r="I1349" s="14">
        <f>G1349-273.15</f>
        <v/>
      </c>
      <c r="K1349" s="15" t="n">
        <v>2004</v>
      </c>
      <c r="L1349" s="15" t="n">
        <v>9</v>
      </c>
      <c r="M1349" s="15" t="n">
        <v>25</v>
      </c>
      <c r="N1349" s="16" t="n">
        <v>0</v>
      </c>
      <c r="O1349" s="11" t="n">
        <v>286.4474141</v>
      </c>
      <c r="P1349" s="13">
        <f>N1349*86400</f>
        <v/>
      </c>
      <c r="Q1349" s="14">
        <f>O1349-273.15</f>
        <v/>
      </c>
    </row>
    <row r="1350">
      <c r="A1350" s="9" t="n">
        <v>38237</v>
      </c>
      <c r="B1350" s="7">
        <f>YEAR(A1350)</f>
        <v/>
      </c>
      <c r="C1350" s="7">
        <f>MONTH(A1350)</f>
        <v/>
      </c>
      <c r="D1350" s="10" t="n">
        <v>0</v>
      </c>
      <c r="E1350" s="11" t="n">
        <v>9.599517085</v>
      </c>
      <c r="F1350" s="12" t="n">
        <v>0</v>
      </c>
      <c r="G1350" s="11" t="n">
        <v>285.8198168</v>
      </c>
      <c r="H1350" s="13">
        <f>F1350*1000</f>
        <v/>
      </c>
      <c r="I1350" s="14">
        <f>G1350-273.15</f>
        <v/>
      </c>
      <c r="K1350" s="15" t="n">
        <v>2004</v>
      </c>
      <c r="L1350" s="15" t="n">
        <v>9</v>
      </c>
      <c r="M1350" s="15" t="n">
        <v>26</v>
      </c>
      <c r="N1350" s="16" t="n">
        <v>0</v>
      </c>
      <c r="O1350" s="11" t="n">
        <v>286.7332903</v>
      </c>
      <c r="P1350" s="13">
        <f>N1350*86400</f>
        <v/>
      </c>
      <c r="Q1350" s="14">
        <f>O1350-273.15</f>
        <v/>
      </c>
    </row>
    <row r="1351">
      <c r="A1351" s="9" t="n">
        <v>38238</v>
      </c>
      <c r="B1351" s="7">
        <f>YEAR(A1351)</f>
        <v/>
      </c>
      <c r="C1351" s="7">
        <f>MONTH(A1351)</f>
        <v/>
      </c>
      <c r="D1351" s="10" t="n">
        <v>12.22734453</v>
      </c>
      <c r="E1351" s="11" t="n">
        <v>12.11927038</v>
      </c>
      <c r="F1351" s="12" t="n">
        <v>0.01822644885</v>
      </c>
      <c r="G1351" s="11" t="n">
        <v>287.5211329</v>
      </c>
      <c r="H1351" s="13">
        <f>F1351*1000</f>
        <v/>
      </c>
      <c r="I1351" s="14">
        <f>G1351-273.15</f>
        <v/>
      </c>
      <c r="K1351" s="15" t="n">
        <v>2004</v>
      </c>
      <c r="L1351" s="15" t="n">
        <v>9</v>
      </c>
      <c r="M1351" s="15" t="n">
        <v>27</v>
      </c>
      <c r="N1351" s="16" t="n">
        <v>0</v>
      </c>
      <c r="O1351" s="11" t="n">
        <v>285.397537</v>
      </c>
      <c r="P1351" s="13">
        <f>N1351*86400</f>
        <v/>
      </c>
      <c r="Q1351" s="14">
        <f>O1351-273.15</f>
        <v/>
      </c>
    </row>
    <row r="1352">
      <c r="A1352" s="9" t="n">
        <v>38239</v>
      </c>
      <c r="B1352" s="7">
        <f>YEAR(A1352)</f>
        <v/>
      </c>
      <c r="C1352" s="7">
        <f>MONTH(A1352)</f>
        <v/>
      </c>
      <c r="D1352" s="10" t="n">
        <v>5.218497614</v>
      </c>
      <c r="E1352" s="11" t="n">
        <v>12.26858173</v>
      </c>
      <c r="F1352" s="12" t="n">
        <v>0.009129857803</v>
      </c>
      <c r="G1352" s="11" t="n">
        <v>287.2447428</v>
      </c>
      <c r="H1352" s="13">
        <f>F1352*1000</f>
        <v/>
      </c>
      <c r="I1352" s="14">
        <f>G1352-273.15</f>
        <v/>
      </c>
      <c r="K1352" s="15" t="n">
        <v>2004</v>
      </c>
      <c r="L1352" s="15" t="n">
        <v>9</v>
      </c>
      <c r="M1352" s="15" t="n">
        <v>28</v>
      </c>
      <c r="N1352" s="16" t="n">
        <v>0</v>
      </c>
      <c r="O1352" s="11" t="n">
        <v>286.0538394</v>
      </c>
      <c r="P1352" s="13">
        <f>N1352*86400</f>
        <v/>
      </c>
      <c r="Q1352" s="14">
        <f>O1352-273.15</f>
        <v/>
      </c>
    </row>
    <row r="1353">
      <c r="A1353" s="9" t="n">
        <v>38240</v>
      </c>
      <c r="B1353" s="7">
        <f>YEAR(A1353)</f>
        <v/>
      </c>
      <c r="C1353" s="7">
        <f>MONTH(A1353)</f>
        <v/>
      </c>
      <c r="D1353" s="10" t="n">
        <v>13.40671775</v>
      </c>
      <c r="E1353" s="11" t="n">
        <v>12.76568795</v>
      </c>
      <c r="F1353" s="12" t="n">
        <v>0.01391607384</v>
      </c>
      <c r="G1353" s="11" t="n">
        <v>287.7615202</v>
      </c>
      <c r="H1353" s="13">
        <f>F1353*1000</f>
        <v/>
      </c>
      <c r="I1353" s="14">
        <f>G1353-273.15</f>
        <v/>
      </c>
      <c r="K1353" s="15" t="n">
        <v>2004</v>
      </c>
      <c r="L1353" s="15" t="n">
        <v>9</v>
      </c>
      <c r="M1353" s="15" t="n">
        <v>29</v>
      </c>
      <c r="N1353" s="16" t="n">
        <v>0</v>
      </c>
      <c r="O1353" s="11" t="n">
        <v>284.7010076</v>
      </c>
      <c r="P1353" s="13">
        <f>N1353*86400</f>
        <v/>
      </c>
      <c r="Q1353" s="14">
        <f>O1353-273.15</f>
        <v/>
      </c>
    </row>
    <row r="1354">
      <c r="A1354" s="9" t="n">
        <v>38241</v>
      </c>
      <c r="B1354" s="7">
        <f>YEAR(A1354)</f>
        <v/>
      </c>
      <c r="C1354" s="7">
        <f>MONTH(A1354)</f>
        <v/>
      </c>
      <c r="D1354" s="10" t="n">
        <v>0</v>
      </c>
      <c r="E1354" s="11" t="n">
        <v>14.40927969</v>
      </c>
      <c r="F1354" s="12" t="n">
        <v>0</v>
      </c>
      <c r="G1354" s="11" t="n">
        <v>289.9205919</v>
      </c>
      <c r="H1354" s="13">
        <f>F1354*1000</f>
        <v/>
      </c>
      <c r="I1354" s="14">
        <f>G1354-273.15</f>
        <v/>
      </c>
      <c r="K1354" s="15" t="n">
        <v>2004</v>
      </c>
      <c r="L1354" s="15" t="n">
        <v>9</v>
      </c>
      <c r="M1354" s="15" t="n">
        <v>30</v>
      </c>
      <c r="N1354" s="16" t="n">
        <v>0</v>
      </c>
      <c r="O1354" s="11" t="n">
        <v>285.1151018</v>
      </c>
      <c r="P1354" s="13">
        <f>N1354*86400</f>
        <v/>
      </c>
      <c r="Q1354" s="14">
        <f>O1354-273.15</f>
        <v/>
      </c>
    </row>
    <row r="1355">
      <c r="A1355" s="9" t="n">
        <v>38242</v>
      </c>
      <c r="B1355" s="7">
        <f>YEAR(A1355)</f>
        <v/>
      </c>
      <c r="C1355" s="7">
        <f>MONTH(A1355)</f>
        <v/>
      </c>
      <c r="D1355" s="10" t="n">
        <v>3.164181153</v>
      </c>
      <c r="E1355" s="11" t="n">
        <v>14.99763733</v>
      </c>
      <c r="F1355" s="12" t="n">
        <v>0.005363451593</v>
      </c>
      <c r="G1355" s="11" t="n">
        <v>290.9876311</v>
      </c>
      <c r="H1355" s="13">
        <f>F1355*1000</f>
        <v/>
      </c>
      <c r="I1355" s="14">
        <f>G1355-273.15</f>
        <v/>
      </c>
      <c r="K1355" s="15" t="n">
        <v>2004</v>
      </c>
      <c r="L1355" s="15" t="n">
        <v>10</v>
      </c>
      <c r="M1355" s="15" t="n">
        <v>1</v>
      </c>
      <c r="N1355" s="16" t="n">
        <v>5.926266632e-06</v>
      </c>
      <c r="O1355" s="11" t="n">
        <v>282.7288593</v>
      </c>
      <c r="P1355" s="13">
        <f>N1355*86400</f>
        <v/>
      </c>
      <c r="Q1355" s="14">
        <f>O1355-273.15</f>
        <v/>
      </c>
    </row>
    <row r="1356">
      <c r="A1356" s="9" t="n">
        <v>38243</v>
      </c>
      <c r="B1356" s="7">
        <f>YEAR(A1356)</f>
        <v/>
      </c>
      <c r="C1356" s="7">
        <f>MONTH(A1356)</f>
        <v/>
      </c>
      <c r="D1356" s="10" t="n">
        <v>0</v>
      </c>
      <c r="E1356" s="11" t="n">
        <v>13.53331647</v>
      </c>
      <c r="F1356" s="12" t="n">
        <v>0</v>
      </c>
      <c r="G1356" s="11" t="n">
        <v>289.5007741</v>
      </c>
      <c r="H1356" s="13">
        <f>F1356*1000</f>
        <v/>
      </c>
      <c r="I1356" s="14">
        <f>G1356-273.15</f>
        <v/>
      </c>
      <c r="K1356" s="15" t="n">
        <v>2004</v>
      </c>
      <c r="L1356" s="15" t="n">
        <v>10</v>
      </c>
      <c r="M1356" s="15" t="n">
        <v>2</v>
      </c>
      <c r="N1356" s="16" t="n">
        <v>0</v>
      </c>
      <c r="O1356" s="11" t="n">
        <v>284.5965156</v>
      </c>
      <c r="P1356" s="13">
        <f>N1356*86400</f>
        <v/>
      </c>
      <c r="Q1356" s="14">
        <f>O1356-273.15</f>
        <v/>
      </c>
    </row>
    <row r="1357">
      <c r="A1357" s="9" t="n">
        <v>38244</v>
      </c>
      <c r="B1357" s="7">
        <f>YEAR(A1357)</f>
        <v/>
      </c>
      <c r="C1357" s="7">
        <f>MONTH(A1357)</f>
        <v/>
      </c>
      <c r="D1357" s="10" t="n">
        <v>0</v>
      </c>
      <c r="E1357" s="11" t="n">
        <v>12.09964096</v>
      </c>
      <c r="F1357" s="12" t="n">
        <v>0.0002762465599</v>
      </c>
      <c r="G1357" s="11" t="n">
        <v>288.2868301</v>
      </c>
      <c r="H1357" s="13">
        <f>F1357*1000</f>
        <v/>
      </c>
      <c r="I1357" s="14">
        <f>G1357-273.15</f>
        <v/>
      </c>
      <c r="K1357" s="15" t="n">
        <v>2004</v>
      </c>
      <c r="L1357" s="15" t="n">
        <v>10</v>
      </c>
      <c r="M1357" s="15" t="n">
        <v>3</v>
      </c>
      <c r="N1357" s="16" t="n">
        <v>5.224203084e-06</v>
      </c>
      <c r="O1357" s="11" t="n">
        <v>283.8511175</v>
      </c>
      <c r="P1357" s="13">
        <f>N1357*86400</f>
        <v/>
      </c>
      <c r="Q1357" s="14">
        <f>O1357-273.15</f>
        <v/>
      </c>
    </row>
    <row r="1358">
      <c r="A1358" s="9" t="n">
        <v>38245</v>
      </c>
      <c r="B1358" s="7">
        <f>YEAR(A1358)</f>
        <v/>
      </c>
      <c r="C1358" s="7">
        <f>MONTH(A1358)</f>
        <v/>
      </c>
      <c r="D1358" s="10" t="n">
        <v>0</v>
      </c>
      <c r="E1358" s="11" t="n">
        <v>11.03978201</v>
      </c>
      <c r="F1358" s="12" t="n">
        <v>0</v>
      </c>
      <c r="G1358" s="11" t="n">
        <v>286.3910455</v>
      </c>
      <c r="H1358" s="13">
        <f>F1358*1000</f>
        <v/>
      </c>
      <c r="I1358" s="14">
        <f>G1358-273.15</f>
        <v/>
      </c>
      <c r="K1358" s="15" t="n">
        <v>2004</v>
      </c>
      <c r="L1358" s="15" t="n">
        <v>10</v>
      </c>
      <c r="M1358" s="15" t="n">
        <v>4</v>
      </c>
      <c r="N1358" s="16" t="n">
        <v>8.968639411e-07</v>
      </c>
      <c r="O1358" s="11" t="n">
        <v>285.0390975</v>
      </c>
      <c r="P1358" s="13">
        <f>N1358*86400</f>
        <v/>
      </c>
      <c r="Q1358" s="14">
        <f>O1358-273.15</f>
        <v/>
      </c>
    </row>
    <row r="1359">
      <c r="A1359" s="9" t="n">
        <v>38246</v>
      </c>
      <c r="B1359" s="7">
        <f>YEAR(A1359)</f>
        <v/>
      </c>
      <c r="C1359" s="7">
        <f>MONTH(A1359)</f>
        <v/>
      </c>
      <c r="D1359" s="10" t="n">
        <v>0</v>
      </c>
      <c r="E1359" s="11" t="n">
        <v>11.70019738</v>
      </c>
      <c r="F1359" s="12" t="n">
        <v>0</v>
      </c>
      <c r="G1359" s="11" t="n">
        <v>287.1407382</v>
      </c>
      <c r="H1359" s="13">
        <f>F1359*1000</f>
        <v/>
      </c>
      <c r="I1359" s="14">
        <f>G1359-273.15</f>
        <v/>
      </c>
      <c r="K1359" s="15" t="n">
        <v>2004</v>
      </c>
      <c r="L1359" s="15" t="n">
        <v>10</v>
      </c>
      <c r="M1359" s="15" t="n">
        <v>5</v>
      </c>
      <c r="N1359" s="16" t="n">
        <v>1.804591155e-05</v>
      </c>
      <c r="O1359" s="11" t="n">
        <v>285.4035628</v>
      </c>
      <c r="P1359" s="13">
        <f>N1359*86400</f>
        <v/>
      </c>
      <c r="Q1359" s="14">
        <f>O1359-273.15</f>
        <v/>
      </c>
    </row>
    <row r="1360">
      <c r="A1360" s="9" t="n">
        <v>38247</v>
      </c>
      <c r="B1360" s="7">
        <f>YEAR(A1360)</f>
        <v/>
      </c>
      <c r="C1360" s="7">
        <f>MONTH(A1360)</f>
        <v/>
      </c>
      <c r="D1360" s="10" t="n">
        <v>0</v>
      </c>
      <c r="E1360" s="11" t="n">
        <v>8.627239836999999</v>
      </c>
      <c r="F1360" s="12" t="n">
        <v>0</v>
      </c>
      <c r="G1360" s="11" t="n">
        <v>283.8922302</v>
      </c>
      <c r="H1360" s="13">
        <f>F1360*1000</f>
        <v/>
      </c>
      <c r="I1360" s="14">
        <f>G1360-273.15</f>
        <v/>
      </c>
      <c r="K1360" s="15" t="n">
        <v>2004</v>
      </c>
      <c r="L1360" s="15" t="n">
        <v>10</v>
      </c>
      <c r="M1360" s="15" t="n">
        <v>6</v>
      </c>
      <c r="N1360" s="16" t="n">
        <v>0</v>
      </c>
      <c r="O1360" s="11" t="n">
        <v>284.468104</v>
      </c>
      <c r="P1360" s="13">
        <f>N1360*86400</f>
        <v/>
      </c>
      <c r="Q1360" s="14">
        <f>O1360-273.15</f>
        <v/>
      </c>
    </row>
    <row r="1361">
      <c r="A1361" s="9" t="n">
        <v>38248</v>
      </c>
      <c r="B1361" s="7">
        <f>YEAR(A1361)</f>
        <v/>
      </c>
      <c r="C1361" s="7">
        <f>MONTH(A1361)</f>
        <v/>
      </c>
      <c r="D1361" s="10" t="n">
        <v>0</v>
      </c>
      <c r="E1361" s="11" t="n">
        <v>10.50862972</v>
      </c>
      <c r="F1361" s="12" t="n">
        <v>0</v>
      </c>
      <c r="G1361" s="11" t="n">
        <v>285.4929323</v>
      </c>
      <c r="H1361" s="13">
        <f>F1361*1000</f>
        <v/>
      </c>
      <c r="I1361" s="14">
        <f>G1361-273.15</f>
        <v/>
      </c>
      <c r="K1361" s="15" t="n">
        <v>2004</v>
      </c>
      <c r="L1361" s="15" t="n">
        <v>10</v>
      </c>
      <c r="M1361" s="15" t="n">
        <v>7</v>
      </c>
      <c r="N1361" s="16" t="n">
        <v>0</v>
      </c>
      <c r="O1361" s="11" t="n">
        <v>282.5800255</v>
      </c>
      <c r="P1361" s="13">
        <f>N1361*86400</f>
        <v/>
      </c>
      <c r="Q1361" s="14">
        <f>O1361-273.15</f>
        <v/>
      </c>
    </row>
    <row r="1362">
      <c r="A1362" s="9" t="n">
        <v>38249</v>
      </c>
      <c r="B1362" s="7">
        <f>YEAR(A1362)</f>
        <v/>
      </c>
      <c r="C1362" s="7">
        <f>MONTH(A1362)</f>
        <v/>
      </c>
      <c r="D1362" s="10" t="n">
        <v>0</v>
      </c>
      <c r="E1362" s="11" t="n">
        <v>9.403658442999999</v>
      </c>
      <c r="F1362" s="12" t="n">
        <v>0</v>
      </c>
      <c r="G1362" s="11" t="n">
        <v>283.989702</v>
      </c>
      <c r="H1362" s="13">
        <f>F1362*1000</f>
        <v/>
      </c>
      <c r="I1362" s="14">
        <f>G1362-273.15</f>
        <v/>
      </c>
      <c r="K1362" s="15" t="n">
        <v>2004</v>
      </c>
      <c r="L1362" s="15" t="n">
        <v>10</v>
      </c>
      <c r="M1362" s="15" t="n">
        <v>8</v>
      </c>
      <c r="N1362" s="16" t="n">
        <v>5.299222372e-05</v>
      </c>
      <c r="O1362" s="11" t="n">
        <v>283.1171868</v>
      </c>
      <c r="P1362" s="13">
        <f>N1362*86400</f>
        <v/>
      </c>
      <c r="Q1362" s="14">
        <f>O1362-273.15</f>
        <v/>
      </c>
    </row>
    <row r="1363">
      <c r="A1363" s="9" t="n">
        <v>38250</v>
      </c>
      <c r="B1363" s="7">
        <f>YEAR(A1363)</f>
        <v/>
      </c>
      <c r="C1363" s="7">
        <f>MONTH(A1363)</f>
        <v/>
      </c>
      <c r="D1363" s="10" t="n">
        <v>0</v>
      </c>
      <c r="E1363" s="11" t="n">
        <v>11.99714321</v>
      </c>
      <c r="F1363" s="12" t="n">
        <v>0</v>
      </c>
      <c r="G1363" s="11" t="n">
        <v>286.4341475</v>
      </c>
      <c r="H1363" s="13">
        <f>F1363*1000</f>
        <v/>
      </c>
      <c r="I1363" s="14">
        <f>G1363-273.15</f>
        <v/>
      </c>
      <c r="K1363" s="15" t="n">
        <v>2004</v>
      </c>
      <c r="L1363" s="15" t="n">
        <v>10</v>
      </c>
      <c r="M1363" s="15" t="n">
        <v>9</v>
      </c>
      <c r="N1363" s="16" t="n">
        <v>0.0001007677381</v>
      </c>
      <c r="O1363" s="11" t="n">
        <v>281.3261603</v>
      </c>
      <c r="P1363" s="13">
        <f>N1363*86400</f>
        <v/>
      </c>
      <c r="Q1363" s="14">
        <f>O1363-273.15</f>
        <v/>
      </c>
    </row>
    <row r="1364">
      <c r="A1364" s="9" t="n">
        <v>38251</v>
      </c>
      <c r="B1364" s="7">
        <f>YEAR(A1364)</f>
        <v/>
      </c>
      <c r="C1364" s="7">
        <f>MONTH(A1364)</f>
        <v/>
      </c>
      <c r="D1364" s="10" t="n">
        <v>0</v>
      </c>
      <c r="E1364" s="11" t="n">
        <v>10.23538728</v>
      </c>
      <c r="F1364" s="12" t="n">
        <v>0.0001755634783</v>
      </c>
      <c r="G1364" s="11" t="n">
        <v>284.6329994</v>
      </c>
      <c r="H1364" s="13">
        <f>F1364*1000</f>
        <v/>
      </c>
      <c r="I1364" s="14">
        <f>G1364-273.15</f>
        <v/>
      </c>
      <c r="K1364" s="15" t="n">
        <v>2004</v>
      </c>
      <c r="L1364" s="15" t="n">
        <v>10</v>
      </c>
      <c r="M1364" s="15" t="n">
        <v>10</v>
      </c>
      <c r="N1364" s="16" t="n">
        <v>0</v>
      </c>
      <c r="O1364" s="11" t="n">
        <v>283.5958392</v>
      </c>
      <c r="P1364" s="13">
        <f>N1364*86400</f>
        <v/>
      </c>
      <c r="Q1364" s="14">
        <f>O1364-273.15</f>
        <v/>
      </c>
    </row>
    <row r="1365">
      <c r="A1365" s="9" t="n">
        <v>38252</v>
      </c>
      <c r="B1365" s="7">
        <f>YEAR(A1365)</f>
        <v/>
      </c>
      <c r="C1365" s="7">
        <f>MONTH(A1365)</f>
        <v/>
      </c>
      <c r="D1365" s="10" t="n">
        <v>0</v>
      </c>
      <c r="E1365" s="11" t="n">
        <v>8.762018954</v>
      </c>
      <c r="F1365" s="12" t="n">
        <v>0.0001819852228</v>
      </c>
      <c r="G1365" s="11" t="n">
        <v>283.7835969</v>
      </c>
      <c r="H1365" s="13">
        <f>F1365*1000</f>
        <v/>
      </c>
      <c r="I1365" s="14">
        <f>G1365-273.15</f>
        <v/>
      </c>
      <c r="K1365" s="15" t="n">
        <v>2004</v>
      </c>
      <c r="L1365" s="15" t="n">
        <v>10</v>
      </c>
      <c r="M1365" s="15" t="n">
        <v>11</v>
      </c>
      <c r="N1365" s="16" t="n">
        <v>3.212906566e-06</v>
      </c>
      <c r="O1365" s="11" t="n">
        <v>284.7834553</v>
      </c>
      <c r="P1365" s="13">
        <f>N1365*86400</f>
        <v/>
      </c>
      <c r="Q1365" s="14">
        <f>O1365-273.15</f>
        <v/>
      </c>
    </row>
    <row r="1366">
      <c r="A1366" s="9" t="n">
        <v>38253</v>
      </c>
      <c r="B1366" s="7">
        <f>YEAR(A1366)</f>
        <v/>
      </c>
      <c r="C1366" s="7">
        <f>MONTH(A1366)</f>
        <v/>
      </c>
      <c r="D1366" s="10" t="n">
        <v>0</v>
      </c>
      <c r="E1366" s="11" t="n">
        <v>9.535320998</v>
      </c>
      <c r="F1366" s="12" t="n">
        <v>0</v>
      </c>
      <c r="G1366" s="11" t="n">
        <v>284.0305531</v>
      </c>
      <c r="H1366" s="13">
        <f>F1366*1000</f>
        <v/>
      </c>
      <c r="I1366" s="14">
        <f>G1366-273.15</f>
        <v/>
      </c>
      <c r="K1366" s="15" t="n">
        <v>2004</v>
      </c>
      <c r="L1366" s="15" t="n">
        <v>10</v>
      </c>
      <c r="M1366" s="15" t="n">
        <v>12</v>
      </c>
      <c r="N1366" s="16" t="n">
        <v>0.0001544547243</v>
      </c>
      <c r="O1366" s="11" t="n">
        <v>285.3851042</v>
      </c>
      <c r="P1366" s="13">
        <f>N1366*86400</f>
        <v/>
      </c>
      <c r="Q1366" s="14">
        <f>O1366-273.15</f>
        <v/>
      </c>
    </row>
    <row r="1367">
      <c r="A1367" s="9" t="n">
        <v>38254</v>
      </c>
      <c r="B1367" s="7">
        <f>YEAR(A1367)</f>
        <v/>
      </c>
      <c r="C1367" s="7">
        <f>MONTH(A1367)</f>
        <v/>
      </c>
      <c r="D1367" s="10" t="n">
        <v>0</v>
      </c>
      <c r="E1367" s="11" t="n">
        <v>7.626563826</v>
      </c>
      <c r="F1367" s="12" t="n">
        <v>0</v>
      </c>
      <c r="G1367" s="11" t="n">
        <v>283.4184493</v>
      </c>
      <c r="H1367" s="13">
        <f>F1367*1000</f>
        <v/>
      </c>
      <c r="I1367" s="14">
        <f>G1367-273.15</f>
        <v/>
      </c>
      <c r="K1367" s="15" t="n">
        <v>2004</v>
      </c>
      <c r="L1367" s="15" t="n">
        <v>10</v>
      </c>
      <c r="M1367" s="15" t="n">
        <v>13</v>
      </c>
      <c r="N1367" s="16" t="n">
        <v>0</v>
      </c>
      <c r="O1367" s="11" t="n">
        <v>285.3719367</v>
      </c>
      <c r="P1367" s="13">
        <f>N1367*86400</f>
        <v/>
      </c>
      <c r="Q1367" s="14">
        <f>O1367-273.15</f>
        <v/>
      </c>
    </row>
    <row r="1368">
      <c r="A1368" s="9" t="n">
        <v>38255</v>
      </c>
      <c r="B1368" s="7">
        <f>YEAR(A1368)</f>
        <v/>
      </c>
      <c r="C1368" s="7">
        <f>MONTH(A1368)</f>
        <v/>
      </c>
      <c r="D1368" s="10" t="n">
        <v>0</v>
      </c>
      <c r="E1368" s="11" t="n">
        <v>9.843479846999999</v>
      </c>
      <c r="F1368" s="12" t="n">
        <v>0.004899593935</v>
      </c>
      <c r="G1368" s="11" t="n">
        <v>284.4113386</v>
      </c>
      <c r="H1368" s="13">
        <f>F1368*1000</f>
        <v/>
      </c>
      <c r="I1368" s="14">
        <f>G1368-273.15</f>
        <v/>
      </c>
      <c r="K1368" s="15" t="n">
        <v>2004</v>
      </c>
      <c r="L1368" s="15" t="n">
        <v>10</v>
      </c>
      <c r="M1368" s="15" t="n">
        <v>14</v>
      </c>
      <c r="N1368" s="16" t="n">
        <v>0</v>
      </c>
      <c r="O1368" s="11" t="n">
        <v>285.2058154</v>
      </c>
      <c r="P1368" s="13">
        <f>N1368*86400</f>
        <v/>
      </c>
      <c r="Q1368" s="14">
        <f>O1368-273.15</f>
        <v/>
      </c>
    </row>
    <row r="1369">
      <c r="A1369" s="9" t="n">
        <v>38256</v>
      </c>
      <c r="B1369" s="7">
        <f>YEAR(A1369)</f>
        <v/>
      </c>
      <c r="C1369" s="7">
        <f>MONTH(A1369)</f>
        <v/>
      </c>
      <c r="D1369" s="10" t="n">
        <v>0.9737426528000001</v>
      </c>
      <c r="E1369" s="11" t="n">
        <v>10.08653919</v>
      </c>
      <c r="F1369" s="12" t="n">
        <v>0</v>
      </c>
      <c r="G1369" s="11" t="n">
        <v>284.6538962</v>
      </c>
      <c r="H1369" s="13">
        <f>F1369*1000</f>
        <v/>
      </c>
      <c r="I1369" s="14">
        <f>G1369-273.15</f>
        <v/>
      </c>
      <c r="K1369" s="15" t="n">
        <v>2004</v>
      </c>
      <c r="L1369" s="15" t="n">
        <v>10</v>
      </c>
      <c r="M1369" s="15" t="n">
        <v>15</v>
      </c>
      <c r="N1369" s="16" t="n">
        <v>0</v>
      </c>
      <c r="O1369" s="11" t="n">
        <v>284.310278</v>
      </c>
      <c r="P1369" s="13">
        <f>N1369*86400</f>
        <v/>
      </c>
      <c r="Q1369" s="14">
        <f>O1369-273.15</f>
        <v/>
      </c>
    </row>
    <row r="1370">
      <c r="A1370" s="9" t="n">
        <v>38257</v>
      </c>
      <c r="B1370" s="7">
        <f>YEAR(A1370)</f>
        <v/>
      </c>
      <c r="C1370" s="7">
        <f>MONTH(A1370)</f>
        <v/>
      </c>
      <c r="D1370" s="10" t="n">
        <v>2.892358808</v>
      </c>
      <c r="E1370" s="11" t="n">
        <v>6.086572396</v>
      </c>
      <c r="F1370" s="12" t="n">
        <v>0.0001216034233</v>
      </c>
      <c r="G1370" s="11" t="n">
        <v>281.0833771</v>
      </c>
      <c r="H1370" s="13">
        <f>F1370*1000</f>
        <v/>
      </c>
      <c r="I1370" s="14">
        <f>G1370-273.15</f>
        <v/>
      </c>
      <c r="K1370" s="15" t="n">
        <v>2004</v>
      </c>
      <c r="L1370" s="15" t="n">
        <v>10</v>
      </c>
      <c r="M1370" s="15" t="n">
        <v>16</v>
      </c>
      <c r="N1370" s="16" t="n">
        <v>7.648764579e-06</v>
      </c>
      <c r="O1370" s="11" t="n">
        <v>285.995739</v>
      </c>
      <c r="P1370" s="13">
        <f>N1370*86400</f>
        <v/>
      </c>
      <c r="Q1370" s="14">
        <f>O1370-273.15</f>
        <v/>
      </c>
    </row>
    <row r="1371">
      <c r="A1371" s="9" t="n">
        <v>38258</v>
      </c>
      <c r="B1371" s="7">
        <f>YEAR(A1371)</f>
        <v/>
      </c>
      <c r="C1371" s="7">
        <f>MONTH(A1371)</f>
        <v/>
      </c>
      <c r="D1371" s="10" t="n">
        <v>0</v>
      </c>
      <c r="E1371" s="11" t="n">
        <v>9.260554755999999</v>
      </c>
      <c r="F1371" s="12" t="n">
        <v>0.0002195637335</v>
      </c>
      <c r="G1371" s="11" t="n">
        <v>282.4529354</v>
      </c>
      <c r="H1371" s="13">
        <f>F1371*1000</f>
        <v/>
      </c>
      <c r="I1371" s="14">
        <f>G1371-273.15</f>
        <v/>
      </c>
      <c r="K1371" s="15" t="n">
        <v>2004</v>
      </c>
      <c r="L1371" s="15" t="n">
        <v>10</v>
      </c>
      <c r="M1371" s="15" t="n">
        <v>17</v>
      </c>
      <c r="N1371" s="16" t="n">
        <v>3.861226802e-05</v>
      </c>
      <c r="O1371" s="11" t="n">
        <v>283.6488363</v>
      </c>
      <c r="P1371" s="13">
        <f>N1371*86400</f>
        <v/>
      </c>
      <c r="Q1371" s="14">
        <f>O1371-273.15</f>
        <v/>
      </c>
    </row>
    <row r="1372">
      <c r="A1372" s="9" t="n">
        <v>38259</v>
      </c>
      <c r="B1372" s="7">
        <f>YEAR(A1372)</f>
        <v/>
      </c>
      <c r="C1372" s="7">
        <f>MONTH(A1372)</f>
        <v/>
      </c>
      <c r="D1372" s="10" t="n">
        <v>0</v>
      </c>
      <c r="E1372" s="11" t="n">
        <v>9.841495716000001</v>
      </c>
      <c r="F1372" s="12" t="n">
        <v>0</v>
      </c>
      <c r="G1372" s="11" t="n">
        <v>283.0562142</v>
      </c>
      <c r="H1372" s="13">
        <f>F1372*1000</f>
        <v/>
      </c>
      <c r="I1372" s="14">
        <f>G1372-273.15</f>
        <v/>
      </c>
      <c r="K1372" s="15" t="n">
        <v>2004</v>
      </c>
      <c r="L1372" s="15" t="n">
        <v>10</v>
      </c>
      <c r="M1372" s="15" t="n">
        <v>18</v>
      </c>
      <c r="N1372" s="16" t="n">
        <v>0</v>
      </c>
      <c r="O1372" s="11" t="n">
        <v>286.3972819</v>
      </c>
      <c r="P1372" s="13">
        <f>N1372*86400</f>
        <v/>
      </c>
      <c r="Q1372" s="14">
        <f>O1372-273.15</f>
        <v/>
      </c>
    </row>
    <row r="1373">
      <c r="A1373" s="9" t="n">
        <v>38260</v>
      </c>
      <c r="B1373" s="7">
        <f>YEAR(A1373)</f>
        <v/>
      </c>
      <c r="C1373" s="7">
        <f>MONTH(A1373)</f>
        <v/>
      </c>
      <c r="D1373" s="10" t="n">
        <v>0</v>
      </c>
      <c r="E1373" s="11" t="n">
        <v>8.720590142000001</v>
      </c>
      <c r="F1373" s="12" t="n">
        <v>0</v>
      </c>
      <c r="G1373" s="11" t="n">
        <v>283.1327503</v>
      </c>
      <c r="H1373" s="13">
        <f>F1373*1000</f>
        <v/>
      </c>
      <c r="I1373" s="14">
        <f>G1373-273.15</f>
        <v/>
      </c>
      <c r="K1373" s="15" t="n">
        <v>2004</v>
      </c>
      <c r="L1373" s="15" t="n">
        <v>10</v>
      </c>
      <c r="M1373" s="15" t="n">
        <v>19</v>
      </c>
      <c r="N1373" s="16" t="n">
        <v>0</v>
      </c>
      <c r="O1373" s="11" t="n">
        <v>287.1338155</v>
      </c>
      <c r="P1373" s="13">
        <f>N1373*86400</f>
        <v/>
      </c>
      <c r="Q1373" s="14">
        <f>O1373-273.15</f>
        <v/>
      </c>
    </row>
    <row r="1374">
      <c r="A1374" s="9" t="n">
        <v>38261</v>
      </c>
      <c r="B1374" s="7">
        <f>YEAR(A1374)</f>
        <v/>
      </c>
      <c r="C1374" s="7">
        <f>MONTH(A1374)</f>
        <v/>
      </c>
      <c r="D1374" s="10" t="n">
        <v>0</v>
      </c>
      <c r="E1374" s="11" t="n">
        <v>10.23600142</v>
      </c>
      <c r="F1374" s="12" t="n">
        <v>0</v>
      </c>
      <c r="G1374" s="11" t="n">
        <v>284.9341048</v>
      </c>
      <c r="H1374" s="13">
        <f>F1374*1000</f>
        <v/>
      </c>
      <c r="I1374" s="14">
        <f>G1374-273.15</f>
        <v/>
      </c>
      <c r="K1374" s="15" t="n">
        <v>2004</v>
      </c>
      <c r="L1374" s="15" t="n">
        <v>10</v>
      </c>
      <c r="M1374" s="15" t="n">
        <v>20</v>
      </c>
      <c r="N1374" s="16" t="n">
        <v>0</v>
      </c>
      <c r="O1374" s="11" t="n">
        <v>283.785818</v>
      </c>
      <c r="P1374" s="13">
        <f>N1374*86400</f>
        <v/>
      </c>
      <c r="Q1374" s="14">
        <f>O1374-273.15</f>
        <v/>
      </c>
    </row>
    <row r="1375">
      <c r="A1375" s="9" t="n">
        <v>38262</v>
      </c>
      <c r="B1375" s="7">
        <f>YEAR(A1375)</f>
        <v/>
      </c>
      <c r="C1375" s="7">
        <f>MONTH(A1375)</f>
        <v/>
      </c>
      <c r="D1375" s="10" t="n">
        <v>0</v>
      </c>
      <c r="E1375" s="11" t="n">
        <v>8.176852095999999</v>
      </c>
      <c r="F1375" s="12" t="n">
        <v>0.0005065035923</v>
      </c>
      <c r="G1375" s="11" t="n">
        <v>283.5123535</v>
      </c>
      <c r="H1375" s="13">
        <f>F1375*1000</f>
        <v/>
      </c>
      <c r="I1375" s="14">
        <f>G1375-273.15</f>
        <v/>
      </c>
      <c r="K1375" s="15" t="n">
        <v>2004</v>
      </c>
      <c r="L1375" s="15" t="n">
        <v>10</v>
      </c>
      <c r="M1375" s="15" t="n">
        <v>21</v>
      </c>
      <c r="N1375" s="16" t="n">
        <v>6.950846868e-07</v>
      </c>
      <c r="O1375" s="11" t="n">
        <v>283.7022609</v>
      </c>
      <c r="P1375" s="13">
        <f>N1375*86400</f>
        <v/>
      </c>
      <c r="Q1375" s="14">
        <f>O1375-273.15</f>
        <v/>
      </c>
    </row>
    <row r="1376">
      <c r="A1376" s="9" t="n">
        <v>38263</v>
      </c>
      <c r="B1376" s="7">
        <f>YEAR(A1376)</f>
        <v/>
      </c>
      <c r="C1376" s="7">
        <f>MONTH(A1376)</f>
        <v/>
      </c>
      <c r="D1376" s="10" t="n">
        <v>0</v>
      </c>
      <c r="E1376" s="11" t="n">
        <v>7.992263816</v>
      </c>
      <c r="F1376" s="12" t="n">
        <v>0.002292999126</v>
      </c>
      <c r="G1376" s="11" t="n">
        <v>284.9775092</v>
      </c>
      <c r="H1376" s="13">
        <f>F1376*1000</f>
        <v/>
      </c>
      <c r="I1376" s="14">
        <f>G1376-273.15</f>
        <v/>
      </c>
      <c r="K1376" s="15" t="n">
        <v>2004</v>
      </c>
      <c r="L1376" s="15" t="n">
        <v>10</v>
      </c>
      <c r="M1376" s="15" t="n">
        <v>22</v>
      </c>
      <c r="N1376" s="16" t="n">
        <v>0</v>
      </c>
      <c r="O1376" s="11" t="n">
        <v>283.8329542</v>
      </c>
      <c r="P1376" s="13">
        <f>N1376*86400</f>
        <v/>
      </c>
      <c r="Q1376" s="14">
        <f>O1376-273.15</f>
        <v/>
      </c>
    </row>
    <row r="1377">
      <c r="A1377" s="9" t="n">
        <v>38264</v>
      </c>
      <c r="B1377" s="7">
        <f>YEAR(A1377)</f>
        <v/>
      </c>
      <c r="C1377" s="7">
        <f>MONTH(A1377)</f>
        <v/>
      </c>
      <c r="D1377" s="10" t="n">
        <v>12.76242644</v>
      </c>
      <c r="E1377" s="11" t="n">
        <v>7.76539209</v>
      </c>
      <c r="F1377" s="12" t="n">
        <v>0.01342578794</v>
      </c>
      <c r="G1377" s="11" t="n">
        <v>283.4466316</v>
      </c>
      <c r="H1377" s="13">
        <f>F1377*1000</f>
        <v/>
      </c>
      <c r="I1377" s="14">
        <f>G1377-273.15</f>
        <v/>
      </c>
      <c r="K1377" s="15" t="n">
        <v>2004</v>
      </c>
      <c r="L1377" s="15" t="n">
        <v>10</v>
      </c>
      <c r="M1377" s="15" t="n">
        <v>23</v>
      </c>
      <c r="N1377" s="16" t="n">
        <v>0</v>
      </c>
      <c r="O1377" s="11" t="n">
        <v>285.1419578</v>
      </c>
      <c r="P1377" s="13">
        <f>N1377*86400</f>
        <v/>
      </c>
      <c r="Q1377" s="14">
        <f>O1377-273.15</f>
        <v/>
      </c>
    </row>
    <row r="1378">
      <c r="A1378" s="9" t="n">
        <v>38265</v>
      </c>
      <c r="B1378" s="7">
        <f>YEAR(A1378)</f>
        <v/>
      </c>
      <c r="C1378" s="7">
        <f>MONTH(A1378)</f>
        <v/>
      </c>
      <c r="D1378" s="10" t="n">
        <v>2.605736954</v>
      </c>
      <c r="E1378" s="11" t="n">
        <v>7.261868351</v>
      </c>
      <c r="F1378" s="12" t="n">
        <v>0.0111300204</v>
      </c>
      <c r="G1378" s="11" t="n">
        <v>284.4915622</v>
      </c>
      <c r="H1378" s="13">
        <f>F1378*1000</f>
        <v/>
      </c>
      <c r="I1378" s="14">
        <f>G1378-273.15</f>
        <v/>
      </c>
      <c r="K1378" s="15" t="n">
        <v>2004</v>
      </c>
      <c r="L1378" s="15" t="n">
        <v>10</v>
      </c>
      <c r="M1378" s="15" t="n">
        <v>24</v>
      </c>
      <c r="N1378" s="16" t="n">
        <v>1.255513194e-05</v>
      </c>
      <c r="O1378" s="11" t="n">
        <v>283.7372667</v>
      </c>
      <c r="P1378" s="13">
        <f>N1378*86400</f>
        <v/>
      </c>
      <c r="Q1378" s="14">
        <f>O1378-273.15</f>
        <v/>
      </c>
    </row>
    <row r="1379">
      <c r="A1379" s="9" t="n">
        <v>38266</v>
      </c>
      <c r="B1379" s="7">
        <f>YEAR(A1379)</f>
        <v/>
      </c>
      <c r="C1379" s="7">
        <f>MONTH(A1379)</f>
        <v/>
      </c>
      <c r="D1379" s="10" t="n">
        <v>0</v>
      </c>
      <c r="E1379" s="11" t="n">
        <v>6.341653953</v>
      </c>
      <c r="F1379" s="12" t="n">
        <v>0</v>
      </c>
      <c r="G1379" s="11" t="n">
        <v>282.9524664</v>
      </c>
      <c r="H1379" s="13">
        <f>F1379*1000</f>
        <v/>
      </c>
      <c r="I1379" s="14">
        <f>G1379-273.15</f>
        <v/>
      </c>
      <c r="K1379" s="15" t="n">
        <v>2004</v>
      </c>
      <c r="L1379" s="15" t="n">
        <v>10</v>
      </c>
      <c r="M1379" s="15" t="n">
        <v>25</v>
      </c>
      <c r="N1379" s="16" t="n">
        <v>4.694327557e-05</v>
      </c>
      <c r="O1379" s="11" t="n">
        <v>284.3783877</v>
      </c>
      <c r="P1379" s="13">
        <f>N1379*86400</f>
        <v/>
      </c>
      <c r="Q1379" s="14">
        <f>O1379-273.15</f>
        <v/>
      </c>
    </row>
    <row r="1380">
      <c r="A1380" s="9" t="n">
        <v>38267</v>
      </c>
      <c r="B1380" s="7">
        <f>YEAR(A1380)</f>
        <v/>
      </c>
      <c r="C1380" s="7">
        <f>MONTH(A1380)</f>
        <v/>
      </c>
      <c r="D1380" s="10" t="n">
        <v>0</v>
      </c>
      <c r="E1380" s="11" t="n">
        <v>6.375689151</v>
      </c>
      <c r="F1380" s="12" t="n">
        <v>0</v>
      </c>
      <c r="G1380" s="11" t="n">
        <v>283.3261546</v>
      </c>
      <c r="H1380" s="13">
        <f>F1380*1000</f>
        <v/>
      </c>
      <c r="I1380" s="14">
        <f>G1380-273.15</f>
        <v/>
      </c>
      <c r="K1380" s="15" t="n">
        <v>2004</v>
      </c>
      <c r="L1380" s="15" t="n">
        <v>10</v>
      </c>
      <c r="M1380" s="15" t="n">
        <v>26</v>
      </c>
      <c r="N1380" s="16" t="n">
        <v>1.99640454e-07</v>
      </c>
      <c r="O1380" s="11" t="n">
        <v>285.2367345</v>
      </c>
      <c r="P1380" s="13">
        <f>N1380*86400</f>
        <v/>
      </c>
      <c r="Q1380" s="14">
        <f>O1380-273.15</f>
        <v/>
      </c>
    </row>
    <row r="1381">
      <c r="A1381" s="9" t="n">
        <v>38268</v>
      </c>
      <c r="B1381" s="7">
        <f>YEAR(A1381)</f>
        <v/>
      </c>
      <c r="C1381" s="7">
        <f>MONTH(A1381)</f>
        <v/>
      </c>
      <c r="D1381" s="10" t="n">
        <v>0</v>
      </c>
      <c r="E1381" s="11" t="n">
        <v>5.853370955</v>
      </c>
      <c r="F1381" s="12" t="n">
        <v>0</v>
      </c>
      <c r="G1381" s="11" t="n">
        <v>282.4409973</v>
      </c>
      <c r="H1381" s="13">
        <f>F1381*1000</f>
        <v/>
      </c>
      <c r="I1381" s="14">
        <f>G1381-273.15</f>
        <v/>
      </c>
      <c r="K1381" s="15" t="n">
        <v>2004</v>
      </c>
      <c r="L1381" s="15" t="n">
        <v>10</v>
      </c>
      <c r="M1381" s="15" t="n">
        <v>27</v>
      </c>
      <c r="N1381" s="16" t="n">
        <v>0</v>
      </c>
      <c r="O1381" s="11" t="n">
        <v>283.167306</v>
      </c>
      <c r="P1381" s="13">
        <f>N1381*86400</f>
        <v/>
      </c>
      <c r="Q1381" s="14">
        <f>O1381-273.15</f>
        <v/>
      </c>
    </row>
    <row r="1382">
      <c r="A1382" s="9" t="n">
        <v>38269</v>
      </c>
      <c r="B1382" s="7">
        <f>YEAR(A1382)</f>
        <v/>
      </c>
      <c r="C1382" s="7">
        <f>MONTH(A1382)</f>
        <v/>
      </c>
      <c r="D1382" s="10" t="n">
        <v>0</v>
      </c>
      <c r="E1382" s="11" t="n">
        <v>4.741982564</v>
      </c>
      <c r="F1382" s="12" t="n">
        <v>0.003014248161</v>
      </c>
      <c r="G1382" s="11" t="n">
        <v>281.8361458</v>
      </c>
      <c r="H1382" s="13">
        <f>F1382*1000</f>
        <v/>
      </c>
      <c r="I1382" s="14">
        <f>G1382-273.15</f>
        <v/>
      </c>
      <c r="K1382" s="15" t="n">
        <v>2004</v>
      </c>
      <c r="L1382" s="15" t="n">
        <v>10</v>
      </c>
      <c r="M1382" s="15" t="n">
        <v>28</v>
      </c>
      <c r="N1382" s="16" t="n">
        <v>4.406146729e-06</v>
      </c>
      <c r="O1382" s="11" t="n">
        <v>282.4693531</v>
      </c>
      <c r="P1382" s="13">
        <f>N1382*86400</f>
        <v/>
      </c>
      <c r="Q1382" s="14">
        <f>O1382-273.15</f>
        <v/>
      </c>
    </row>
    <row r="1383">
      <c r="A1383" s="9" t="n">
        <v>38270</v>
      </c>
      <c r="B1383" s="7">
        <f>YEAR(A1383)</f>
        <v/>
      </c>
      <c r="C1383" s="7">
        <f>MONTH(A1383)</f>
        <v/>
      </c>
      <c r="D1383" s="10" t="n">
        <v>0</v>
      </c>
      <c r="E1383" s="11" t="n">
        <v>3.387955697</v>
      </c>
      <c r="F1383" s="12" t="n">
        <v>0</v>
      </c>
      <c r="G1383" s="11" t="n">
        <v>280.9236256</v>
      </c>
      <c r="H1383" s="13">
        <f>F1383*1000</f>
        <v/>
      </c>
      <c r="I1383" s="14">
        <f>G1383-273.15</f>
        <v/>
      </c>
      <c r="K1383" s="15" t="n">
        <v>2004</v>
      </c>
      <c r="L1383" s="15" t="n">
        <v>10</v>
      </c>
      <c r="M1383" s="15" t="n">
        <v>29</v>
      </c>
      <c r="N1383" s="16" t="n">
        <v>7.998804174e-06</v>
      </c>
      <c r="O1383" s="11" t="n">
        <v>280.3736417</v>
      </c>
      <c r="P1383" s="13">
        <f>N1383*86400</f>
        <v/>
      </c>
      <c r="Q1383" s="14">
        <f>O1383-273.15</f>
        <v/>
      </c>
    </row>
    <row r="1384">
      <c r="A1384" s="9" t="n">
        <v>38271</v>
      </c>
      <c r="B1384" s="7">
        <f>YEAR(A1384)</f>
        <v/>
      </c>
      <c r="C1384" s="7">
        <f>MONTH(A1384)</f>
        <v/>
      </c>
      <c r="D1384" s="10" t="n">
        <v>1.873470178</v>
      </c>
      <c r="E1384" s="11" t="n">
        <v>4.371658991</v>
      </c>
      <c r="F1384" s="12" t="n">
        <v>0.002111837857</v>
      </c>
      <c r="G1384" s="11" t="n">
        <v>281.0023652</v>
      </c>
      <c r="H1384" s="13">
        <f>F1384*1000</f>
        <v/>
      </c>
      <c r="I1384" s="14">
        <f>G1384-273.15</f>
        <v/>
      </c>
      <c r="K1384" s="15" t="n">
        <v>2004</v>
      </c>
      <c r="L1384" s="15" t="n">
        <v>10</v>
      </c>
      <c r="M1384" s="15" t="n">
        <v>30</v>
      </c>
      <c r="N1384" s="16" t="n">
        <v>2.946249712e-05</v>
      </c>
      <c r="O1384" s="11" t="n">
        <v>281.2460757</v>
      </c>
      <c r="P1384" s="13">
        <f>N1384*86400</f>
        <v/>
      </c>
      <c r="Q1384" s="14">
        <f>O1384-273.15</f>
        <v/>
      </c>
    </row>
    <row r="1385">
      <c r="A1385" s="9" t="n">
        <v>38272</v>
      </c>
      <c r="B1385" s="7">
        <f>YEAR(A1385)</f>
        <v/>
      </c>
      <c r="C1385" s="7">
        <f>MONTH(A1385)</f>
        <v/>
      </c>
      <c r="D1385" s="10" t="n">
        <v>0</v>
      </c>
      <c r="E1385" s="11" t="n">
        <v>2.534275874</v>
      </c>
      <c r="F1385" s="12" t="n">
        <v>0.004465584296</v>
      </c>
      <c r="G1385" s="11" t="n">
        <v>280.7131716</v>
      </c>
      <c r="H1385" s="13">
        <f>F1385*1000</f>
        <v/>
      </c>
      <c r="I1385" s="14">
        <f>G1385-273.15</f>
        <v/>
      </c>
      <c r="K1385" s="15" t="n">
        <v>2004</v>
      </c>
      <c r="L1385" s="15" t="n">
        <v>11</v>
      </c>
      <c r="M1385" s="15" t="n">
        <v>1</v>
      </c>
      <c r="N1385" s="16" t="n">
        <v>2.51950422e-06</v>
      </c>
      <c r="O1385" s="11" t="n">
        <v>279.7089134</v>
      </c>
      <c r="P1385" s="13">
        <f>N1385*86400</f>
        <v/>
      </c>
      <c r="Q1385" s="14">
        <f>O1385-273.15</f>
        <v/>
      </c>
    </row>
    <row r="1386">
      <c r="A1386" s="9" t="n">
        <v>38273</v>
      </c>
      <c r="B1386" s="7">
        <f>YEAR(A1386)</f>
        <v/>
      </c>
      <c r="C1386" s="7">
        <f>MONTH(A1386)</f>
        <v/>
      </c>
      <c r="D1386" s="10" t="n">
        <v>0</v>
      </c>
      <c r="E1386" s="11" t="n">
        <v>4.71974232</v>
      </c>
      <c r="F1386" s="12" t="n">
        <v>0</v>
      </c>
      <c r="G1386" s="11" t="n">
        <v>281.632745</v>
      </c>
      <c r="H1386" s="13">
        <f>F1386*1000</f>
        <v/>
      </c>
      <c r="I1386" s="14">
        <f>G1386-273.15</f>
        <v/>
      </c>
      <c r="K1386" s="15" t="n">
        <v>2004</v>
      </c>
      <c r="L1386" s="15" t="n">
        <v>11</v>
      </c>
      <c r="M1386" s="15" t="n">
        <v>2</v>
      </c>
      <c r="N1386" s="16" t="n">
        <v>4.687414733e-05</v>
      </c>
      <c r="O1386" s="11" t="n">
        <v>279.8419194</v>
      </c>
      <c r="P1386" s="13">
        <f>N1386*86400</f>
        <v/>
      </c>
      <c r="Q1386" s="14">
        <f>O1386-273.15</f>
        <v/>
      </c>
    </row>
    <row r="1387">
      <c r="A1387" s="9" t="n">
        <v>38274</v>
      </c>
      <c r="B1387" s="7">
        <f>YEAR(A1387)</f>
        <v/>
      </c>
      <c r="C1387" s="7">
        <f>MONTH(A1387)</f>
        <v/>
      </c>
      <c r="D1387" s="10" t="n">
        <v>0</v>
      </c>
      <c r="E1387" s="11" t="n">
        <v>7.266647097</v>
      </c>
      <c r="F1387" s="12" t="n">
        <v>0</v>
      </c>
      <c r="G1387" s="11" t="n">
        <v>284.2978179</v>
      </c>
      <c r="H1387" s="13">
        <f>F1387*1000</f>
        <v/>
      </c>
      <c r="I1387" s="14">
        <f>G1387-273.15</f>
        <v/>
      </c>
      <c r="K1387" s="15" t="n">
        <v>2004</v>
      </c>
      <c r="L1387" s="15" t="n">
        <v>11</v>
      </c>
      <c r="M1387" s="15" t="n">
        <v>3</v>
      </c>
      <c r="N1387" s="16" t="n">
        <v>5.58068672e-06</v>
      </c>
      <c r="O1387" s="11" t="n">
        <v>280.0575856</v>
      </c>
      <c r="P1387" s="13">
        <f>N1387*86400</f>
        <v/>
      </c>
      <c r="Q1387" s="14">
        <f>O1387-273.15</f>
        <v/>
      </c>
    </row>
    <row r="1388">
      <c r="A1388" s="9" t="n">
        <v>38275</v>
      </c>
      <c r="B1388" s="7">
        <f>YEAR(A1388)</f>
        <v/>
      </c>
      <c r="C1388" s="7">
        <f>MONTH(A1388)</f>
        <v/>
      </c>
      <c r="D1388" s="10" t="n">
        <v>2.20807119</v>
      </c>
      <c r="E1388" s="11" t="n">
        <v>5.4848407</v>
      </c>
      <c r="F1388" s="12" t="n">
        <v>0.001358352436</v>
      </c>
      <c r="G1388" s="11" t="n">
        <v>283.4998343</v>
      </c>
      <c r="H1388" s="13">
        <f>F1388*1000</f>
        <v/>
      </c>
      <c r="I1388" s="14">
        <f>G1388-273.15</f>
        <v/>
      </c>
      <c r="K1388" s="15" t="n">
        <v>2004</v>
      </c>
      <c r="L1388" s="15" t="n">
        <v>11</v>
      </c>
      <c r="M1388" s="15" t="n">
        <v>4</v>
      </c>
      <c r="N1388" s="16" t="n">
        <v>0.0003287110522</v>
      </c>
      <c r="O1388" s="11" t="n">
        <v>279.6404177</v>
      </c>
      <c r="P1388" s="13">
        <f>N1388*86400</f>
        <v/>
      </c>
      <c r="Q1388" s="14">
        <f>O1388-273.15</f>
        <v/>
      </c>
    </row>
    <row r="1389">
      <c r="A1389" s="9" t="n">
        <v>38276</v>
      </c>
      <c r="B1389" s="7">
        <f>YEAR(A1389)</f>
        <v/>
      </c>
      <c r="C1389" s="7">
        <f>MONTH(A1389)</f>
        <v/>
      </c>
      <c r="D1389" s="10" t="n">
        <v>0</v>
      </c>
      <c r="E1389" s="11" t="n">
        <v>5.27530583</v>
      </c>
      <c r="F1389" s="12" t="n">
        <v>0.0005013601859</v>
      </c>
      <c r="G1389" s="11" t="n">
        <v>282.1097495</v>
      </c>
      <c r="H1389" s="13">
        <f>F1389*1000</f>
        <v/>
      </c>
      <c r="I1389" s="14">
        <f>G1389-273.15</f>
        <v/>
      </c>
      <c r="K1389" s="15" t="n">
        <v>2004</v>
      </c>
      <c r="L1389" s="15" t="n">
        <v>11</v>
      </c>
      <c r="M1389" s="15" t="n">
        <v>5</v>
      </c>
      <c r="N1389" s="16" t="n">
        <v>2.923134181e-05</v>
      </c>
      <c r="O1389" s="11" t="n">
        <v>279.4088789</v>
      </c>
      <c r="P1389" s="13">
        <f>N1389*86400</f>
        <v/>
      </c>
      <c r="Q1389" s="14">
        <f>O1389-273.15</f>
        <v/>
      </c>
    </row>
    <row r="1390">
      <c r="A1390" s="9" t="n">
        <v>38277</v>
      </c>
      <c r="B1390" s="7">
        <f>YEAR(A1390)</f>
        <v/>
      </c>
      <c r="C1390" s="7">
        <f>MONTH(A1390)</f>
        <v/>
      </c>
      <c r="D1390" s="10" t="n">
        <v>0</v>
      </c>
      <c r="E1390" s="11" t="n">
        <v>6.643472371</v>
      </c>
      <c r="F1390" s="12" t="n">
        <v>0.002320877952</v>
      </c>
      <c r="G1390" s="11" t="n">
        <v>282.545161</v>
      </c>
      <c r="H1390" s="13">
        <f>F1390*1000</f>
        <v/>
      </c>
      <c r="I1390" s="14">
        <f>G1390-273.15</f>
        <v/>
      </c>
      <c r="K1390" s="15" t="n">
        <v>2004</v>
      </c>
      <c r="L1390" s="15" t="n">
        <v>11</v>
      </c>
      <c r="M1390" s="15" t="n">
        <v>6</v>
      </c>
      <c r="N1390" s="16" t="n">
        <v>7.262849342e-06</v>
      </c>
      <c r="O1390" s="11" t="n">
        <v>279.7025519</v>
      </c>
      <c r="P1390" s="13">
        <f>N1390*86400</f>
        <v/>
      </c>
      <c r="Q1390" s="14">
        <f>O1390-273.15</f>
        <v/>
      </c>
    </row>
    <row r="1391">
      <c r="A1391" s="9" t="n">
        <v>38278</v>
      </c>
      <c r="B1391" s="7">
        <f>YEAR(A1391)</f>
        <v/>
      </c>
      <c r="C1391" s="7">
        <f>MONTH(A1391)</f>
        <v/>
      </c>
      <c r="D1391" s="10" t="n">
        <v>0</v>
      </c>
      <c r="E1391" s="11" t="n">
        <v>6.036212051</v>
      </c>
      <c r="F1391" s="12" t="n">
        <v>0</v>
      </c>
      <c r="G1391" s="11" t="n">
        <v>281.5128019</v>
      </c>
      <c r="H1391" s="13">
        <f>F1391*1000</f>
        <v/>
      </c>
      <c r="I1391" s="14">
        <f>G1391-273.15</f>
        <v/>
      </c>
      <c r="K1391" s="15" t="n">
        <v>2004</v>
      </c>
      <c r="L1391" s="15" t="n">
        <v>11</v>
      </c>
      <c r="M1391" s="15" t="n">
        <v>7</v>
      </c>
      <c r="N1391" s="16" t="n">
        <v>4.984839985e-05</v>
      </c>
      <c r="O1391" s="11" t="n">
        <v>279.650193</v>
      </c>
      <c r="P1391" s="13">
        <f>N1391*86400</f>
        <v/>
      </c>
      <c r="Q1391" s="14">
        <f>O1391-273.15</f>
        <v/>
      </c>
    </row>
    <row r="1392">
      <c r="A1392" s="9" t="n">
        <v>38279</v>
      </c>
      <c r="B1392" s="7">
        <f>YEAR(A1392)</f>
        <v/>
      </c>
      <c r="C1392" s="7">
        <f>MONTH(A1392)</f>
        <v/>
      </c>
      <c r="D1392" s="10" t="n">
        <v>0</v>
      </c>
      <c r="E1392" s="11" t="n">
        <v>6.062910284</v>
      </c>
      <c r="F1392" s="12" t="n">
        <v>0</v>
      </c>
      <c r="G1392" s="11" t="n">
        <v>281.7439096</v>
      </c>
      <c r="H1392" s="13">
        <f>F1392*1000</f>
        <v/>
      </c>
      <c r="I1392" s="14">
        <f>G1392-273.15</f>
        <v/>
      </c>
      <c r="K1392" s="15" t="n">
        <v>2004</v>
      </c>
      <c r="L1392" s="15" t="n">
        <v>11</v>
      </c>
      <c r="M1392" s="15" t="n">
        <v>8</v>
      </c>
      <c r="N1392" s="16" t="n">
        <v>5.945630533e-05</v>
      </c>
      <c r="O1392" s="11" t="n">
        <v>280.0867024</v>
      </c>
      <c r="P1392" s="13">
        <f>N1392*86400</f>
        <v/>
      </c>
      <c r="Q1392" s="14">
        <f>O1392-273.15</f>
        <v/>
      </c>
    </row>
    <row r="1393">
      <c r="A1393" s="9" t="n">
        <v>38280</v>
      </c>
      <c r="B1393" s="7">
        <f>YEAR(A1393)</f>
        <v/>
      </c>
      <c r="C1393" s="7">
        <f>MONTH(A1393)</f>
        <v/>
      </c>
      <c r="D1393" s="10" t="n">
        <v>0</v>
      </c>
      <c r="E1393" s="11" t="n">
        <v>6.899738689</v>
      </c>
      <c r="F1393" s="12" t="n">
        <v>0.0004580612976</v>
      </c>
      <c r="G1393" s="11" t="n">
        <v>282.6699678</v>
      </c>
      <c r="H1393" s="13">
        <f>F1393*1000</f>
        <v/>
      </c>
      <c r="I1393" s="14">
        <f>G1393-273.15</f>
        <v/>
      </c>
      <c r="K1393" s="15" t="n">
        <v>2004</v>
      </c>
      <c r="L1393" s="15" t="n">
        <v>11</v>
      </c>
      <c r="M1393" s="15" t="n">
        <v>9</v>
      </c>
      <c r="N1393" s="16" t="n">
        <v>4.88840238e-06</v>
      </c>
      <c r="O1393" s="11" t="n">
        <v>281.3720615</v>
      </c>
      <c r="P1393" s="13">
        <f>N1393*86400</f>
        <v/>
      </c>
      <c r="Q1393" s="14">
        <f>O1393-273.15</f>
        <v/>
      </c>
    </row>
    <row r="1394">
      <c r="A1394" s="9" t="n">
        <v>38281</v>
      </c>
      <c r="B1394" s="7">
        <f>YEAR(A1394)</f>
        <v/>
      </c>
      <c r="C1394" s="7">
        <f>MONTH(A1394)</f>
        <v/>
      </c>
      <c r="D1394" s="10" t="n">
        <v>0</v>
      </c>
      <c r="E1394" s="11" t="n">
        <v>6.453885886</v>
      </c>
      <c r="F1394" s="12" t="n">
        <v>0</v>
      </c>
      <c r="G1394" s="11" t="n">
        <v>281.3191352</v>
      </c>
      <c r="H1394" s="13">
        <f>F1394*1000</f>
        <v/>
      </c>
      <c r="I1394" s="14">
        <f>G1394-273.15</f>
        <v/>
      </c>
      <c r="K1394" s="15" t="n">
        <v>2004</v>
      </c>
      <c r="L1394" s="15" t="n">
        <v>11</v>
      </c>
      <c r="M1394" s="15" t="n">
        <v>10</v>
      </c>
      <c r="N1394" s="16" t="n">
        <v>2.554767814e-05</v>
      </c>
      <c r="O1394" s="11" t="n">
        <v>282.0368735</v>
      </c>
      <c r="P1394" s="13">
        <f>N1394*86400</f>
        <v/>
      </c>
      <c r="Q1394" s="14">
        <f>O1394-273.15</f>
        <v/>
      </c>
    </row>
    <row r="1395">
      <c r="A1395" s="9" t="n">
        <v>38282</v>
      </c>
      <c r="B1395" s="7">
        <f>YEAR(A1395)</f>
        <v/>
      </c>
      <c r="C1395" s="7">
        <f>MONTH(A1395)</f>
        <v/>
      </c>
      <c r="D1395" s="10" t="n">
        <v>0</v>
      </c>
      <c r="E1395" s="11" t="n">
        <v>9.45197239</v>
      </c>
      <c r="F1395" s="12" t="n">
        <v>0</v>
      </c>
      <c r="G1395" s="11" t="n">
        <v>284.4538848</v>
      </c>
      <c r="H1395" s="13">
        <f>F1395*1000</f>
        <v/>
      </c>
      <c r="I1395" s="14">
        <f>G1395-273.15</f>
        <v/>
      </c>
      <c r="K1395" s="15" t="n">
        <v>2004</v>
      </c>
      <c r="L1395" s="15" t="n">
        <v>11</v>
      </c>
      <c r="M1395" s="15" t="n">
        <v>11</v>
      </c>
      <c r="N1395" s="16" t="n">
        <v>2.378228372e-06</v>
      </c>
      <c r="O1395" s="11" t="n">
        <v>283.9286794</v>
      </c>
      <c r="P1395" s="13">
        <f>N1395*86400</f>
        <v/>
      </c>
      <c r="Q1395" s="14">
        <f>O1395-273.15</f>
        <v/>
      </c>
    </row>
    <row r="1396">
      <c r="A1396" s="9" t="n">
        <v>38283</v>
      </c>
      <c r="B1396" s="7">
        <f>YEAR(A1396)</f>
        <v/>
      </c>
      <c r="C1396" s="7">
        <f>MONTH(A1396)</f>
        <v/>
      </c>
      <c r="D1396" s="10" t="n">
        <v>0</v>
      </c>
      <c r="E1396" s="11" t="n">
        <v>10.34651754</v>
      </c>
      <c r="F1396" s="12" t="n">
        <v>0</v>
      </c>
      <c r="G1396" s="11" t="n">
        <v>284.3672035</v>
      </c>
      <c r="H1396" s="13">
        <f>F1396*1000</f>
        <v/>
      </c>
      <c r="I1396" s="14">
        <f>G1396-273.15</f>
        <v/>
      </c>
      <c r="K1396" s="15" t="n">
        <v>2004</v>
      </c>
      <c r="L1396" s="15" t="n">
        <v>11</v>
      </c>
      <c r="M1396" s="15" t="n">
        <v>12</v>
      </c>
      <c r="N1396" s="16" t="n">
        <v>0</v>
      </c>
      <c r="O1396" s="11" t="n">
        <v>285.0982966</v>
      </c>
      <c r="P1396" s="13">
        <f>N1396*86400</f>
        <v/>
      </c>
      <c r="Q1396" s="14">
        <f>O1396-273.15</f>
        <v/>
      </c>
    </row>
    <row r="1397">
      <c r="A1397" s="9" t="n">
        <v>38284</v>
      </c>
      <c r="B1397" s="7">
        <f>YEAR(A1397)</f>
        <v/>
      </c>
      <c r="C1397" s="7">
        <f>MONTH(A1397)</f>
        <v/>
      </c>
      <c r="D1397" s="10" t="n">
        <v>0</v>
      </c>
      <c r="E1397" s="11" t="n">
        <v>7.469762921</v>
      </c>
      <c r="F1397" s="12" t="n">
        <v>0</v>
      </c>
      <c r="G1397" s="11" t="n">
        <v>282.1713678</v>
      </c>
      <c r="H1397" s="13">
        <f>F1397*1000</f>
        <v/>
      </c>
      <c r="I1397" s="14">
        <f>G1397-273.15</f>
        <v/>
      </c>
      <c r="K1397" s="15" t="n">
        <v>2004</v>
      </c>
      <c r="L1397" s="15" t="n">
        <v>11</v>
      </c>
      <c r="M1397" s="15" t="n">
        <v>13</v>
      </c>
      <c r="N1397" s="16" t="n">
        <v>0</v>
      </c>
      <c r="O1397" s="11" t="n">
        <v>284.1837245</v>
      </c>
      <c r="P1397" s="13">
        <f>N1397*86400</f>
        <v/>
      </c>
      <c r="Q1397" s="14">
        <f>O1397-273.15</f>
        <v/>
      </c>
    </row>
    <row r="1398">
      <c r="A1398" s="9" t="n">
        <v>38285</v>
      </c>
      <c r="B1398" s="7">
        <f>YEAR(A1398)</f>
        <v/>
      </c>
      <c r="C1398" s="7">
        <f>MONTH(A1398)</f>
        <v/>
      </c>
      <c r="D1398" s="10" t="n">
        <v>0</v>
      </c>
      <c r="E1398" s="11" t="n">
        <v>5.626681832</v>
      </c>
      <c r="F1398" s="12" t="n">
        <v>3.152480599e-05</v>
      </c>
      <c r="G1398" s="11" t="n">
        <v>280.4522519</v>
      </c>
      <c r="H1398" s="13">
        <f>F1398*1000</f>
        <v/>
      </c>
      <c r="I1398" s="14">
        <f>G1398-273.15</f>
        <v/>
      </c>
      <c r="K1398" s="15" t="n">
        <v>2004</v>
      </c>
      <c r="L1398" s="15" t="n">
        <v>11</v>
      </c>
      <c r="M1398" s="15" t="n">
        <v>14</v>
      </c>
      <c r="N1398" s="16" t="n">
        <v>5.514158013e-06</v>
      </c>
      <c r="O1398" s="11" t="n">
        <v>282.3704774</v>
      </c>
      <c r="P1398" s="13">
        <f>N1398*86400</f>
        <v/>
      </c>
      <c r="Q1398" s="14">
        <f>O1398-273.15</f>
        <v/>
      </c>
    </row>
    <row r="1399">
      <c r="A1399" s="9" t="n">
        <v>38286</v>
      </c>
      <c r="B1399" s="7">
        <f>YEAR(A1399)</f>
        <v/>
      </c>
      <c r="C1399" s="7">
        <f>MONTH(A1399)</f>
        <v/>
      </c>
      <c r="D1399" s="10" t="n">
        <v>0</v>
      </c>
      <c r="E1399" s="11" t="n">
        <v>6.090404263</v>
      </c>
      <c r="F1399" s="12" t="n">
        <v>0.0003666082437</v>
      </c>
      <c r="G1399" s="11" t="n">
        <v>280.7644352</v>
      </c>
      <c r="H1399" s="13">
        <f>F1399*1000</f>
        <v/>
      </c>
      <c r="I1399" s="14">
        <f>G1399-273.15</f>
        <v/>
      </c>
      <c r="K1399" s="15" t="n">
        <v>2004</v>
      </c>
      <c r="L1399" s="15" t="n">
        <v>11</v>
      </c>
      <c r="M1399" s="15" t="n">
        <v>15</v>
      </c>
      <c r="N1399" s="16" t="n">
        <v>0</v>
      </c>
      <c r="O1399" s="11" t="n">
        <v>280.4959645</v>
      </c>
      <c r="P1399" s="13">
        <f>N1399*86400</f>
        <v/>
      </c>
      <c r="Q1399" s="14">
        <f>O1399-273.15</f>
        <v/>
      </c>
    </row>
    <row r="1400">
      <c r="A1400" s="9" t="n">
        <v>38287</v>
      </c>
      <c r="B1400" s="7">
        <f>YEAR(A1400)</f>
        <v/>
      </c>
      <c r="C1400" s="7">
        <f>MONTH(A1400)</f>
        <v/>
      </c>
      <c r="D1400" s="10" t="n">
        <v>0</v>
      </c>
      <c r="E1400" s="11" t="n">
        <v>8.582537584000001</v>
      </c>
      <c r="F1400" s="12" t="n">
        <v>0.004607055032</v>
      </c>
      <c r="G1400" s="11" t="n">
        <v>283.4439246</v>
      </c>
      <c r="H1400" s="13">
        <f>F1400*1000</f>
        <v/>
      </c>
      <c r="I1400" s="14">
        <f>G1400-273.15</f>
        <v/>
      </c>
      <c r="K1400" s="15" t="n">
        <v>2004</v>
      </c>
      <c r="L1400" s="15" t="n">
        <v>11</v>
      </c>
      <c r="M1400" s="15" t="n">
        <v>16</v>
      </c>
      <c r="N1400" s="16" t="n">
        <v>0</v>
      </c>
      <c r="O1400" s="11" t="n">
        <v>281.3683707</v>
      </c>
      <c r="P1400" s="13">
        <f>N1400*86400</f>
        <v/>
      </c>
      <c r="Q1400" s="14">
        <f>O1400-273.15</f>
        <v/>
      </c>
    </row>
    <row r="1401">
      <c r="A1401" s="9" t="n">
        <v>38288</v>
      </c>
      <c r="B1401" s="7">
        <f>YEAR(A1401)</f>
        <v/>
      </c>
      <c r="C1401" s="7">
        <f>MONTH(A1401)</f>
        <v/>
      </c>
      <c r="D1401" s="10" t="n">
        <v>0</v>
      </c>
      <c r="E1401" s="11" t="n">
        <v>9.055313709</v>
      </c>
      <c r="F1401" s="12" t="n">
        <v>0</v>
      </c>
      <c r="G1401" s="11" t="n">
        <v>283.9555578</v>
      </c>
      <c r="H1401" s="13">
        <f>F1401*1000</f>
        <v/>
      </c>
      <c r="I1401" s="14">
        <f>G1401-273.15</f>
        <v/>
      </c>
      <c r="K1401" s="15" t="n">
        <v>2004</v>
      </c>
      <c r="L1401" s="15" t="n">
        <v>11</v>
      </c>
      <c r="M1401" s="15" t="n">
        <v>17</v>
      </c>
      <c r="N1401" s="16" t="n">
        <v>0</v>
      </c>
      <c r="O1401" s="11" t="n">
        <v>280.0489803</v>
      </c>
      <c r="P1401" s="13">
        <f>N1401*86400</f>
        <v/>
      </c>
      <c r="Q1401" s="14">
        <f>O1401-273.15</f>
        <v/>
      </c>
    </row>
    <row r="1402">
      <c r="A1402" s="9" t="n">
        <v>38289</v>
      </c>
      <c r="B1402" s="7">
        <f>YEAR(A1402)</f>
        <v/>
      </c>
      <c r="C1402" s="7">
        <f>MONTH(A1402)</f>
        <v/>
      </c>
      <c r="D1402" s="10" t="n">
        <v>0</v>
      </c>
      <c r="E1402" s="11" t="n">
        <v>8.614697465000001</v>
      </c>
      <c r="F1402" s="12" t="n">
        <v>0</v>
      </c>
      <c r="G1402" s="11" t="n">
        <v>283.7770637</v>
      </c>
      <c r="H1402" s="13">
        <f>F1402*1000</f>
        <v/>
      </c>
      <c r="I1402" s="14">
        <f>G1402-273.15</f>
        <v/>
      </c>
      <c r="K1402" s="15" t="n">
        <v>2004</v>
      </c>
      <c r="L1402" s="15" t="n">
        <v>11</v>
      </c>
      <c r="M1402" s="15" t="n">
        <v>18</v>
      </c>
      <c r="N1402" s="16" t="n">
        <v>0</v>
      </c>
      <c r="O1402" s="11" t="n">
        <v>280.430691</v>
      </c>
      <c r="P1402" s="13">
        <f>N1402*86400</f>
        <v/>
      </c>
      <c r="Q1402" s="14">
        <f>O1402-273.15</f>
        <v/>
      </c>
    </row>
    <row r="1403">
      <c r="A1403" s="9" t="n">
        <v>38290</v>
      </c>
      <c r="B1403" s="7">
        <f>YEAR(A1403)</f>
        <v/>
      </c>
      <c r="C1403" s="7">
        <f>MONTH(A1403)</f>
        <v/>
      </c>
      <c r="D1403" s="10" t="n">
        <v>0</v>
      </c>
      <c r="E1403" s="11" t="n">
        <v>8.336612583999999</v>
      </c>
      <c r="F1403" s="12" t="n">
        <v>0.0005274293881</v>
      </c>
      <c r="G1403" s="11" t="n">
        <v>282.7526102</v>
      </c>
      <c r="H1403" s="13">
        <f>F1403*1000</f>
        <v/>
      </c>
      <c r="I1403" s="14">
        <f>G1403-273.15</f>
        <v/>
      </c>
      <c r="K1403" s="15" t="n">
        <v>2004</v>
      </c>
      <c r="L1403" s="15" t="n">
        <v>11</v>
      </c>
      <c r="M1403" s="15" t="n">
        <v>19</v>
      </c>
      <c r="N1403" s="16" t="n">
        <v>0</v>
      </c>
      <c r="O1403" s="11" t="n">
        <v>281.1591651</v>
      </c>
      <c r="P1403" s="13">
        <f>N1403*86400</f>
        <v/>
      </c>
      <c r="Q1403" s="14">
        <f>O1403-273.15</f>
        <v/>
      </c>
    </row>
    <row r="1404">
      <c r="A1404" s="9" t="n">
        <v>38291</v>
      </c>
      <c r="B1404" s="7">
        <f>YEAR(A1404)</f>
        <v/>
      </c>
      <c r="C1404" s="7">
        <f>MONTH(A1404)</f>
        <v/>
      </c>
      <c r="D1404" s="10" t="n">
        <v>0</v>
      </c>
      <c r="E1404" s="11" t="n">
        <v>7.346554324</v>
      </c>
      <c r="F1404" s="12" t="n">
        <v>0</v>
      </c>
      <c r="G1404" s="11" t="n">
        <v>281.7276325</v>
      </c>
      <c r="H1404" s="13">
        <f>F1404*1000</f>
        <v/>
      </c>
      <c r="I1404" s="14">
        <f>G1404-273.15</f>
        <v/>
      </c>
      <c r="K1404" s="15" t="n">
        <v>2004</v>
      </c>
      <c r="L1404" s="15" t="n">
        <v>11</v>
      </c>
      <c r="M1404" s="15" t="n">
        <v>20</v>
      </c>
      <c r="N1404" s="16" t="n">
        <v>6.221276848e-06</v>
      </c>
      <c r="O1404" s="11" t="n">
        <v>282.6971339</v>
      </c>
      <c r="P1404" s="13">
        <f>N1404*86400</f>
        <v/>
      </c>
      <c r="Q1404" s="14">
        <f>O1404-273.15</f>
        <v/>
      </c>
    </row>
    <row r="1405">
      <c r="A1405" s="9" t="n">
        <v>38292</v>
      </c>
      <c r="B1405" s="7">
        <f>YEAR(A1405)</f>
        <v/>
      </c>
      <c r="C1405" s="7">
        <f>MONTH(A1405)</f>
        <v/>
      </c>
      <c r="D1405" s="10" t="n">
        <v>1.209541885</v>
      </c>
      <c r="E1405" s="11" t="n">
        <v>7.509338488</v>
      </c>
      <c r="F1405" s="12" t="n">
        <v>0.007294315643</v>
      </c>
      <c r="G1405" s="11" t="n">
        <v>282.4787264</v>
      </c>
      <c r="H1405" s="13">
        <f>F1405*1000</f>
        <v/>
      </c>
      <c r="I1405" s="14">
        <f>G1405-273.15</f>
        <v/>
      </c>
      <c r="K1405" s="15" t="n">
        <v>2004</v>
      </c>
      <c r="L1405" s="15" t="n">
        <v>11</v>
      </c>
      <c r="M1405" s="15" t="n">
        <v>21</v>
      </c>
      <c r="N1405" s="16" t="n">
        <v>0</v>
      </c>
      <c r="O1405" s="11" t="n">
        <v>283.3958077</v>
      </c>
      <c r="P1405" s="13">
        <f>N1405*86400</f>
        <v/>
      </c>
      <c r="Q1405" s="14">
        <f>O1405-273.15</f>
        <v/>
      </c>
    </row>
    <row r="1406">
      <c r="A1406" s="9" t="n">
        <v>38293</v>
      </c>
      <c r="B1406" s="7">
        <f>YEAR(A1406)</f>
        <v/>
      </c>
      <c r="C1406" s="7">
        <f>MONTH(A1406)</f>
        <v/>
      </c>
      <c r="D1406" s="10" t="n">
        <v>0</v>
      </c>
      <c r="E1406" s="11" t="n">
        <v>6.268547845</v>
      </c>
      <c r="F1406" s="12" t="n">
        <v>0</v>
      </c>
      <c r="G1406" s="11" t="n">
        <v>281.9685398</v>
      </c>
      <c r="H1406" s="13">
        <f>F1406*1000</f>
        <v/>
      </c>
      <c r="I1406" s="14">
        <f>G1406-273.15</f>
        <v/>
      </c>
      <c r="K1406" s="15" t="n">
        <v>2004</v>
      </c>
      <c r="L1406" s="15" t="n">
        <v>11</v>
      </c>
      <c r="M1406" s="15" t="n">
        <v>22</v>
      </c>
      <c r="N1406" s="16" t="n">
        <v>0</v>
      </c>
      <c r="O1406" s="11" t="n">
        <v>280.7798915</v>
      </c>
      <c r="P1406" s="13">
        <f>N1406*86400</f>
        <v/>
      </c>
      <c r="Q1406" s="14">
        <f>O1406-273.15</f>
        <v/>
      </c>
    </row>
    <row r="1407">
      <c r="A1407" s="9" t="n">
        <v>38294</v>
      </c>
      <c r="B1407" s="7">
        <f>YEAR(A1407)</f>
        <v/>
      </c>
      <c r="C1407" s="7">
        <f>MONTH(A1407)</f>
        <v/>
      </c>
      <c r="D1407" s="10" t="n">
        <v>4.861794847</v>
      </c>
      <c r="E1407" s="11" t="n">
        <v>4.728357471</v>
      </c>
      <c r="F1407" s="12" t="n">
        <v>0.003725614094</v>
      </c>
      <c r="G1407" s="11" t="n">
        <v>280.1701337</v>
      </c>
      <c r="H1407" s="13">
        <f>F1407*1000</f>
        <v/>
      </c>
      <c r="I1407" s="14">
        <f>G1407-273.15</f>
        <v/>
      </c>
      <c r="K1407" s="15" t="n">
        <v>2004</v>
      </c>
      <c r="L1407" s="15" t="n">
        <v>11</v>
      </c>
      <c r="M1407" s="15" t="n">
        <v>23</v>
      </c>
      <c r="N1407" s="16" t="n">
        <v>0</v>
      </c>
      <c r="O1407" s="11" t="n">
        <v>281.5122087</v>
      </c>
      <c r="P1407" s="13">
        <f>N1407*86400</f>
        <v/>
      </c>
      <c r="Q1407" s="14">
        <f>O1407-273.15</f>
        <v/>
      </c>
    </row>
    <row r="1408">
      <c r="A1408" s="9" t="n">
        <v>38295</v>
      </c>
      <c r="B1408" s="7">
        <f>YEAR(A1408)</f>
        <v/>
      </c>
      <c r="C1408" s="7">
        <f>MONTH(A1408)</f>
        <v/>
      </c>
      <c r="D1408" s="10" t="n">
        <v>0</v>
      </c>
      <c r="E1408" s="11" t="n">
        <v>8.269882079</v>
      </c>
      <c r="F1408" s="12" t="n">
        <v>0</v>
      </c>
      <c r="G1408" s="11" t="n">
        <v>282.3248857</v>
      </c>
      <c r="H1408" s="13">
        <f>F1408*1000</f>
        <v/>
      </c>
      <c r="I1408" s="14">
        <f>G1408-273.15</f>
        <v/>
      </c>
      <c r="K1408" s="15" t="n">
        <v>2004</v>
      </c>
      <c r="L1408" s="15" t="n">
        <v>11</v>
      </c>
      <c r="M1408" s="15" t="n">
        <v>24</v>
      </c>
      <c r="N1408" s="16" t="n">
        <v>1.096384119e-05</v>
      </c>
      <c r="O1408" s="11" t="n">
        <v>280.8882081</v>
      </c>
      <c r="P1408" s="13">
        <f>N1408*86400</f>
        <v/>
      </c>
      <c r="Q1408" s="14">
        <f>O1408-273.15</f>
        <v/>
      </c>
    </row>
    <row r="1409">
      <c r="A1409" s="9" t="n">
        <v>38296</v>
      </c>
      <c r="B1409" s="7">
        <f>YEAR(A1409)</f>
        <v/>
      </c>
      <c r="C1409" s="7">
        <f>MONTH(A1409)</f>
        <v/>
      </c>
      <c r="D1409" s="10" t="n">
        <v>0</v>
      </c>
      <c r="E1409" s="11" t="n">
        <v>5.951202304</v>
      </c>
      <c r="F1409" s="12" t="n">
        <v>6.6880753e-05</v>
      </c>
      <c r="G1409" s="11" t="n">
        <v>280.3790881</v>
      </c>
      <c r="H1409" s="13">
        <f>F1409*1000</f>
        <v/>
      </c>
      <c r="I1409" s="14">
        <f>G1409-273.15</f>
        <v/>
      </c>
      <c r="K1409" s="15" t="n">
        <v>2004</v>
      </c>
      <c r="L1409" s="15" t="n">
        <v>11</v>
      </c>
      <c r="M1409" s="15" t="n">
        <v>25</v>
      </c>
      <c r="N1409" s="16" t="n">
        <v>1.658961664e-06</v>
      </c>
      <c r="O1409" s="11" t="n">
        <v>283.1355449</v>
      </c>
      <c r="P1409" s="13">
        <f>N1409*86400</f>
        <v/>
      </c>
      <c r="Q1409" s="14">
        <f>O1409-273.15</f>
        <v/>
      </c>
    </row>
    <row r="1410">
      <c r="A1410" s="9" t="n">
        <v>38297</v>
      </c>
      <c r="B1410" s="7">
        <f>YEAR(A1410)</f>
        <v/>
      </c>
      <c r="C1410" s="7">
        <f>MONTH(A1410)</f>
        <v/>
      </c>
      <c r="D1410" s="10" t="n">
        <v>0</v>
      </c>
      <c r="E1410" s="11" t="n">
        <v>4.746535477</v>
      </c>
      <c r="F1410" s="12" t="n">
        <v>0.001585692879</v>
      </c>
      <c r="G1410" s="11" t="n">
        <v>278.7382644</v>
      </c>
      <c r="H1410" s="13">
        <f>F1410*1000</f>
        <v/>
      </c>
      <c r="I1410" s="14">
        <f>G1410-273.15</f>
        <v/>
      </c>
      <c r="K1410" s="15" t="n">
        <v>2004</v>
      </c>
      <c r="L1410" s="15" t="n">
        <v>11</v>
      </c>
      <c r="M1410" s="15" t="n">
        <v>26</v>
      </c>
      <c r="N1410" s="16" t="n">
        <v>1.123568599e-05</v>
      </c>
      <c r="O1410" s="11" t="n">
        <v>281.2860601</v>
      </c>
      <c r="P1410" s="13">
        <f>N1410*86400</f>
        <v/>
      </c>
      <c r="Q1410" s="14">
        <f>O1410-273.15</f>
        <v/>
      </c>
    </row>
    <row r="1411">
      <c r="A1411" s="9" t="n">
        <v>38298</v>
      </c>
      <c r="B1411" s="7">
        <f>YEAR(A1411)</f>
        <v/>
      </c>
      <c r="C1411" s="7">
        <f>MONTH(A1411)</f>
        <v/>
      </c>
      <c r="D1411" s="10" t="n">
        <v>0</v>
      </c>
      <c r="E1411" s="11" t="n">
        <v>4.203900395</v>
      </c>
      <c r="F1411" s="12" t="n">
        <v>0.001898277428</v>
      </c>
      <c r="G1411" s="11" t="n">
        <v>278.206755</v>
      </c>
      <c r="H1411" s="13">
        <f>F1411*1000</f>
        <v/>
      </c>
      <c r="I1411" s="14">
        <f>G1411-273.15</f>
        <v/>
      </c>
      <c r="K1411" s="15" t="n">
        <v>2004</v>
      </c>
      <c r="L1411" s="15" t="n">
        <v>11</v>
      </c>
      <c r="M1411" s="15" t="n">
        <v>27</v>
      </c>
      <c r="N1411" s="16" t="n">
        <v>1.567472316e-06</v>
      </c>
      <c r="O1411" s="11" t="n">
        <v>281.6511305</v>
      </c>
      <c r="P1411" s="13">
        <f>N1411*86400</f>
        <v/>
      </c>
      <c r="Q1411" s="14">
        <f>O1411-273.15</f>
        <v/>
      </c>
    </row>
    <row r="1412">
      <c r="A1412" s="9" t="n">
        <v>38299</v>
      </c>
      <c r="B1412" s="7">
        <f>YEAR(A1412)</f>
        <v/>
      </c>
      <c r="C1412" s="7">
        <f>MONTH(A1412)</f>
        <v/>
      </c>
      <c r="D1412" s="10" t="n">
        <v>0</v>
      </c>
      <c r="E1412" s="11" t="n">
        <v>7.383060718</v>
      </c>
      <c r="F1412" s="12" t="n">
        <v>0</v>
      </c>
      <c r="G1412" s="11" t="n">
        <v>280.8543934</v>
      </c>
      <c r="H1412" s="13">
        <f>F1412*1000</f>
        <v/>
      </c>
      <c r="I1412" s="14">
        <f>G1412-273.15</f>
        <v/>
      </c>
      <c r="K1412" s="15" t="n">
        <v>2004</v>
      </c>
      <c r="L1412" s="15" t="n">
        <v>11</v>
      </c>
      <c r="M1412" s="15" t="n">
        <v>28</v>
      </c>
      <c r="N1412" s="16" t="n">
        <v>0</v>
      </c>
      <c r="O1412" s="11" t="n">
        <v>281.3161436</v>
      </c>
      <c r="P1412" s="13">
        <f>N1412*86400</f>
        <v/>
      </c>
      <c r="Q1412" s="14">
        <f>O1412-273.15</f>
        <v/>
      </c>
    </row>
    <row r="1413">
      <c r="A1413" s="9" t="n">
        <v>38300</v>
      </c>
      <c r="B1413" s="7">
        <f>YEAR(A1413)</f>
        <v/>
      </c>
      <c r="C1413" s="7">
        <f>MONTH(A1413)</f>
        <v/>
      </c>
      <c r="D1413" s="10" t="n">
        <v>0</v>
      </c>
      <c r="E1413" s="11" t="n">
        <v>6.202714047</v>
      </c>
      <c r="F1413" s="12" t="n">
        <v>7.304361923e-05</v>
      </c>
      <c r="G1413" s="11" t="n">
        <v>280.6445197</v>
      </c>
      <c r="H1413" s="13">
        <f>F1413*1000</f>
        <v/>
      </c>
      <c r="I1413" s="14">
        <f>G1413-273.15</f>
        <v/>
      </c>
      <c r="K1413" s="15" t="n">
        <v>2004</v>
      </c>
      <c r="L1413" s="15" t="n">
        <v>11</v>
      </c>
      <c r="M1413" s="15" t="n">
        <v>29</v>
      </c>
      <c r="N1413" s="16" t="n">
        <v>0</v>
      </c>
      <c r="O1413" s="11" t="n">
        <v>281.3354016</v>
      </c>
      <c r="P1413" s="13">
        <f>N1413*86400</f>
        <v/>
      </c>
      <c r="Q1413" s="14">
        <f>O1413-273.15</f>
        <v/>
      </c>
    </row>
    <row r="1414">
      <c r="A1414" s="9" t="n">
        <v>38301</v>
      </c>
      <c r="B1414" s="7">
        <f>YEAR(A1414)</f>
        <v/>
      </c>
      <c r="C1414" s="7">
        <f>MONTH(A1414)</f>
        <v/>
      </c>
      <c r="D1414" s="10" t="n">
        <v>0</v>
      </c>
      <c r="E1414" s="11" t="n">
        <v>2.427422556</v>
      </c>
      <c r="F1414" s="12" t="n">
        <v>0</v>
      </c>
      <c r="G1414" s="11" t="n">
        <v>276.8825742</v>
      </c>
      <c r="H1414" s="13">
        <f>F1414*1000</f>
        <v/>
      </c>
      <c r="I1414" s="14">
        <f>G1414-273.15</f>
        <v/>
      </c>
      <c r="K1414" s="15" t="n">
        <v>2004</v>
      </c>
      <c r="L1414" s="15" t="n">
        <v>11</v>
      </c>
      <c r="M1414" s="15" t="n">
        <v>30</v>
      </c>
      <c r="N1414" s="16" t="n">
        <v>9.289226509e-07</v>
      </c>
      <c r="O1414" s="11" t="n">
        <v>280.7318501</v>
      </c>
      <c r="P1414" s="13">
        <f>N1414*86400</f>
        <v/>
      </c>
      <c r="Q1414" s="14">
        <f>O1414-273.15</f>
        <v/>
      </c>
    </row>
    <row r="1415">
      <c r="A1415" s="9" t="n">
        <v>38302</v>
      </c>
      <c r="B1415" s="7">
        <f>YEAR(A1415)</f>
        <v/>
      </c>
      <c r="C1415" s="7">
        <f>MONTH(A1415)</f>
        <v/>
      </c>
      <c r="D1415" s="10" t="n">
        <v>0</v>
      </c>
      <c r="E1415" s="11" t="n">
        <v>6.441430836</v>
      </c>
      <c r="F1415" s="12" t="n">
        <v>0</v>
      </c>
      <c r="G1415" s="11" t="n">
        <v>280.3209972</v>
      </c>
      <c r="H1415" s="13">
        <f>F1415*1000</f>
        <v/>
      </c>
      <c r="I1415" s="14">
        <f>G1415-273.15</f>
        <v/>
      </c>
      <c r="K1415" s="15" t="n">
        <v>2004</v>
      </c>
      <c r="L1415" s="15" t="n">
        <v>12</v>
      </c>
      <c r="M1415" s="15" t="n">
        <v>1</v>
      </c>
      <c r="N1415" s="16" t="n">
        <v>1.469454378e-06</v>
      </c>
      <c r="O1415" s="11" t="n">
        <v>281.2940001</v>
      </c>
      <c r="P1415" s="13">
        <f>N1415*86400</f>
        <v/>
      </c>
      <c r="Q1415" s="14">
        <f>O1415-273.15</f>
        <v/>
      </c>
    </row>
    <row r="1416">
      <c r="A1416" s="9" t="n">
        <v>38303</v>
      </c>
      <c r="B1416" s="7">
        <f>YEAR(A1416)</f>
        <v/>
      </c>
      <c r="C1416" s="7">
        <f>MONTH(A1416)</f>
        <v/>
      </c>
      <c r="D1416" s="10" t="n">
        <v>8.916361314</v>
      </c>
      <c r="E1416" s="11" t="n">
        <v>6.210065503</v>
      </c>
      <c r="F1416" s="12" t="n">
        <v>0.004003884372</v>
      </c>
      <c r="G1416" s="11" t="n">
        <v>280.5248269</v>
      </c>
      <c r="H1416" s="13">
        <f>F1416*1000</f>
        <v/>
      </c>
      <c r="I1416" s="14">
        <f>G1416-273.15</f>
        <v/>
      </c>
      <c r="K1416" s="15" t="n">
        <v>2004</v>
      </c>
      <c r="L1416" s="15" t="n">
        <v>12</v>
      </c>
      <c r="M1416" s="15" t="n">
        <v>2</v>
      </c>
      <c r="N1416" s="16" t="n">
        <v>2.556470271e-06</v>
      </c>
      <c r="O1416" s="11" t="n">
        <v>281.444317</v>
      </c>
      <c r="P1416" s="13">
        <f>N1416*86400</f>
        <v/>
      </c>
      <c r="Q1416" s="14">
        <f>O1416-273.15</f>
        <v/>
      </c>
    </row>
    <row r="1417">
      <c r="A1417" s="9" t="n">
        <v>38304</v>
      </c>
      <c r="B1417" s="7">
        <f>YEAR(A1417)</f>
        <v/>
      </c>
      <c r="C1417" s="7">
        <f>MONTH(A1417)</f>
        <v/>
      </c>
      <c r="D1417" s="10" t="n">
        <v>0</v>
      </c>
      <c r="E1417" s="11" t="n">
        <v>7.66103909</v>
      </c>
      <c r="F1417" s="12" t="n">
        <v>0</v>
      </c>
      <c r="G1417" s="11" t="n">
        <v>281.7215014</v>
      </c>
      <c r="H1417" s="13">
        <f>F1417*1000</f>
        <v/>
      </c>
      <c r="I1417" s="14">
        <f>G1417-273.15</f>
        <v/>
      </c>
      <c r="K1417" s="15" t="n">
        <v>2004</v>
      </c>
      <c r="L1417" s="15" t="n">
        <v>12</v>
      </c>
      <c r="M1417" s="15" t="n">
        <v>3</v>
      </c>
      <c r="N1417" s="16" t="n">
        <v>0</v>
      </c>
      <c r="O1417" s="11" t="n">
        <v>280.6331831</v>
      </c>
      <c r="P1417" s="13">
        <f>N1417*86400</f>
        <v/>
      </c>
      <c r="Q1417" s="14">
        <f>O1417-273.15</f>
        <v/>
      </c>
    </row>
    <row r="1418">
      <c r="A1418" s="9" t="n">
        <v>38305</v>
      </c>
      <c r="B1418" s="7">
        <f>YEAR(A1418)</f>
        <v/>
      </c>
      <c r="C1418" s="7">
        <f>MONTH(A1418)</f>
        <v/>
      </c>
      <c r="D1418" s="10" t="n">
        <v>0</v>
      </c>
      <c r="E1418" s="11" t="n">
        <v>6.056124848</v>
      </c>
      <c r="F1418" s="12" t="n">
        <v>0</v>
      </c>
      <c r="G1418" s="11" t="n">
        <v>279.9083604</v>
      </c>
      <c r="H1418" s="13">
        <f>F1418*1000</f>
        <v/>
      </c>
      <c r="I1418" s="14">
        <f>G1418-273.15</f>
        <v/>
      </c>
      <c r="K1418" s="15" t="n">
        <v>2004</v>
      </c>
      <c r="L1418" s="15" t="n">
        <v>12</v>
      </c>
      <c r="M1418" s="15" t="n">
        <v>4</v>
      </c>
      <c r="N1418" s="16" t="n">
        <v>0</v>
      </c>
      <c r="O1418" s="11" t="n">
        <v>281.9284875</v>
      </c>
      <c r="P1418" s="13">
        <f>N1418*86400</f>
        <v/>
      </c>
      <c r="Q1418" s="14">
        <f>O1418-273.15</f>
        <v/>
      </c>
    </row>
    <row r="1419">
      <c r="A1419" s="9" t="n">
        <v>38306</v>
      </c>
      <c r="B1419" s="7">
        <f>YEAR(A1419)</f>
        <v/>
      </c>
      <c r="C1419" s="7">
        <f>MONTH(A1419)</f>
        <v/>
      </c>
      <c r="D1419" s="10" t="n">
        <v>6.206867153</v>
      </c>
      <c r="E1419" s="11" t="n">
        <v>8.041575844</v>
      </c>
      <c r="F1419" s="12" t="n">
        <v>0.0001039176803</v>
      </c>
      <c r="G1419" s="11" t="n">
        <v>281.7234694</v>
      </c>
      <c r="H1419" s="13">
        <f>F1419*1000</f>
        <v/>
      </c>
      <c r="I1419" s="14">
        <f>G1419-273.15</f>
        <v/>
      </c>
      <c r="K1419" s="15" t="n">
        <v>2004</v>
      </c>
      <c r="L1419" s="15" t="n">
        <v>12</v>
      </c>
      <c r="M1419" s="15" t="n">
        <v>5</v>
      </c>
      <c r="N1419" s="16" t="n">
        <v>3.212624482e-05</v>
      </c>
      <c r="O1419" s="11" t="n">
        <v>281.5235996</v>
      </c>
      <c r="P1419" s="13">
        <f>N1419*86400</f>
        <v/>
      </c>
      <c r="Q1419" s="14">
        <f>O1419-273.15</f>
        <v/>
      </c>
    </row>
    <row r="1420">
      <c r="A1420" s="9" t="n">
        <v>38307</v>
      </c>
      <c r="B1420" s="7">
        <f>YEAR(A1420)</f>
        <v/>
      </c>
      <c r="C1420" s="7">
        <f>MONTH(A1420)</f>
        <v/>
      </c>
      <c r="D1420" s="10" t="n">
        <v>8.786874199</v>
      </c>
      <c r="E1420" s="11" t="n">
        <v>7.987598527</v>
      </c>
      <c r="F1420" s="12" t="n">
        <v>0.009344968384000001</v>
      </c>
      <c r="G1420" s="11" t="n">
        <v>283.0383996</v>
      </c>
      <c r="H1420" s="13">
        <f>F1420*1000</f>
        <v/>
      </c>
      <c r="I1420" s="14">
        <f>G1420-273.15</f>
        <v/>
      </c>
      <c r="K1420" s="15" t="n">
        <v>2004</v>
      </c>
      <c r="L1420" s="15" t="n">
        <v>12</v>
      </c>
      <c r="M1420" s="15" t="n">
        <v>6</v>
      </c>
      <c r="N1420" s="16" t="n">
        <v>3.516136059e-05</v>
      </c>
      <c r="O1420" s="11" t="n">
        <v>280.8057942</v>
      </c>
      <c r="P1420" s="13">
        <f>N1420*86400</f>
        <v/>
      </c>
      <c r="Q1420" s="14">
        <f>O1420-273.15</f>
        <v/>
      </c>
    </row>
    <row r="1421">
      <c r="A1421" s="9" t="n">
        <v>38308</v>
      </c>
      <c r="B1421" s="7">
        <f>YEAR(A1421)</f>
        <v/>
      </c>
      <c r="C1421" s="7">
        <f>MONTH(A1421)</f>
        <v/>
      </c>
      <c r="D1421" s="10" t="n">
        <v>2.882051205</v>
      </c>
      <c r="E1421" s="11" t="n">
        <v>6.807982494</v>
      </c>
      <c r="F1421" s="12" t="n">
        <v>0.003587988346</v>
      </c>
      <c r="G1421" s="11" t="n">
        <v>282.0810796</v>
      </c>
      <c r="H1421" s="13">
        <f>F1421*1000</f>
        <v/>
      </c>
      <c r="I1421" s="14">
        <f>G1421-273.15</f>
        <v/>
      </c>
      <c r="K1421" s="15" t="n">
        <v>2004</v>
      </c>
      <c r="L1421" s="15" t="n">
        <v>12</v>
      </c>
      <c r="M1421" s="15" t="n">
        <v>7</v>
      </c>
      <c r="N1421" s="16" t="n">
        <v>0</v>
      </c>
      <c r="O1421" s="11" t="n">
        <v>280.639467</v>
      </c>
      <c r="P1421" s="13">
        <f>N1421*86400</f>
        <v/>
      </c>
      <c r="Q1421" s="14">
        <f>O1421-273.15</f>
        <v/>
      </c>
    </row>
    <row r="1422">
      <c r="A1422" s="9" t="n">
        <v>38309</v>
      </c>
      <c r="B1422" s="7">
        <f>YEAR(A1422)</f>
        <v/>
      </c>
      <c r="C1422" s="7">
        <f>MONTH(A1422)</f>
        <v/>
      </c>
      <c r="D1422" s="10" t="n">
        <v>15.4599008</v>
      </c>
      <c r="E1422" s="11" t="n">
        <v>7.433089328</v>
      </c>
      <c r="F1422" s="12" t="n">
        <v>0.009643542813</v>
      </c>
      <c r="G1422" s="11" t="n">
        <v>282.2146199</v>
      </c>
      <c r="H1422" s="13">
        <f>F1422*1000</f>
        <v/>
      </c>
      <c r="I1422" s="14">
        <f>G1422-273.15</f>
        <v/>
      </c>
      <c r="K1422" s="15" t="n">
        <v>2004</v>
      </c>
      <c r="L1422" s="15" t="n">
        <v>12</v>
      </c>
      <c r="M1422" s="15" t="n">
        <v>8</v>
      </c>
      <c r="N1422" s="16" t="n">
        <v>9.628818969000001e-06</v>
      </c>
      <c r="O1422" s="11" t="n">
        <v>280.7191953</v>
      </c>
      <c r="P1422" s="13">
        <f>N1422*86400</f>
        <v/>
      </c>
      <c r="Q1422" s="14">
        <f>O1422-273.15</f>
        <v/>
      </c>
    </row>
    <row r="1423">
      <c r="A1423" s="9" t="n">
        <v>38310</v>
      </c>
      <c r="B1423" s="7">
        <f>YEAR(A1423)</f>
        <v/>
      </c>
      <c r="C1423" s="7">
        <f>MONTH(A1423)</f>
        <v/>
      </c>
      <c r="D1423" s="10" t="n">
        <v>7.523805078</v>
      </c>
      <c r="E1423" s="11" t="n">
        <v>6.802135735</v>
      </c>
      <c r="F1423" s="12" t="n">
        <v>0.01098931005</v>
      </c>
      <c r="G1423" s="11" t="n">
        <v>281.0705921</v>
      </c>
      <c r="H1423" s="13">
        <f>F1423*1000</f>
        <v/>
      </c>
      <c r="I1423" s="14">
        <f>G1423-273.15</f>
        <v/>
      </c>
      <c r="K1423" s="15" t="n">
        <v>2004</v>
      </c>
      <c r="L1423" s="15" t="n">
        <v>12</v>
      </c>
      <c r="M1423" s="15" t="n">
        <v>9</v>
      </c>
      <c r="N1423" s="16" t="n">
        <v>5.596186301e-05</v>
      </c>
      <c r="O1423" s="11" t="n">
        <v>281.0609777</v>
      </c>
      <c r="P1423" s="13">
        <f>N1423*86400</f>
        <v/>
      </c>
      <c r="Q1423" s="14">
        <f>O1423-273.15</f>
        <v/>
      </c>
    </row>
    <row r="1424">
      <c r="A1424" s="9" t="n">
        <v>38311</v>
      </c>
      <c r="B1424" s="7">
        <f>YEAR(A1424)</f>
        <v/>
      </c>
      <c r="C1424" s="7">
        <f>MONTH(A1424)</f>
        <v/>
      </c>
      <c r="D1424" s="10" t="n">
        <v>8.815075131</v>
      </c>
      <c r="E1424" s="11" t="n">
        <v>7.777171592</v>
      </c>
      <c r="F1424" s="12" t="n">
        <v>0.001649710957</v>
      </c>
      <c r="G1424" s="11" t="n">
        <v>282.8077293</v>
      </c>
      <c r="H1424" s="13">
        <f>F1424*1000</f>
        <v/>
      </c>
      <c r="I1424" s="14">
        <f>G1424-273.15</f>
        <v/>
      </c>
      <c r="K1424" s="15" t="n">
        <v>2004</v>
      </c>
      <c r="L1424" s="15" t="n">
        <v>12</v>
      </c>
      <c r="M1424" s="15" t="n">
        <v>10</v>
      </c>
      <c r="N1424" s="16" t="n">
        <v>1.109349361e-05</v>
      </c>
      <c r="O1424" s="11" t="n">
        <v>281.400277</v>
      </c>
      <c r="P1424" s="13">
        <f>N1424*86400</f>
        <v/>
      </c>
      <c r="Q1424" s="14">
        <f>O1424-273.15</f>
        <v/>
      </c>
    </row>
    <row r="1425">
      <c r="A1425" s="9" t="n">
        <v>38312</v>
      </c>
      <c r="B1425" s="7">
        <f>YEAR(A1425)</f>
        <v/>
      </c>
      <c r="C1425" s="7">
        <f>MONTH(A1425)</f>
        <v/>
      </c>
      <c r="D1425" s="10" t="n">
        <v>0</v>
      </c>
      <c r="E1425" s="11" t="n">
        <v>7.624118207</v>
      </c>
      <c r="F1425" s="12" t="n">
        <v>0</v>
      </c>
      <c r="G1425" s="11" t="n">
        <v>283.5471935</v>
      </c>
      <c r="H1425" s="13">
        <f>F1425*1000</f>
        <v/>
      </c>
      <c r="I1425" s="14">
        <f>G1425-273.15</f>
        <v/>
      </c>
      <c r="K1425" s="15" t="n">
        <v>2004</v>
      </c>
      <c r="L1425" s="15" t="n">
        <v>12</v>
      </c>
      <c r="M1425" s="15" t="n">
        <v>11</v>
      </c>
      <c r="N1425" s="16" t="n">
        <v>4.077015598e-05</v>
      </c>
      <c r="O1425" s="11" t="n">
        <v>282.2112512</v>
      </c>
      <c r="P1425" s="13">
        <f>N1425*86400</f>
        <v/>
      </c>
      <c r="Q1425" s="14">
        <f>O1425-273.15</f>
        <v/>
      </c>
    </row>
    <row r="1426">
      <c r="A1426" s="9" t="n">
        <v>38313</v>
      </c>
      <c r="B1426" s="7">
        <f>YEAR(A1426)</f>
        <v/>
      </c>
      <c r="C1426" s="7">
        <f>MONTH(A1426)</f>
        <v/>
      </c>
      <c r="D1426" s="10" t="n">
        <v>1.893034686</v>
      </c>
      <c r="E1426" s="11" t="n">
        <v>6.239991512</v>
      </c>
      <c r="F1426" s="12" t="n">
        <v>2.140973856e-05</v>
      </c>
      <c r="G1426" s="11" t="n">
        <v>282.6855258</v>
      </c>
      <c r="H1426" s="13">
        <f>F1426*1000</f>
        <v/>
      </c>
      <c r="I1426" s="14">
        <f>G1426-273.15</f>
        <v/>
      </c>
      <c r="K1426" s="15" t="n">
        <v>2004</v>
      </c>
      <c r="L1426" s="15" t="n">
        <v>12</v>
      </c>
      <c r="M1426" s="15" t="n">
        <v>12</v>
      </c>
      <c r="N1426" s="16" t="n">
        <v>9.5446886e-05</v>
      </c>
      <c r="O1426" s="11" t="n">
        <v>282.7039118</v>
      </c>
      <c r="P1426" s="13">
        <f>N1426*86400</f>
        <v/>
      </c>
      <c r="Q1426" s="14">
        <f>O1426-273.15</f>
        <v/>
      </c>
    </row>
    <row r="1427">
      <c r="A1427" s="9" t="n">
        <v>38314</v>
      </c>
      <c r="B1427" s="7">
        <f>YEAR(A1427)</f>
        <v/>
      </c>
      <c r="C1427" s="7">
        <f>MONTH(A1427)</f>
        <v/>
      </c>
      <c r="D1427" s="10" t="n">
        <v>0</v>
      </c>
      <c r="E1427" s="11" t="n">
        <v>8.296789895</v>
      </c>
      <c r="F1427" s="12" t="n">
        <v>0.0002114987673</v>
      </c>
      <c r="G1427" s="11" t="n">
        <v>283.7297352</v>
      </c>
      <c r="H1427" s="13">
        <f>F1427*1000</f>
        <v/>
      </c>
      <c r="I1427" s="14">
        <f>G1427-273.15</f>
        <v/>
      </c>
      <c r="K1427" s="15" t="n">
        <v>2004</v>
      </c>
      <c r="L1427" s="15" t="n">
        <v>12</v>
      </c>
      <c r="M1427" s="15" t="n">
        <v>13</v>
      </c>
      <c r="N1427" s="16" t="n">
        <v>4.578522888e-05</v>
      </c>
      <c r="O1427" s="11" t="n">
        <v>281.6783465</v>
      </c>
      <c r="P1427" s="13">
        <f>N1427*86400</f>
        <v/>
      </c>
      <c r="Q1427" s="14">
        <f>O1427-273.15</f>
        <v/>
      </c>
    </row>
    <row r="1428">
      <c r="A1428" s="9" t="n">
        <v>38315</v>
      </c>
      <c r="B1428" s="7">
        <f>YEAR(A1428)</f>
        <v/>
      </c>
      <c r="C1428" s="7">
        <f>MONTH(A1428)</f>
        <v/>
      </c>
      <c r="D1428" s="10" t="n">
        <v>0</v>
      </c>
      <c r="E1428" s="11" t="n">
        <v>6.846957549</v>
      </c>
      <c r="F1428" s="12" t="n">
        <v>0</v>
      </c>
      <c r="G1428" s="11" t="n">
        <v>282.1369434</v>
      </c>
      <c r="H1428" s="13">
        <f>F1428*1000</f>
        <v/>
      </c>
      <c r="I1428" s="14">
        <f>G1428-273.15</f>
        <v/>
      </c>
      <c r="K1428" s="15" t="n">
        <v>2004</v>
      </c>
      <c r="L1428" s="15" t="n">
        <v>12</v>
      </c>
      <c r="M1428" s="15" t="n">
        <v>14</v>
      </c>
      <c r="N1428" s="16" t="n">
        <v>1.614243277e-05</v>
      </c>
      <c r="O1428" s="11" t="n">
        <v>280.6398</v>
      </c>
      <c r="P1428" s="13">
        <f>N1428*86400</f>
        <v/>
      </c>
      <c r="Q1428" s="14">
        <f>O1428-273.15</f>
        <v/>
      </c>
    </row>
    <row r="1429">
      <c r="A1429" s="9" t="n">
        <v>38316</v>
      </c>
      <c r="B1429" s="7">
        <f>YEAR(A1429)</f>
        <v/>
      </c>
      <c r="C1429" s="7">
        <f>MONTH(A1429)</f>
        <v/>
      </c>
      <c r="D1429" s="10" t="n">
        <v>7.096189128</v>
      </c>
      <c r="E1429" s="11" t="n">
        <v>5.784449657</v>
      </c>
      <c r="F1429" s="12" t="n">
        <v>0.005059851933</v>
      </c>
      <c r="G1429" s="11" t="n">
        <v>280.3449206</v>
      </c>
      <c r="H1429" s="13">
        <f>F1429*1000</f>
        <v/>
      </c>
      <c r="I1429" s="14">
        <f>G1429-273.15</f>
        <v/>
      </c>
      <c r="K1429" s="15" t="n">
        <v>2004</v>
      </c>
      <c r="L1429" s="15" t="n">
        <v>12</v>
      </c>
      <c r="M1429" s="15" t="n">
        <v>15</v>
      </c>
      <c r="N1429" s="16" t="n">
        <v>5.054947848e-05</v>
      </c>
      <c r="O1429" s="11" t="n">
        <v>282.2138427</v>
      </c>
      <c r="P1429" s="13">
        <f>N1429*86400</f>
        <v/>
      </c>
      <c r="Q1429" s="14">
        <f>O1429-273.15</f>
        <v/>
      </c>
    </row>
    <row r="1430">
      <c r="A1430" s="9" t="n">
        <v>38317</v>
      </c>
      <c r="B1430" s="7">
        <f>YEAR(A1430)</f>
        <v/>
      </c>
      <c r="C1430" s="7">
        <f>MONTH(A1430)</f>
        <v/>
      </c>
      <c r="D1430" s="10" t="n">
        <v>0</v>
      </c>
      <c r="E1430" s="11" t="n">
        <v>4.152259881</v>
      </c>
      <c r="F1430" s="12" t="n">
        <v>0.004391023553</v>
      </c>
      <c r="G1430" s="11" t="n">
        <v>278.8028975</v>
      </c>
      <c r="H1430" s="13">
        <f>F1430*1000</f>
        <v/>
      </c>
      <c r="I1430" s="14">
        <f>G1430-273.15</f>
        <v/>
      </c>
      <c r="K1430" s="15" t="n">
        <v>2004</v>
      </c>
      <c r="L1430" s="15" t="n">
        <v>12</v>
      </c>
      <c r="M1430" s="15" t="n">
        <v>16</v>
      </c>
      <c r="N1430" s="16" t="n">
        <v>4.500772589e-07</v>
      </c>
      <c r="O1430" s="11" t="n">
        <v>279.9528033</v>
      </c>
      <c r="P1430" s="13">
        <f>N1430*86400</f>
        <v/>
      </c>
      <c r="Q1430" s="14">
        <f>O1430-273.15</f>
        <v/>
      </c>
    </row>
    <row r="1431">
      <c r="A1431" s="9" t="n">
        <v>38318</v>
      </c>
      <c r="B1431" s="7">
        <f>YEAR(A1431)</f>
        <v/>
      </c>
      <c r="C1431" s="7">
        <f>MONTH(A1431)</f>
        <v/>
      </c>
      <c r="D1431" s="10" t="n">
        <v>0</v>
      </c>
      <c r="E1431" s="11" t="n">
        <v>3.194801481</v>
      </c>
      <c r="F1431" s="12" t="n">
        <v>0</v>
      </c>
      <c r="G1431" s="11" t="n">
        <v>277.7130893</v>
      </c>
      <c r="H1431" s="13">
        <f>F1431*1000</f>
        <v/>
      </c>
      <c r="I1431" s="14">
        <f>G1431-273.15</f>
        <v/>
      </c>
      <c r="K1431" s="15" t="n">
        <v>2004</v>
      </c>
      <c r="L1431" s="15" t="n">
        <v>12</v>
      </c>
      <c r="M1431" s="15" t="n">
        <v>17</v>
      </c>
      <c r="N1431" s="16" t="n">
        <v>2.076838861e-06</v>
      </c>
      <c r="O1431" s="11" t="n">
        <v>281.055967</v>
      </c>
      <c r="P1431" s="13">
        <f>N1431*86400</f>
        <v/>
      </c>
      <c r="Q1431" s="14">
        <f>O1431-273.15</f>
        <v/>
      </c>
    </row>
    <row r="1432">
      <c r="A1432" s="9" t="n">
        <v>38319</v>
      </c>
      <c r="B1432" s="7">
        <f>YEAR(A1432)</f>
        <v/>
      </c>
      <c r="C1432" s="7">
        <f>MONTH(A1432)</f>
        <v/>
      </c>
      <c r="D1432" s="10" t="n">
        <v>0</v>
      </c>
      <c r="E1432" s="11" t="n">
        <v>2.130370372</v>
      </c>
      <c r="F1432" s="12" t="n">
        <v>0.0008676963562</v>
      </c>
      <c r="G1432" s="11" t="n">
        <v>277.36264</v>
      </c>
      <c r="H1432" s="13">
        <f>F1432*1000</f>
        <v/>
      </c>
      <c r="I1432" s="14">
        <f>G1432-273.15</f>
        <v/>
      </c>
      <c r="K1432" s="15" t="n">
        <v>2004</v>
      </c>
      <c r="L1432" s="15" t="n">
        <v>12</v>
      </c>
      <c r="M1432" s="15" t="n">
        <v>18</v>
      </c>
      <c r="N1432" s="16" t="n">
        <v>0</v>
      </c>
      <c r="O1432" s="11" t="n">
        <v>279.6596615</v>
      </c>
      <c r="P1432" s="13">
        <f>N1432*86400</f>
        <v/>
      </c>
      <c r="Q1432" s="14">
        <f>O1432-273.15</f>
        <v/>
      </c>
    </row>
    <row r="1433">
      <c r="A1433" s="9" t="n">
        <v>38320</v>
      </c>
      <c r="B1433" s="7">
        <f>YEAR(A1433)</f>
        <v/>
      </c>
      <c r="C1433" s="7">
        <f>MONTH(A1433)</f>
        <v/>
      </c>
      <c r="D1433" s="10" t="n">
        <v>0</v>
      </c>
      <c r="E1433" s="11" t="n">
        <v>1.847863075</v>
      </c>
      <c r="F1433" s="12" t="n">
        <v>0.001457208625</v>
      </c>
      <c r="G1433" s="11" t="n">
        <v>276.2816811</v>
      </c>
      <c r="H1433" s="13">
        <f>F1433*1000</f>
        <v/>
      </c>
      <c r="I1433" s="14">
        <f>G1433-273.15</f>
        <v/>
      </c>
      <c r="K1433" s="15" t="n">
        <v>2004</v>
      </c>
      <c r="L1433" s="15" t="n">
        <v>12</v>
      </c>
      <c r="M1433" s="15" t="n">
        <v>19</v>
      </c>
      <c r="N1433" s="16" t="n">
        <v>1.091650039e-05</v>
      </c>
      <c r="O1433" s="11" t="n">
        <v>279.6654666</v>
      </c>
      <c r="P1433" s="13">
        <f>N1433*86400</f>
        <v/>
      </c>
      <c r="Q1433" s="14">
        <f>O1433-273.15</f>
        <v/>
      </c>
    </row>
    <row r="1434">
      <c r="A1434" s="9" t="n">
        <v>38321</v>
      </c>
      <c r="B1434" s="7">
        <f>YEAR(A1434)</f>
        <v/>
      </c>
      <c r="C1434" s="7">
        <f>MONTH(A1434)</f>
        <v/>
      </c>
      <c r="D1434" s="10" t="n">
        <v>0</v>
      </c>
      <c r="E1434" s="11" t="n">
        <v>2.46215034</v>
      </c>
      <c r="F1434" s="12" t="n">
        <v>0</v>
      </c>
      <c r="G1434" s="11" t="n">
        <v>277.7060638</v>
      </c>
      <c r="H1434" s="13">
        <f>F1434*1000</f>
        <v/>
      </c>
      <c r="I1434" s="14">
        <f>G1434-273.15</f>
        <v/>
      </c>
      <c r="K1434" s="15" t="n">
        <v>2004</v>
      </c>
      <c r="L1434" s="15" t="n">
        <v>12</v>
      </c>
      <c r="M1434" s="15" t="n">
        <v>20</v>
      </c>
      <c r="N1434" s="16" t="n">
        <v>1.473636117e-05</v>
      </c>
      <c r="O1434" s="11" t="n">
        <v>279.4760389</v>
      </c>
      <c r="P1434" s="13">
        <f>N1434*86400</f>
        <v/>
      </c>
      <c r="Q1434" s="14">
        <f>O1434-273.15</f>
        <v/>
      </c>
    </row>
    <row r="1435">
      <c r="A1435" s="9" t="n">
        <v>38322</v>
      </c>
      <c r="B1435" s="7">
        <f>YEAR(A1435)</f>
        <v/>
      </c>
      <c r="C1435" s="7">
        <f>MONTH(A1435)</f>
        <v/>
      </c>
      <c r="D1435" s="10" t="n">
        <v>0</v>
      </c>
      <c r="E1435" s="11" t="n">
        <v>3.069817103</v>
      </c>
      <c r="F1435" s="12" t="n">
        <v>0</v>
      </c>
      <c r="G1435" s="11" t="n">
        <v>277.9190543</v>
      </c>
      <c r="H1435" s="13">
        <f>F1435*1000</f>
        <v/>
      </c>
      <c r="I1435" s="14">
        <f>G1435-273.15</f>
        <v/>
      </c>
      <c r="K1435" s="15" t="n">
        <v>2004</v>
      </c>
      <c r="L1435" s="15" t="n">
        <v>12</v>
      </c>
      <c r="M1435" s="15" t="n">
        <v>21</v>
      </c>
      <c r="N1435" s="16" t="n">
        <v>0</v>
      </c>
      <c r="O1435" s="11" t="n">
        <v>280.4561422</v>
      </c>
      <c r="P1435" s="13">
        <f>N1435*86400</f>
        <v/>
      </c>
      <c r="Q1435" s="14">
        <f>O1435-273.15</f>
        <v/>
      </c>
    </row>
    <row r="1436">
      <c r="A1436" s="9" t="n">
        <v>38323</v>
      </c>
      <c r="B1436" s="7">
        <f>YEAR(A1436)</f>
        <v/>
      </c>
      <c r="C1436" s="7">
        <f>MONTH(A1436)</f>
        <v/>
      </c>
      <c r="D1436" s="10" t="n">
        <v>0</v>
      </c>
      <c r="E1436" s="11" t="n">
        <v>5.324772022</v>
      </c>
      <c r="F1436" s="12" t="n">
        <v>0</v>
      </c>
      <c r="G1436" s="11" t="n">
        <v>279.3723386</v>
      </c>
      <c r="H1436" s="13">
        <f>F1436*1000</f>
        <v/>
      </c>
      <c r="I1436" s="14">
        <f>G1436-273.15</f>
        <v/>
      </c>
      <c r="K1436" s="15" t="n">
        <v>2004</v>
      </c>
      <c r="L1436" s="15" t="n">
        <v>12</v>
      </c>
      <c r="M1436" s="15" t="n">
        <v>22</v>
      </c>
      <c r="N1436" s="16" t="n">
        <v>0</v>
      </c>
      <c r="O1436" s="11" t="n">
        <v>278.9798505</v>
      </c>
      <c r="P1436" s="13">
        <f>N1436*86400</f>
        <v/>
      </c>
      <c r="Q1436" s="14">
        <f>O1436-273.15</f>
        <v/>
      </c>
    </row>
    <row r="1437">
      <c r="A1437" s="9" t="n">
        <v>38324</v>
      </c>
      <c r="B1437" s="7">
        <f>YEAR(A1437)</f>
        <v/>
      </c>
      <c r="C1437" s="7">
        <f>MONTH(A1437)</f>
        <v/>
      </c>
      <c r="D1437" s="10" t="n">
        <v>0</v>
      </c>
      <c r="E1437" s="11" t="n">
        <v>3.326599108</v>
      </c>
      <c r="F1437" s="12" t="n">
        <v>0.0001295269016</v>
      </c>
      <c r="G1437" s="11" t="n">
        <v>277.8467055</v>
      </c>
      <c r="H1437" s="13">
        <f>F1437*1000</f>
        <v/>
      </c>
      <c r="I1437" s="14">
        <f>G1437-273.15</f>
        <v/>
      </c>
      <c r="K1437" s="15" t="n">
        <v>2004</v>
      </c>
      <c r="L1437" s="15" t="n">
        <v>12</v>
      </c>
      <c r="M1437" s="15" t="n">
        <v>23</v>
      </c>
      <c r="N1437" s="16" t="n">
        <v>3.306552337e-06</v>
      </c>
      <c r="O1437" s="11" t="n">
        <v>279.54766</v>
      </c>
      <c r="P1437" s="13">
        <f>N1437*86400</f>
        <v/>
      </c>
      <c r="Q1437" s="14">
        <f>O1437-273.15</f>
        <v/>
      </c>
    </row>
    <row r="1438">
      <c r="A1438" s="9" t="n">
        <v>38325</v>
      </c>
      <c r="B1438" s="7">
        <f>YEAR(A1438)</f>
        <v/>
      </c>
      <c r="C1438" s="7">
        <f>MONTH(A1438)</f>
        <v/>
      </c>
      <c r="D1438" s="10" t="n">
        <v>0</v>
      </c>
      <c r="E1438" s="11" t="n">
        <v>5.895379404</v>
      </c>
      <c r="F1438" s="12" t="n">
        <v>0</v>
      </c>
      <c r="G1438" s="11" t="n">
        <v>279.7666989</v>
      </c>
      <c r="H1438" s="13">
        <f>F1438*1000</f>
        <v/>
      </c>
      <c r="I1438" s="14">
        <f>G1438-273.15</f>
        <v/>
      </c>
      <c r="K1438" s="15" t="n">
        <v>2004</v>
      </c>
      <c r="L1438" s="15" t="n">
        <v>12</v>
      </c>
      <c r="M1438" s="15" t="n">
        <v>24</v>
      </c>
      <c r="N1438" s="16" t="n">
        <v>0</v>
      </c>
      <c r="O1438" s="11" t="n">
        <v>279.2992969</v>
      </c>
      <c r="P1438" s="13">
        <f>N1438*86400</f>
        <v/>
      </c>
      <c r="Q1438" s="14">
        <f>O1438-273.15</f>
        <v/>
      </c>
    </row>
    <row r="1439">
      <c r="A1439" s="9" t="n">
        <v>38326</v>
      </c>
      <c r="B1439" s="7">
        <f>YEAR(A1439)</f>
        <v/>
      </c>
      <c r="C1439" s="7">
        <f>MONTH(A1439)</f>
        <v/>
      </c>
      <c r="D1439" s="10" t="n">
        <v>0</v>
      </c>
      <c r="E1439" s="11" t="n">
        <v>4.573449459</v>
      </c>
      <c r="F1439" s="12" t="n">
        <v>0.001359256262</v>
      </c>
      <c r="G1439" s="11" t="n">
        <v>280.4047766</v>
      </c>
      <c r="H1439" s="13">
        <f>F1439*1000</f>
        <v/>
      </c>
      <c r="I1439" s="14">
        <f>G1439-273.15</f>
        <v/>
      </c>
      <c r="K1439" s="15" t="n">
        <v>2004</v>
      </c>
      <c r="L1439" s="15" t="n">
        <v>12</v>
      </c>
      <c r="M1439" s="15" t="n">
        <v>25</v>
      </c>
      <c r="N1439" s="16" t="n">
        <v>0</v>
      </c>
      <c r="O1439" s="11" t="n">
        <v>281.5134926</v>
      </c>
      <c r="P1439" s="13">
        <f>N1439*86400</f>
        <v/>
      </c>
      <c r="Q1439" s="14">
        <f>O1439-273.15</f>
        <v/>
      </c>
    </row>
    <row r="1440">
      <c r="A1440" s="9" t="n">
        <v>38327</v>
      </c>
      <c r="B1440" s="7">
        <f>YEAR(A1440)</f>
        <v/>
      </c>
      <c r="C1440" s="7">
        <f>MONTH(A1440)</f>
        <v/>
      </c>
      <c r="D1440" s="10" t="n">
        <v>0</v>
      </c>
      <c r="E1440" s="11" t="n">
        <v>5.049634195</v>
      </c>
      <c r="F1440" s="12" t="n">
        <v>0.001860933726</v>
      </c>
      <c r="G1440" s="11" t="n">
        <v>280.6384919</v>
      </c>
      <c r="H1440" s="13">
        <f>F1440*1000</f>
        <v/>
      </c>
      <c r="I1440" s="14">
        <f>G1440-273.15</f>
        <v/>
      </c>
      <c r="K1440" s="15" t="n">
        <v>2004</v>
      </c>
      <c r="L1440" s="15" t="n">
        <v>12</v>
      </c>
      <c r="M1440" s="15" t="n">
        <v>26</v>
      </c>
      <c r="N1440" s="16" t="n">
        <v>0</v>
      </c>
      <c r="O1440" s="11" t="n">
        <v>283.1091994</v>
      </c>
      <c r="P1440" s="13">
        <f>N1440*86400</f>
        <v/>
      </c>
      <c r="Q1440" s="14">
        <f>O1440-273.15</f>
        <v/>
      </c>
    </row>
    <row r="1441">
      <c r="A1441" s="9" t="n">
        <v>38328</v>
      </c>
      <c r="B1441" s="7">
        <f>YEAR(A1441)</f>
        <v/>
      </c>
      <c r="C1441" s="7">
        <f>MONTH(A1441)</f>
        <v/>
      </c>
      <c r="D1441" s="10" t="n">
        <v>0</v>
      </c>
      <c r="E1441" s="11" t="n">
        <v>5.524782573</v>
      </c>
      <c r="F1441" s="12" t="n">
        <v>0.0002347939498</v>
      </c>
      <c r="G1441" s="11" t="n">
        <v>280.8102525</v>
      </c>
      <c r="H1441" s="13">
        <f>F1441*1000</f>
        <v/>
      </c>
      <c r="I1441" s="14">
        <f>G1441-273.15</f>
        <v/>
      </c>
      <c r="K1441" s="15" t="n">
        <v>2004</v>
      </c>
      <c r="L1441" s="15" t="n">
        <v>12</v>
      </c>
      <c r="M1441" s="15" t="n">
        <v>27</v>
      </c>
      <c r="N1441" s="16" t="n">
        <v>0</v>
      </c>
      <c r="O1441" s="11" t="n">
        <v>279.7423408</v>
      </c>
      <c r="P1441" s="13">
        <f>N1441*86400</f>
        <v/>
      </c>
      <c r="Q1441" s="14">
        <f>O1441-273.15</f>
        <v/>
      </c>
    </row>
    <row r="1442">
      <c r="A1442" s="9" t="n">
        <v>38329</v>
      </c>
      <c r="B1442" s="7">
        <f>YEAR(A1442)</f>
        <v/>
      </c>
      <c r="C1442" s="7">
        <f>MONTH(A1442)</f>
        <v/>
      </c>
      <c r="D1442" s="10" t="n">
        <v>0</v>
      </c>
      <c r="E1442" s="11" t="n">
        <v>3.104807633</v>
      </c>
      <c r="F1442" s="12" t="n">
        <v>0</v>
      </c>
      <c r="G1442" s="11" t="n">
        <v>278.4312963</v>
      </c>
      <c r="H1442" s="13">
        <f>F1442*1000</f>
        <v/>
      </c>
      <c r="I1442" s="14">
        <f>G1442-273.15</f>
        <v/>
      </c>
      <c r="K1442" s="15" t="n">
        <v>2004</v>
      </c>
      <c r="L1442" s="15" t="n">
        <v>12</v>
      </c>
      <c r="M1442" s="15" t="n">
        <v>28</v>
      </c>
      <c r="N1442" s="16" t="n">
        <v>0</v>
      </c>
      <c r="O1442" s="11" t="n">
        <v>280.1664391</v>
      </c>
      <c r="P1442" s="13">
        <f>N1442*86400</f>
        <v/>
      </c>
      <c r="Q1442" s="14">
        <f>O1442-273.15</f>
        <v/>
      </c>
    </row>
    <row r="1443">
      <c r="A1443" s="9" t="n">
        <v>38330</v>
      </c>
      <c r="B1443" s="7">
        <f>YEAR(A1443)</f>
        <v/>
      </c>
      <c r="C1443" s="7">
        <f>MONTH(A1443)</f>
        <v/>
      </c>
      <c r="D1443" s="10" t="n">
        <v>0</v>
      </c>
      <c r="E1443" s="11" t="n">
        <v>5.319711724</v>
      </c>
      <c r="F1443" s="12" t="n">
        <v>0</v>
      </c>
      <c r="G1443" s="11" t="n">
        <v>279.4472379</v>
      </c>
      <c r="H1443" s="13">
        <f>F1443*1000</f>
        <v/>
      </c>
      <c r="I1443" s="14">
        <f>G1443-273.15</f>
        <v/>
      </c>
      <c r="K1443" s="15" t="n">
        <v>2004</v>
      </c>
      <c r="L1443" s="15" t="n">
        <v>12</v>
      </c>
      <c r="M1443" s="15" t="n">
        <v>29</v>
      </c>
      <c r="N1443" s="16" t="n">
        <v>0</v>
      </c>
      <c r="O1443" s="11" t="n">
        <v>282.112826</v>
      </c>
      <c r="P1443" s="13">
        <f>N1443*86400</f>
        <v/>
      </c>
      <c r="Q1443" s="14">
        <f>O1443-273.15</f>
        <v/>
      </c>
    </row>
    <row r="1444">
      <c r="A1444" s="9" t="n">
        <v>38331</v>
      </c>
      <c r="B1444" s="7">
        <f>YEAR(A1444)</f>
        <v/>
      </c>
      <c r="C1444" s="7">
        <f>MONTH(A1444)</f>
        <v/>
      </c>
      <c r="D1444" s="10" t="n">
        <v>0</v>
      </c>
      <c r="E1444" s="11" t="n">
        <v>5.065808383</v>
      </c>
      <c r="F1444" s="12" t="n">
        <v>0</v>
      </c>
      <c r="G1444" s="11" t="n">
        <v>279.6685115</v>
      </c>
      <c r="H1444" s="13">
        <f>F1444*1000</f>
        <v/>
      </c>
      <c r="I1444" s="14">
        <f>G1444-273.15</f>
        <v/>
      </c>
      <c r="K1444" s="15" t="n">
        <v>2004</v>
      </c>
      <c r="L1444" s="15" t="n">
        <v>12</v>
      </c>
      <c r="M1444" s="15" t="n">
        <v>30</v>
      </c>
      <c r="N1444" s="16" t="n">
        <v>0</v>
      </c>
      <c r="O1444" s="11" t="n">
        <v>283.4319205</v>
      </c>
      <c r="P1444" s="13">
        <f>N1444*86400</f>
        <v/>
      </c>
      <c r="Q1444" s="14">
        <f>O1444-273.15</f>
        <v/>
      </c>
    </row>
    <row r="1445">
      <c r="A1445" s="9" t="n">
        <v>38332</v>
      </c>
      <c r="B1445" s="7">
        <f>YEAR(A1445)</f>
        <v/>
      </c>
      <c r="C1445" s="7">
        <f>MONTH(A1445)</f>
        <v/>
      </c>
      <c r="D1445" s="10" t="n">
        <v>0</v>
      </c>
      <c r="E1445" s="11" t="n">
        <v>3.266680875</v>
      </c>
      <c r="F1445" s="12" t="n">
        <v>0</v>
      </c>
      <c r="G1445" s="11" t="n">
        <v>278.396797</v>
      </c>
      <c r="H1445" s="13">
        <f>F1445*1000</f>
        <v/>
      </c>
      <c r="I1445" s="14">
        <f>G1445-273.15</f>
        <v/>
      </c>
      <c r="K1445" s="15" t="n">
        <v>2005</v>
      </c>
      <c r="L1445" s="15" t="n">
        <v>1</v>
      </c>
      <c r="M1445" s="15" t="n">
        <v>1</v>
      </c>
      <c r="N1445" s="16" t="n">
        <v>0</v>
      </c>
      <c r="O1445" s="11" t="n">
        <v>280.6307843</v>
      </c>
      <c r="P1445" s="13">
        <f>N1445*86400</f>
        <v/>
      </c>
      <c r="Q1445" s="14">
        <f>O1445-273.15</f>
        <v/>
      </c>
    </row>
    <row r="1446">
      <c r="A1446" s="9" t="n">
        <v>38333</v>
      </c>
      <c r="B1446" s="7">
        <f>YEAR(A1446)</f>
        <v/>
      </c>
      <c r="C1446" s="7">
        <f>MONTH(A1446)</f>
        <v/>
      </c>
      <c r="D1446" s="10" t="n">
        <v>0</v>
      </c>
      <c r="E1446" s="11" t="n">
        <v>2.705164683</v>
      </c>
      <c r="F1446" s="12" t="n">
        <v>0.0001908083803</v>
      </c>
      <c r="G1446" s="11" t="n">
        <v>277.7039588</v>
      </c>
      <c r="H1446" s="13">
        <f>F1446*1000</f>
        <v/>
      </c>
      <c r="I1446" s="14">
        <f>G1446-273.15</f>
        <v/>
      </c>
      <c r="K1446" s="15" t="n">
        <v>2005</v>
      </c>
      <c r="L1446" s="15" t="n">
        <v>1</v>
      </c>
      <c r="M1446" s="15" t="n">
        <v>2</v>
      </c>
      <c r="N1446" s="16" t="n">
        <v>2.301414407e-07</v>
      </c>
      <c r="O1446" s="11" t="n">
        <v>281.0204209</v>
      </c>
      <c r="P1446" s="13">
        <f>N1446*86400</f>
        <v/>
      </c>
      <c r="Q1446" s="14">
        <f>O1446-273.15</f>
        <v/>
      </c>
    </row>
    <row r="1447">
      <c r="A1447" s="9" t="n">
        <v>38334</v>
      </c>
      <c r="B1447" s="7">
        <f>YEAR(A1447)</f>
        <v/>
      </c>
      <c r="C1447" s="7">
        <f>MONTH(A1447)</f>
        <v/>
      </c>
      <c r="D1447" s="10" t="n">
        <v>0</v>
      </c>
      <c r="E1447" s="11" t="n">
        <v>1.485427592</v>
      </c>
      <c r="F1447" s="12" t="n">
        <v>0</v>
      </c>
      <c r="G1447" s="11" t="n">
        <v>276.9066375</v>
      </c>
      <c r="H1447" s="13">
        <f>F1447*1000</f>
        <v/>
      </c>
      <c r="I1447" s="14">
        <f>G1447-273.15</f>
        <v/>
      </c>
      <c r="K1447" s="15" t="n">
        <v>2005</v>
      </c>
      <c r="L1447" s="15" t="n">
        <v>1</v>
      </c>
      <c r="M1447" s="15" t="n">
        <v>3</v>
      </c>
      <c r="N1447" s="16" t="n">
        <v>4.618611251e-08</v>
      </c>
      <c r="O1447" s="11" t="n">
        <v>282.6092433</v>
      </c>
      <c r="P1447" s="13">
        <f>N1447*86400</f>
        <v/>
      </c>
      <c r="Q1447" s="14">
        <f>O1447-273.15</f>
        <v/>
      </c>
    </row>
    <row r="1448">
      <c r="A1448" s="9" t="n">
        <v>38335</v>
      </c>
      <c r="B1448" s="7">
        <f>YEAR(A1448)</f>
        <v/>
      </c>
      <c r="C1448" s="7">
        <f>MONTH(A1448)</f>
        <v/>
      </c>
      <c r="D1448" s="10" t="n">
        <v>0</v>
      </c>
      <c r="E1448" s="11" t="n">
        <v>3.919072843</v>
      </c>
      <c r="F1448" s="12" t="n">
        <v>0</v>
      </c>
      <c r="G1448" s="11" t="n">
        <v>278.2817251</v>
      </c>
      <c r="H1448" s="13">
        <f>F1448*1000</f>
        <v/>
      </c>
      <c r="I1448" s="14">
        <f>G1448-273.15</f>
        <v/>
      </c>
      <c r="K1448" s="15" t="n">
        <v>2005</v>
      </c>
      <c r="L1448" s="15" t="n">
        <v>1</v>
      </c>
      <c r="M1448" s="15" t="n">
        <v>4</v>
      </c>
      <c r="N1448" s="16" t="n">
        <v>3.435333451e-07</v>
      </c>
      <c r="O1448" s="11" t="n">
        <v>281.3778795</v>
      </c>
      <c r="P1448" s="13">
        <f>N1448*86400</f>
        <v/>
      </c>
      <c r="Q1448" s="14">
        <f>O1448-273.15</f>
        <v/>
      </c>
    </row>
    <row r="1449">
      <c r="A1449" s="9" t="n">
        <v>38336</v>
      </c>
      <c r="B1449" s="7">
        <f>YEAR(A1449)</f>
        <v/>
      </c>
      <c r="C1449" s="7">
        <f>MONTH(A1449)</f>
        <v/>
      </c>
      <c r="D1449" s="10" t="n">
        <v>0</v>
      </c>
      <c r="E1449" s="11" t="n">
        <v>1.954001756</v>
      </c>
      <c r="F1449" s="12" t="n">
        <v>0</v>
      </c>
      <c r="G1449" s="11" t="n">
        <v>276.9825818</v>
      </c>
      <c r="H1449" s="13">
        <f>F1449*1000</f>
        <v/>
      </c>
      <c r="I1449" s="14">
        <f>G1449-273.15</f>
        <v/>
      </c>
      <c r="K1449" s="15" t="n">
        <v>2005</v>
      </c>
      <c r="L1449" s="15" t="n">
        <v>1</v>
      </c>
      <c r="M1449" s="15" t="n">
        <v>5</v>
      </c>
      <c r="N1449" s="16" t="n">
        <v>2.058697672e-05</v>
      </c>
      <c r="O1449" s="11" t="n">
        <v>280.7768103</v>
      </c>
      <c r="P1449" s="13">
        <f>N1449*86400</f>
        <v/>
      </c>
      <c r="Q1449" s="14">
        <f>O1449-273.15</f>
        <v/>
      </c>
    </row>
    <row r="1450">
      <c r="A1450" s="9" t="n">
        <v>38337</v>
      </c>
      <c r="B1450" s="7">
        <f>YEAR(A1450)</f>
        <v/>
      </c>
      <c r="C1450" s="7">
        <f>MONTH(A1450)</f>
        <v/>
      </c>
      <c r="D1450" s="10" t="n">
        <v>0</v>
      </c>
      <c r="E1450" s="11" t="n">
        <v>1.373302372</v>
      </c>
      <c r="F1450" s="12" t="n">
        <v>0</v>
      </c>
      <c r="G1450" s="11" t="n">
        <v>277.0334645</v>
      </c>
      <c r="H1450" s="13">
        <f>F1450*1000</f>
        <v/>
      </c>
      <c r="I1450" s="14">
        <f>G1450-273.15</f>
        <v/>
      </c>
      <c r="K1450" s="15" t="n">
        <v>2005</v>
      </c>
      <c r="L1450" s="15" t="n">
        <v>1</v>
      </c>
      <c r="M1450" s="15" t="n">
        <v>6</v>
      </c>
      <c r="N1450" s="16" t="n">
        <v>2.785345127e-08</v>
      </c>
      <c r="O1450" s="11" t="n">
        <v>282.4861034</v>
      </c>
      <c r="P1450" s="13">
        <f>N1450*86400</f>
        <v/>
      </c>
      <c r="Q1450" s="14">
        <f>O1450-273.15</f>
        <v/>
      </c>
    </row>
    <row r="1451">
      <c r="A1451" s="9" t="n">
        <v>38338</v>
      </c>
      <c r="B1451" s="7">
        <f>YEAR(A1451)</f>
        <v/>
      </c>
      <c r="C1451" s="7">
        <f>MONTH(A1451)</f>
        <v/>
      </c>
      <c r="D1451" s="10" t="n">
        <v>0</v>
      </c>
      <c r="E1451" s="11" t="n">
        <v>4.482543653</v>
      </c>
      <c r="F1451" s="12" t="n">
        <v>0</v>
      </c>
      <c r="G1451" s="11" t="n">
        <v>279.6469912</v>
      </c>
      <c r="H1451" s="13">
        <f>F1451*1000</f>
        <v/>
      </c>
      <c r="I1451" s="14">
        <f>G1451-273.15</f>
        <v/>
      </c>
      <c r="K1451" s="15" t="n">
        <v>2005</v>
      </c>
      <c r="L1451" s="15" t="n">
        <v>1</v>
      </c>
      <c r="M1451" s="15" t="n">
        <v>7</v>
      </c>
      <c r="N1451" s="16" t="n">
        <v>0</v>
      </c>
      <c r="O1451" s="11" t="n">
        <v>283.5625949</v>
      </c>
      <c r="P1451" s="13">
        <f>N1451*86400</f>
        <v/>
      </c>
      <c r="Q1451" s="14">
        <f>O1451-273.15</f>
        <v/>
      </c>
    </row>
    <row r="1452">
      <c r="A1452" s="9" t="n">
        <v>38339</v>
      </c>
      <c r="B1452" s="7">
        <f>YEAR(A1452)</f>
        <v/>
      </c>
      <c r="C1452" s="7">
        <f>MONTH(A1452)</f>
        <v/>
      </c>
      <c r="D1452" s="10" t="n">
        <v>0</v>
      </c>
      <c r="E1452" s="11" t="n">
        <v>4.49152814</v>
      </c>
      <c r="F1452" s="12" t="n">
        <v>0.0004269266345</v>
      </c>
      <c r="G1452" s="11" t="n">
        <v>278.9787412</v>
      </c>
      <c r="H1452" s="13">
        <f>F1452*1000</f>
        <v/>
      </c>
      <c r="I1452" s="14">
        <f>G1452-273.15</f>
        <v/>
      </c>
      <c r="K1452" s="15" t="n">
        <v>2005</v>
      </c>
      <c r="L1452" s="15" t="n">
        <v>1</v>
      </c>
      <c r="M1452" s="15" t="n">
        <v>8</v>
      </c>
      <c r="N1452" s="16" t="n">
        <v>0</v>
      </c>
      <c r="O1452" s="11" t="n">
        <v>282.3545323</v>
      </c>
      <c r="P1452" s="13">
        <f>N1452*86400</f>
        <v/>
      </c>
      <c r="Q1452" s="14">
        <f>O1452-273.15</f>
        <v/>
      </c>
    </row>
    <row r="1453">
      <c r="A1453" s="9" t="n">
        <v>38340</v>
      </c>
      <c r="B1453" s="7">
        <f>YEAR(A1453)</f>
        <v/>
      </c>
      <c r="C1453" s="7">
        <f>MONTH(A1453)</f>
        <v/>
      </c>
      <c r="D1453" s="10" t="n">
        <v>0</v>
      </c>
      <c r="E1453" s="11" t="n">
        <v>4.200989749</v>
      </c>
      <c r="F1453" s="12" t="n">
        <v>0</v>
      </c>
      <c r="G1453" s="11" t="n">
        <v>278.6963168</v>
      </c>
      <c r="H1453" s="13">
        <f>F1453*1000</f>
        <v/>
      </c>
      <c r="I1453" s="14">
        <f>G1453-273.15</f>
        <v/>
      </c>
      <c r="K1453" s="15" t="n">
        <v>2005</v>
      </c>
      <c r="L1453" s="15" t="n">
        <v>1</v>
      </c>
      <c r="M1453" s="15" t="n">
        <v>9</v>
      </c>
      <c r="N1453" s="16" t="n">
        <v>1.55398231e-05</v>
      </c>
      <c r="O1453" s="11" t="n">
        <v>282.1561069</v>
      </c>
      <c r="P1453" s="13">
        <f>N1453*86400</f>
        <v/>
      </c>
      <c r="Q1453" s="14">
        <f>O1453-273.15</f>
        <v/>
      </c>
    </row>
    <row r="1454">
      <c r="A1454" s="9" t="n">
        <v>38341</v>
      </c>
      <c r="B1454" s="7">
        <f>YEAR(A1454)</f>
        <v/>
      </c>
      <c r="C1454" s="7">
        <f>MONTH(A1454)</f>
        <v/>
      </c>
      <c r="D1454" s="10" t="n">
        <v>0</v>
      </c>
      <c r="E1454" s="11" t="n">
        <v>3.611510135</v>
      </c>
      <c r="F1454" s="12" t="n">
        <v>0</v>
      </c>
      <c r="G1454" s="11" t="n">
        <v>278.6036738</v>
      </c>
      <c r="H1454" s="13">
        <f>F1454*1000</f>
        <v/>
      </c>
      <c r="I1454" s="14">
        <f>G1454-273.15</f>
        <v/>
      </c>
      <c r="K1454" s="15" t="n">
        <v>2005</v>
      </c>
      <c r="L1454" s="15" t="n">
        <v>1</v>
      </c>
      <c r="M1454" s="15" t="n">
        <v>10</v>
      </c>
      <c r="N1454" s="16" t="n">
        <v>1.163455448e-06</v>
      </c>
      <c r="O1454" s="11" t="n">
        <v>281.7137207</v>
      </c>
      <c r="P1454" s="13">
        <f>N1454*86400</f>
        <v/>
      </c>
      <c r="Q1454" s="14">
        <f>O1454-273.15</f>
        <v/>
      </c>
    </row>
    <row r="1455">
      <c r="A1455" s="9" t="n">
        <v>38342</v>
      </c>
      <c r="B1455" s="7">
        <f>YEAR(A1455)</f>
        <v/>
      </c>
      <c r="C1455" s="7">
        <f>MONTH(A1455)</f>
        <v/>
      </c>
      <c r="D1455" s="10" t="n">
        <v>0</v>
      </c>
      <c r="E1455" s="11" t="n">
        <v>3.604666366</v>
      </c>
      <c r="F1455" s="12" t="n">
        <v>0</v>
      </c>
      <c r="G1455" s="11" t="n">
        <v>278.7037565</v>
      </c>
      <c r="H1455" s="13">
        <f>F1455*1000</f>
        <v/>
      </c>
      <c r="I1455" s="14">
        <f>G1455-273.15</f>
        <v/>
      </c>
      <c r="K1455" s="15" t="n">
        <v>2005</v>
      </c>
      <c r="L1455" s="15" t="n">
        <v>1</v>
      </c>
      <c r="M1455" s="15" t="n">
        <v>11</v>
      </c>
      <c r="N1455" s="16" t="n">
        <v>1.067142415e-05</v>
      </c>
      <c r="O1455" s="11" t="n">
        <v>281.4111061</v>
      </c>
      <c r="P1455" s="13">
        <f>N1455*86400</f>
        <v/>
      </c>
      <c r="Q1455" s="14">
        <f>O1455-273.15</f>
        <v/>
      </c>
    </row>
    <row r="1456">
      <c r="A1456" s="9" t="n">
        <v>38343</v>
      </c>
      <c r="B1456" s="7">
        <f>YEAR(A1456)</f>
        <v/>
      </c>
      <c r="C1456" s="7">
        <f>MONTH(A1456)</f>
        <v/>
      </c>
      <c r="D1456" s="10" t="n">
        <v>0</v>
      </c>
      <c r="E1456" s="11" t="n">
        <v>3.489610151</v>
      </c>
      <c r="F1456" s="12" t="n">
        <v>0.0001274390612</v>
      </c>
      <c r="G1456" s="11" t="n">
        <v>278.6618777</v>
      </c>
      <c r="H1456" s="13">
        <f>F1456*1000</f>
        <v/>
      </c>
      <c r="I1456" s="14">
        <f>G1456-273.15</f>
        <v/>
      </c>
      <c r="K1456" s="15" t="n">
        <v>2005</v>
      </c>
      <c r="L1456" s="15" t="n">
        <v>1</v>
      </c>
      <c r="M1456" s="15" t="n">
        <v>12</v>
      </c>
      <c r="N1456" s="16" t="n">
        <v>0</v>
      </c>
      <c r="O1456" s="11" t="n">
        <v>280.1207726</v>
      </c>
      <c r="P1456" s="13">
        <f>N1456*86400</f>
        <v/>
      </c>
      <c r="Q1456" s="14">
        <f>O1456-273.15</f>
        <v/>
      </c>
    </row>
    <row r="1457">
      <c r="A1457" s="9" t="n">
        <v>38344</v>
      </c>
      <c r="B1457" s="7">
        <f>YEAR(A1457)</f>
        <v/>
      </c>
      <c r="C1457" s="7">
        <f>MONTH(A1457)</f>
        <v/>
      </c>
      <c r="D1457" s="10" t="n">
        <v>0</v>
      </c>
      <c r="E1457" s="11" t="n">
        <v>4.524801422</v>
      </c>
      <c r="F1457" s="12" t="n">
        <v>0</v>
      </c>
      <c r="G1457" s="11" t="n">
        <v>279.9904154</v>
      </c>
      <c r="H1457" s="13">
        <f>F1457*1000</f>
        <v/>
      </c>
      <c r="I1457" s="14">
        <f>G1457-273.15</f>
        <v/>
      </c>
      <c r="K1457" s="15" t="n">
        <v>2005</v>
      </c>
      <c r="L1457" s="15" t="n">
        <v>1</v>
      </c>
      <c r="M1457" s="15" t="n">
        <v>13</v>
      </c>
      <c r="N1457" s="16" t="n">
        <v>6.408296787e-07</v>
      </c>
      <c r="O1457" s="11" t="n">
        <v>279.4469975</v>
      </c>
      <c r="P1457" s="13">
        <f>N1457*86400</f>
        <v/>
      </c>
      <c r="Q1457" s="14">
        <f>O1457-273.15</f>
        <v/>
      </c>
    </row>
    <row r="1458">
      <c r="A1458" s="9" t="n">
        <v>38345</v>
      </c>
      <c r="B1458" s="7">
        <f>YEAR(A1458)</f>
        <v/>
      </c>
      <c r="C1458" s="7">
        <f>MONTH(A1458)</f>
        <v/>
      </c>
      <c r="D1458" s="10" t="n">
        <v>0</v>
      </c>
      <c r="E1458" s="11" t="n">
        <v>4.527953307</v>
      </c>
      <c r="F1458" s="12" t="n">
        <v>0</v>
      </c>
      <c r="G1458" s="11" t="n">
        <v>280.8071182</v>
      </c>
      <c r="H1458" s="13">
        <f>F1458*1000</f>
        <v/>
      </c>
      <c r="I1458" s="14">
        <f>G1458-273.15</f>
        <v/>
      </c>
      <c r="K1458" s="15" t="n">
        <v>2005</v>
      </c>
      <c r="L1458" s="15" t="n">
        <v>1</v>
      </c>
      <c r="M1458" s="15" t="n">
        <v>14</v>
      </c>
      <c r="N1458" s="16" t="n">
        <v>3.47522637e-07</v>
      </c>
      <c r="O1458" s="11" t="n">
        <v>279.8668948</v>
      </c>
      <c r="P1458" s="13">
        <f>N1458*86400</f>
        <v/>
      </c>
      <c r="Q1458" s="14">
        <f>O1458-273.15</f>
        <v/>
      </c>
    </row>
    <row r="1459">
      <c r="A1459" s="9" t="n">
        <v>38346</v>
      </c>
      <c r="B1459" s="7">
        <f>YEAR(A1459)</f>
        <v/>
      </c>
      <c r="C1459" s="7">
        <f>MONTH(A1459)</f>
        <v/>
      </c>
      <c r="D1459" s="10" t="n">
        <v>0</v>
      </c>
      <c r="E1459" s="11" t="n">
        <v>6.696378442</v>
      </c>
      <c r="F1459" s="12" t="n">
        <v>0</v>
      </c>
      <c r="G1459" s="11" t="n">
        <v>281.7508072</v>
      </c>
      <c r="H1459" s="13">
        <f>F1459*1000</f>
        <v/>
      </c>
      <c r="I1459" s="14">
        <f>G1459-273.15</f>
        <v/>
      </c>
      <c r="K1459" s="15" t="n">
        <v>2005</v>
      </c>
      <c r="L1459" s="15" t="n">
        <v>1</v>
      </c>
      <c r="M1459" s="15" t="n">
        <v>15</v>
      </c>
      <c r="N1459" s="16" t="n">
        <v>0</v>
      </c>
      <c r="O1459" s="11" t="n">
        <v>279.4334797</v>
      </c>
      <c r="P1459" s="13">
        <f>N1459*86400</f>
        <v/>
      </c>
      <c r="Q1459" s="14">
        <f>O1459-273.15</f>
        <v/>
      </c>
    </row>
    <row r="1460">
      <c r="A1460" s="9" t="n">
        <v>38347</v>
      </c>
      <c r="B1460" s="7">
        <f>YEAR(A1460)</f>
        <v/>
      </c>
      <c r="C1460" s="7">
        <f>MONTH(A1460)</f>
        <v/>
      </c>
      <c r="D1460" s="10" t="n">
        <v>0</v>
      </c>
      <c r="E1460" s="11" t="n">
        <v>6.038319438</v>
      </c>
      <c r="F1460" s="12" t="n">
        <v>0</v>
      </c>
      <c r="G1460" s="11" t="n">
        <v>281.5482329</v>
      </c>
      <c r="H1460" s="13">
        <f>F1460*1000</f>
        <v/>
      </c>
      <c r="I1460" s="14">
        <f>G1460-273.15</f>
        <v/>
      </c>
      <c r="K1460" s="15" t="n">
        <v>2005</v>
      </c>
      <c r="L1460" s="15" t="n">
        <v>1</v>
      </c>
      <c r="M1460" s="15" t="n">
        <v>16</v>
      </c>
      <c r="N1460" s="16" t="n">
        <v>7.024714537e-06</v>
      </c>
      <c r="O1460" s="11" t="n">
        <v>280.7814969</v>
      </c>
      <c r="P1460" s="13">
        <f>N1460*86400</f>
        <v/>
      </c>
      <c r="Q1460" s="14">
        <f>O1460-273.15</f>
        <v/>
      </c>
    </row>
    <row r="1461">
      <c r="A1461" s="9" t="n">
        <v>38348</v>
      </c>
      <c r="B1461" s="7">
        <f>YEAR(A1461)</f>
        <v/>
      </c>
      <c r="C1461" s="7">
        <f>MONTH(A1461)</f>
        <v/>
      </c>
      <c r="D1461" s="10" t="n">
        <v>0</v>
      </c>
      <c r="E1461" s="11" t="n">
        <v>5.458830462</v>
      </c>
      <c r="F1461" s="12" t="n">
        <v>5.823518622e-05</v>
      </c>
      <c r="G1461" s="11" t="n">
        <v>281.0907761</v>
      </c>
      <c r="H1461" s="13">
        <f>F1461*1000</f>
        <v/>
      </c>
      <c r="I1461" s="14">
        <f>G1461-273.15</f>
        <v/>
      </c>
      <c r="K1461" s="15" t="n">
        <v>2005</v>
      </c>
      <c r="L1461" s="15" t="n">
        <v>1</v>
      </c>
      <c r="M1461" s="15" t="n">
        <v>17</v>
      </c>
      <c r="N1461" s="16" t="n">
        <v>0</v>
      </c>
      <c r="O1461" s="11" t="n">
        <v>282.6097449</v>
      </c>
      <c r="P1461" s="13">
        <f>N1461*86400</f>
        <v/>
      </c>
      <c r="Q1461" s="14">
        <f>O1461-273.15</f>
        <v/>
      </c>
    </row>
    <row r="1462">
      <c r="A1462" s="9" t="n">
        <v>38349</v>
      </c>
      <c r="B1462" s="7">
        <f>YEAR(A1462)</f>
        <v/>
      </c>
      <c r="C1462" s="7">
        <f>MONTH(A1462)</f>
        <v/>
      </c>
      <c r="D1462" s="10" t="n">
        <v>0</v>
      </c>
      <c r="E1462" s="11" t="n">
        <v>6.146322393</v>
      </c>
      <c r="F1462" s="12" t="n">
        <v>0</v>
      </c>
      <c r="G1462" s="11" t="n">
        <v>281.330645</v>
      </c>
      <c r="H1462" s="13">
        <f>F1462*1000</f>
        <v/>
      </c>
      <c r="I1462" s="14">
        <f>G1462-273.15</f>
        <v/>
      </c>
      <c r="K1462" s="15" t="n">
        <v>2005</v>
      </c>
      <c r="L1462" s="15" t="n">
        <v>1</v>
      </c>
      <c r="M1462" s="15" t="n">
        <v>18</v>
      </c>
      <c r="N1462" s="16" t="n">
        <v>0</v>
      </c>
      <c r="O1462" s="11" t="n">
        <v>280.6583192</v>
      </c>
      <c r="P1462" s="13">
        <f>N1462*86400</f>
        <v/>
      </c>
      <c r="Q1462" s="14">
        <f>O1462-273.15</f>
        <v/>
      </c>
    </row>
    <row r="1463">
      <c r="A1463" s="9" t="n">
        <v>38350</v>
      </c>
      <c r="B1463" s="7">
        <f>YEAR(A1463)</f>
        <v/>
      </c>
      <c r="C1463" s="7">
        <f>MONTH(A1463)</f>
        <v/>
      </c>
      <c r="D1463" s="10" t="n">
        <v>0</v>
      </c>
      <c r="E1463" s="11" t="n">
        <v>4.377931545</v>
      </c>
      <c r="F1463" s="12" t="n">
        <v>0</v>
      </c>
      <c r="G1463" s="11" t="n">
        <v>278.6305224</v>
      </c>
      <c r="H1463" s="13">
        <f>F1463*1000</f>
        <v/>
      </c>
      <c r="I1463" s="14">
        <f>G1463-273.15</f>
        <v/>
      </c>
      <c r="K1463" s="15" t="n">
        <v>2005</v>
      </c>
      <c r="L1463" s="15" t="n">
        <v>1</v>
      </c>
      <c r="M1463" s="15" t="n">
        <v>19</v>
      </c>
      <c r="N1463" s="16" t="n">
        <v>1.093744601e-06</v>
      </c>
      <c r="O1463" s="11" t="n">
        <v>281.4662893</v>
      </c>
      <c r="P1463" s="13">
        <f>N1463*86400</f>
        <v/>
      </c>
      <c r="Q1463" s="14">
        <f>O1463-273.15</f>
        <v/>
      </c>
    </row>
    <row r="1464">
      <c r="A1464" s="9" t="n">
        <v>38351</v>
      </c>
      <c r="B1464" s="7">
        <f>YEAR(A1464)</f>
        <v/>
      </c>
      <c r="C1464" s="7">
        <f>MONTH(A1464)</f>
        <v/>
      </c>
      <c r="D1464" s="10" t="n">
        <v>0</v>
      </c>
      <c r="E1464" s="11" t="n">
        <v>3.820516548</v>
      </c>
      <c r="F1464" s="12" t="n">
        <v>0</v>
      </c>
      <c r="G1464" s="11" t="n">
        <v>278.215331</v>
      </c>
      <c r="H1464" s="13">
        <f>F1464*1000</f>
        <v/>
      </c>
      <c r="I1464" s="14">
        <f>G1464-273.15</f>
        <v/>
      </c>
      <c r="K1464" s="15" t="n">
        <v>2005</v>
      </c>
      <c r="L1464" s="15" t="n">
        <v>1</v>
      </c>
      <c r="M1464" s="15" t="n">
        <v>20</v>
      </c>
      <c r="N1464" s="16" t="n">
        <v>0</v>
      </c>
      <c r="O1464" s="11" t="n">
        <v>281.8267884</v>
      </c>
      <c r="P1464" s="13">
        <f>N1464*86400</f>
        <v/>
      </c>
      <c r="Q1464" s="14">
        <f>O1464-273.15</f>
        <v/>
      </c>
    </row>
    <row r="1465">
      <c r="A1465" s="9" t="n">
        <v>38352</v>
      </c>
      <c r="B1465" s="7">
        <f>YEAR(A1465)</f>
        <v/>
      </c>
      <c r="C1465" s="7">
        <f>MONTH(A1465)</f>
        <v/>
      </c>
      <c r="D1465" s="10" t="n">
        <v>0</v>
      </c>
      <c r="E1465" s="11" t="n">
        <v>4.464350099</v>
      </c>
      <c r="F1465" s="12" t="n">
        <v>0</v>
      </c>
      <c r="G1465" s="11" t="n">
        <v>278.8632924</v>
      </c>
      <c r="H1465" s="13">
        <f>F1465*1000</f>
        <v/>
      </c>
      <c r="I1465" s="14">
        <f>G1465-273.15</f>
        <v/>
      </c>
      <c r="K1465" s="15" t="n">
        <v>2005</v>
      </c>
      <c r="L1465" s="15" t="n">
        <v>1</v>
      </c>
      <c r="M1465" s="15" t="n">
        <v>21</v>
      </c>
      <c r="N1465" s="16" t="n">
        <v>0</v>
      </c>
      <c r="O1465" s="11" t="n">
        <v>281.5945127</v>
      </c>
      <c r="P1465" s="13">
        <f>N1465*86400</f>
        <v/>
      </c>
      <c r="Q1465" s="14">
        <f>O1465-273.15</f>
        <v/>
      </c>
    </row>
    <row r="1466">
      <c r="A1466" s="9" t="n">
        <v>38353</v>
      </c>
      <c r="B1466" s="7">
        <f>YEAR(A1466)</f>
        <v/>
      </c>
      <c r="C1466" s="7">
        <f>MONTH(A1466)</f>
        <v/>
      </c>
      <c r="D1466" s="10" t="n">
        <v>0</v>
      </c>
      <c r="E1466" s="11" t="n">
        <v>5.209602703</v>
      </c>
      <c r="F1466" s="12" t="n">
        <v>0</v>
      </c>
      <c r="G1466" s="11" t="n">
        <v>279.0744364</v>
      </c>
      <c r="H1466" s="13">
        <f>F1466*1000</f>
        <v/>
      </c>
      <c r="I1466" s="14">
        <f>G1466-273.15</f>
        <v/>
      </c>
      <c r="K1466" s="15" t="n">
        <v>2005</v>
      </c>
      <c r="L1466" s="15" t="n">
        <v>1</v>
      </c>
      <c r="M1466" s="15" t="n">
        <v>22</v>
      </c>
      <c r="N1466" s="16" t="n">
        <v>2.989795121e-06</v>
      </c>
      <c r="O1466" s="11" t="n">
        <v>281.64055</v>
      </c>
      <c r="P1466" s="13">
        <f>N1466*86400</f>
        <v/>
      </c>
      <c r="Q1466" s="14">
        <f>O1466-273.15</f>
        <v/>
      </c>
    </row>
    <row r="1467">
      <c r="A1467" s="9" t="n">
        <v>38354</v>
      </c>
      <c r="B1467" s="7">
        <f>YEAR(A1467)</f>
        <v/>
      </c>
      <c r="C1467" s="7">
        <f>MONTH(A1467)</f>
        <v/>
      </c>
      <c r="D1467" s="10" t="n">
        <v>0</v>
      </c>
      <c r="E1467" s="11" t="n">
        <v>2.466353338</v>
      </c>
      <c r="F1467" s="12" t="n">
        <v>0</v>
      </c>
      <c r="G1467" s="11" t="n">
        <v>277.8567564</v>
      </c>
      <c r="H1467" s="13">
        <f>F1467*1000</f>
        <v/>
      </c>
      <c r="I1467" s="14">
        <f>G1467-273.15</f>
        <v/>
      </c>
      <c r="K1467" s="15" t="n">
        <v>2005</v>
      </c>
      <c r="L1467" s="15" t="n">
        <v>1</v>
      </c>
      <c r="M1467" s="15" t="n">
        <v>23</v>
      </c>
      <c r="N1467" s="16" t="n">
        <v>1.934724978e-06</v>
      </c>
      <c r="O1467" s="11" t="n">
        <v>281.629766</v>
      </c>
      <c r="P1467" s="13">
        <f>N1467*86400</f>
        <v/>
      </c>
      <c r="Q1467" s="14">
        <f>O1467-273.15</f>
        <v/>
      </c>
    </row>
    <row r="1468">
      <c r="A1468" s="9" t="n">
        <v>38355</v>
      </c>
      <c r="B1468" s="7">
        <f>YEAR(A1468)</f>
        <v/>
      </c>
      <c r="C1468" s="7">
        <f>MONTH(A1468)</f>
        <v/>
      </c>
      <c r="D1468" s="10" t="n">
        <v>0</v>
      </c>
      <c r="E1468" s="11" t="n">
        <v>3.237985327</v>
      </c>
      <c r="F1468" s="12" t="n">
        <v>2.019974485e-05</v>
      </c>
      <c r="G1468" s="11" t="n">
        <v>279.3811256</v>
      </c>
      <c r="H1468" s="13">
        <f>F1468*1000</f>
        <v/>
      </c>
      <c r="I1468" s="14">
        <f>G1468-273.15</f>
        <v/>
      </c>
      <c r="K1468" s="15" t="n">
        <v>2005</v>
      </c>
      <c r="L1468" s="15" t="n">
        <v>1</v>
      </c>
      <c r="M1468" s="15" t="n">
        <v>24</v>
      </c>
      <c r="N1468" s="16" t="n">
        <v>0</v>
      </c>
      <c r="O1468" s="11" t="n">
        <v>281.307691</v>
      </c>
      <c r="P1468" s="13">
        <f>N1468*86400</f>
        <v/>
      </c>
      <c r="Q1468" s="14">
        <f>O1468-273.15</f>
        <v/>
      </c>
    </row>
    <row r="1469">
      <c r="A1469" s="9" t="n">
        <v>38356</v>
      </c>
      <c r="B1469" s="7">
        <f>YEAR(A1469)</f>
        <v/>
      </c>
      <c r="C1469" s="7">
        <f>MONTH(A1469)</f>
        <v/>
      </c>
      <c r="D1469" s="10" t="n">
        <v>0</v>
      </c>
      <c r="E1469" s="11" t="n">
        <v>3.464185682</v>
      </c>
      <c r="F1469" s="12" t="n">
        <v>0</v>
      </c>
      <c r="G1469" s="11" t="n">
        <v>279.679377</v>
      </c>
      <c r="H1469" s="13">
        <f>F1469*1000</f>
        <v/>
      </c>
      <c r="I1469" s="14">
        <f>G1469-273.15</f>
        <v/>
      </c>
      <c r="K1469" s="15" t="n">
        <v>2005</v>
      </c>
      <c r="L1469" s="15" t="n">
        <v>1</v>
      </c>
      <c r="M1469" s="15" t="n">
        <v>25</v>
      </c>
      <c r="N1469" s="16" t="n">
        <v>0</v>
      </c>
      <c r="O1469" s="11" t="n">
        <v>281.5971538</v>
      </c>
      <c r="P1469" s="13">
        <f>N1469*86400</f>
        <v/>
      </c>
      <c r="Q1469" s="14">
        <f>O1469-273.15</f>
        <v/>
      </c>
    </row>
    <row r="1470">
      <c r="A1470" s="9" t="n">
        <v>38357</v>
      </c>
      <c r="B1470" s="7">
        <f>YEAR(A1470)</f>
        <v/>
      </c>
      <c r="C1470" s="7">
        <f>MONTH(A1470)</f>
        <v/>
      </c>
      <c r="D1470" s="10" t="n">
        <v>0</v>
      </c>
      <c r="E1470" s="11" t="n">
        <v>2.664971763</v>
      </c>
      <c r="F1470" s="12" t="n">
        <v>0</v>
      </c>
      <c r="G1470" s="11" t="n">
        <v>277.7276748</v>
      </c>
      <c r="H1470" s="13">
        <f>F1470*1000</f>
        <v/>
      </c>
      <c r="I1470" s="14">
        <f>G1470-273.15</f>
        <v/>
      </c>
      <c r="K1470" s="15" t="n">
        <v>2005</v>
      </c>
      <c r="L1470" s="15" t="n">
        <v>1</v>
      </c>
      <c r="M1470" s="15" t="n">
        <v>26</v>
      </c>
      <c r="N1470" s="16" t="n">
        <v>0</v>
      </c>
      <c r="O1470" s="11" t="n">
        <v>283.725863</v>
      </c>
      <c r="P1470" s="13">
        <f>N1470*86400</f>
        <v/>
      </c>
      <c r="Q1470" s="14">
        <f>O1470-273.15</f>
        <v/>
      </c>
    </row>
    <row r="1471">
      <c r="A1471" s="9" t="n">
        <v>38358</v>
      </c>
      <c r="B1471" s="7">
        <f>YEAR(A1471)</f>
        <v/>
      </c>
      <c r="C1471" s="7">
        <f>MONTH(A1471)</f>
        <v/>
      </c>
      <c r="D1471" s="10" t="n">
        <v>0</v>
      </c>
      <c r="E1471" s="11" t="n">
        <v>2.592103502</v>
      </c>
      <c r="F1471" s="12" t="n">
        <v>0.001817273825</v>
      </c>
      <c r="G1471" s="11" t="n">
        <v>277.422612</v>
      </c>
      <c r="H1471" s="13">
        <f>F1471*1000</f>
        <v/>
      </c>
      <c r="I1471" s="14">
        <f>G1471-273.15</f>
        <v/>
      </c>
      <c r="K1471" s="15" t="n">
        <v>2005</v>
      </c>
      <c r="L1471" s="15" t="n">
        <v>1</v>
      </c>
      <c r="M1471" s="15" t="n">
        <v>27</v>
      </c>
      <c r="N1471" s="16" t="n">
        <v>0</v>
      </c>
      <c r="O1471" s="11" t="n">
        <v>283.5279841</v>
      </c>
      <c r="P1471" s="13">
        <f>N1471*86400</f>
        <v/>
      </c>
      <c r="Q1471" s="14">
        <f>O1471-273.15</f>
        <v/>
      </c>
    </row>
    <row r="1472">
      <c r="A1472" s="9" t="n">
        <v>38359</v>
      </c>
      <c r="B1472" s="7">
        <f>YEAR(A1472)</f>
        <v/>
      </c>
      <c r="C1472" s="7">
        <f>MONTH(A1472)</f>
        <v/>
      </c>
      <c r="D1472" s="10" t="n">
        <v>0</v>
      </c>
      <c r="E1472" s="11" t="n">
        <v>2.130866133</v>
      </c>
      <c r="F1472" s="12" t="n">
        <v>5.157410217e-05</v>
      </c>
      <c r="G1472" s="11" t="n">
        <v>277.3666001</v>
      </c>
      <c r="H1472" s="13">
        <f>F1472*1000</f>
        <v/>
      </c>
      <c r="I1472" s="14">
        <f>G1472-273.15</f>
        <v/>
      </c>
      <c r="K1472" s="15" t="n">
        <v>2005</v>
      </c>
      <c r="L1472" s="15" t="n">
        <v>1</v>
      </c>
      <c r="M1472" s="15" t="n">
        <v>28</v>
      </c>
      <c r="N1472" s="16" t="n">
        <v>1.428674458e-05</v>
      </c>
      <c r="O1472" s="11" t="n">
        <v>282.0132996</v>
      </c>
      <c r="P1472" s="13">
        <f>N1472*86400</f>
        <v/>
      </c>
      <c r="Q1472" s="14">
        <f>O1472-273.15</f>
        <v/>
      </c>
    </row>
    <row r="1473">
      <c r="A1473" s="9" t="n">
        <v>38360</v>
      </c>
      <c r="B1473" s="7">
        <f>YEAR(A1473)</f>
        <v/>
      </c>
      <c r="C1473" s="7">
        <f>MONTH(A1473)</f>
        <v/>
      </c>
      <c r="D1473" s="10" t="n">
        <v>0</v>
      </c>
      <c r="E1473" s="11" t="n">
        <v>3.245506979</v>
      </c>
      <c r="F1473" s="12" t="n">
        <v>0</v>
      </c>
      <c r="G1473" s="11" t="n">
        <v>278.2025079</v>
      </c>
      <c r="H1473" s="13">
        <f>F1473*1000</f>
        <v/>
      </c>
      <c r="I1473" s="14">
        <f>G1473-273.15</f>
        <v/>
      </c>
      <c r="K1473" s="15" t="n">
        <v>2005</v>
      </c>
      <c r="L1473" s="15" t="n">
        <v>1</v>
      </c>
      <c r="M1473" s="15" t="n">
        <v>29</v>
      </c>
      <c r="N1473" s="16" t="n">
        <v>1.002482799e-05</v>
      </c>
      <c r="O1473" s="11" t="n">
        <v>283.023134</v>
      </c>
      <c r="P1473" s="13">
        <f>N1473*86400</f>
        <v/>
      </c>
      <c r="Q1473" s="14">
        <f>O1473-273.15</f>
        <v/>
      </c>
    </row>
    <row r="1474">
      <c r="A1474" s="9" t="n">
        <v>38361</v>
      </c>
      <c r="B1474" s="7">
        <f>YEAR(A1474)</f>
        <v/>
      </c>
      <c r="C1474" s="7">
        <f>MONTH(A1474)</f>
        <v/>
      </c>
      <c r="D1474" s="10" t="n">
        <v>0</v>
      </c>
      <c r="E1474" s="11" t="n">
        <v>2.444587407</v>
      </c>
      <c r="F1474" s="12" t="n">
        <v>0.001891348011</v>
      </c>
      <c r="G1474" s="11" t="n">
        <v>277.1875495</v>
      </c>
      <c r="H1474" s="13">
        <f>F1474*1000</f>
        <v/>
      </c>
      <c r="I1474" s="14">
        <f>G1474-273.15</f>
        <v/>
      </c>
      <c r="K1474" s="15" t="n">
        <v>2005</v>
      </c>
      <c r="L1474" s="15" t="n">
        <v>1</v>
      </c>
      <c r="M1474" s="15" t="n">
        <v>30</v>
      </c>
      <c r="N1474" s="16" t="n">
        <v>8.422969214e-07</v>
      </c>
      <c r="O1474" s="11" t="n">
        <v>281.5488983</v>
      </c>
      <c r="P1474" s="13">
        <f>N1474*86400</f>
        <v/>
      </c>
      <c r="Q1474" s="14">
        <f>O1474-273.15</f>
        <v/>
      </c>
    </row>
    <row r="1475">
      <c r="A1475" s="9" t="n">
        <v>38362</v>
      </c>
      <c r="B1475" s="7">
        <f>YEAR(A1475)</f>
        <v/>
      </c>
      <c r="C1475" s="7">
        <f>MONTH(A1475)</f>
        <v/>
      </c>
      <c r="D1475" s="10" t="n">
        <v>0</v>
      </c>
      <c r="E1475" s="11" t="n">
        <v>1.044272123</v>
      </c>
      <c r="F1475" s="12" t="n">
        <v>0.0005152882572</v>
      </c>
      <c r="G1475" s="11" t="n">
        <v>276.5699458</v>
      </c>
      <c r="H1475" s="13">
        <f>F1475*1000</f>
        <v/>
      </c>
      <c r="I1475" s="14">
        <f>G1475-273.15</f>
        <v/>
      </c>
      <c r="K1475" s="15" t="n">
        <v>2005</v>
      </c>
      <c r="L1475" s="15" t="n">
        <v>2</v>
      </c>
      <c r="M1475" s="15" t="n">
        <v>1</v>
      </c>
      <c r="N1475" s="16" t="n">
        <v>0</v>
      </c>
      <c r="O1475" s="11" t="n">
        <v>280.9093869</v>
      </c>
      <c r="P1475" s="13">
        <f>N1475*86400</f>
        <v/>
      </c>
      <c r="Q1475" s="14">
        <f>O1475-273.15</f>
        <v/>
      </c>
    </row>
    <row r="1476">
      <c r="A1476" s="9" t="n">
        <v>38363</v>
      </c>
      <c r="B1476" s="7">
        <f>YEAR(A1476)</f>
        <v/>
      </c>
      <c r="C1476" s="7">
        <f>MONTH(A1476)</f>
        <v/>
      </c>
      <c r="D1476" s="10" t="n">
        <v>0</v>
      </c>
      <c r="E1476" s="11" t="n">
        <v>1.828700988</v>
      </c>
      <c r="F1476" s="12" t="n">
        <v>2.206771729e-06</v>
      </c>
      <c r="G1476" s="11" t="n">
        <v>276.9711399</v>
      </c>
      <c r="H1476" s="13">
        <f>F1476*1000</f>
        <v/>
      </c>
      <c r="I1476" s="14">
        <f>G1476-273.15</f>
        <v/>
      </c>
      <c r="K1476" s="15" t="n">
        <v>2005</v>
      </c>
      <c r="L1476" s="15" t="n">
        <v>2</v>
      </c>
      <c r="M1476" s="15" t="n">
        <v>2</v>
      </c>
      <c r="N1476" s="16" t="n">
        <v>3.720958769e-07</v>
      </c>
      <c r="O1476" s="11" t="n">
        <v>279.9891839</v>
      </c>
      <c r="P1476" s="13">
        <f>N1476*86400</f>
        <v/>
      </c>
      <c r="Q1476" s="14">
        <f>O1476-273.15</f>
        <v/>
      </c>
    </row>
    <row r="1477">
      <c r="A1477" s="9" t="n">
        <v>38364</v>
      </c>
      <c r="B1477" s="7">
        <f>YEAR(A1477)</f>
        <v/>
      </c>
      <c r="C1477" s="7">
        <f>MONTH(A1477)</f>
        <v/>
      </c>
      <c r="D1477" s="10" t="n">
        <v>0</v>
      </c>
      <c r="E1477" s="11" t="n">
        <v>3.272153693</v>
      </c>
      <c r="F1477" s="12" t="n">
        <v>0</v>
      </c>
      <c r="G1477" s="11" t="n">
        <v>278.6491262</v>
      </c>
      <c r="H1477" s="13">
        <f>F1477*1000</f>
        <v/>
      </c>
      <c r="I1477" s="14">
        <f>G1477-273.15</f>
        <v/>
      </c>
      <c r="K1477" s="15" t="n">
        <v>2005</v>
      </c>
      <c r="L1477" s="15" t="n">
        <v>2</v>
      </c>
      <c r="M1477" s="15" t="n">
        <v>3</v>
      </c>
      <c r="N1477" s="16" t="n">
        <v>0</v>
      </c>
      <c r="O1477" s="11" t="n">
        <v>279.269751</v>
      </c>
      <c r="P1477" s="13">
        <f>N1477*86400</f>
        <v/>
      </c>
      <c r="Q1477" s="14">
        <f>O1477-273.15</f>
        <v/>
      </c>
    </row>
    <row r="1478">
      <c r="A1478" s="9" t="n">
        <v>38365</v>
      </c>
      <c r="B1478" s="7">
        <f>YEAR(A1478)</f>
        <v/>
      </c>
      <c r="C1478" s="7">
        <f>MONTH(A1478)</f>
        <v/>
      </c>
      <c r="D1478" s="10" t="n">
        <v>0</v>
      </c>
      <c r="E1478" s="11" t="n">
        <v>2.537972539</v>
      </c>
      <c r="F1478" s="12" t="n">
        <v>0</v>
      </c>
      <c r="G1478" s="11" t="n">
        <v>278.2244128</v>
      </c>
      <c r="H1478" s="13">
        <f>F1478*1000</f>
        <v/>
      </c>
      <c r="I1478" s="14">
        <f>G1478-273.15</f>
        <v/>
      </c>
      <c r="K1478" s="15" t="n">
        <v>2005</v>
      </c>
      <c r="L1478" s="15" t="n">
        <v>2</v>
      </c>
      <c r="M1478" s="15" t="n">
        <v>4</v>
      </c>
      <c r="N1478" s="16" t="n">
        <v>0</v>
      </c>
      <c r="O1478" s="11" t="n">
        <v>277.8782366</v>
      </c>
      <c r="P1478" s="13">
        <f>N1478*86400</f>
        <v/>
      </c>
      <c r="Q1478" s="14">
        <f>O1478-273.15</f>
        <v/>
      </c>
    </row>
    <row r="1479">
      <c r="A1479" s="9" t="n">
        <v>38366</v>
      </c>
      <c r="B1479" s="7">
        <f>YEAR(A1479)</f>
        <v/>
      </c>
      <c r="C1479" s="7">
        <f>MONTH(A1479)</f>
        <v/>
      </c>
      <c r="D1479" s="10" t="n">
        <v>0</v>
      </c>
      <c r="E1479" s="11" t="n">
        <v>3.246580298</v>
      </c>
      <c r="F1479" s="12" t="n">
        <v>0</v>
      </c>
      <c r="G1479" s="11" t="n">
        <v>279.1396112</v>
      </c>
      <c r="H1479" s="13">
        <f>F1479*1000</f>
        <v/>
      </c>
      <c r="I1479" s="14">
        <f>G1479-273.15</f>
        <v/>
      </c>
      <c r="K1479" s="15" t="n">
        <v>2005</v>
      </c>
      <c r="L1479" s="15" t="n">
        <v>2</v>
      </c>
      <c r="M1479" s="15" t="n">
        <v>5</v>
      </c>
      <c r="N1479" s="16" t="n">
        <v>0</v>
      </c>
      <c r="O1479" s="11" t="n">
        <v>280.4774898</v>
      </c>
      <c r="P1479" s="13">
        <f>N1479*86400</f>
        <v/>
      </c>
      <c r="Q1479" s="14">
        <f>O1479-273.15</f>
        <v/>
      </c>
    </row>
    <row r="1480">
      <c r="A1480" s="9" t="n">
        <v>38367</v>
      </c>
      <c r="B1480" s="7">
        <f>YEAR(A1480)</f>
        <v/>
      </c>
      <c r="C1480" s="7">
        <f>MONTH(A1480)</f>
        <v/>
      </c>
      <c r="D1480" s="10" t="n">
        <v>0</v>
      </c>
      <c r="E1480" s="11" t="n">
        <v>3.497229666</v>
      </c>
      <c r="F1480" s="12" t="n">
        <v>0</v>
      </c>
      <c r="G1480" s="11" t="n">
        <v>278.9110974</v>
      </c>
      <c r="H1480" s="13">
        <f>F1480*1000</f>
        <v/>
      </c>
      <c r="I1480" s="14">
        <f>G1480-273.15</f>
        <v/>
      </c>
      <c r="K1480" s="15" t="n">
        <v>2005</v>
      </c>
      <c r="L1480" s="15" t="n">
        <v>2</v>
      </c>
      <c r="M1480" s="15" t="n">
        <v>6</v>
      </c>
      <c r="N1480" s="16" t="n">
        <v>8.085755405e-06</v>
      </c>
      <c r="O1480" s="11" t="n">
        <v>281.3530674</v>
      </c>
      <c r="P1480" s="13">
        <f>N1480*86400</f>
        <v/>
      </c>
      <c r="Q1480" s="14">
        <f>O1480-273.15</f>
        <v/>
      </c>
    </row>
    <row r="1481">
      <c r="A1481" s="9" t="n">
        <v>38368</v>
      </c>
      <c r="B1481" s="7">
        <f>YEAR(A1481)</f>
        <v/>
      </c>
      <c r="C1481" s="7">
        <f>MONTH(A1481)</f>
        <v/>
      </c>
      <c r="D1481" s="10" t="n">
        <v>0</v>
      </c>
      <c r="E1481" s="11" t="n">
        <v>3.576355731</v>
      </c>
      <c r="F1481" s="12" t="n">
        <v>0</v>
      </c>
      <c r="G1481" s="11" t="n">
        <v>279.4127449</v>
      </c>
      <c r="H1481" s="13">
        <f>F1481*1000</f>
        <v/>
      </c>
      <c r="I1481" s="14">
        <f>G1481-273.15</f>
        <v/>
      </c>
      <c r="K1481" s="15" t="n">
        <v>2005</v>
      </c>
      <c r="L1481" s="15" t="n">
        <v>2</v>
      </c>
      <c r="M1481" s="15" t="n">
        <v>7</v>
      </c>
      <c r="N1481" s="16" t="n">
        <v>6.224633044e-07</v>
      </c>
      <c r="O1481" s="11" t="n">
        <v>282.255382</v>
      </c>
      <c r="P1481" s="13">
        <f>N1481*86400</f>
        <v/>
      </c>
      <c r="Q1481" s="14">
        <f>O1481-273.15</f>
        <v/>
      </c>
    </row>
    <row r="1482">
      <c r="A1482" s="9" t="n">
        <v>38369</v>
      </c>
      <c r="B1482" s="7">
        <f>YEAR(A1482)</f>
        <v/>
      </c>
      <c r="C1482" s="7">
        <f>MONTH(A1482)</f>
        <v/>
      </c>
      <c r="D1482" s="10" t="n">
        <v>0</v>
      </c>
      <c r="E1482" s="11" t="n">
        <v>0.628468825</v>
      </c>
      <c r="F1482" s="12" t="n">
        <v>0</v>
      </c>
      <c r="G1482" s="11" t="n">
        <v>276.1999899</v>
      </c>
      <c r="H1482" s="13">
        <f>F1482*1000</f>
        <v/>
      </c>
      <c r="I1482" s="14">
        <f>G1482-273.15</f>
        <v/>
      </c>
      <c r="K1482" s="15" t="n">
        <v>2005</v>
      </c>
      <c r="L1482" s="15" t="n">
        <v>2</v>
      </c>
      <c r="M1482" s="15" t="n">
        <v>8</v>
      </c>
      <c r="N1482" s="16" t="n">
        <v>0</v>
      </c>
      <c r="O1482" s="11" t="n">
        <v>282.6378422</v>
      </c>
      <c r="P1482" s="13">
        <f>N1482*86400</f>
        <v/>
      </c>
      <c r="Q1482" s="14">
        <f>O1482-273.15</f>
        <v/>
      </c>
    </row>
    <row r="1483">
      <c r="A1483" s="9" t="n">
        <v>38370</v>
      </c>
      <c r="B1483" s="7">
        <f>YEAR(A1483)</f>
        <v/>
      </c>
      <c r="C1483" s="7">
        <f>MONTH(A1483)</f>
        <v/>
      </c>
      <c r="D1483" s="10" t="n">
        <v>0</v>
      </c>
      <c r="E1483" s="11" t="n">
        <v>5.71231309</v>
      </c>
      <c r="F1483" s="12" t="n">
        <v>0</v>
      </c>
      <c r="G1483" s="11" t="n">
        <v>280.0784669</v>
      </c>
      <c r="H1483" s="13">
        <f>F1483*1000</f>
        <v/>
      </c>
      <c r="I1483" s="14">
        <f>G1483-273.15</f>
        <v/>
      </c>
      <c r="K1483" s="15" t="n">
        <v>2005</v>
      </c>
      <c r="L1483" s="15" t="n">
        <v>2</v>
      </c>
      <c r="M1483" s="15" t="n">
        <v>9</v>
      </c>
      <c r="N1483" s="16" t="n">
        <v>0</v>
      </c>
      <c r="O1483" s="11" t="n">
        <v>283.3074216</v>
      </c>
      <c r="P1483" s="13">
        <f>N1483*86400</f>
        <v/>
      </c>
      <c r="Q1483" s="14">
        <f>O1483-273.15</f>
        <v/>
      </c>
    </row>
    <row r="1484">
      <c r="A1484" s="9" t="n">
        <v>38371</v>
      </c>
      <c r="B1484" s="7">
        <f>YEAR(A1484)</f>
        <v/>
      </c>
      <c r="C1484" s="7">
        <f>MONTH(A1484)</f>
        <v/>
      </c>
      <c r="D1484" s="10" t="n">
        <v>5.440422643</v>
      </c>
      <c r="E1484" s="11" t="n">
        <v>4.825013046</v>
      </c>
      <c r="F1484" s="12" t="n">
        <v>0.004094178194</v>
      </c>
      <c r="G1484" s="11" t="n">
        <v>279.4547103</v>
      </c>
      <c r="H1484" s="13">
        <f>F1484*1000</f>
        <v/>
      </c>
      <c r="I1484" s="14">
        <f>G1484-273.15</f>
        <v/>
      </c>
      <c r="K1484" s="15" t="n">
        <v>2005</v>
      </c>
      <c r="L1484" s="15" t="n">
        <v>2</v>
      </c>
      <c r="M1484" s="15" t="n">
        <v>10</v>
      </c>
      <c r="N1484" s="16" t="n">
        <v>0</v>
      </c>
      <c r="O1484" s="11" t="n">
        <v>284.1162108</v>
      </c>
      <c r="P1484" s="13">
        <f>N1484*86400</f>
        <v/>
      </c>
      <c r="Q1484" s="14">
        <f>O1484-273.15</f>
        <v/>
      </c>
    </row>
    <row r="1485">
      <c r="A1485" s="9" t="n">
        <v>38372</v>
      </c>
      <c r="B1485" s="7">
        <f>YEAR(A1485)</f>
        <v/>
      </c>
      <c r="C1485" s="7">
        <f>MONTH(A1485)</f>
        <v/>
      </c>
      <c r="D1485" s="10" t="n">
        <v>0</v>
      </c>
      <c r="E1485" s="11" t="n">
        <v>5.507537601</v>
      </c>
      <c r="F1485" s="12" t="n">
        <v>0</v>
      </c>
      <c r="G1485" s="11" t="n">
        <v>280.5480051</v>
      </c>
      <c r="H1485" s="13">
        <f>F1485*1000</f>
        <v/>
      </c>
      <c r="I1485" s="14">
        <f>G1485-273.15</f>
        <v/>
      </c>
      <c r="K1485" s="15" t="n">
        <v>2005</v>
      </c>
      <c r="L1485" s="15" t="n">
        <v>2</v>
      </c>
      <c r="M1485" s="15" t="n">
        <v>11</v>
      </c>
      <c r="N1485" s="16" t="n">
        <v>3.996657331e-06</v>
      </c>
      <c r="O1485" s="11" t="n">
        <v>283.5022575</v>
      </c>
      <c r="P1485" s="13">
        <f>N1485*86400</f>
        <v/>
      </c>
      <c r="Q1485" s="14">
        <f>O1485-273.15</f>
        <v/>
      </c>
    </row>
    <row r="1486">
      <c r="A1486" s="9" t="n">
        <v>38373</v>
      </c>
      <c r="B1486" s="7">
        <f>YEAR(A1486)</f>
        <v/>
      </c>
      <c r="C1486" s="7">
        <f>MONTH(A1486)</f>
        <v/>
      </c>
      <c r="D1486" s="10" t="n">
        <v>0</v>
      </c>
      <c r="E1486" s="11" t="n">
        <v>5.126013776</v>
      </c>
      <c r="F1486" s="12" t="n">
        <v>0</v>
      </c>
      <c r="G1486" s="11" t="n">
        <v>280.2704148</v>
      </c>
      <c r="H1486" s="13">
        <f>F1486*1000</f>
        <v/>
      </c>
      <c r="I1486" s="14">
        <f>G1486-273.15</f>
        <v/>
      </c>
      <c r="K1486" s="15" t="n">
        <v>2005</v>
      </c>
      <c r="L1486" s="15" t="n">
        <v>2</v>
      </c>
      <c r="M1486" s="15" t="n">
        <v>12</v>
      </c>
      <c r="N1486" s="16" t="n">
        <v>2.764538961e-06</v>
      </c>
      <c r="O1486" s="11" t="n">
        <v>282.7711013</v>
      </c>
      <c r="P1486" s="13">
        <f>N1486*86400</f>
        <v/>
      </c>
      <c r="Q1486" s="14">
        <f>O1486-273.15</f>
        <v/>
      </c>
    </row>
    <row r="1487">
      <c r="A1487" s="9" t="n">
        <v>38374</v>
      </c>
      <c r="B1487" s="7">
        <f>YEAR(A1487)</f>
        <v/>
      </c>
      <c r="C1487" s="7">
        <f>MONTH(A1487)</f>
        <v/>
      </c>
      <c r="D1487" s="10" t="n">
        <v>0</v>
      </c>
      <c r="E1487" s="11" t="n">
        <v>6.28773502</v>
      </c>
      <c r="F1487" s="12" t="n">
        <v>5.73931021e-05</v>
      </c>
      <c r="G1487" s="11" t="n">
        <v>281.5930929</v>
      </c>
      <c r="H1487" s="13">
        <f>F1487*1000</f>
        <v/>
      </c>
      <c r="I1487" s="14">
        <f>G1487-273.15</f>
        <v/>
      </c>
      <c r="K1487" s="15" t="n">
        <v>2005</v>
      </c>
      <c r="L1487" s="15" t="n">
        <v>2</v>
      </c>
      <c r="M1487" s="15" t="n">
        <v>13</v>
      </c>
      <c r="N1487" s="16" t="n">
        <v>1.64369634e-05</v>
      </c>
      <c r="O1487" s="11" t="n">
        <v>280.0926491</v>
      </c>
      <c r="P1487" s="13">
        <f>N1487*86400</f>
        <v/>
      </c>
      <c r="Q1487" s="14">
        <f>O1487-273.15</f>
        <v/>
      </c>
    </row>
    <row r="1488">
      <c r="A1488" s="9" t="n">
        <v>38375</v>
      </c>
      <c r="B1488" s="7">
        <f>YEAR(A1488)</f>
        <v/>
      </c>
      <c r="C1488" s="7">
        <f>MONTH(A1488)</f>
        <v/>
      </c>
      <c r="D1488" s="10" t="n">
        <v>0</v>
      </c>
      <c r="E1488" s="11" t="n">
        <v>5.195545733</v>
      </c>
      <c r="F1488" s="12" t="n">
        <v>0</v>
      </c>
      <c r="G1488" s="11" t="n">
        <v>280.7174299</v>
      </c>
      <c r="H1488" s="13">
        <f>F1488*1000</f>
        <v/>
      </c>
      <c r="I1488" s="14">
        <f>G1488-273.15</f>
        <v/>
      </c>
      <c r="K1488" s="15" t="n">
        <v>2005</v>
      </c>
      <c r="L1488" s="15" t="n">
        <v>2</v>
      </c>
      <c r="M1488" s="15" t="n">
        <v>14</v>
      </c>
      <c r="N1488" s="16" t="n">
        <v>0</v>
      </c>
      <c r="O1488" s="11" t="n">
        <v>281.3856841</v>
      </c>
      <c r="P1488" s="13">
        <f>N1488*86400</f>
        <v/>
      </c>
      <c r="Q1488" s="14">
        <f>O1488-273.15</f>
        <v/>
      </c>
    </row>
    <row r="1489">
      <c r="A1489" s="9" t="n">
        <v>38376</v>
      </c>
      <c r="B1489" s="7">
        <f>YEAR(A1489)</f>
        <v/>
      </c>
      <c r="C1489" s="7">
        <f>MONTH(A1489)</f>
        <v/>
      </c>
      <c r="D1489" s="10" t="n">
        <v>0</v>
      </c>
      <c r="E1489" s="11" t="n">
        <v>5.581528804</v>
      </c>
      <c r="F1489" s="12" t="n">
        <v>0</v>
      </c>
      <c r="G1489" s="11" t="n">
        <v>280.4060336</v>
      </c>
      <c r="H1489" s="13">
        <f>F1489*1000</f>
        <v/>
      </c>
      <c r="I1489" s="14">
        <f>G1489-273.15</f>
        <v/>
      </c>
      <c r="K1489" s="15" t="n">
        <v>2005</v>
      </c>
      <c r="L1489" s="15" t="n">
        <v>2</v>
      </c>
      <c r="M1489" s="15" t="n">
        <v>15</v>
      </c>
      <c r="N1489" s="16" t="n">
        <v>7.657789620999999e-06</v>
      </c>
      <c r="O1489" s="11" t="n">
        <v>281.4239542</v>
      </c>
      <c r="P1489" s="13">
        <f>N1489*86400</f>
        <v/>
      </c>
      <c r="Q1489" s="14">
        <f>O1489-273.15</f>
        <v/>
      </c>
    </row>
    <row r="1490">
      <c r="A1490" s="9" t="n">
        <v>38377</v>
      </c>
      <c r="B1490" s="7">
        <f>YEAR(A1490)</f>
        <v/>
      </c>
      <c r="C1490" s="7">
        <f>MONTH(A1490)</f>
        <v/>
      </c>
      <c r="D1490" s="10" t="n">
        <v>0</v>
      </c>
      <c r="E1490" s="11" t="n">
        <v>3.412967937</v>
      </c>
      <c r="F1490" s="12" t="n">
        <v>0</v>
      </c>
      <c r="G1490" s="11" t="n">
        <v>278.6696236</v>
      </c>
      <c r="H1490" s="13">
        <f>F1490*1000</f>
        <v/>
      </c>
      <c r="I1490" s="14">
        <f>G1490-273.15</f>
        <v/>
      </c>
      <c r="K1490" s="15" t="n">
        <v>2005</v>
      </c>
      <c r="L1490" s="15" t="n">
        <v>2</v>
      </c>
      <c r="M1490" s="15" t="n">
        <v>16</v>
      </c>
      <c r="N1490" s="16" t="n">
        <v>1.427146691e-05</v>
      </c>
      <c r="O1490" s="11" t="n">
        <v>282.3749055</v>
      </c>
      <c r="P1490" s="13">
        <f>N1490*86400</f>
        <v/>
      </c>
      <c r="Q1490" s="14">
        <f>O1490-273.15</f>
        <v/>
      </c>
    </row>
    <row r="1491">
      <c r="A1491" s="9" t="n">
        <v>38378</v>
      </c>
      <c r="B1491" s="7">
        <f>YEAR(A1491)</f>
        <v/>
      </c>
      <c r="C1491" s="7">
        <f>MONTH(A1491)</f>
        <v/>
      </c>
      <c r="D1491" s="10" t="n">
        <v>0</v>
      </c>
      <c r="E1491" s="11" t="n">
        <v>2.34412218</v>
      </c>
      <c r="F1491" s="12" t="n">
        <v>0</v>
      </c>
      <c r="G1491" s="11" t="n">
        <v>277.1314095</v>
      </c>
      <c r="H1491" s="13">
        <f>F1491*1000</f>
        <v/>
      </c>
      <c r="I1491" s="14">
        <f>G1491-273.15</f>
        <v/>
      </c>
      <c r="K1491" s="15" t="n">
        <v>2005</v>
      </c>
      <c r="L1491" s="15" t="n">
        <v>2</v>
      </c>
      <c r="M1491" s="15" t="n">
        <v>17</v>
      </c>
      <c r="N1491" s="16" t="n">
        <v>5.706149795e-06</v>
      </c>
      <c r="O1491" s="11" t="n">
        <v>285.5536612</v>
      </c>
      <c r="P1491" s="13">
        <f>N1491*86400</f>
        <v/>
      </c>
      <c r="Q1491" s="14">
        <f>O1491-273.15</f>
        <v/>
      </c>
    </row>
    <row r="1492">
      <c r="A1492" s="9" t="n">
        <v>38379</v>
      </c>
      <c r="B1492" s="7">
        <f>YEAR(A1492)</f>
        <v/>
      </c>
      <c r="C1492" s="7">
        <f>MONTH(A1492)</f>
        <v/>
      </c>
      <c r="D1492" s="10" t="n">
        <v>0</v>
      </c>
      <c r="E1492" s="11" t="n">
        <v>0.5263928055</v>
      </c>
      <c r="F1492" s="12" t="n">
        <v>0</v>
      </c>
      <c r="G1492" s="11" t="n">
        <v>275.7633044</v>
      </c>
      <c r="H1492" s="13">
        <f>F1492*1000</f>
        <v/>
      </c>
      <c r="I1492" s="14">
        <f>G1492-273.15</f>
        <v/>
      </c>
      <c r="K1492" s="15" t="n">
        <v>2005</v>
      </c>
      <c r="L1492" s="15" t="n">
        <v>2</v>
      </c>
      <c r="M1492" s="15" t="n">
        <v>18</v>
      </c>
      <c r="N1492" s="16" t="n">
        <v>8.958481291e-07</v>
      </c>
      <c r="O1492" s="11" t="n">
        <v>285.8342205</v>
      </c>
      <c r="P1492" s="13">
        <f>N1492*86400</f>
        <v/>
      </c>
      <c r="Q1492" s="14">
        <f>O1492-273.15</f>
        <v/>
      </c>
    </row>
    <row r="1493">
      <c r="A1493" s="9" t="n">
        <v>38380</v>
      </c>
      <c r="B1493" s="7">
        <f>YEAR(A1493)</f>
        <v/>
      </c>
      <c r="C1493" s="7">
        <f>MONTH(A1493)</f>
        <v/>
      </c>
      <c r="D1493" s="10" t="n">
        <v>0</v>
      </c>
      <c r="E1493" s="11" t="n">
        <v>2.064537929</v>
      </c>
      <c r="F1493" s="12" t="n">
        <v>0</v>
      </c>
      <c r="G1493" s="11" t="n">
        <v>277.9621033</v>
      </c>
      <c r="H1493" s="13">
        <f>F1493*1000</f>
        <v/>
      </c>
      <c r="I1493" s="14">
        <f>G1493-273.15</f>
        <v/>
      </c>
      <c r="K1493" s="15" t="n">
        <v>2005</v>
      </c>
      <c r="L1493" s="15" t="n">
        <v>2</v>
      </c>
      <c r="M1493" s="15" t="n">
        <v>19</v>
      </c>
      <c r="N1493" s="16" t="n">
        <v>0</v>
      </c>
      <c r="O1493" s="11" t="n">
        <v>288.2266303</v>
      </c>
      <c r="P1493" s="13">
        <f>N1493*86400</f>
        <v/>
      </c>
      <c r="Q1493" s="14">
        <f>O1493-273.15</f>
        <v/>
      </c>
    </row>
    <row r="1494">
      <c r="A1494" s="9" t="n">
        <v>38381</v>
      </c>
      <c r="B1494" s="7">
        <f>YEAR(A1494)</f>
        <v/>
      </c>
      <c r="C1494" s="7">
        <f>MONTH(A1494)</f>
        <v/>
      </c>
      <c r="D1494" s="10" t="n">
        <v>0</v>
      </c>
      <c r="E1494" s="11" t="n">
        <v>4.458974007</v>
      </c>
      <c r="F1494" s="12" t="n">
        <v>0</v>
      </c>
      <c r="G1494" s="11" t="n">
        <v>279.9367354</v>
      </c>
      <c r="H1494" s="13">
        <f>F1494*1000</f>
        <v/>
      </c>
      <c r="I1494" s="14">
        <f>G1494-273.15</f>
        <v/>
      </c>
      <c r="K1494" s="15" t="n">
        <v>2005</v>
      </c>
      <c r="L1494" s="15" t="n">
        <v>2</v>
      </c>
      <c r="M1494" s="15" t="n">
        <v>20</v>
      </c>
      <c r="N1494" s="16" t="n">
        <v>1.887760996e-05</v>
      </c>
      <c r="O1494" s="11" t="n">
        <v>287.2448296</v>
      </c>
      <c r="P1494" s="13">
        <f>N1494*86400</f>
        <v/>
      </c>
      <c r="Q1494" s="14">
        <f>O1494-273.15</f>
        <v/>
      </c>
    </row>
    <row r="1495">
      <c r="A1495" s="9" t="n">
        <v>38382</v>
      </c>
      <c r="B1495" s="7">
        <f>YEAR(A1495)</f>
        <v/>
      </c>
      <c r="C1495" s="7">
        <f>MONTH(A1495)</f>
        <v/>
      </c>
      <c r="D1495" s="10" t="n">
        <v>0</v>
      </c>
      <c r="E1495" s="11" t="n">
        <v>2.636772583</v>
      </c>
      <c r="F1495" s="12" t="n">
        <v>0</v>
      </c>
      <c r="G1495" s="11" t="n">
        <v>278.0477035</v>
      </c>
      <c r="H1495" s="13">
        <f>F1495*1000</f>
        <v/>
      </c>
      <c r="I1495" s="14">
        <f>G1495-273.15</f>
        <v/>
      </c>
      <c r="K1495" s="15" t="n">
        <v>2005</v>
      </c>
      <c r="L1495" s="15" t="n">
        <v>2</v>
      </c>
      <c r="M1495" s="15" t="n">
        <v>21</v>
      </c>
      <c r="N1495" s="16" t="n">
        <v>1.479995077e-05</v>
      </c>
      <c r="O1495" s="11" t="n">
        <v>287.1006358</v>
      </c>
      <c r="P1495" s="13">
        <f>N1495*86400</f>
        <v/>
      </c>
      <c r="Q1495" s="14">
        <f>O1495-273.15</f>
        <v/>
      </c>
    </row>
    <row r="1496">
      <c r="A1496" s="9" t="n">
        <v>38383</v>
      </c>
      <c r="B1496" s="7">
        <f>YEAR(A1496)</f>
        <v/>
      </c>
      <c r="C1496" s="7">
        <f>MONTH(A1496)</f>
        <v/>
      </c>
      <c r="D1496" s="10" t="n">
        <v>0</v>
      </c>
      <c r="E1496" s="11" t="n">
        <v>4.845454718</v>
      </c>
      <c r="F1496" s="12" t="n">
        <v>0</v>
      </c>
      <c r="G1496" s="11" t="n">
        <v>279.9291588</v>
      </c>
      <c r="H1496" s="13">
        <f>F1496*1000</f>
        <v/>
      </c>
      <c r="I1496" s="14">
        <f>G1496-273.15</f>
        <v/>
      </c>
      <c r="K1496" s="15" t="n">
        <v>2005</v>
      </c>
      <c r="L1496" s="15" t="n">
        <v>2</v>
      </c>
      <c r="M1496" s="15" t="n">
        <v>22</v>
      </c>
      <c r="N1496" s="16" t="n">
        <v>8.018214717e-06</v>
      </c>
      <c r="O1496" s="11" t="n">
        <v>285.0410938</v>
      </c>
      <c r="P1496" s="13">
        <f>N1496*86400</f>
        <v/>
      </c>
      <c r="Q1496" s="14">
        <f>O1496-273.15</f>
        <v/>
      </c>
    </row>
    <row r="1497">
      <c r="A1497" s="9" t="n">
        <v>38384</v>
      </c>
      <c r="B1497" s="7">
        <f>YEAR(A1497)</f>
        <v/>
      </c>
      <c r="C1497" s="7">
        <f>MONTH(A1497)</f>
        <v/>
      </c>
      <c r="D1497" s="10" t="n">
        <v>0</v>
      </c>
      <c r="E1497" s="11" t="n">
        <v>4.921160481</v>
      </c>
      <c r="F1497" s="12" t="n">
        <v>0</v>
      </c>
      <c r="G1497" s="11" t="n">
        <v>279.7648769</v>
      </c>
      <c r="H1497" s="13">
        <f>F1497*1000</f>
        <v/>
      </c>
      <c r="I1497" s="14">
        <f>G1497-273.15</f>
        <v/>
      </c>
      <c r="K1497" s="15" t="n">
        <v>2005</v>
      </c>
      <c r="L1497" s="15" t="n">
        <v>2</v>
      </c>
      <c r="M1497" s="15" t="n">
        <v>23</v>
      </c>
      <c r="N1497" s="16" t="n">
        <v>8.500395476e-07</v>
      </c>
      <c r="O1497" s="11" t="n">
        <v>286.0428684</v>
      </c>
      <c r="P1497" s="13">
        <f>N1497*86400</f>
        <v/>
      </c>
      <c r="Q1497" s="14">
        <f>O1497-273.15</f>
        <v/>
      </c>
    </row>
    <row r="1498">
      <c r="A1498" s="9" t="n">
        <v>38385</v>
      </c>
      <c r="B1498" s="7">
        <f>YEAR(A1498)</f>
        <v/>
      </c>
      <c r="C1498" s="7">
        <f>MONTH(A1498)</f>
        <v/>
      </c>
      <c r="D1498" s="10" t="n">
        <v>0</v>
      </c>
      <c r="E1498" s="11" t="n">
        <v>3.514882575</v>
      </c>
      <c r="F1498" s="12" t="n">
        <v>0</v>
      </c>
      <c r="G1498" s="11" t="n">
        <v>279.1767242</v>
      </c>
      <c r="H1498" s="13">
        <f>F1498*1000</f>
        <v/>
      </c>
      <c r="I1498" s="14">
        <f>G1498-273.15</f>
        <v/>
      </c>
      <c r="K1498" s="15" t="n">
        <v>2005</v>
      </c>
      <c r="L1498" s="15" t="n">
        <v>2</v>
      </c>
      <c r="M1498" s="15" t="n">
        <v>24</v>
      </c>
      <c r="N1498" s="16" t="n">
        <v>0</v>
      </c>
      <c r="O1498" s="11" t="n">
        <v>284.3203401</v>
      </c>
      <c r="P1498" s="13">
        <f>N1498*86400</f>
        <v/>
      </c>
      <c r="Q1498" s="14">
        <f>O1498-273.15</f>
        <v/>
      </c>
    </row>
    <row r="1499">
      <c r="A1499" s="9" t="n">
        <v>38386</v>
      </c>
      <c r="B1499" s="7">
        <f>YEAR(A1499)</f>
        <v/>
      </c>
      <c r="C1499" s="7">
        <f>MONTH(A1499)</f>
        <v/>
      </c>
      <c r="D1499" s="10" t="n">
        <v>0</v>
      </c>
      <c r="E1499" s="11" t="n">
        <v>4.729454708</v>
      </c>
      <c r="F1499" s="12" t="n">
        <v>0.0002409419574</v>
      </c>
      <c r="G1499" s="11" t="n">
        <v>280.1391802</v>
      </c>
      <c r="H1499" s="13">
        <f>F1499*1000</f>
        <v/>
      </c>
      <c r="I1499" s="14">
        <f>G1499-273.15</f>
        <v/>
      </c>
      <c r="K1499" s="15" t="n">
        <v>2005</v>
      </c>
      <c r="L1499" s="15" t="n">
        <v>2</v>
      </c>
      <c r="M1499" s="15" t="n">
        <v>25</v>
      </c>
      <c r="N1499" s="16" t="n">
        <v>0</v>
      </c>
      <c r="O1499" s="11" t="n">
        <v>282.6379738</v>
      </c>
      <c r="P1499" s="13">
        <f>N1499*86400</f>
        <v/>
      </c>
      <c r="Q1499" s="14">
        <f>O1499-273.15</f>
        <v/>
      </c>
    </row>
    <row r="1500">
      <c r="A1500" s="9" t="n">
        <v>38387</v>
      </c>
      <c r="B1500" s="7">
        <f>YEAR(A1500)</f>
        <v/>
      </c>
      <c r="C1500" s="7">
        <f>MONTH(A1500)</f>
        <v/>
      </c>
      <c r="D1500" s="10" t="n">
        <v>0</v>
      </c>
      <c r="E1500" s="11" t="n">
        <v>3.990953698</v>
      </c>
      <c r="F1500" s="12" t="n">
        <v>0</v>
      </c>
      <c r="G1500" s="11" t="n">
        <v>279.6095801</v>
      </c>
      <c r="H1500" s="13">
        <f>F1500*1000</f>
        <v/>
      </c>
      <c r="I1500" s="14">
        <f>G1500-273.15</f>
        <v/>
      </c>
      <c r="K1500" s="15" t="n">
        <v>2005</v>
      </c>
      <c r="L1500" s="15" t="n">
        <v>2</v>
      </c>
      <c r="M1500" s="15" t="n">
        <v>26</v>
      </c>
      <c r="N1500" s="16" t="n">
        <v>0</v>
      </c>
      <c r="O1500" s="11" t="n">
        <v>282.5128069</v>
      </c>
      <c r="P1500" s="13">
        <f>N1500*86400</f>
        <v/>
      </c>
      <c r="Q1500" s="14">
        <f>O1500-273.15</f>
        <v/>
      </c>
    </row>
    <row r="1501">
      <c r="A1501" s="9" t="n">
        <v>38388</v>
      </c>
      <c r="B1501" s="7">
        <f>YEAR(A1501)</f>
        <v/>
      </c>
      <c r="C1501" s="7">
        <f>MONTH(A1501)</f>
        <v/>
      </c>
      <c r="D1501" s="10" t="n">
        <v>0</v>
      </c>
      <c r="E1501" s="11" t="n">
        <v>4.319347182</v>
      </c>
      <c r="F1501" s="12" t="n">
        <v>0</v>
      </c>
      <c r="G1501" s="11" t="n">
        <v>279.6894161</v>
      </c>
      <c r="H1501" s="13">
        <f>F1501*1000</f>
        <v/>
      </c>
      <c r="I1501" s="14">
        <f>G1501-273.15</f>
        <v/>
      </c>
      <c r="K1501" s="15" t="n">
        <v>2005</v>
      </c>
      <c r="L1501" s="15" t="n">
        <v>2</v>
      </c>
      <c r="M1501" s="15" t="n">
        <v>27</v>
      </c>
      <c r="N1501" s="16" t="n">
        <v>0</v>
      </c>
      <c r="O1501" s="11" t="n">
        <v>282.2960543</v>
      </c>
      <c r="P1501" s="13">
        <f>N1501*86400</f>
        <v/>
      </c>
      <c r="Q1501" s="14">
        <f>O1501-273.15</f>
        <v/>
      </c>
    </row>
    <row r="1502">
      <c r="A1502" s="9" t="n">
        <v>38389</v>
      </c>
      <c r="B1502" s="7">
        <f>YEAR(A1502)</f>
        <v/>
      </c>
      <c r="C1502" s="7">
        <f>MONTH(A1502)</f>
        <v/>
      </c>
      <c r="D1502" s="10" t="n">
        <v>0</v>
      </c>
      <c r="E1502" s="11" t="n">
        <v>2.978002195</v>
      </c>
      <c r="F1502" s="12" t="n">
        <v>5.898870522e-05</v>
      </c>
      <c r="G1502" s="11" t="n">
        <v>278.0104238</v>
      </c>
      <c r="H1502" s="13">
        <f>F1502*1000</f>
        <v/>
      </c>
      <c r="I1502" s="14">
        <f>G1502-273.15</f>
        <v/>
      </c>
      <c r="K1502" s="15" t="n">
        <v>2005</v>
      </c>
      <c r="L1502" s="15" t="n">
        <v>2</v>
      </c>
      <c r="M1502" s="15" t="n">
        <v>28</v>
      </c>
      <c r="N1502" s="16" t="n">
        <v>6.907633780000001e-07</v>
      </c>
      <c r="O1502" s="11" t="n">
        <v>281.3889843</v>
      </c>
      <c r="P1502" s="13">
        <f>N1502*86400</f>
        <v/>
      </c>
      <c r="Q1502" s="14">
        <f>O1502-273.15</f>
        <v/>
      </c>
    </row>
    <row r="1503">
      <c r="A1503" s="9" t="n">
        <v>38390</v>
      </c>
      <c r="B1503" s="7">
        <f>YEAR(A1503)</f>
        <v/>
      </c>
      <c r="C1503" s="7">
        <f>MONTH(A1503)</f>
        <v/>
      </c>
      <c r="D1503" s="10" t="n">
        <v>0</v>
      </c>
      <c r="E1503" s="11" t="n">
        <v>3.445391295</v>
      </c>
      <c r="F1503" s="12" t="n">
        <v>0</v>
      </c>
      <c r="G1503" s="11" t="n">
        <v>278.9073782</v>
      </c>
      <c r="H1503" s="13">
        <f>F1503*1000</f>
        <v/>
      </c>
      <c r="I1503" s="14">
        <f>G1503-273.15</f>
        <v/>
      </c>
      <c r="K1503" s="15" t="n">
        <v>2005</v>
      </c>
      <c r="L1503" s="15" t="n">
        <v>2</v>
      </c>
      <c r="M1503" s="15" t="n">
        <v>29</v>
      </c>
      <c r="N1503" s="16" t="n">
        <v>2.399854763e-05</v>
      </c>
      <c r="O1503" s="11" t="n">
        <v>281.0736305</v>
      </c>
      <c r="P1503" s="13">
        <f>N1503*86400</f>
        <v/>
      </c>
      <c r="Q1503" s="14">
        <f>O1503-273.15</f>
        <v/>
      </c>
    </row>
    <row r="1504">
      <c r="A1504" s="9" t="n">
        <v>38391</v>
      </c>
      <c r="B1504" s="7">
        <f>YEAR(A1504)</f>
        <v/>
      </c>
      <c r="C1504" s="7">
        <f>MONTH(A1504)</f>
        <v/>
      </c>
      <c r="D1504" s="10" t="n">
        <v>0</v>
      </c>
      <c r="E1504" s="11" t="n">
        <v>3.248939282</v>
      </c>
      <c r="F1504" s="12" t="n">
        <v>0</v>
      </c>
      <c r="G1504" s="11" t="n">
        <v>279.1415294</v>
      </c>
      <c r="H1504" s="13">
        <f>F1504*1000</f>
        <v/>
      </c>
      <c r="I1504" s="14">
        <f>G1504-273.15</f>
        <v/>
      </c>
      <c r="K1504" s="15" t="n">
        <v>2005</v>
      </c>
      <c r="L1504" s="15" t="n">
        <v>2</v>
      </c>
      <c r="M1504" s="15" t="n">
        <v>30</v>
      </c>
      <c r="N1504" s="16" t="n">
        <v>0</v>
      </c>
      <c r="O1504" s="11" t="n">
        <v>284.923706</v>
      </c>
      <c r="P1504" s="13">
        <f>N1504*86400</f>
        <v/>
      </c>
      <c r="Q1504" s="14">
        <f>O1504-273.15</f>
        <v/>
      </c>
    </row>
    <row r="1505">
      <c r="A1505" s="9" t="n">
        <v>38392</v>
      </c>
      <c r="B1505" s="7">
        <f>YEAR(A1505)</f>
        <v/>
      </c>
      <c r="C1505" s="7">
        <f>MONTH(A1505)</f>
        <v/>
      </c>
      <c r="D1505" s="10" t="n">
        <v>0</v>
      </c>
      <c r="E1505" s="11" t="n">
        <v>5.84011917</v>
      </c>
      <c r="F1505" s="12" t="n">
        <v>0</v>
      </c>
      <c r="G1505" s="11" t="n">
        <v>280.5198593</v>
      </c>
      <c r="H1505" s="13">
        <f>F1505*1000</f>
        <v/>
      </c>
      <c r="I1505" s="14">
        <f>G1505-273.15</f>
        <v/>
      </c>
      <c r="K1505" s="15" t="n">
        <v>2005</v>
      </c>
      <c r="L1505" s="15" t="n">
        <v>3</v>
      </c>
      <c r="M1505" s="15" t="n">
        <v>1</v>
      </c>
      <c r="N1505" s="16" t="n">
        <v>0</v>
      </c>
      <c r="O1505" s="11" t="n">
        <v>285.7249842</v>
      </c>
      <c r="P1505" s="13">
        <f>N1505*86400</f>
        <v/>
      </c>
      <c r="Q1505" s="14">
        <f>O1505-273.15</f>
        <v/>
      </c>
    </row>
    <row r="1506">
      <c r="A1506" s="9" t="n">
        <v>38393</v>
      </c>
      <c r="B1506" s="7">
        <f>YEAR(A1506)</f>
        <v/>
      </c>
      <c r="C1506" s="7">
        <f>MONTH(A1506)</f>
        <v/>
      </c>
      <c r="D1506" s="10" t="n">
        <v>0</v>
      </c>
      <c r="E1506" s="11" t="n">
        <v>5.886106422</v>
      </c>
      <c r="F1506" s="12" t="n">
        <v>0.001448942054</v>
      </c>
      <c r="G1506" s="11" t="n">
        <v>280.7385373</v>
      </c>
      <c r="H1506" s="13">
        <f>F1506*1000</f>
        <v/>
      </c>
      <c r="I1506" s="14">
        <f>G1506-273.15</f>
        <v/>
      </c>
      <c r="K1506" s="15" t="n">
        <v>2005</v>
      </c>
      <c r="L1506" s="15" t="n">
        <v>3</v>
      </c>
      <c r="M1506" s="15" t="n">
        <v>2</v>
      </c>
      <c r="N1506" s="16" t="n">
        <v>0</v>
      </c>
      <c r="O1506" s="11" t="n">
        <v>285.236603</v>
      </c>
      <c r="P1506" s="13">
        <f>N1506*86400</f>
        <v/>
      </c>
      <c r="Q1506" s="14">
        <f>O1506-273.15</f>
        <v/>
      </c>
    </row>
    <row r="1507">
      <c r="A1507" s="9" t="n">
        <v>38394</v>
      </c>
      <c r="B1507" s="7">
        <f>YEAR(A1507)</f>
        <v/>
      </c>
      <c r="C1507" s="7">
        <f>MONTH(A1507)</f>
        <v/>
      </c>
      <c r="D1507" s="10" t="n">
        <v>0</v>
      </c>
      <c r="E1507" s="11" t="n">
        <v>3.713597704</v>
      </c>
      <c r="F1507" s="12" t="n">
        <v>0</v>
      </c>
      <c r="G1507" s="11" t="n">
        <v>279.2404226</v>
      </c>
      <c r="H1507" s="13">
        <f>F1507*1000</f>
        <v/>
      </c>
      <c r="I1507" s="14">
        <f>G1507-273.15</f>
        <v/>
      </c>
      <c r="K1507" s="15" t="n">
        <v>2005</v>
      </c>
      <c r="L1507" s="15" t="n">
        <v>3</v>
      </c>
      <c r="M1507" s="15" t="n">
        <v>3</v>
      </c>
      <c r="N1507" s="16" t="n">
        <v>0</v>
      </c>
      <c r="O1507" s="11" t="n">
        <v>285.6943602</v>
      </c>
      <c r="P1507" s="13">
        <f>N1507*86400</f>
        <v/>
      </c>
      <c r="Q1507" s="14">
        <f>O1507-273.15</f>
        <v/>
      </c>
    </row>
    <row r="1508">
      <c r="A1508" s="9" t="n">
        <v>38395</v>
      </c>
      <c r="B1508" s="7">
        <f>YEAR(A1508)</f>
        <v/>
      </c>
      <c r="C1508" s="7">
        <f>MONTH(A1508)</f>
        <v/>
      </c>
      <c r="D1508" s="10" t="n">
        <v>0</v>
      </c>
      <c r="E1508" s="11" t="n">
        <v>6.312016623</v>
      </c>
      <c r="F1508" s="12" t="n">
        <v>1.660177177e-05</v>
      </c>
      <c r="G1508" s="11" t="n">
        <v>282.1169019</v>
      </c>
      <c r="H1508" s="13">
        <f>F1508*1000</f>
        <v/>
      </c>
      <c r="I1508" s="14">
        <f>G1508-273.15</f>
        <v/>
      </c>
      <c r="K1508" s="15" t="n">
        <v>2005</v>
      </c>
      <c r="L1508" s="15" t="n">
        <v>3</v>
      </c>
      <c r="M1508" s="15" t="n">
        <v>4</v>
      </c>
      <c r="N1508" s="16" t="n">
        <v>0</v>
      </c>
      <c r="O1508" s="11" t="n">
        <v>283.9505048</v>
      </c>
      <c r="P1508" s="13">
        <f>N1508*86400</f>
        <v/>
      </c>
      <c r="Q1508" s="14">
        <f>O1508-273.15</f>
        <v/>
      </c>
    </row>
    <row r="1509">
      <c r="A1509" s="9" t="n">
        <v>38396</v>
      </c>
      <c r="B1509" s="7">
        <f>YEAR(A1509)</f>
        <v/>
      </c>
      <c r="C1509" s="7">
        <f>MONTH(A1509)</f>
        <v/>
      </c>
      <c r="D1509" s="10" t="n">
        <v>0</v>
      </c>
      <c r="E1509" s="11" t="n">
        <v>7.162349187</v>
      </c>
      <c r="F1509" s="12" t="n">
        <v>0</v>
      </c>
      <c r="G1509" s="11" t="n">
        <v>281.8965077</v>
      </c>
      <c r="H1509" s="13">
        <f>F1509*1000</f>
        <v/>
      </c>
      <c r="I1509" s="14">
        <f>G1509-273.15</f>
        <v/>
      </c>
      <c r="K1509" s="15" t="n">
        <v>2005</v>
      </c>
      <c r="L1509" s="15" t="n">
        <v>3</v>
      </c>
      <c r="M1509" s="15" t="n">
        <v>5</v>
      </c>
      <c r="N1509" s="16" t="n">
        <v>1.744839801e-06</v>
      </c>
      <c r="O1509" s="11" t="n">
        <v>285.5895771</v>
      </c>
      <c r="P1509" s="13">
        <f>N1509*86400</f>
        <v/>
      </c>
      <c r="Q1509" s="14">
        <f>O1509-273.15</f>
        <v/>
      </c>
    </row>
    <row r="1510">
      <c r="A1510" s="9" t="n">
        <v>38397</v>
      </c>
      <c r="B1510" s="7">
        <f>YEAR(A1510)</f>
        <v/>
      </c>
      <c r="C1510" s="7">
        <f>MONTH(A1510)</f>
        <v/>
      </c>
      <c r="D1510" s="10" t="n">
        <v>0</v>
      </c>
      <c r="E1510" s="11" t="n">
        <v>7.014982336</v>
      </c>
      <c r="F1510" s="12" t="n">
        <v>0</v>
      </c>
      <c r="G1510" s="11" t="n">
        <v>282.8346104</v>
      </c>
      <c r="H1510" s="13">
        <f>F1510*1000</f>
        <v/>
      </c>
      <c r="I1510" s="14">
        <f>G1510-273.15</f>
        <v/>
      </c>
      <c r="K1510" s="15" t="n">
        <v>2005</v>
      </c>
      <c r="L1510" s="15" t="n">
        <v>3</v>
      </c>
      <c r="M1510" s="15" t="n">
        <v>6</v>
      </c>
      <c r="N1510" s="16" t="n">
        <v>1.825498174e-06</v>
      </c>
      <c r="O1510" s="11" t="n">
        <v>286.3009121</v>
      </c>
      <c r="P1510" s="13">
        <f>N1510*86400</f>
        <v/>
      </c>
      <c r="Q1510" s="14">
        <f>O1510-273.15</f>
        <v/>
      </c>
    </row>
    <row r="1511">
      <c r="A1511" s="9" t="n">
        <v>38398</v>
      </c>
      <c r="B1511" s="7">
        <f>YEAR(A1511)</f>
        <v/>
      </c>
      <c r="C1511" s="7">
        <f>MONTH(A1511)</f>
        <v/>
      </c>
      <c r="D1511" s="10" t="n">
        <v>0</v>
      </c>
      <c r="E1511" s="11" t="n">
        <v>9.189876667</v>
      </c>
      <c r="F1511" s="12" t="n">
        <v>0</v>
      </c>
      <c r="G1511" s="11" t="n">
        <v>284.1702271</v>
      </c>
      <c r="H1511" s="13">
        <f>F1511*1000</f>
        <v/>
      </c>
      <c r="I1511" s="14">
        <f>G1511-273.15</f>
        <v/>
      </c>
      <c r="K1511" s="15" t="n">
        <v>2005</v>
      </c>
      <c r="L1511" s="15" t="n">
        <v>3</v>
      </c>
      <c r="M1511" s="15" t="n">
        <v>7</v>
      </c>
      <c r="N1511" s="16" t="n">
        <v>0</v>
      </c>
      <c r="O1511" s="11" t="n">
        <v>286.3043238</v>
      </c>
      <c r="P1511" s="13">
        <f>N1511*86400</f>
        <v/>
      </c>
      <c r="Q1511" s="14">
        <f>O1511-273.15</f>
        <v/>
      </c>
    </row>
    <row r="1512">
      <c r="A1512" s="9" t="n">
        <v>38399</v>
      </c>
      <c r="B1512" s="7">
        <f>YEAR(A1512)</f>
        <v/>
      </c>
      <c r="C1512" s="7">
        <f>MONTH(A1512)</f>
        <v/>
      </c>
      <c r="D1512" s="10" t="n">
        <v>0</v>
      </c>
      <c r="E1512" s="11" t="n">
        <v>7.716183017</v>
      </c>
      <c r="F1512" s="12" t="n">
        <v>0</v>
      </c>
      <c r="G1512" s="11" t="n">
        <v>281.9471544</v>
      </c>
      <c r="H1512" s="13">
        <f>F1512*1000</f>
        <v/>
      </c>
      <c r="I1512" s="14">
        <f>G1512-273.15</f>
        <v/>
      </c>
      <c r="K1512" s="15" t="n">
        <v>2005</v>
      </c>
      <c r="L1512" s="15" t="n">
        <v>3</v>
      </c>
      <c r="M1512" s="15" t="n">
        <v>8</v>
      </c>
      <c r="N1512" s="16" t="n">
        <v>0</v>
      </c>
      <c r="O1512" s="11" t="n">
        <v>284.568333</v>
      </c>
      <c r="P1512" s="13">
        <f>N1512*86400</f>
        <v/>
      </c>
      <c r="Q1512" s="14">
        <f>O1512-273.15</f>
        <v/>
      </c>
    </row>
    <row r="1513">
      <c r="A1513" s="9" t="n">
        <v>38400</v>
      </c>
      <c r="B1513" s="7">
        <f>YEAR(A1513)</f>
        <v/>
      </c>
      <c r="C1513" s="7">
        <f>MONTH(A1513)</f>
        <v/>
      </c>
      <c r="D1513" s="10" t="n">
        <v>0</v>
      </c>
      <c r="E1513" s="11" t="n">
        <v>9.777668030999999</v>
      </c>
      <c r="F1513" s="12" t="n">
        <v>0</v>
      </c>
      <c r="G1513" s="11" t="n">
        <v>282.6478525</v>
      </c>
      <c r="H1513" s="13">
        <f>F1513*1000</f>
        <v/>
      </c>
      <c r="I1513" s="14">
        <f>G1513-273.15</f>
        <v/>
      </c>
      <c r="K1513" s="15" t="n">
        <v>2005</v>
      </c>
      <c r="L1513" s="15" t="n">
        <v>3</v>
      </c>
      <c r="M1513" s="15" t="n">
        <v>9</v>
      </c>
      <c r="N1513" s="16" t="n">
        <v>3.006938983e-07</v>
      </c>
      <c r="O1513" s="11" t="n">
        <v>285.6485181</v>
      </c>
      <c r="P1513" s="13">
        <f>N1513*86400</f>
        <v/>
      </c>
      <c r="Q1513" s="14">
        <f>O1513-273.15</f>
        <v/>
      </c>
    </row>
    <row r="1514">
      <c r="A1514" s="9" t="n">
        <v>38401</v>
      </c>
      <c r="B1514" s="7">
        <f>YEAR(A1514)</f>
        <v/>
      </c>
      <c r="C1514" s="7">
        <f>MONTH(A1514)</f>
        <v/>
      </c>
      <c r="D1514" s="10" t="n">
        <v>0</v>
      </c>
      <c r="E1514" s="11" t="n">
        <v>7.516565221</v>
      </c>
      <c r="F1514" s="12" t="n">
        <v>0</v>
      </c>
      <c r="G1514" s="11" t="n">
        <v>282.0977852</v>
      </c>
      <c r="H1514" s="13">
        <f>F1514*1000</f>
        <v/>
      </c>
      <c r="I1514" s="14">
        <f>G1514-273.15</f>
        <v/>
      </c>
      <c r="K1514" s="15" t="n">
        <v>2005</v>
      </c>
      <c r="L1514" s="15" t="n">
        <v>3</v>
      </c>
      <c r="M1514" s="15" t="n">
        <v>10</v>
      </c>
      <c r="N1514" s="16" t="n">
        <v>3.672747507e-07</v>
      </c>
      <c r="O1514" s="11" t="n">
        <v>285.0677498</v>
      </c>
      <c r="P1514" s="13">
        <f>N1514*86400</f>
        <v/>
      </c>
      <c r="Q1514" s="14">
        <f>O1514-273.15</f>
        <v/>
      </c>
    </row>
    <row r="1515">
      <c r="A1515" s="9" t="n">
        <v>38402</v>
      </c>
      <c r="B1515" s="7">
        <f>YEAR(A1515)</f>
        <v/>
      </c>
      <c r="C1515" s="7">
        <f>MONTH(A1515)</f>
        <v/>
      </c>
      <c r="D1515" s="10" t="n">
        <v>0</v>
      </c>
      <c r="E1515" s="11" t="n">
        <v>4.583437831</v>
      </c>
      <c r="F1515" s="12" t="n">
        <v>0</v>
      </c>
      <c r="G1515" s="11" t="n">
        <v>279.5665804</v>
      </c>
      <c r="H1515" s="13">
        <f>F1515*1000</f>
        <v/>
      </c>
      <c r="I1515" s="14">
        <f>G1515-273.15</f>
        <v/>
      </c>
      <c r="K1515" s="15" t="n">
        <v>2005</v>
      </c>
      <c r="L1515" s="15" t="n">
        <v>3</v>
      </c>
      <c r="M1515" s="15" t="n">
        <v>11</v>
      </c>
      <c r="N1515" s="16" t="n">
        <v>0</v>
      </c>
      <c r="O1515" s="11" t="n">
        <v>284.9206907</v>
      </c>
      <c r="P1515" s="13">
        <f>N1515*86400</f>
        <v/>
      </c>
      <c r="Q1515" s="14">
        <f>O1515-273.15</f>
        <v/>
      </c>
    </row>
    <row r="1516">
      <c r="A1516" s="9" t="n">
        <v>38403</v>
      </c>
      <c r="B1516" s="7">
        <f>YEAR(A1516)</f>
        <v/>
      </c>
      <c r="C1516" s="7">
        <f>MONTH(A1516)</f>
        <v/>
      </c>
      <c r="D1516" s="10" t="n">
        <v>0</v>
      </c>
      <c r="E1516" s="11" t="n">
        <v>5.061736148</v>
      </c>
      <c r="F1516" s="12" t="n">
        <v>0</v>
      </c>
      <c r="G1516" s="11" t="n">
        <v>279.0587227</v>
      </c>
      <c r="H1516" s="13">
        <f>F1516*1000</f>
        <v/>
      </c>
      <c r="I1516" s="14">
        <f>G1516-273.15</f>
        <v/>
      </c>
      <c r="K1516" s="15" t="n">
        <v>2005</v>
      </c>
      <c r="L1516" s="15" t="n">
        <v>3</v>
      </c>
      <c r="M1516" s="15" t="n">
        <v>12</v>
      </c>
      <c r="N1516" s="16" t="n">
        <v>4.884754622e-05</v>
      </c>
      <c r="O1516" s="11" t="n">
        <v>287.4993052</v>
      </c>
      <c r="P1516" s="13">
        <f>N1516*86400</f>
        <v/>
      </c>
      <c r="Q1516" s="14">
        <f>O1516-273.15</f>
        <v/>
      </c>
    </row>
    <row r="1517">
      <c r="A1517" s="9" t="n">
        <v>38404</v>
      </c>
      <c r="B1517" s="7">
        <f>YEAR(A1517)</f>
        <v/>
      </c>
      <c r="C1517" s="7">
        <f>MONTH(A1517)</f>
        <v/>
      </c>
      <c r="D1517" s="10" t="n">
        <v>0</v>
      </c>
      <c r="E1517" s="11" t="n">
        <v>6.32549447</v>
      </c>
      <c r="F1517" s="12" t="n">
        <v>0</v>
      </c>
      <c r="G1517" s="11" t="n">
        <v>281.0220822</v>
      </c>
      <c r="H1517" s="13">
        <f>F1517*1000</f>
        <v/>
      </c>
      <c r="I1517" s="14">
        <f>G1517-273.15</f>
        <v/>
      </c>
      <c r="K1517" s="15" t="n">
        <v>2005</v>
      </c>
      <c r="L1517" s="15" t="n">
        <v>3</v>
      </c>
      <c r="M1517" s="15" t="n">
        <v>13</v>
      </c>
      <c r="N1517" s="16" t="n">
        <v>8.170488251e-08</v>
      </c>
      <c r="O1517" s="11" t="n">
        <v>287.9244533</v>
      </c>
      <c r="P1517" s="13">
        <f>N1517*86400</f>
        <v/>
      </c>
      <c r="Q1517" s="14">
        <f>O1517-273.15</f>
        <v/>
      </c>
    </row>
    <row r="1518">
      <c r="A1518" s="9" t="n">
        <v>38405</v>
      </c>
      <c r="B1518" s="7">
        <f>YEAR(A1518)</f>
        <v/>
      </c>
      <c r="C1518" s="7">
        <f>MONTH(A1518)</f>
        <v/>
      </c>
      <c r="D1518" s="10" t="n">
        <v>0</v>
      </c>
      <c r="E1518" s="11" t="n">
        <v>5.217425471</v>
      </c>
      <c r="F1518" s="12" t="n">
        <v>0</v>
      </c>
      <c r="G1518" s="11" t="n">
        <v>281.3995131</v>
      </c>
      <c r="H1518" s="13">
        <f>F1518*1000</f>
        <v/>
      </c>
      <c r="I1518" s="14">
        <f>G1518-273.15</f>
        <v/>
      </c>
      <c r="K1518" s="15" t="n">
        <v>2005</v>
      </c>
      <c r="L1518" s="15" t="n">
        <v>3</v>
      </c>
      <c r="M1518" s="15" t="n">
        <v>14</v>
      </c>
      <c r="N1518" s="16" t="n">
        <v>0</v>
      </c>
      <c r="O1518" s="11" t="n">
        <v>286.2710361</v>
      </c>
      <c r="P1518" s="13">
        <f>N1518*86400</f>
        <v/>
      </c>
      <c r="Q1518" s="14">
        <f>O1518-273.15</f>
        <v/>
      </c>
    </row>
    <row r="1519">
      <c r="A1519" s="9" t="n">
        <v>38406</v>
      </c>
      <c r="B1519" s="7">
        <f>YEAR(A1519)</f>
        <v/>
      </c>
      <c r="C1519" s="7">
        <f>MONTH(A1519)</f>
        <v/>
      </c>
      <c r="D1519" s="10" t="n">
        <v>0</v>
      </c>
      <c r="E1519" s="11" t="n">
        <v>6.814380092</v>
      </c>
      <c r="F1519" s="12" t="n">
        <v>0</v>
      </c>
      <c r="G1519" s="11" t="n">
        <v>282.1718666</v>
      </c>
      <c r="H1519" s="13">
        <f>F1519*1000</f>
        <v/>
      </c>
      <c r="I1519" s="14">
        <f>G1519-273.15</f>
        <v/>
      </c>
      <c r="K1519" s="15" t="n">
        <v>2005</v>
      </c>
      <c r="L1519" s="15" t="n">
        <v>3</v>
      </c>
      <c r="M1519" s="15" t="n">
        <v>15</v>
      </c>
      <c r="N1519" s="16" t="n">
        <v>0</v>
      </c>
      <c r="O1519" s="11" t="n">
        <v>286.0529451</v>
      </c>
      <c r="P1519" s="13">
        <f>N1519*86400</f>
        <v/>
      </c>
      <c r="Q1519" s="14">
        <f>O1519-273.15</f>
        <v/>
      </c>
    </row>
    <row r="1520">
      <c r="A1520" s="9" t="n">
        <v>38407</v>
      </c>
      <c r="B1520" s="7">
        <f>YEAR(A1520)</f>
        <v/>
      </c>
      <c r="C1520" s="7">
        <f>MONTH(A1520)</f>
        <v/>
      </c>
      <c r="D1520" s="10" t="n">
        <v>0</v>
      </c>
      <c r="E1520" s="11" t="n">
        <v>6.344238921</v>
      </c>
      <c r="F1520" s="12" t="n">
        <v>0</v>
      </c>
      <c r="G1520" s="11" t="n">
        <v>281.5859522</v>
      </c>
      <c r="H1520" s="13">
        <f>F1520*1000</f>
        <v/>
      </c>
      <c r="I1520" s="14">
        <f>G1520-273.15</f>
        <v/>
      </c>
      <c r="K1520" s="15" t="n">
        <v>2005</v>
      </c>
      <c r="L1520" s="15" t="n">
        <v>3</v>
      </c>
      <c r="M1520" s="15" t="n">
        <v>16</v>
      </c>
      <c r="N1520" s="16" t="n">
        <v>1.116711163e-05</v>
      </c>
      <c r="O1520" s="11" t="n">
        <v>286.6653105</v>
      </c>
      <c r="P1520" s="13">
        <f>N1520*86400</f>
        <v/>
      </c>
      <c r="Q1520" s="14">
        <f>O1520-273.15</f>
        <v/>
      </c>
    </row>
    <row r="1521">
      <c r="A1521" s="9" t="n">
        <v>38408</v>
      </c>
      <c r="B1521" s="7">
        <f>YEAR(A1521)</f>
        <v/>
      </c>
      <c r="C1521" s="7">
        <f>MONTH(A1521)</f>
        <v/>
      </c>
      <c r="D1521" s="10" t="n">
        <v>0</v>
      </c>
      <c r="E1521" s="11" t="n">
        <v>5.103467379</v>
      </c>
      <c r="F1521" s="12" t="n">
        <v>0.0005830302957</v>
      </c>
      <c r="G1521" s="11" t="n">
        <v>280.6984451</v>
      </c>
      <c r="H1521" s="13">
        <f>F1521*1000</f>
        <v/>
      </c>
      <c r="I1521" s="14">
        <f>G1521-273.15</f>
        <v/>
      </c>
      <c r="K1521" s="15" t="n">
        <v>2005</v>
      </c>
      <c r="L1521" s="15" t="n">
        <v>3</v>
      </c>
      <c r="M1521" s="15" t="n">
        <v>17</v>
      </c>
      <c r="N1521" s="16" t="n">
        <v>4.789349636e-05</v>
      </c>
      <c r="O1521" s="11" t="n">
        <v>286.5281961</v>
      </c>
      <c r="P1521" s="13">
        <f>N1521*86400</f>
        <v/>
      </c>
      <c r="Q1521" s="14">
        <f>O1521-273.15</f>
        <v/>
      </c>
    </row>
    <row r="1522">
      <c r="A1522" s="9" t="n">
        <v>38409</v>
      </c>
      <c r="B1522" s="7">
        <f>YEAR(A1522)</f>
        <v/>
      </c>
      <c r="C1522" s="7">
        <f>MONTH(A1522)</f>
        <v/>
      </c>
      <c r="D1522" s="10" t="n">
        <v>1.075377973</v>
      </c>
      <c r="E1522" s="11" t="n">
        <v>9.536750497</v>
      </c>
      <c r="F1522" s="12" t="n">
        <v>0.002962542271</v>
      </c>
      <c r="G1522" s="11" t="n">
        <v>284.8459409</v>
      </c>
      <c r="H1522" s="13">
        <f>F1522*1000</f>
        <v/>
      </c>
      <c r="I1522" s="14">
        <f>G1522-273.15</f>
        <v/>
      </c>
      <c r="K1522" s="15" t="n">
        <v>2005</v>
      </c>
      <c r="L1522" s="15" t="n">
        <v>3</v>
      </c>
      <c r="M1522" s="15" t="n">
        <v>18</v>
      </c>
      <c r="N1522" s="16" t="n">
        <v>0</v>
      </c>
      <c r="O1522" s="11" t="n">
        <v>287.2824038</v>
      </c>
      <c r="P1522" s="13">
        <f>N1522*86400</f>
        <v/>
      </c>
      <c r="Q1522" s="14">
        <f>O1522-273.15</f>
        <v/>
      </c>
    </row>
    <row r="1523">
      <c r="A1523" s="9" t="n">
        <v>38410</v>
      </c>
      <c r="B1523" s="7">
        <f>YEAR(A1523)</f>
        <v/>
      </c>
      <c r="C1523" s="7">
        <f>MONTH(A1523)</f>
        <v/>
      </c>
      <c r="D1523" s="10" t="n">
        <v>0</v>
      </c>
      <c r="E1523" s="11" t="n">
        <v>7.874440147</v>
      </c>
      <c r="F1523" s="12" t="n">
        <v>0</v>
      </c>
      <c r="G1523" s="11" t="n">
        <v>283.7689354</v>
      </c>
      <c r="H1523" s="13">
        <f>F1523*1000</f>
        <v/>
      </c>
      <c r="I1523" s="14">
        <f>G1523-273.15</f>
        <v/>
      </c>
      <c r="K1523" s="15" t="n">
        <v>2005</v>
      </c>
      <c r="L1523" s="15" t="n">
        <v>3</v>
      </c>
      <c r="M1523" s="15" t="n">
        <v>19</v>
      </c>
      <c r="N1523" s="16" t="n">
        <v>0</v>
      </c>
      <c r="O1523" s="11" t="n">
        <v>287.0660803</v>
      </c>
      <c r="P1523" s="13">
        <f>N1523*86400</f>
        <v/>
      </c>
      <c r="Q1523" s="14">
        <f>O1523-273.15</f>
        <v/>
      </c>
    </row>
    <row r="1524">
      <c r="A1524" s="9" t="n">
        <v>38411</v>
      </c>
      <c r="B1524" s="7">
        <f>YEAR(A1524)</f>
        <v/>
      </c>
      <c r="C1524" s="7">
        <f>MONTH(A1524)</f>
        <v/>
      </c>
      <c r="D1524" s="10" t="n">
        <v>3.86430508</v>
      </c>
      <c r="E1524" s="11" t="n">
        <v>5.736377962</v>
      </c>
      <c r="F1524" s="12" t="n">
        <v>0.000489719563</v>
      </c>
      <c r="G1524" s="11" t="n">
        <v>281.7089618</v>
      </c>
      <c r="H1524" s="13">
        <f>F1524*1000</f>
        <v/>
      </c>
      <c r="I1524" s="14">
        <f>G1524-273.15</f>
        <v/>
      </c>
      <c r="K1524" s="15" t="n">
        <v>2005</v>
      </c>
      <c r="L1524" s="15" t="n">
        <v>3</v>
      </c>
      <c r="M1524" s="15" t="n">
        <v>20</v>
      </c>
      <c r="N1524" s="16" t="n">
        <v>1.11170283e-05</v>
      </c>
      <c r="O1524" s="11" t="n">
        <v>286.9832652</v>
      </c>
      <c r="P1524" s="13">
        <f>N1524*86400</f>
        <v/>
      </c>
      <c r="Q1524" s="14">
        <f>O1524-273.15</f>
        <v/>
      </c>
    </row>
    <row r="1525">
      <c r="A1525" s="9" t="n">
        <v>38412</v>
      </c>
      <c r="B1525" s="7">
        <f>YEAR(A1525)</f>
        <v/>
      </c>
      <c r="C1525" s="7">
        <f>MONTH(A1525)</f>
        <v/>
      </c>
      <c r="D1525" s="10" t="n">
        <v>0</v>
      </c>
      <c r="E1525" s="11" t="n">
        <v>4.941440175</v>
      </c>
      <c r="F1525" s="12" t="n">
        <v>0.00081891123</v>
      </c>
      <c r="G1525" s="11" t="n">
        <v>281.7286259</v>
      </c>
      <c r="H1525" s="13">
        <f>F1525*1000</f>
        <v/>
      </c>
      <c r="I1525" s="14">
        <f>G1525-273.15</f>
        <v/>
      </c>
      <c r="K1525" s="15" t="n">
        <v>2005</v>
      </c>
      <c r="L1525" s="15" t="n">
        <v>3</v>
      </c>
      <c r="M1525" s="15" t="n">
        <v>21</v>
      </c>
      <c r="N1525" s="16" t="n">
        <v>0</v>
      </c>
      <c r="O1525" s="11" t="n">
        <v>287.168517</v>
      </c>
      <c r="P1525" s="13">
        <f>N1525*86400</f>
        <v/>
      </c>
      <c r="Q1525" s="14">
        <f>O1525-273.15</f>
        <v/>
      </c>
    </row>
    <row r="1526">
      <c r="A1526" s="9" t="n">
        <v>38413</v>
      </c>
      <c r="B1526" s="7">
        <f>YEAR(A1526)</f>
        <v/>
      </c>
      <c r="C1526" s="7">
        <f>MONTH(A1526)</f>
        <v/>
      </c>
      <c r="D1526" s="10" t="n">
        <v>0</v>
      </c>
      <c r="E1526" s="11" t="n">
        <v>5.778912529</v>
      </c>
      <c r="F1526" s="12" t="n">
        <v>0.000472950961</v>
      </c>
      <c r="G1526" s="11" t="n">
        <v>282.8605232</v>
      </c>
      <c r="H1526" s="13">
        <f>F1526*1000</f>
        <v/>
      </c>
      <c r="I1526" s="14">
        <f>G1526-273.15</f>
        <v/>
      </c>
      <c r="K1526" s="15" t="n">
        <v>2005</v>
      </c>
      <c r="L1526" s="15" t="n">
        <v>3</v>
      </c>
      <c r="M1526" s="15" t="n">
        <v>22</v>
      </c>
      <c r="N1526" s="16" t="n">
        <v>0</v>
      </c>
      <c r="O1526" s="11" t="n">
        <v>287.9209006</v>
      </c>
      <c r="P1526" s="13">
        <f>N1526*86400</f>
        <v/>
      </c>
      <c r="Q1526" s="14">
        <f>O1526-273.15</f>
        <v/>
      </c>
    </row>
    <row r="1527">
      <c r="A1527" s="9" t="n">
        <v>38414</v>
      </c>
      <c r="B1527" s="7">
        <f>YEAR(A1527)</f>
        <v/>
      </c>
      <c r="C1527" s="7">
        <f>MONTH(A1527)</f>
        <v/>
      </c>
      <c r="D1527" s="10" t="n">
        <v>0.2370973511</v>
      </c>
      <c r="E1527" s="11" t="n">
        <v>7.387132679</v>
      </c>
      <c r="F1527" s="12" t="n">
        <v>0.004197575183</v>
      </c>
      <c r="G1527" s="11" t="n">
        <v>283.880738</v>
      </c>
      <c r="H1527" s="13">
        <f>F1527*1000</f>
        <v/>
      </c>
      <c r="I1527" s="14">
        <f>G1527-273.15</f>
        <v/>
      </c>
      <c r="K1527" s="15" t="n">
        <v>2005</v>
      </c>
      <c r="L1527" s="15" t="n">
        <v>3</v>
      </c>
      <c r="M1527" s="15" t="n">
        <v>23</v>
      </c>
      <c r="N1527" s="16" t="n">
        <v>0</v>
      </c>
      <c r="O1527" s="11" t="n">
        <v>284.9248823</v>
      </c>
      <c r="P1527" s="13">
        <f>N1527*86400</f>
        <v/>
      </c>
      <c r="Q1527" s="14">
        <f>O1527-273.15</f>
        <v/>
      </c>
    </row>
    <row r="1528">
      <c r="A1528" s="9" t="n">
        <v>38415</v>
      </c>
      <c r="B1528" s="7">
        <f>YEAR(A1528)</f>
        <v/>
      </c>
      <c r="C1528" s="7">
        <f>MONTH(A1528)</f>
        <v/>
      </c>
      <c r="D1528" s="10" t="n">
        <v>0</v>
      </c>
      <c r="E1528" s="11" t="n">
        <v>7.571095952</v>
      </c>
      <c r="F1528" s="12" t="n">
        <v>0</v>
      </c>
      <c r="G1528" s="11" t="n">
        <v>284.4017282</v>
      </c>
      <c r="H1528" s="13">
        <f>F1528*1000</f>
        <v/>
      </c>
      <c r="I1528" s="14">
        <f>G1528-273.15</f>
        <v/>
      </c>
      <c r="K1528" s="15" t="n">
        <v>2005</v>
      </c>
      <c r="L1528" s="15" t="n">
        <v>3</v>
      </c>
      <c r="M1528" s="15" t="n">
        <v>24</v>
      </c>
      <c r="N1528" s="16" t="n">
        <v>0</v>
      </c>
      <c r="O1528" s="11" t="n">
        <v>286.1961885</v>
      </c>
      <c r="P1528" s="13">
        <f>N1528*86400</f>
        <v/>
      </c>
      <c r="Q1528" s="14">
        <f>O1528-273.15</f>
        <v/>
      </c>
    </row>
    <row r="1529">
      <c r="A1529" s="9" t="n">
        <v>38416</v>
      </c>
      <c r="B1529" s="7">
        <f>YEAR(A1529)</f>
        <v/>
      </c>
      <c r="C1529" s="7">
        <f>MONTH(A1529)</f>
        <v/>
      </c>
      <c r="D1529" s="10" t="n">
        <v>0</v>
      </c>
      <c r="E1529" s="11" t="n">
        <v>5.630733477</v>
      </c>
      <c r="F1529" s="12" t="n">
        <v>0</v>
      </c>
      <c r="G1529" s="11" t="n">
        <v>283.1943815</v>
      </c>
      <c r="H1529" s="13">
        <f>F1529*1000</f>
        <v/>
      </c>
      <c r="I1529" s="14">
        <f>G1529-273.15</f>
        <v/>
      </c>
      <c r="K1529" s="15" t="n">
        <v>2005</v>
      </c>
      <c r="L1529" s="15" t="n">
        <v>3</v>
      </c>
      <c r="M1529" s="15" t="n">
        <v>25</v>
      </c>
      <c r="N1529" s="16" t="n">
        <v>0</v>
      </c>
      <c r="O1529" s="11" t="n">
        <v>286.0505396</v>
      </c>
      <c r="P1529" s="13">
        <f>N1529*86400</f>
        <v/>
      </c>
      <c r="Q1529" s="14">
        <f>O1529-273.15</f>
        <v/>
      </c>
    </row>
    <row r="1530">
      <c r="A1530" s="9" t="n">
        <v>38417</v>
      </c>
      <c r="B1530" s="7">
        <f>YEAR(A1530)</f>
        <v/>
      </c>
      <c r="C1530" s="7">
        <f>MONTH(A1530)</f>
        <v/>
      </c>
      <c r="D1530" s="10" t="n">
        <v>0</v>
      </c>
      <c r="E1530" s="11" t="n">
        <v>5.998822584</v>
      </c>
      <c r="F1530" s="12" t="n">
        <v>0</v>
      </c>
      <c r="G1530" s="11" t="n">
        <v>282.9481313</v>
      </c>
      <c r="H1530" s="13">
        <f>F1530*1000</f>
        <v/>
      </c>
      <c r="I1530" s="14">
        <f>G1530-273.15</f>
        <v/>
      </c>
      <c r="K1530" s="15" t="n">
        <v>2005</v>
      </c>
      <c r="L1530" s="15" t="n">
        <v>3</v>
      </c>
      <c r="M1530" s="15" t="n">
        <v>26</v>
      </c>
      <c r="N1530" s="16" t="n">
        <v>0</v>
      </c>
      <c r="O1530" s="11" t="n">
        <v>286.632074</v>
      </c>
      <c r="P1530" s="13">
        <f>N1530*86400</f>
        <v/>
      </c>
      <c r="Q1530" s="14">
        <f>O1530-273.15</f>
        <v/>
      </c>
    </row>
    <row r="1531">
      <c r="A1531" s="9" t="n">
        <v>38418</v>
      </c>
      <c r="B1531" s="7">
        <f>YEAR(A1531)</f>
        <v/>
      </c>
      <c r="C1531" s="7">
        <f>MONTH(A1531)</f>
        <v/>
      </c>
      <c r="D1531" s="10" t="n">
        <v>0</v>
      </c>
      <c r="E1531" s="11" t="n">
        <v>5.492734015</v>
      </c>
      <c r="F1531" s="12" t="n">
        <v>0</v>
      </c>
      <c r="G1531" s="11" t="n">
        <v>283.4740011</v>
      </c>
      <c r="H1531" s="13">
        <f>F1531*1000</f>
        <v/>
      </c>
      <c r="I1531" s="14">
        <f>G1531-273.15</f>
        <v/>
      </c>
      <c r="K1531" s="15" t="n">
        <v>2005</v>
      </c>
      <c r="L1531" s="15" t="n">
        <v>3</v>
      </c>
      <c r="M1531" s="15" t="n">
        <v>27</v>
      </c>
      <c r="N1531" s="16" t="n">
        <v>0</v>
      </c>
      <c r="O1531" s="11" t="n">
        <v>287.1113756</v>
      </c>
      <c r="P1531" s="13">
        <f>N1531*86400</f>
        <v/>
      </c>
      <c r="Q1531" s="14">
        <f>O1531-273.15</f>
        <v/>
      </c>
    </row>
    <row r="1532">
      <c r="A1532" s="9" t="n">
        <v>38419</v>
      </c>
      <c r="B1532" s="7">
        <f>YEAR(A1532)</f>
        <v/>
      </c>
      <c r="C1532" s="7">
        <f>MONTH(A1532)</f>
        <v/>
      </c>
      <c r="D1532" s="10" t="n">
        <v>0</v>
      </c>
      <c r="E1532" s="11" t="n">
        <v>7.633337272</v>
      </c>
      <c r="F1532" s="12" t="n">
        <v>0</v>
      </c>
      <c r="G1532" s="11" t="n">
        <v>284.3785345</v>
      </c>
      <c r="H1532" s="13">
        <f>F1532*1000</f>
        <v/>
      </c>
      <c r="I1532" s="14">
        <f>G1532-273.15</f>
        <v/>
      </c>
      <c r="K1532" s="15" t="n">
        <v>2005</v>
      </c>
      <c r="L1532" s="15" t="n">
        <v>3</v>
      </c>
      <c r="M1532" s="15" t="n">
        <v>28</v>
      </c>
      <c r="N1532" s="16" t="n">
        <v>0</v>
      </c>
      <c r="O1532" s="11" t="n">
        <v>286.5198165</v>
      </c>
      <c r="P1532" s="13">
        <f>N1532*86400</f>
        <v/>
      </c>
      <c r="Q1532" s="14">
        <f>O1532-273.15</f>
        <v/>
      </c>
    </row>
    <row r="1533">
      <c r="A1533" s="9" t="n">
        <v>38420</v>
      </c>
      <c r="B1533" s="7">
        <f>YEAR(A1533)</f>
        <v/>
      </c>
      <c r="C1533" s="7">
        <f>MONTH(A1533)</f>
        <v/>
      </c>
      <c r="D1533" s="10" t="n">
        <v>0</v>
      </c>
      <c r="E1533" s="11" t="n">
        <v>10.78029959</v>
      </c>
      <c r="F1533" s="12" t="n">
        <v>0</v>
      </c>
      <c r="G1533" s="11" t="n">
        <v>286.2033641</v>
      </c>
      <c r="H1533" s="13">
        <f>F1533*1000</f>
        <v/>
      </c>
      <c r="I1533" s="14">
        <f>G1533-273.15</f>
        <v/>
      </c>
      <c r="K1533" s="15" t="n">
        <v>2005</v>
      </c>
      <c r="L1533" s="15" t="n">
        <v>3</v>
      </c>
      <c r="M1533" s="15" t="n">
        <v>29</v>
      </c>
      <c r="N1533" s="16" t="n">
        <v>0</v>
      </c>
      <c r="O1533" s="11" t="n">
        <v>285.6933864</v>
      </c>
      <c r="P1533" s="13">
        <f>N1533*86400</f>
        <v/>
      </c>
      <c r="Q1533" s="14">
        <f>O1533-273.15</f>
        <v/>
      </c>
    </row>
    <row r="1534">
      <c r="A1534" s="9" t="n">
        <v>38421</v>
      </c>
      <c r="B1534" s="7">
        <f>YEAR(A1534)</f>
        <v/>
      </c>
      <c r="C1534" s="7">
        <f>MONTH(A1534)</f>
        <v/>
      </c>
      <c r="D1534" s="10" t="n">
        <v>0</v>
      </c>
      <c r="E1534" s="11" t="n">
        <v>11.67744969</v>
      </c>
      <c r="F1534" s="12" t="n">
        <v>0</v>
      </c>
      <c r="G1534" s="11" t="n">
        <v>287.8532413</v>
      </c>
      <c r="H1534" s="13">
        <f>F1534*1000</f>
        <v/>
      </c>
      <c r="I1534" s="14">
        <f>G1534-273.15</f>
        <v/>
      </c>
      <c r="K1534" s="15" t="n">
        <v>2005</v>
      </c>
      <c r="L1534" s="15" t="n">
        <v>3</v>
      </c>
      <c r="M1534" s="15" t="n">
        <v>30</v>
      </c>
      <c r="N1534" s="16" t="n">
        <v>0</v>
      </c>
      <c r="O1534" s="11" t="n">
        <v>285.6834987</v>
      </c>
      <c r="P1534" s="13">
        <f>N1534*86400</f>
        <v/>
      </c>
      <c r="Q1534" s="14">
        <f>O1534-273.15</f>
        <v/>
      </c>
    </row>
    <row r="1535">
      <c r="A1535" s="9" t="n">
        <v>38422</v>
      </c>
      <c r="B1535" s="7">
        <f>YEAR(A1535)</f>
        <v/>
      </c>
      <c r="C1535" s="7">
        <f>MONTH(A1535)</f>
        <v/>
      </c>
      <c r="D1535" s="10" t="n">
        <v>0</v>
      </c>
      <c r="E1535" s="11" t="n">
        <v>11.20642166</v>
      </c>
      <c r="F1535" s="12" t="n">
        <v>0</v>
      </c>
      <c r="G1535" s="11" t="n">
        <v>287.1606934</v>
      </c>
      <c r="H1535" s="13">
        <f>F1535*1000</f>
        <v/>
      </c>
      <c r="I1535" s="14">
        <f>G1535-273.15</f>
        <v/>
      </c>
      <c r="K1535" s="15" t="n">
        <v>2005</v>
      </c>
      <c r="L1535" s="15" t="n">
        <v>4</v>
      </c>
      <c r="M1535" s="15" t="n">
        <v>1</v>
      </c>
      <c r="N1535" s="16" t="n">
        <v>0</v>
      </c>
      <c r="O1535" s="11" t="n">
        <v>286.2698758</v>
      </c>
      <c r="P1535" s="13">
        <f>N1535*86400</f>
        <v/>
      </c>
      <c r="Q1535" s="14">
        <f>O1535-273.15</f>
        <v/>
      </c>
    </row>
    <row r="1536">
      <c r="A1536" s="9" t="n">
        <v>38423</v>
      </c>
      <c r="B1536" s="7">
        <f>YEAR(A1536)</f>
        <v/>
      </c>
      <c r="C1536" s="7">
        <f>MONTH(A1536)</f>
        <v/>
      </c>
      <c r="D1536" s="10" t="n">
        <v>5.267707645</v>
      </c>
      <c r="E1536" s="11" t="n">
        <v>10.99016305</v>
      </c>
      <c r="F1536" s="12" t="n">
        <v>0.003702194961</v>
      </c>
      <c r="G1536" s="11" t="n">
        <v>287.4018309</v>
      </c>
      <c r="H1536" s="13">
        <f>F1536*1000</f>
        <v/>
      </c>
      <c r="I1536" s="14">
        <f>G1536-273.15</f>
        <v/>
      </c>
      <c r="K1536" s="15" t="n">
        <v>2005</v>
      </c>
      <c r="L1536" s="15" t="n">
        <v>4</v>
      </c>
      <c r="M1536" s="15" t="n">
        <v>2</v>
      </c>
      <c r="N1536" s="16" t="n">
        <v>0</v>
      </c>
      <c r="O1536" s="11" t="n">
        <v>287.0613325</v>
      </c>
      <c r="P1536" s="13">
        <f>N1536*86400</f>
        <v/>
      </c>
      <c r="Q1536" s="14">
        <f>O1536-273.15</f>
        <v/>
      </c>
    </row>
    <row r="1537">
      <c r="A1537" s="9" t="n">
        <v>38424</v>
      </c>
      <c r="B1537" s="7">
        <f>YEAR(A1537)</f>
        <v/>
      </c>
      <c r="C1537" s="7">
        <f>MONTH(A1537)</f>
        <v/>
      </c>
      <c r="D1537" s="10" t="n">
        <v>0</v>
      </c>
      <c r="E1537" s="11" t="n">
        <v>9.977405364000001</v>
      </c>
      <c r="F1537" s="12" t="n">
        <v>0</v>
      </c>
      <c r="G1537" s="11" t="n">
        <v>286.1764112</v>
      </c>
      <c r="H1537" s="13">
        <f>F1537*1000</f>
        <v/>
      </c>
      <c r="I1537" s="14">
        <f>G1537-273.15</f>
        <v/>
      </c>
      <c r="K1537" s="15" t="n">
        <v>2005</v>
      </c>
      <c r="L1537" s="15" t="n">
        <v>4</v>
      </c>
      <c r="M1537" s="15" t="n">
        <v>3</v>
      </c>
      <c r="N1537" s="16" t="n">
        <v>0</v>
      </c>
      <c r="O1537" s="11" t="n">
        <v>285.8749556</v>
      </c>
      <c r="P1537" s="13">
        <f>N1537*86400</f>
        <v/>
      </c>
      <c r="Q1537" s="14">
        <f>O1537-273.15</f>
        <v/>
      </c>
    </row>
    <row r="1538">
      <c r="A1538" s="9" t="n">
        <v>38425</v>
      </c>
      <c r="B1538" s="7">
        <f>YEAR(A1538)</f>
        <v/>
      </c>
      <c r="C1538" s="7">
        <f>MONTH(A1538)</f>
        <v/>
      </c>
      <c r="D1538" s="10" t="n">
        <v>0</v>
      </c>
      <c r="E1538" s="11" t="n">
        <v>10.13594292</v>
      </c>
      <c r="F1538" s="12" t="n">
        <v>0</v>
      </c>
      <c r="G1538" s="11" t="n">
        <v>285.759511</v>
      </c>
      <c r="H1538" s="13">
        <f>F1538*1000</f>
        <v/>
      </c>
      <c r="I1538" s="14">
        <f>G1538-273.15</f>
        <v/>
      </c>
      <c r="K1538" s="15" t="n">
        <v>2005</v>
      </c>
      <c r="L1538" s="15" t="n">
        <v>4</v>
      </c>
      <c r="M1538" s="15" t="n">
        <v>4</v>
      </c>
      <c r="N1538" s="16" t="n">
        <v>0</v>
      </c>
      <c r="O1538" s="11" t="n">
        <v>285.5441772</v>
      </c>
      <c r="P1538" s="13">
        <f>N1538*86400</f>
        <v/>
      </c>
      <c r="Q1538" s="14">
        <f>O1538-273.15</f>
        <v/>
      </c>
    </row>
    <row r="1539">
      <c r="A1539" s="9" t="n">
        <v>38426</v>
      </c>
      <c r="B1539" s="7">
        <f>YEAR(A1539)</f>
        <v/>
      </c>
      <c r="C1539" s="7">
        <f>MONTH(A1539)</f>
        <v/>
      </c>
      <c r="D1539" s="10" t="n">
        <v>0</v>
      </c>
      <c r="E1539" s="11" t="n">
        <v>8.351857807</v>
      </c>
      <c r="F1539" s="12" t="n">
        <v>0.0002537211236</v>
      </c>
      <c r="G1539" s="11" t="n">
        <v>284.5473868</v>
      </c>
      <c r="H1539" s="13">
        <f>F1539*1000</f>
        <v/>
      </c>
      <c r="I1539" s="14">
        <f>G1539-273.15</f>
        <v/>
      </c>
      <c r="K1539" s="15" t="n">
        <v>2005</v>
      </c>
      <c r="L1539" s="15" t="n">
        <v>4</v>
      </c>
      <c r="M1539" s="15" t="n">
        <v>5</v>
      </c>
      <c r="N1539" s="16" t="n">
        <v>0</v>
      </c>
      <c r="O1539" s="11" t="n">
        <v>285.9165251</v>
      </c>
      <c r="P1539" s="13">
        <f>N1539*86400</f>
        <v/>
      </c>
      <c r="Q1539" s="14">
        <f>O1539-273.15</f>
        <v/>
      </c>
    </row>
    <row r="1540">
      <c r="A1540" s="9" t="n">
        <v>38427</v>
      </c>
      <c r="B1540" s="7">
        <f>YEAR(A1540)</f>
        <v/>
      </c>
      <c r="C1540" s="7">
        <f>MONTH(A1540)</f>
        <v/>
      </c>
      <c r="D1540" s="10" t="n">
        <v>0.5519287759</v>
      </c>
      <c r="E1540" s="11" t="n">
        <v>7.101653914</v>
      </c>
      <c r="F1540" s="12" t="n">
        <v>0.001391017321</v>
      </c>
      <c r="G1540" s="11" t="n">
        <v>283.1895546</v>
      </c>
      <c r="H1540" s="13">
        <f>F1540*1000</f>
        <v/>
      </c>
      <c r="I1540" s="14">
        <f>G1540-273.15</f>
        <v/>
      </c>
      <c r="K1540" s="15" t="n">
        <v>2005</v>
      </c>
      <c r="L1540" s="15" t="n">
        <v>4</v>
      </c>
      <c r="M1540" s="15" t="n">
        <v>6</v>
      </c>
      <c r="N1540" s="16" t="n">
        <v>0</v>
      </c>
      <c r="O1540" s="11" t="n">
        <v>287.4989168</v>
      </c>
      <c r="P1540" s="13">
        <f>N1540*86400</f>
        <v/>
      </c>
      <c r="Q1540" s="14">
        <f>O1540-273.15</f>
        <v/>
      </c>
    </row>
    <row r="1541">
      <c r="A1541" s="9" t="n">
        <v>38428</v>
      </c>
      <c r="B1541" s="7">
        <f>YEAR(A1541)</f>
        <v/>
      </c>
      <c r="C1541" s="7">
        <f>MONTH(A1541)</f>
        <v/>
      </c>
      <c r="D1541" s="10" t="n">
        <v>0</v>
      </c>
      <c r="E1541" s="11" t="n">
        <v>8.865953404000001</v>
      </c>
      <c r="F1541" s="12" t="n">
        <v>0.0001704088918</v>
      </c>
      <c r="G1541" s="11" t="n">
        <v>283.9215739</v>
      </c>
      <c r="H1541" s="13">
        <f>F1541*1000</f>
        <v/>
      </c>
      <c r="I1541" s="14">
        <f>G1541-273.15</f>
        <v/>
      </c>
      <c r="K1541" s="15" t="n">
        <v>2005</v>
      </c>
      <c r="L1541" s="15" t="n">
        <v>4</v>
      </c>
      <c r="M1541" s="15" t="n">
        <v>7</v>
      </c>
      <c r="N1541" s="16" t="n">
        <v>4.119521914e-06</v>
      </c>
      <c r="O1541" s="11" t="n">
        <v>287.564075</v>
      </c>
      <c r="P1541" s="13">
        <f>N1541*86400</f>
        <v/>
      </c>
      <c r="Q1541" s="14">
        <f>O1541-273.15</f>
        <v/>
      </c>
    </row>
    <row r="1542">
      <c r="A1542" s="9" t="n">
        <v>38429</v>
      </c>
      <c r="B1542" s="7">
        <f>YEAR(A1542)</f>
        <v/>
      </c>
      <c r="C1542" s="7">
        <f>MONTH(A1542)</f>
        <v/>
      </c>
      <c r="D1542" s="10" t="n">
        <v>0</v>
      </c>
      <c r="E1542" s="11" t="n">
        <v>9.461082717</v>
      </c>
      <c r="F1542" s="12" t="n">
        <v>0</v>
      </c>
      <c r="G1542" s="11" t="n">
        <v>284.6884536</v>
      </c>
      <c r="H1542" s="13">
        <f>F1542*1000</f>
        <v/>
      </c>
      <c r="I1542" s="14">
        <f>G1542-273.15</f>
        <v/>
      </c>
      <c r="K1542" s="15" t="n">
        <v>2005</v>
      </c>
      <c r="L1542" s="15" t="n">
        <v>4</v>
      </c>
      <c r="M1542" s="15" t="n">
        <v>8</v>
      </c>
      <c r="N1542" s="16" t="n">
        <v>4.891800205e-06</v>
      </c>
      <c r="O1542" s="11" t="n">
        <v>288.9353781</v>
      </c>
      <c r="P1542" s="13">
        <f>N1542*86400</f>
        <v/>
      </c>
      <c r="Q1542" s="14">
        <f>O1542-273.15</f>
        <v/>
      </c>
    </row>
    <row r="1543">
      <c r="A1543" s="9" t="n">
        <v>38430</v>
      </c>
      <c r="B1543" s="7">
        <f>YEAR(A1543)</f>
        <v/>
      </c>
      <c r="C1543" s="7">
        <f>MONTH(A1543)</f>
        <v/>
      </c>
      <c r="D1543" s="10" t="n">
        <v>0</v>
      </c>
      <c r="E1543" s="11" t="n">
        <v>10.34395155</v>
      </c>
      <c r="F1543" s="12" t="n">
        <v>0.0005075685272</v>
      </c>
      <c r="G1543" s="11" t="n">
        <v>285.0214034</v>
      </c>
      <c r="H1543" s="13">
        <f>F1543*1000</f>
        <v/>
      </c>
      <c r="I1543" s="14">
        <f>G1543-273.15</f>
        <v/>
      </c>
      <c r="K1543" s="15" t="n">
        <v>2005</v>
      </c>
      <c r="L1543" s="15" t="n">
        <v>4</v>
      </c>
      <c r="M1543" s="15" t="n">
        <v>9</v>
      </c>
      <c r="N1543" s="16" t="n">
        <v>9.108040598e-06</v>
      </c>
      <c r="O1543" s="11" t="n">
        <v>286.2694338</v>
      </c>
      <c r="P1543" s="13">
        <f>N1543*86400</f>
        <v/>
      </c>
      <c r="Q1543" s="14">
        <f>O1543-273.15</f>
        <v/>
      </c>
    </row>
    <row r="1544">
      <c r="A1544" s="9" t="n">
        <v>38431</v>
      </c>
      <c r="B1544" s="7">
        <f>YEAR(A1544)</f>
        <v/>
      </c>
      <c r="C1544" s="7">
        <f>MONTH(A1544)</f>
        <v/>
      </c>
      <c r="D1544" s="10" t="n">
        <v>0</v>
      </c>
      <c r="E1544" s="11" t="n">
        <v>9.085482624999999</v>
      </c>
      <c r="F1544" s="12" t="n">
        <v>0</v>
      </c>
      <c r="G1544" s="11" t="n">
        <v>283.3581701</v>
      </c>
      <c r="H1544" s="13">
        <f>F1544*1000</f>
        <v/>
      </c>
      <c r="I1544" s="14">
        <f>G1544-273.15</f>
        <v/>
      </c>
      <c r="K1544" s="15" t="n">
        <v>2005</v>
      </c>
      <c r="L1544" s="15" t="n">
        <v>4</v>
      </c>
      <c r="M1544" s="15" t="n">
        <v>10</v>
      </c>
      <c r="N1544" s="16" t="n">
        <v>0</v>
      </c>
      <c r="O1544" s="11" t="n">
        <v>286.9081753</v>
      </c>
      <c r="P1544" s="13">
        <f>N1544*86400</f>
        <v/>
      </c>
      <c r="Q1544" s="14">
        <f>O1544-273.15</f>
        <v/>
      </c>
    </row>
    <row r="1545">
      <c r="A1545" s="9" t="n">
        <v>38432</v>
      </c>
      <c r="B1545" s="7">
        <f>YEAR(A1545)</f>
        <v/>
      </c>
      <c r="C1545" s="7">
        <f>MONTH(A1545)</f>
        <v/>
      </c>
      <c r="D1545" s="10" t="n">
        <v>0</v>
      </c>
      <c r="E1545" s="11" t="n">
        <v>8.274540253</v>
      </c>
      <c r="F1545" s="12" t="n">
        <v>0</v>
      </c>
      <c r="G1545" s="11" t="n">
        <v>283.2682764</v>
      </c>
      <c r="H1545" s="13">
        <f>F1545*1000</f>
        <v/>
      </c>
      <c r="I1545" s="14">
        <f>G1545-273.15</f>
        <v/>
      </c>
      <c r="K1545" s="15" t="n">
        <v>2005</v>
      </c>
      <c r="L1545" s="15" t="n">
        <v>4</v>
      </c>
      <c r="M1545" s="15" t="n">
        <v>11</v>
      </c>
      <c r="N1545" s="16" t="n">
        <v>0</v>
      </c>
      <c r="O1545" s="11" t="n">
        <v>286.7801217</v>
      </c>
      <c r="P1545" s="13">
        <f>N1545*86400</f>
        <v/>
      </c>
      <c r="Q1545" s="14">
        <f>O1545-273.15</f>
        <v/>
      </c>
    </row>
    <row r="1546">
      <c r="A1546" s="9" t="n">
        <v>38433</v>
      </c>
      <c r="B1546" s="7">
        <f>YEAR(A1546)</f>
        <v/>
      </c>
      <c r="C1546" s="7">
        <f>MONTH(A1546)</f>
        <v/>
      </c>
      <c r="D1546" s="10" t="n">
        <v>0</v>
      </c>
      <c r="E1546" s="11" t="n">
        <v>10.42035019</v>
      </c>
      <c r="F1546" s="12" t="n">
        <v>0.0004723858165</v>
      </c>
      <c r="G1546" s="11" t="n">
        <v>285.6398148</v>
      </c>
      <c r="H1546" s="13">
        <f>F1546*1000</f>
        <v/>
      </c>
      <c r="I1546" s="14">
        <f>G1546-273.15</f>
        <v/>
      </c>
      <c r="K1546" s="15" t="n">
        <v>2005</v>
      </c>
      <c r="L1546" s="15" t="n">
        <v>4</v>
      </c>
      <c r="M1546" s="15" t="n">
        <v>12</v>
      </c>
      <c r="N1546" s="16" t="n">
        <v>0</v>
      </c>
      <c r="O1546" s="11" t="n">
        <v>287.893206</v>
      </c>
      <c r="P1546" s="13">
        <f>N1546*86400</f>
        <v/>
      </c>
      <c r="Q1546" s="14">
        <f>O1546-273.15</f>
        <v/>
      </c>
    </row>
    <row r="1547">
      <c r="A1547" s="9" t="n">
        <v>38434</v>
      </c>
      <c r="B1547" s="7">
        <f>YEAR(A1547)</f>
        <v/>
      </c>
      <c r="C1547" s="7">
        <f>MONTH(A1547)</f>
        <v/>
      </c>
      <c r="D1547" s="10" t="n">
        <v>0</v>
      </c>
      <c r="E1547" s="11" t="n">
        <v>10.8299941</v>
      </c>
      <c r="F1547" s="12" t="n">
        <v>0.0002679285133</v>
      </c>
      <c r="G1547" s="11" t="n">
        <v>285.6718266</v>
      </c>
      <c r="H1547" s="13">
        <f>F1547*1000</f>
        <v/>
      </c>
      <c r="I1547" s="14">
        <f>G1547-273.15</f>
        <v/>
      </c>
      <c r="K1547" s="15" t="n">
        <v>2005</v>
      </c>
      <c r="L1547" s="15" t="n">
        <v>4</v>
      </c>
      <c r="M1547" s="15" t="n">
        <v>13</v>
      </c>
      <c r="N1547" s="16" t="n">
        <v>0</v>
      </c>
      <c r="O1547" s="11" t="n">
        <v>288.6639766</v>
      </c>
      <c r="P1547" s="13">
        <f>N1547*86400</f>
        <v/>
      </c>
      <c r="Q1547" s="14">
        <f>O1547-273.15</f>
        <v/>
      </c>
    </row>
    <row r="1548">
      <c r="A1548" s="9" t="n">
        <v>38435</v>
      </c>
      <c r="B1548" s="7">
        <f>YEAR(A1548)</f>
        <v/>
      </c>
      <c r="C1548" s="7">
        <f>MONTH(A1548)</f>
        <v/>
      </c>
      <c r="D1548" s="10" t="n">
        <v>0</v>
      </c>
      <c r="E1548" s="11" t="n">
        <v>9.002214105</v>
      </c>
      <c r="F1548" s="12" t="n">
        <v>0</v>
      </c>
      <c r="G1548" s="11" t="n">
        <v>284.9565887</v>
      </c>
      <c r="H1548" s="13">
        <f>F1548*1000</f>
        <v/>
      </c>
      <c r="I1548" s="14">
        <f>G1548-273.15</f>
        <v/>
      </c>
      <c r="K1548" s="15" t="n">
        <v>2005</v>
      </c>
      <c r="L1548" s="15" t="n">
        <v>4</v>
      </c>
      <c r="M1548" s="15" t="n">
        <v>14</v>
      </c>
      <c r="N1548" s="16" t="n">
        <v>6.301175908e-07</v>
      </c>
      <c r="O1548" s="11" t="n">
        <v>289.9759191</v>
      </c>
      <c r="P1548" s="13">
        <f>N1548*86400</f>
        <v/>
      </c>
      <c r="Q1548" s="14">
        <f>O1548-273.15</f>
        <v/>
      </c>
    </row>
    <row r="1549">
      <c r="A1549" s="9" t="n">
        <v>38436</v>
      </c>
      <c r="B1549" s="7">
        <f>YEAR(A1549)</f>
        <v/>
      </c>
      <c r="C1549" s="7">
        <f>MONTH(A1549)</f>
        <v/>
      </c>
      <c r="D1549" s="10" t="n">
        <v>0</v>
      </c>
      <c r="E1549" s="11" t="n">
        <v>9.608245109</v>
      </c>
      <c r="F1549" s="12" t="n">
        <v>0</v>
      </c>
      <c r="G1549" s="11" t="n">
        <v>283.8953441</v>
      </c>
      <c r="H1549" s="13">
        <f>F1549*1000</f>
        <v/>
      </c>
      <c r="I1549" s="14">
        <f>G1549-273.15</f>
        <v/>
      </c>
      <c r="K1549" s="15" t="n">
        <v>2005</v>
      </c>
      <c r="L1549" s="15" t="n">
        <v>4</v>
      </c>
      <c r="M1549" s="15" t="n">
        <v>15</v>
      </c>
      <c r="N1549" s="16" t="n">
        <v>3.697278664e-05</v>
      </c>
      <c r="O1549" s="11" t="n">
        <v>289.4692901</v>
      </c>
      <c r="P1549" s="13">
        <f>N1549*86400</f>
        <v/>
      </c>
      <c r="Q1549" s="14">
        <f>O1549-273.15</f>
        <v/>
      </c>
    </row>
    <row r="1550">
      <c r="A1550" s="9" t="n">
        <v>38437</v>
      </c>
      <c r="B1550" s="7">
        <f>YEAR(A1550)</f>
        <v/>
      </c>
      <c r="C1550" s="7">
        <f>MONTH(A1550)</f>
        <v/>
      </c>
      <c r="D1550" s="10" t="n">
        <v>0</v>
      </c>
      <c r="E1550" s="11" t="n">
        <v>9.764396096</v>
      </c>
      <c r="F1550" s="12" t="n">
        <v>0</v>
      </c>
      <c r="G1550" s="11" t="n">
        <v>282.9458825</v>
      </c>
      <c r="H1550" s="13">
        <f>F1550*1000</f>
        <v/>
      </c>
      <c r="I1550" s="14">
        <f>G1550-273.15</f>
        <v/>
      </c>
      <c r="K1550" s="15" t="n">
        <v>2005</v>
      </c>
      <c r="L1550" s="15" t="n">
        <v>4</v>
      </c>
      <c r="M1550" s="15" t="n">
        <v>16</v>
      </c>
      <c r="N1550" s="16" t="n">
        <v>2.719543593e-07</v>
      </c>
      <c r="O1550" s="11" t="n">
        <v>289.2880352</v>
      </c>
      <c r="P1550" s="13">
        <f>N1550*86400</f>
        <v/>
      </c>
      <c r="Q1550" s="14">
        <f>O1550-273.15</f>
        <v/>
      </c>
    </row>
    <row r="1551">
      <c r="A1551" s="9" t="n">
        <v>38438</v>
      </c>
      <c r="B1551" s="7">
        <f>YEAR(A1551)</f>
        <v/>
      </c>
      <c r="C1551" s="7">
        <f>MONTH(A1551)</f>
        <v/>
      </c>
      <c r="D1551" s="10" t="n">
        <v>0</v>
      </c>
      <c r="E1551" s="11" t="n">
        <v>11.1164302</v>
      </c>
      <c r="F1551" s="12" t="n">
        <v>0</v>
      </c>
      <c r="G1551" s="11" t="n">
        <v>284.0612427</v>
      </c>
      <c r="H1551" s="13">
        <f>F1551*1000</f>
        <v/>
      </c>
      <c r="I1551" s="14">
        <f>G1551-273.15</f>
        <v/>
      </c>
      <c r="K1551" s="15" t="n">
        <v>2005</v>
      </c>
      <c r="L1551" s="15" t="n">
        <v>4</v>
      </c>
      <c r="M1551" s="15" t="n">
        <v>17</v>
      </c>
      <c r="N1551" s="16" t="n">
        <v>4.135065324e-06</v>
      </c>
      <c r="O1551" s="11" t="n">
        <v>289.221695</v>
      </c>
      <c r="P1551" s="13">
        <f>N1551*86400</f>
        <v/>
      </c>
      <c r="Q1551" s="14">
        <f>O1551-273.15</f>
        <v/>
      </c>
    </row>
    <row r="1552">
      <c r="A1552" s="9" t="n">
        <v>38439</v>
      </c>
      <c r="B1552" s="7">
        <f>YEAR(A1552)</f>
        <v/>
      </c>
      <c r="C1552" s="7">
        <f>MONTH(A1552)</f>
        <v/>
      </c>
      <c r="D1552" s="10" t="n">
        <v>0</v>
      </c>
      <c r="E1552" s="11" t="n">
        <v>10.5767783</v>
      </c>
      <c r="F1552" s="12" t="n">
        <v>0</v>
      </c>
      <c r="G1552" s="11" t="n">
        <v>284.797648</v>
      </c>
      <c r="H1552" s="13">
        <f>F1552*1000</f>
        <v/>
      </c>
      <c r="I1552" s="14">
        <f>G1552-273.15</f>
        <v/>
      </c>
      <c r="K1552" s="15" t="n">
        <v>2005</v>
      </c>
      <c r="L1552" s="15" t="n">
        <v>4</v>
      </c>
      <c r="M1552" s="15" t="n">
        <v>18</v>
      </c>
      <c r="N1552" s="16" t="n">
        <v>2.644055296e-05</v>
      </c>
      <c r="O1552" s="11" t="n">
        <v>289.5350108</v>
      </c>
      <c r="P1552" s="13">
        <f>N1552*86400</f>
        <v/>
      </c>
      <c r="Q1552" s="14">
        <f>O1552-273.15</f>
        <v/>
      </c>
    </row>
    <row r="1553">
      <c r="A1553" s="9" t="n">
        <v>38440</v>
      </c>
      <c r="B1553" s="7">
        <f>YEAR(A1553)</f>
        <v/>
      </c>
      <c r="C1553" s="7">
        <f>MONTH(A1553)</f>
        <v/>
      </c>
      <c r="D1553" s="10" t="n">
        <v>0</v>
      </c>
      <c r="E1553" s="11" t="n">
        <v>10.64620176</v>
      </c>
      <c r="F1553" s="12" t="n">
        <v>0.0003252394252</v>
      </c>
      <c r="G1553" s="11" t="n">
        <v>284.8079676</v>
      </c>
      <c r="H1553" s="13">
        <f>F1553*1000</f>
        <v/>
      </c>
      <c r="I1553" s="14">
        <f>G1553-273.15</f>
        <v/>
      </c>
      <c r="K1553" s="15" t="n">
        <v>2005</v>
      </c>
      <c r="L1553" s="15" t="n">
        <v>4</v>
      </c>
      <c r="M1553" s="15" t="n">
        <v>19</v>
      </c>
      <c r="N1553" s="16" t="n">
        <v>0</v>
      </c>
      <c r="O1553" s="11" t="n">
        <v>289.6078836</v>
      </c>
      <c r="P1553" s="13">
        <f>N1553*86400</f>
        <v/>
      </c>
      <c r="Q1553" s="14">
        <f>O1553-273.15</f>
        <v/>
      </c>
    </row>
    <row r="1554">
      <c r="A1554" s="9" t="n">
        <v>38441</v>
      </c>
      <c r="B1554" s="7">
        <f>YEAR(A1554)</f>
        <v/>
      </c>
      <c r="C1554" s="7">
        <f>MONTH(A1554)</f>
        <v/>
      </c>
      <c r="D1554" s="10" t="n">
        <v>0</v>
      </c>
      <c r="E1554" s="11" t="n">
        <v>12.67096826</v>
      </c>
      <c r="F1554" s="12" t="n">
        <v>0.0004426204232</v>
      </c>
      <c r="G1554" s="11" t="n">
        <v>286.2913871</v>
      </c>
      <c r="H1554" s="13">
        <f>F1554*1000</f>
        <v/>
      </c>
      <c r="I1554" s="14">
        <f>G1554-273.15</f>
        <v/>
      </c>
      <c r="K1554" s="15" t="n">
        <v>2005</v>
      </c>
      <c r="L1554" s="15" t="n">
        <v>4</v>
      </c>
      <c r="M1554" s="15" t="n">
        <v>20</v>
      </c>
      <c r="N1554" s="16" t="n">
        <v>3.140467962e-05</v>
      </c>
      <c r="O1554" s="11" t="n">
        <v>290.2363441</v>
      </c>
      <c r="P1554" s="13">
        <f>N1554*86400</f>
        <v/>
      </c>
      <c r="Q1554" s="14">
        <f>O1554-273.15</f>
        <v/>
      </c>
    </row>
    <row r="1555">
      <c r="A1555" s="9" t="n">
        <v>38442</v>
      </c>
      <c r="B1555" s="7">
        <f>YEAR(A1555)</f>
        <v/>
      </c>
      <c r="C1555" s="7">
        <f>MONTH(A1555)</f>
        <v/>
      </c>
      <c r="D1555" s="10" t="n">
        <v>0</v>
      </c>
      <c r="E1555" s="11" t="n">
        <v>13.17305393</v>
      </c>
      <c r="F1555" s="12" t="n">
        <v>0</v>
      </c>
      <c r="G1555" s="11" t="n">
        <v>287.0925106</v>
      </c>
      <c r="H1555" s="13">
        <f>F1555*1000</f>
        <v/>
      </c>
      <c r="I1555" s="14">
        <f>G1555-273.15</f>
        <v/>
      </c>
      <c r="K1555" s="15" t="n">
        <v>2005</v>
      </c>
      <c r="L1555" s="15" t="n">
        <v>4</v>
      </c>
      <c r="M1555" s="15" t="n">
        <v>21</v>
      </c>
      <c r="N1555" s="16" t="n">
        <v>5.071953361e-08</v>
      </c>
      <c r="O1555" s="11" t="n">
        <v>291.0810318</v>
      </c>
      <c r="P1555" s="13">
        <f>N1555*86400</f>
        <v/>
      </c>
      <c r="Q1555" s="14">
        <f>O1555-273.15</f>
        <v/>
      </c>
    </row>
    <row r="1556">
      <c r="A1556" s="9" t="n">
        <v>38443</v>
      </c>
      <c r="B1556" s="7">
        <f>YEAR(A1556)</f>
        <v/>
      </c>
      <c r="C1556" s="7">
        <f>MONTH(A1556)</f>
        <v/>
      </c>
      <c r="D1556" s="10" t="n">
        <v>0</v>
      </c>
      <c r="E1556" s="11" t="n">
        <v>11.95310065</v>
      </c>
      <c r="F1556" s="12" t="n">
        <v>0</v>
      </c>
      <c r="G1556" s="11" t="n">
        <v>285.8717751</v>
      </c>
      <c r="H1556" s="13">
        <f>F1556*1000</f>
        <v/>
      </c>
      <c r="I1556" s="14">
        <f>G1556-273.15</f>
        <v/>
      </c>
      <c r="K1556" s="15" t="n">
        <v>2005</v>
      </c>
      <c r="L1556" s="15" t="n">
        <v>4</v>
      </c>
      <c r="M1556" s="15" t="n">
        <v>22</v>
      </c>
      <c r="N1556" s="16" t="n">
        <v>7.111582039e-06</v>
      </c>
      <c r="O1556" s="11" t="n">
        <v>291.2575417</v>
      </c>
      <c r="P1556" s="13">
        <f>N1556*86400</f>
        <v/>
      </c>
      <c r="Q1556" s="14">
        <f>O1556-273.15</f>
        <v/>
      </c>
    </row>
    <row r="1557">
      <c r="A1557" s="9" t="n">
        <v>38444</v>
      </c>
      <c r="B1557" s="7">
        <f>YEAR(A1557)</f>
        <v/>
      </c>
      <c r="C1557" s="7">
        <f>MONTH(A1557)</f>
        <v/>
      </c>
      <c r="D1557" s="10" t="n">
        <v>0</v>
      </c>
      <c r="E1557" s="11" t="n">
        <v>12.47172959</v>
      </c>
      <c r="F1557" s="12" t="n">
        <v>0</v>
      </c>
      <c r="G1557" s="11" t="n">
        <v>287.007606</v>
      </c>
      <c r="H1557" s="13">
        <f>F1557*1000</f>
        <v/>
      </c>
      <c r="I1557" s="14">
        <f>G1557-273.15</f>
        <v/>
      </c>
      <c r="K1557" s="15" t="n">
        <v>2005</v>
      </c>
      <c r="L1557" s="15" t="n">
        <v>4</v>
      </c>
      <c r="M1557" s="15" t="n">
        <v>23</v>
      </c>
      <c r="N1557" s="16" t="n">
        <v>5.763616934e-09</v>
      </c>
      <c r="O1557" s="11" t="n">
        <v>291.1492986</v>
      </c>
      <c r="P1557" s="13">
        <f>N1557*86400</f>
        <v/>
      </c>
      <c r="Q1557" s="14">
        <f>O1557-273.15</f>
        <v/>
      </c>
    </row>
    <row r="1558">
      <c r="A1558" s="9" t="n">
        <v>38445</v>
      </c>
      <c r="B1558" s="7">
        <f>YEAR(A1558)</f>
        <v/>
      </c>
      <c r="C1558" s="7">
        <f>MONTH(A1558)</f>
        <v/>
      </c>
      <c r="D1558" s="10" t="n">
        <v>0</v>
      </c>
      <c r="E1558" s="11" t="n">
        <v>11.75144793</v>
      </c>
      <c r="F1558" s="12" t="n">
        <v>0</v>
      </c>
      <c r="G1558" s="11" t="n">
        <v>286.5268304</v>
      </c>
      <c r="H1558" s="13">
        <f>F1558*1000</f>
        <v/>
      </c>
      <c r="I1558" s="14">
        <f>G1558-273.15</f>
        <v/>
      </c>
      <c r="K1558" s="15" t="n">
        <v>2005</v>
      </c>
      <c r="L1558" s="15" t="n">
        <v>4</v>
      </c>
      <c r="M1558" s="15" t="n">
        <v>24</v>
      </c>
      <c r="N1558" s="16" t="n">
        <v>0</v>
      </c>
      <c r="O1558" s="11" t="n">
        <v>291.9993061</v>
      </c>
      <c r="P1558" s="13">
        <f>N1558*86400</f>
        <v/>
      </c>
      <c r="Q1558" s="14">
        <f>O1558-273.15</f>
        <v/>
      </c>
    </row>
    <row r="1559">
      <c r="A1559" s="9" t="n">
        <v>38446</v>
      </c>
      <c r="B1559" s="7">
        <f>YEAR(A1559)</f>
        <v/>
      </c>
      <c r="C1559" s="7">
        <f>MONTH(A1559)</f>
        <v/>
      </c>
      <c r="D1559" s="10" t="n">
        <v>0</v>
      </c>
      <c r="E1559" s="11" t="n">
        <v>10.40274359</v>
      </c>
      <c r="F1559" s="12" t="n">
        <v>0</v>
      </c>
      <c r="G1559" s="11" t="n">
        <v>284.6215791</v>
      </c>
      <c r="H1559" s="13">
        <f>F1559*1000</f>
        <v/>
      </c>
      <c r="I1559" s="14">
        <f>G1559-273.15</f>
        <v/>
      </c>
      <c r="K1559" s="15" t="n">
        <v>2005</v>
      </c>
      <c r="L1559" s="15" t="n">
        <v>4</v>
      </c>
      <c r="M1559" s="15" t="n">
        <v>25</v>
      </c>
      <c r="N1559" s="16" t="n">
        <v>0</v>
      </c>
      <c r="O1559" s="11" t="n">
        <v>290.464844</v>
      </c>
      <c r="P1559" s="13">
        <f>N1559*86400</f>
        <v/>
      </c>
      <c r="Q1559" s="14">
        <f>O1559-273.15</f>
        <v/>
      </c>
    </row>
    <row r="1560">
      <c r="A1560" s="9" t="n">
        <v>38447</v>
      </c>
      <c r="B1560" s="7">
        <f>YEAR(A1560)</f>
        <v/>
      </c>
      <c r="C1560" s="7">
        <f>MONTH(A1560)</f>
        <v/>
      </c>
      <c r="D1560" s="10" t="n">
        <v>0</v>
      </c>
      <c r="E1560" s="11" t="n">
        <v>11.63245966</v>
      </c>
      <c r="F1560" s="12" t="n">
        <v>0</v>
      </c>
      <c r="G1560" s="11" t="n">
        <v>286.5587866</v>
      </c>
      <c r="H1560" s="13">
        <f>F1560*1000</f>
        <v/>
      </c>
      <c r="I1560" s="14">
        <f>G1560-273.15</f>
        <v/>
      </c>
      <c r="K1560" s="15" t="n">
        <v>2005</v>
      </c>
      <c r="L1560" s="15" t="n">
        <v>4</v>
      </c>
      <c r="M1560" s="15" t="n">
        <v>26</v>
      </c>
      <c r="N1560" s="16" t="n">
        <v>0</v>
      </c>
      <c r="O1560" s="11" t="n">
        <v>288.7310974</v>
      </c>
      <c r="P1560" s="13">
        <f>N1560*86400</f>
        <v/>
      </c>
      <c r="Q1560" s="14">
        <f>O1560-273.15</f>
        <v/>
      </c>
    </row>
    <row r="1561">
      <c r="A1561" s="9" t="n">
        <v>38448</v>
      </c>
      <c r="B1561" s="7">
        <f>YEAR(A1561)</f>
        <v/>
      </c>
      <c r="C1561" s="7">
        <f>MONTH(A1561)</f>
        <v/>
      </c>
      <c r="D1561" s="10" t="n">
        <v>0</v>
      </c>
      <c r="E1561" s="11" t="n">
        <v>10.41906784</v>
      </c>
      <c r="F1561" s="12" t="n">
        <v>0</v>
      </c>
      <c r="G1561" s="11" t="n">
        <v>285.4795513</v>
      </c>
      <c r="H1561" s="13">
        <f>F1561*1000</f>
        <v/>
      </c>
      <c r="I1561" s="14">
        <f>G1561-273.15</f>
        <v/>
      </c>
      <c r="K1561" s="15" t="n">
        <v>2005</v>
      </c>
      <c r="L1561" s="15" t="n">
        <v>4</v>
      </c>
      <c r="M1561" s="15" t="n">
        <v>27</v>
      </c>
      <c r="N1561" s="16" t="n">
        <v>0</v>
      </c>
      <c r="O1561" s="11" t="n">
        <v>288.9025035</v>
      </c>
      <c r="P1561" s="13">
        <f>N1561*86400</f>
        <v/>
      </c>
      <c r="Q1561" s="14">
        <f>O1561-273.15</f>
        <v/>
      </c>
    </row>
    <row r="1562">
      <c r="A1562" s="9" t="n">
        <v>38449</v>
      </c>
      <c r="B1562" s="7">
        <f>YEAR(A1562)</f>
        <v/>
      </c>
      <c r="C1562" s="7">
        <f>MONTH(A1562)</f>
        <v/>
      </c>
      <c r="D1562" s="10" t="n">
        <v>0</v>
      </c>
      <c r="E1562" s="11" t="n">
        <v>13.01476041</v>
      </c>
      <c r="F1562" s="12" t="n">
        <v>0</v>
      </c>
      <c r="G1562" s="11" t="n">
        <v>287.3910143</v>
      </c>
      <c r="H1562" s="13">
        <f>F1562*1000</f>
        <v/>
      </c>
      <c r="I1562" s="14">
        <f>G1562-273.15</f>
        <v/>
      </c>
      <c r="K1562" s="15" t="n">
        <v>2005</v>
      </c>
      <c r="L1562" s="15" t="n">
        <v>4</v>
      </c>
      <c r="M1562" s="15" t="n">
        <v>28</v>
      </c>
      <c r="N1562" s="16" t="n">
        <v>0</v>
      </c>
      <c r="O1562" s="11" t="n">
        <v>288.7293862</v>
      </c>
      <c r="P1562" s="13">
        <f>N1562*86400</f>
        <v/>
      </c>
      <c r="Q1562" s="14">
        <f>O1562-273.15</f>
        <v/>
      </c>
    </row>
    <row r="1563">
      <c r="A1563" s="9" t="n">
        <v>38450</v>
      </c>
      <c r="B1563" s="7">
        <f>YEAR(A1563)</f>
        <v/>
      </c>
      <c r="C1563" s="7">
        <f>MONTH(A1563)</f>
        <v/>
      </c>
      <c r="D1563" s="10" t="n">
        <v>0</v>
      </c>
      <c r="E1563" s="11" t="n">
        <v>12.72003732</v>
      </c>
      <c r="F1563" s="12" t="n">
        <v>0.001314463383</v>
      </c>
      <c r="G1563" s="11" t="n">
        <v>287.13505</v>
      </c>
      <c r="H1563" s="13">
        <f>F1563*1000</f>
        <v/>
      </c>
      <c r="I1563" s="14">
        <f>G1563-273.15</f>
        <v/>
      </c>
      <c r="K1563" s="15" t="n">
        <v>2005</v>
      </c>
      <c r="L1563" s="15" t="n">
        <v>4</v>
      </c>
      <c r="M1563" s="15" t="n">
        <v>29</v>
      </c>
      <c r="N1563" s="16" t="n">
        <v>0</v>
      </c>
      <c r="O1563" s="11" t="n">
        <v>290.9956881</v>
      </c>
      <c r="P1563" s="13">
        <f>N1563*86400</f>
        <v/>
      </c>
      <c r="Q1563" s="14">
        <f>O1563-273.15</f>
        <v/>
      </c>
    </row>
    <row r="1564">
      <c r="A1564" s="9" t="n">
        <v>38451</v>
      </c>
      <c r="B1564" s="7">
        <f>YEAR(A1564)</f>
        <v/>
      </c>
      <c r="C1564" s="7">
        <f>MONTH(A1564)</f>
        <v/>
      </c>
      <c r="D1564" s="10" t="n">
        <v>0</v>
      </c>
      <c r="E1564" s="11" t="n">
        <v>12.27677681</v>
      </c>
      <c r="F1564" s="12" t="n">
        <v>0</v>
      </c>
      <c r="G1564" s="11" t="n">
        <v>287.0075515</v>
      </c>
      <c r="H1564" s="13">
        <f>F1564*1000</f>
        <v/>
      </c>
      <c r="I1564" s="14">
        <f>G1564-273.15</f>
        <v/>
      </c>
      <c r="K1564" s="15" t="n">
        <v>2005</v>
      </c>
      <c r="L1564" s="15" t="n">
        <v>4</v>
      </c>
      <c r="M1564" s="15" t="n">
        <v>30</v>
      </c>
      <c r="N1564" s="16" t="n">
        <v>0</v>
      </c>
      <c r="O1564" s="11" t="n">
        <v>293.6479671</v>
      </c>
      <c r="P1564" s="13">
        <f>N1564*86400</f>
        <v/>
      </c>
      <c r="Q1564" s="14">
        <f>O1564-273.15</f>
        <v/>
      </c>
    </row>
    <row r="1565">
      <c r="A1565" s="9" t="n">
        <v>38452</v>
      </c>
      <c r="B1565" s="7">
        <f>YEAR(A1565)</f>
        <v/>
      </c>
      <c r="C1565" s="7">
        <f>MONTH(A1565)</f>
        <v/>
      </c>
      <c r="D1565" s="10" t="n">
        <v>0</v>
      </c>
      <c r="E1565" s="11" t="n">
        <v>12.08994342</v>
      </c>
      <c r="F1565" s="12" t="n">
        <v>0.003310082872</v>
      </c>
      <c r="G1565" s="11" t="n">
        <v>287.1648249</v>
      </c>
      <c r="H1565" s="13">
        <f>F1565*1000</f>
        <v/>
      </c>
      <c r="I1565" s="14">
        <f>G1565-273.15</f>
        <v/>
      </c>
      <c r="K1565" s="15" t="n">
        <v>2005</v>
      </c>
      <c r="L1565" s="15" t="n">
        <v>5</v>
      </c>
      <c r="M1565" s="15" t="n">
        <v>1</v>
      </c>
      <c r="N1565" s="16" t="n">
        <v>0</v>
      </c>
      <c r="O1565" s="11" t="n">
        <v>292.8408681</v>
      </c>
      <c r="P1565" s="13">
        <f>N1565*86400</f>
        <v/>
      </c>
      <c r="Q1565" s="14">
        <f>O1565-273.15</f>
        <v/>
      </c>
    </row>
    <row r="1566">
      <c r="A1566" s="9" t="n">
        <v>38453</v>
      </c>
      <c r="B1566" s="7">
        <f>YEAR(A1566)</f>
        <v/>
      </c>
      <c r="C1566" s="7">
        <f>MONTH(A1566)</f>
        <v/>
      </c>
      <c r="D1566" s="10" t="n">
        <v>0</v>
      </c>
      <c r="E1566" s="11" t="n">
        <v>14.19865563</v>
      </c>
      <c r="F1566" s="12" t="n">
        <v>0.001271127994</v>
      </c>
      <c r="G1566" s="11" t="n">
        <v>288.5423883</v>
      </c>
      <c r="H1566" s="13">
        <f>F1566*1000</f>
        <v/>
      </c>
      <c r="I1566" s="14">
        <f>G1566-273.15</f>
        <v/>
      </c>
      <c r="K1566" s="15" t="n">
        <v>2005</v>
      </c>
      <c r="L1566" s="15" t="n">
        <v>5</v>
      </c>
      <c r="M1566" s="15" t="n">
        <v>2</v>
      </c>
      <c r="N1566" s="16" t="n">
        <v>6.824961693e-06</v>
      </c>
      <c r="O1566" s="11" t="n">
        <v>292.8266721</v>
      </c>
      <c r="P1566" s="13">
        <f>N1566*86400</f>
        <v/>
      </c>
      <c r="Q1566" s="14">
        <f>O1566-273.15</f>
        <v/>
      </c>
    </row>
    <row r="1567">
      <c r="A1567" s="9" t="n">
        <v>38454</v>
      </c>
      <c r="B1567" s="7">
        <f>YEAR(A1567)</f>
        <v/>
      </c>
      <c r="C1567" s="7">
        <f>MONTH(A1567)</f>
        <v/>
      </c>
      <c r="D1567" s="10" t="n">
        <v>0</v>
      </c>
      <c r="E1567" s="11" t="n">
        <v>13.60601467</v>
      </c>
      <c r="F1567" s="12" t="n">
        <v>0.0004147463659</v>
      </c>
      <c r="G1567" s="11" t="n">
        <v>287.8755932</v>
      </c>
      <c r="H1567" s="13">
        <f>F1567*1000</f>
        <v/>
      </c>
      <c r="I1567" s="14">
        <f>G1567-273.15</f>
        <v/>
      </c>
      <c r="K1567" s="15" t="n">
        <v>2005</v>
      </c>
      <c r="L1567" s="15" t="n">
        <v>5</v>
      </c>
      <c r="M1567" s="15" t="n">
        <v>3</v>
      </c>
      <c r="N1567" s="16" t="n">
        <v>0</v>
      </c>
      <c r="O1567" s="11" t="n">
        <v>291.4801272</v>
      </c>
      <c r="P1567" s="13">
        <f>N1567*86400</f>
        <v/>
      </c>
      <c r="Q1567" s="14">
        <f>O1567-273.15</f>
        <v/>
      </c>
    </row>
    <row r="1568">
      <c r="A1568" s="9" t="n">
        <v>38455</v>
      </c>
      <c r="B1568" s="7">
        <f>YEAR(A1568)</f>
        <v/>
      </c>
      <c r="C1568" s="7">
        <f>MONTH(A1568)</f>
        <v/>
      </c>
      <c r="D1568" s="10" t="n">
        <v>0</v>
      </c>
      <c r="E1568" s="11" t="n">
        <v>14.22153297</v>
      </c>
      <c r="F1568" s="12" t="n">
        <v>0.009684504864</v>
      </c>
      <c r="G1568" s="11" t="n">
        <v>288.9568319</v>
      </c>
      <c r="H1568" s="13">
        <f>F1568*1000</f>
        <v/>
      </c>
      <c r="I1568" s="14">
        <f>G1568-273.15</f>
        <v/>
      </c>
      <c r="K1568" s="15" t="n">
        <v>2005</v>
      </c>
      <c r="L1568" s="15" t="n">
        <v>5</v>
      </c>
      <c r="M1568" s="15" t="n">
        <v>4</v>
      </c>
      <c r="N1568" s="16" t="n">
        <v>0</v>
      </c>
      <c r="O1568" s="11" t="n">
        <v>289.1100915</v>
      </c>
      <c r="P1568" s="13">
        <f>N1568*86400</f>
        <v/>
      </c>
      <c r="Q1568" s="14">
        <f>O1568-273.15</f>
        <v/>
      </c>
    </row>
    <row r="1569">
      <c r="A1569" s="9" t="n">
        <v>38456</v>
      </c>
      <c r="B1569" s="7">
        <f>YEAR(A1569)</f>
        <v/>
      </c>
      <c r="C1569" s="7">
        <f>MONTH(A1569)</f>
        <v/>
      </c>
      <c r="D1569" s="10" t="n">
        <v>0</v>
      </c>
      <c r="E1569" s="11" t="n">
        <v>16.19000649</v>
      </c>
      <c r="F1569" s="12" t="n">
        <v>0.0006680826648</v>
      </c>
      <c r="G1569" s="11" t="n">
        <v>291.5625639</v>
      </c>
      <c r="H1569" s="13">
        <f>F1569*1000</f>
        <v/>
      </c>
      <c r="I1569" s="14">
        <f>G1569-273.15</f>
        <v/>
      </c>
      <c r="K1569" s="15" t="n">
        <v>2005</v>
      </c>
      <c r="L1569" s="15" t="n">
        <v>5</v>
      </c>
      <c r="M1569" s="15" t="n">
        <v>5</v>
      </c>
      <c r="N1569" s="16" t="n">
        <v>0</v>
      </c>
      <c r="O1569" s="11" t="n">
        <v>290.5765087</v>
      </c>
      <c r="P1569" s="13">
        <f>N1569*86400</f>
        <v/>
      </c>
      <c r="Q1569" s="14">
        <f>O1569-273.15</f>
        <v/>
      </c>
    </row>
    <row r="1570">
      <c r="A1570" s="9" t="n">
        <v>38457</v>
      </c>
      <c r="B1570" s="7">
        <f>YEAR(A1570)</f>
        <v/>
      </c>
      <c r="C1570" s="7">
        <f>MONTH(A1570)</f>
        <v/>
      </c>
      <c r="D1570" s="10" t="n">
        <v>0</v>
      </c>
      <c r="E1570" s="11" t="n">
        <v>16.34972949</v>
      </c>
      <c r="F1570" s="12" t="n">
        <v>0.0009157160108</v>
      </c>
      <c r="G1570" s="11" t="n">
        <v>291.4087732</v>
      </c>
      <c r="H1570" s="13">
        <f>F1570*1000</f>
        <v/>
      </c>
      <c r="I1570" s="14">
        <f>G1570-273.15</f>
        <v/>
      </c>
      <c r="K1570" s="15" t="n">
        <v>2005</v>
      </c>
      <c r="L1570" s="15" t="n">
        <v>5</v>
      </c>
      <c r="M1570" s="15" t="n">
        <v>6</v>
      </c>
      <c r="N1570" s="16" t="n">
        <v>0</v>
      </c>
      <c r="O1570" s="11" t="n">
        <v>292.1854997</v>
      </c>
      <c r="P1570" s="13">
        <f>N1570*86400</f>
        <v/>
      </c>
      <c r="Q1570" s="14">
        <f>O1570-273.15</f>
        <v/>
      </c>
    </row>
    <row r="1571">
      <c r="A1571" s="9" t="n">
        <v>38458</v>
      </c>
      <c r="B1571" s="7">
        <f>YEAR(A1571)</f>
        <v/>
      </c>
      <c r="C1571" s="7">
        <f>MONTH(A1571)</f>
        <v/>
      </c>
      <c r="D1571" s="10" t="n">
        <v>0</v>
      </c>
      <c r="E1571" s="11" t="n">
        <v>16.2594347</v>
      </c>
      <c r="F1571" s="12" t="n">
        <v>0</v>
      </c>
      <c r="G1571" s="11" t="n">
        <v>289.7453024</v>
      </c>
      <c r="H1571" s="13">
        <f>F1571*1000</f>
        <v/>
      </c>
      <c r="I1571" s="14">
        <f>G1571-273.15</f>
        <v/>
      </c>
      <c r="K1571" s="15" t="n">
        <v>2005</v>
      </c>
      <c r="L1571" s="15" t="n">
        <v>5</v>
      </c>
      <c r="M1571" s="15" t="n">
        <v>7</v>
      </c>
      <c r="N1571" s="16" t="n">
        <v>6.099101277e-08</v>
      </c>
      <c r="O1571" s="11" t="n">
        <v>291.1285086</v>
      </c>
      <c r="P1571" s="13">
        <f>N1571*86400</f>
        <v/>
      </c>
      <c r="Q1571" s="14">
        <f>O1571-273.15</f>
        <v/>
      </c>
    </row>
    <row r="1572">
      <c r="A1572" s="9" t="n">
        <v>38459</v>
      </c>
      <c r="B1572" s="7">
        <f>YEAR(A1572)</f>
        <v/>
      </c>
      <c r="C1572" s="7">
        <f>MONTH(A1572)</f>
        <v/>
      </c>
      <c r="D1572" s="10" t="n">
        <v>0</v>
      </c>
      <c r="E1572" s="11" t="n">
        <v>15.87564071</v>
      </c>
      <c r="F1572" s="12" t="n">
        <v>0</v>
      </c>
      <c r="G1572" s="11" t="n">
        <v>289.1806986</v>
      </c>
      <c r="H1572" s="13">
        <f>F1572*1000</f>
        <v/>
      </c>
      <c r="I1572" s="14">
        <f>G1572-273.15</f>
        <v/>
      </c>
      <c r="K1572" s="15" t="n">
        <v>2005</v>
      </c>
      <c r="L1572" s="15" t="n">
        <v>5</v>
      </c>
      <c r="M1572" s="15" t="n">
        <v>8</v>
      </c>
      <c r="N1572" s="16" t="n">
        <v>0</v>
      </c>
      <c r="O1572" s="11" t="n">
        <v>292.8215348</v>
      </c>
      <c r="P1572" s="13">
        <f>N1572*86400</f>
        <v/>
      </c>
      <c r="Q1572" s="14">
        <f>O1572-273.15</f>
        <v/>
      </c>
    </row>
    <row r="1573">
      <c r="A1573" s="9" t="n">
        <v>38460</v>
      </c>
      <c r="B1573" s="7">
        <f>YEAR(A1573)</f>
        <v/>
      </c>
      <c r="C1573" s="7">
        <f>MONTH(A1573)</f>
        <v/>
      </c>
      <c r="D1573" s="10" t="n">
        <v>0</v>
      </c>
      <c r="E1573" s="11" t="n">
        <v>17.57698523</v>
      </c>
      <c r="F1573" s="12" t="n">
        <v>0</v>
      </c>
      <c r="G1573" s="11" t="n">
        <v>290.8051026</v>
      </c>
      <c r="H1573" s="13">
        <f>F1573*1000</f>
        <v/>
      </c>
      <c r="I1573" s="14">
        <f>G1573-273.15</f>
        <v/>
      </c>
      <c r="K1573" s="15" t="n">
        <v>2005</v>
      </c>
      <c r="L1573" s="15" t="n">
        <v>5</v>
      </c>
      <c r="M1573" s="15" t="n">
        <v>9</v>
      </c>
      <c r="N1573" s="16" t="n">
        <v>7.072273156e-06</v>
      </c>
      <c r="O1573" s="11" t="n">
        <v>289.5664469</v>
      </c>
      <c r="P1573" s="13">
        <f>N1573*86400</f>
        <v/>
      </c>
      <c r="Q1573" s="14">
        <f>O1573-273.15</f>
        <v/>
      </c>
    </row>
    <row r="1574">
      <c r="A1574" s="9" t="n">
        <v>38461</v>
      </c>
      <c r="B1574" s="7">
        <f>YEAR(A1574)</f>
        <v/>
      </c>
      <c r="C1574" s="7">
        <f>MONTH(A1574)</f>
        <v/>
      </c>
      <c r="D1574" s="10" t="n">
        <v>0</v>
      </c>
      <c r="E1574" s="11" t="n">
        <v>16.74092374</v>
      </c>
      <c r="F1574" s="12" t="n">
        <v>0.002482538378</v>
      </c>
      <c r="G1574" s="11" t="n">
        <v>290.7768885</v>
      </c>
      <c r="H1574" s="13">
        <f>F1574*1000</f>
        <v/>
      </c>
      <c r="I1574" s="14">
        <f>G1574-273.15</f>
        <v/>
      </c>
      <c r="K1574" s="15" t="n">
        <v>2005</v>
      </c>
      <c r="L1574" s="15" t="n">
        <v>5</v>
      </c>
      <c r="M1574" s="15" t="n">
        <v>10</v>
      </c>
      <c r="N1574" s="16" t="n">
        <v>2.264861151e-05</v>
      </c>
      <c r="O1574" s="11" t="n">
        <v>290.8134556</v>
      </c>
      <c r="P1574" s="13">
        <f>N1574*86400</f>
        <v/>
      </c>
      <c r="Q1574" s="14">
        <f>O1574-273.15</f>
        <v/>
      </c>
    </row>
    <row r="1575">
      <c r="A1575" s="9" t="n">
        <v>38462</v>
      </c>
      <c r="B1575" s="7">
        <f>YEAR(A1575)</f>
        <v/>
      </c>
      <c r="C1575" s="7">
        <f>MONTH(A1575)</f>
        <v/>
      </c>
      <c r="D1575" s="10" t="n">
        <v>0</v>
      </c>
      <c r="E1575" s="11" t="n">
        <v>15.49077956</v>
      </c>
      <c r="F1575" s="12" t="n">
        <v>0.008069632724999999</v>
      </c>
      <c r="G1575" s="11" t="n">
        <v>289.5722438</v>
      </c>
      <c r="H1575" s="13">
        <f>F1575*1000</f>
        <v/>
      </c>
      <c r="I1575" s="14">
        <f>G1575-273.15</f>
        <v/>
      </c>
      <c r="K1575" s="15" t="n">
        <v>2005</v>
      </c>
      <c r="L1575" s="15" t="n">
        <v>5</v>
      </c>
      <c r="M1575" s="15" t="n">
        <v>11</v>
      </c>
      <c r="N1575" s="16" t="n">
        <v>0</v>
      </c>
      <c r="O1575" s="11" t="n">
        <v>291.7158496</v>
      </c>
      <c r="P1575" s="13">
        <f>N1575*86400</f>
        <v/>
      </c>
      <c r="Q1575" s="14">
        <f>O1575-273.15</f>
        <v/>
      </c>
    </row>
    <row r="1576">
      <c r="A1576" s="9" t="n">
        <v>38463</v>
      </c>
      <c r="B1576" s="7">
        <f>YEAR(A1576)</f>
        <v/>
      </c>
      <c r="C1576" s="7">
        <f>MONTH(A1576)</f>
        <v/>
      </c>
      <c r="D1576" s="10" t="n">
        <v>0</v>
      </c>
      <c r="E1576" s="11" t="n">
        <v>13.18538361</v>
      </c>
      <c r="F1576" s="12" t="n">
        <v>0</v>
      </c>
      <c r="G1576" s="11" t="n">
        <v>287.7041961</v>
      </c>
      <c r="H1576" s="13">
        <f>F1576*1000</f>
        <v/>
      </c>
      <c r="I1576" s="14">
        <f>G1576-273.15</f>
        <v/>
      </c>
      <c r="K1576" s="15" t="n">
        <v>2005</v>
      </c>
      <c r="L1576" s="15" t="n">
        <v>5</v>
      </c>
      <c r="M1576" s="15" t="n">
        <v>12</v>
      </c>
      <c r="N1576" s="16" t="n">
        <v>8.920910391000001e-06</v>
      </c>
      <c r="O1576" s="11" t="n">
        <v>291.481397</v>
      </c>
      <c r="P1576" s="13">
        <f>N1576*86400</f>
        <v/>
      </c>
      <c r="Q1576" s="14">
        <f>O1576-273.15</f>
        <v/>
      </c>
    </row>
    <row r="1577">
      <c r="A1577" s="9" t="n">
        <v>38464</v>
      </c>
      <c r="B1577" s="7">
        <f>YEAR(A1577)</f>
        <v/>
      </c>
      <c r="C1577" s="7">
        <f>MONTH(A1577)</f>
        <v/>
      </c>
      <c r="D1577" s="10" t="n">
        <v>0</v>
      </c>
      <c r="E1577" s="11" t="n">
        <v>15.45540045</v>
      </c>
      <c r="F1577" s="12" t="n">
        <v>0</v>
      </c>
      <c r="G1577" s="11" t="n">
        <v>289.322795</v>
      </c>
      <c r="H1577" s="13">
        <f>F1577*1000</f>
        <v/>
      </c>
      <c r="I1577" s="14">
        <f>G1577-273.15</f>
        <v/>
      </c>
      <c r="K1577" s="15" t="n">
        <v>2005</v>
      </c>
      <c r="L1577" s="15" t="n">
        <v>5</v>
      </c>
      <c r="M1577" s="15" t="n">
        <v>13</v>
      </c>
      <c r="N1577" s="16" t="n">
        <v>0</v>
      </c>
      <c r="O1577" s="11" t="n">
        <v>290.6135</v>
      </c>
      <c r="P1577" s="13">
        <f>N1577*86400</f>
        <v/>
      </c>
      <c r="Q1577" s="14">
        <f>O1577-273.15</f>
        <v/>
      </c>
    </row>
    <row r="1578">
      <c r="A1578" s="9" t="n">
        <v>38465</v>
      </c>
      <c r="B1578" s="7">
        <f>YEAR(A1578)</f>
        <v/>
      </c>
      <c r="C1578" s="7">
        <f>MONTH(A1578)</f>
        <v/>
      </c>
      <c r="D1578" s="10" t="n">
        <v>0</v>
      </c>
      <c r="E1578" s="11" t="n">
        <v>17.07328597</v>
      </c>
      <c r="F1578" s="12" t="n">
        <v>0.001097890968</v>
      </c>
      <c r="G1578" s="11" t="n">
        <v>289.2714625</v>
      </c>
      <c r="H1578" s="13">
        <f>F1578*1000</f>
        <v/>
      </c>
      <c r="I1578" s="14">
        <f>G1578-273.15</f>
        <v/>
      </c>
      <c r="K1578" s="15" t="n">
        <v>2005</v>
      </c>
      <c r="L1578" s="15" t="n">
        <v>5</v>
      </c>
      <c r="M1578" s="15" t="n">
        <v>14</v>
      </c>
      <c r="N1578" s="16" t="n">
        <v>1.077892474e-06</v>
      </c>
      <c r="O1578" s="11" t="n">
        <v>288.870822</v>
      </c>
      <c r="P1578" s="13">
        <f>N1578*86400</f>
        <v/>
      </c>
      <c r="Q1578" s="14">
        <f>O1578-273.15</f>
        <v/>
      </c>
    </row>
    <row r="1579">
      <c r="A1579" s="9" t="n">
        <v>38466</v>
      </c>
      <c r="B1579" s="7">
        <f>YEAR(A1579)</f>
        <v/>
      </c>
      <c r="C1579" s="7">
        <f>MONTH(A1579)</f>
        <v/>
      </c>
      <c r="D1579" s="10" t="n">
        <v>0</v>
      </c>
      <c r="E1579" s="11" t="n">
        <v>17.2413408</v>
      </c>
      <c r="F1579" s="12" t="n">
        <v>0</v>
      </c>
      <c r="G1579" s="11" t="n">
        <v>290.6762226</v>
      </c>
      <c r="H1579" s="13">
        <f>F1579*1000</f>
        <v/>
      </c>
      <c r="I1579" s="14">
        <f>G1579-273.15</f>
        <v/>
      </c>
      <c r="K1579" s="15" t="n">
        <v>2005</v>
      </c>
      <c r="L1579" s="15" t="n">
        <v>5</v>
      </c>
      <c r="M1579" s="15" t="n">
        <v>15</v>
      </c>
      <c r="N1579" s="16" t="n">
        <v>2.862745706e-06</v>
      </c>
      <c r="O1579" s="11" t="n">
        <v>289.3695046</v>
      </c>
      <c r="P1579" s="13">
        <f>N1579*86400</f>
        <v/>
      </c>
      <c r="Q1579" s="14">
        <f>O1579-273.15</f>
        <v/>
      </c>
    </row>
    <row r="1580">
      <c r="A1580" s="9" t="n">
        <v>38467</v>
      </c>
      <c r="B1580" s="7">
        <f>YEAR(A1580)</f>
        <v/>
      </c>
      <c r="C1580" s="7">
        <f>MONTH(A1580)</f>
        <v/>
      </c>
      <c r="D1580" s="10" t="n">
        <v>0</v>
      </c>
      <c r="E1580" s="11" t="n">
        <v>17.40635652</v>
      </c>
      <c r="F1580" s="12" t="n">
        <v>0</v>
      </c>
      <c r="G1580" s="11" t="n">
        <v>290.8872099</v>
      </c>
      <c r="H1580" s="13">
        <f>F1580*1000</f>
        <v/>
      </c>
      <c r="I1580" s="14">
        <f>G1580-273.15</f>
        <v/>
      </c>
      <c r="K1580" s="15" t="n">
        <v>2005</v>
      </c>
      <c r="L1580" s="15" t="n">
        <v>5</v>
      </c>
      <c r="M1580" s="15" t="n">
        <v>16</v>
      </c>
      <c r="N1580" s="16" t="n">
        <v>1.610023553e-05</v>
      </c>
      <c r="O1580" s="11" t="n">
        <v>292.4715344</v>
      </c>
      <c r="P1580" s="13">
        <f>N1580*86400</f>
        <v/>
      </c>
      <c r="Q1580" s="14">
        <f>O1580-273.15</f>
        <v/>
      </c>
    </row>
    <row r="1581">
      <c r="A1581" s="9" t="n">
        <v>38468</v>
      </c>
      <c r="B1581" s="7">
        <f>YEAR(A1581)</f>
        <v/>
      </c>
      <c r="C1581" s="7">
        <f>MONTH(A1581)</f>
        <v/>
      </c>
      <c r="D1581" s="10" t="n">
        <v>0</v>
      </c>
      <c r="E1581" s="11" t="n">
        <v>18.74689579</v>
      </c>
      <c r="F1581" s="12" t="n">
        <v>0</v>
      </c>
      <c r="G1581" s="11" t="n">
        <v>291.8993561</v>
      </c>
      <c r="H1581" s="13">
        <f>F1581*1000</f>
        <v/>
      </c>
      <c r="I1581" s="14">
        <f>G1581-273.15</f>
        <v/>
      </c>
      <c r="K1581" s="15" t="n">
        <v>2005</v>
      </c>
      <c r="L1581" s="15" t="n">
        <v>5</v>
      </c>
      <c r="M1581" s="15" t="n">
        <v>17</v>
      </c>
      <c r="N1581" s="16" t="n">
        <v>1.576738658e-05</v>
      </c>
      <c r="O1581" s="11" t="n">
        <v>292.0166589</v>
      </c>
      <c r="P1581" s="13">
        <f>N1581*86400</f>
        <v/>
      </c>
      <c r="Q1581" s="14">
        <f>O1581-273.15</f>
        <v/>
      </c>
    </row>
    <row r="1582">
      <c r="A1582" s="9" t="n">
        <v>38469</v>
      </c>
      <c r="B1582" s="7">
        <f>YEAR(A1582)</f>
        <v/>
      </c>
      <c r="C1582" s="7">
        <f>MONTH(A1582)</f>
        <v/>
      </c>
      <c r="D1582" s="10" t="n">
        <v>0</v>
      </c>
      <c r="E1582" s="11" t="n">
        <v>18.11228879</v>
      </c>
      <c r="F1582" s="12" t="n">
        <v>0</v>
      </c>
      <c r="G1582" s="11" t="n">
        <v>292.6190855</v>
      </c>
      <c r="H1582" s="13">
        <f>F1582*1000</f>
        <v/>
      </c>
      <c r="I1582" s="14">
        <f>G1582-273.15</f>
        <v/>
      </c>
      <c r="K1582" s="15" t="n">
        <v>2005</v>
      </c>
      <c r="L1582" s="15" t="n">
        <v>5</v>
      </c>
      <c r="M1582" s="15" t="n">
        <v>18</v>
      </c>
      <c r="N1582" s="16" t="n">
        <v>4.420426198e-05</v>
      </c>
      <c r="O1582" s="11" t="n">
        <v>292.9579172</v>
      </c>
      <c r="P1582" s="13">
        <f>N1582*86400</f>
        <v/>
      </c>
      <c r="Q1582" s="14">
        <f>O1582-273.15</f>
        <v/>
      </c>
    </row>
    <row r="1583">
      <c r="A1583" s="9" t="n">
        <v>38470</v>
      </c>
      <c r="B1583" s="7">
        <f>YEAR(A1583)</f>
        <v/>
      </c>
      <c r="C1583" s="7">
        <f>MONTH(A1583)</f>
        <v/>
      </c>
      <c r="D1583" s="10" t="n">
        <v>0</v>
      </c>
      <c r="E1583" s="11" t="n">
        <v>18.36182177</v>
      </c>
      <c r="F1583" s="12" t="n">
        <v>0.000141597789</v>
      </c>
      <c r="G1583" s="11" t="n">
        <v>293.0775613</v>
      </c>
      <c r="H1583" s="13">
        <f>F1583*1000</f>
        <v/>
      </c>
      <c r="I1583" s="14">
        <f>G1583-273.15</f>
        <v/>
      </c>
      <c r="K1583" s="15" t="n">
        <v>2005</v>
      </c>
      <c r="L1583" s="15" t="n">
        <v>5</v>
      </c>
      <c r="M1583" s="15" t="n">
        <v>19</v>
      </c>
      <c r="N1583" s="16" t="n">
        <v>0</v>
      </c>
      <c r="O1583" s="11" t="n">
        <v>294.783299</v>
      </c>
      <c r="P1583" s="13">
        <f>N1583*86400</f>
        <v/>
      </c>
      <c r="Q1583" s="14">
        <f>O1583-273.15</f>
        <v/>
      </c>
    </row>
    <row r="1584">
      <c r="A1584" s="9" t="n">
        <v>38471</v>
      </c>
      <c r="B1584" s="7">
        <f>YEAR(A1584)</f>
        <v/>
      </c>
      <c r="C1584" s="7">
        <f>MONTH(A1584)</f>
        <v/>
      </c>
      <c r="D1584" s="10" t="n">
        <v>19.14673352</v>
      </c>
      <c r="E1584" s="11" t="n">
        <v>19.05977425</v>
      </c>
      <c r="F1584" s="12" t="n">
        <v>0.009111026838</v>
      </c>
      <c r="G1584" s="11" t="n">
        <v>293.6243363</v>
      </c>
      <c r="H1584" s="13">
        <f>F1584*1000</f>
        <v/>
      </c>
      <c r="I1584" s="14">
        <f>G1584-273.15</f>
        <v/>
      </c>
      <c r="K1584" s="15" t="n">
        <v>2005</v>
      </c>
      <c r="L1584" s="15" t="n">
        <v>5</v>
      </c>
      <c r="M1584" s="15" t="n">
        <v>20</v>
      </c>
      <c r="N1584" s="16" t="n">
        <v>0</v>
      </c>
      <c r="O1584" s="11" t="n">
        <v>295.0891466</v>
      </c>
      <c r="P1584" s="13">
        <f>N1584*86400</f>
        <v/>
      </c>
      <c r="Q1584" s="14">
        <f>O1584-273.15</f>
        <v/>
      </c>
    </row>
    <row r="1585">
      <c r="A1585" s="9" t="n">
        <v>38472</v>
      </c>
      <c r="B1585" s="7">
        <f>YEAR(A1585)</f>
        <v/>
      </c>
      <c r="C1585" s="7">
        <f>MONTH(A1585)</f>
        <v/>
      </c>
      <c r="D1585" s="10" t="n">
        <v>0</v>
      </c>
      <c r="E1585" s="11" t="n">
        <v>15.34517365</v>
      </c>
      <c r="F1585" s="12" t="n">
        <v>0.00018823988</v>
      </c>
      <c r="G1585" s="11" t="n">
        <v>290.4700836</v>
      </c>
      <c r="H1585" s="13">
        <f>F1585*1000</f>
        <v/>
      </c>
      <c r="I1585" s="14">
        <f>G1585-273.15</f>
        <v/>
      </c>
      <c r="K1585" s="15" t="n">
        <v>2005</v>
      </c>
      <c r="L1585" s="15" t="n">
        <v>5</v>
      </c>
      <c r="M1585" s="15" t="n">
        <v>21</v>
      </c>
      <c r="N1585" s="16" t="n">
        <v>2.302734001e-06</v>
      </c>
      <c r="O1585" s="11" t="n">
        <v>294.0611439</v>
      </c>
      <c r="P1585" s="13">
        <f>N1585*86400</f>
        <v/>
      </c>
      <c r="Q1585" s="14">
        <f>O1585-273.15</f>
        <v/>
      </c>
    </row>
    <row r="1586">
      <c r="A1586" s="9" t="n">
        <v>38473</v>
      </c>
      <c r="B1586" s="7">
        <f>YEAR(A1586)</f>
        <v/>
      </c>
      <c r="C1586" s="7">
        <f>MONTH(A1586)</f>
        <v/>
      </c>
      <c r="D1586" s="10" t="n">
        <v>0</v>
      </c>
      <c r="E1586" s="11" t="n">
        <v>14.10680347</v>
      </c>
      <c r="F1586" s="12" t="n">
        <v>0</v>
      </c>
      <c r="G1586" s="11" t="n">
        <v>289.1960976</v>
      </c>
      <c r="H1586" s="13">
        <f>F1586*1000</f>
        <v/>
      </c>
      <c r="I1586" s="14">
        <f>G1586-273.15</f>
        <v/>
      </c>
      <c r="K1586" s="15" t="n">
        <v>2005</v>
      </c>
      <c r="L1586" s="15" t="n">
        <v>5</v>
      </c>
      <c r="M1586" s="15" t="n">
        <v>22</v>
      </c>
      <c r="N1586" s="16" t="n">
        <v>0</v>
      </c>
      <c r="O1586" s="11" t="n">
        <v>295.3724353</v>
      </c>
      <c r="P1586" s="13">
        <f>N1586*86400</f>
        <v/>
      </c>
      <c r="Q1586" s="14">
        <f>O1586-273.15</f>
        <v/>
      </c>
    </row>
    <row r="1587">
      <c r="A1587" s="9" t="n">
        <v>38474</v>
      </c>
      <c r="B1587" s="7">
        <f>YEAR(A1587)</f>
        <v/>
      </c>
      <c r="C1587" s="7">
        <f>MONTH(A1587)</f>
        <v/>
      </c>
      <c r="D1587" s="10" t="n">
        <v>0</v>
      </c>
      <c r="E1587" s="11" t="n">
        <v>15.41406143</v>
      </c>
      <c r="F1587" s="12" t="n">
        <v>0</v>
      </c>
      <c r="G1587" s="11" t="n">
        <v>290.6074597</v>
      </c>
      <c r="H1587" s="13">
        <f>F1587*1000</f>
        <v/>
      </c>
      <c r="I1587" s="14">
        <f>G1587-273.15</f>
        <v/>
      </c>
      <c r="K1587" s="15" t="n">
        <v>2005</v>
      </c>
      <c r="L1587" s="15" t="n">
        <v>5</v>
      </c>
      <c r="M1587" s="15" t="n">
        <v>23</v>
      </c>
      <c r="N1587" s="16" t="n">
        <v>0</v>
      </c>
      <c r="O1587" s="11" t="n">
        <v>295.4782797</v>
      </c>
      <c r="P1587" s="13">
        <f>N1587*86400</f>
        <v/>
      </c>
      <c r="Q1587" s="14">
        <f>O1587-273.15</f>
        <v/>
      </c>
    </row>
    <row r="1588">
      <c r="A1588" s="9" t="n">
        <v>38475</v>
      </c>
      <c r="B1588" s="7">
        <f>YEAR(A1588)</f>
        <v/>
      </c>
      <c r="C1588" s="7">
        <f>MONTH(A1588)</f>
        <v/>
      </c>
      <c r="D1588" s="10" t="n">
        <v>0</v>
      </c>
      <c r="E1588" s="11" t="n">
        <v>15.4907269</v>
      </c>
      <c r="F1588" s="12" t="n">
        <v>0</v>
      </c>
      <c r="G1588" s="11" t="n">
        <v>290.0573769</v>
      </c>
      <c r="H1588" s="13">
        <f>F1588*1000</f>
        <v/>
      </c>
      <c r="I1588" s="14">
        <f>G1588-273.15</f>
        <v/>
      </c>
      <c r="K1588" s="15" t="n">
        <v>2005</v>
      </c>
      <c r="L1588" s="15" t="n">
        <v>5</v>
      </c>
      <c r="M1588" s="15" t="n">
        <v>24</v>
      </c>
      <c r="N1588" s="16" t="n">
        <v>0</v>
      </c>
      <c r="O1588" s="11" t="n">
        <v>294.462241</v>
      </c>
      <c r="P1588" s="13">
        <f>N1588*86400</f>
        <v/>
      </c>
      <c r="Q1588" s="14">
        <f>O1588-273.15</f>
        <v/>
      </c>
    </row>
    <row r="1589">
      <c r="A1589" s="9" t="n">
        <v>38476</v>
      </c>
      <c r="B1589" s="7">
        <f>YEAR(A1589)</f>
        <v/>
      </c>
      <c r="C1589" s="7">
        <f>MONTH(A1589)</f>
        <v/>
      </c>
      <c r="D1589" s="10" t="n">
        <v>0</v>
      </c>
      <c r="E1589" s="11" t="n">
        <v>11.17778282</v>
      </c>
      <c r="F1589" s="12" t="n">
        <v>0</v>
      </c>
      <c r="G1589" s="11" t="n">
        <v>286.6695145</v>
      </c>
      <c r="H1589" s="13">
        <f>F1589*1000</f>
        <v/>
      </c>
      <c r="I1589" s="14">
        <f>G1589-273.15</f>
        <v/>
      </c>
      <c r="K1589" s="15" t="n">
        <v>2005</v>
      </c>
      <c r="L1589" s="15" t="n">
        <v>5</v>
      </c>
      <c r="M1589" s="15" t="n">
        <v>25</v>
      </c>
      <c r="N1589" s="16" t="n">
        <v>8.572780006999999e-07</v>
      </c>
      <c r="O1589" s="11" t="n">
        <v>295.0761124</v>
      </c>
      <c r="P1589" s="13">
        <f>N1589*86400</f>
        <v/>
      </c>
      <c r="Q1589" s="14">
        <f>O1589-273.15</f>
        <v/>
      </c>
    </row>
    <row r="1590">
      <c r="A1590" s="9" t="n">
        <v>38477</v>
      </c>
      <c r="B1590" s="7">
        <f>YEAR(A1590)</f>
        <v/>
      </c>
      <c r="C1590" s="7">
        <f>MONTH(A1590)</f>
        <v/>
      </c>
      <c r="D1590" s="10" t="n">
        <v>0</v>
      </c>
      <c r="E1590" s="11" t="n">
        <v>9.683123215</v>
      </c>
      <c r="F1590" s="12" t="n">
        <v>0</v>
      </c>
      <c r="G1590" s="11" t="n">
        <v>285.1014194</v>
      </c>
      <c r="H1590" s="13">
        <f>F1590*1000</f>
        <v/>
      </c>
      <c r="I1590" s="14">
        <f>G1590-273.15</f>
        <v/>
      </c>
      <c r="K1590" s="15" t="n">
        <v>2005</v>
      </c>
      <c r="L1590" s="15" t="n">
        <v>5</v>
      </c>
      <c r="M1590" s="15" t="n">
        <v>26</v>
      </c>
      <c r="N1590" s="16" t="n">
        <v>7.719659099999999e-05</v>
      </c>
      <c r="O1590" s="11" t="n">
        <v>292.7972936</v>
      </c>
      <c r="P1590" s="13">
        <f>N1590*86400</f>
        <v/>
      </c>
      <c r="Q1590" s="14">
        <f>O1590-273.15</f>
        <v/>
      </c>
    </row>
    <row r="1591">
      <c r="A1591" s="9" t="n">
        <v>38478</v>
      </c>
      <c r="B1591" s="7">
        <f>YEAR(A1591)</f>
        <v/>
      </c>
      <c r="C1591" s="7">
        <f>MONTH(A1591)</f>
        <v/>
      </c>
      <c r="D1591" s="10" t="n">
        <v>0</v>
      </c>
      <c r="E1591" s="11" t="n">
        <v>13.31288288</v>
      </c>
      <c r="F1591" s="12" t="n">
        <v>0</v>
      </c>
      <c r="G1591" s="11" t="n">
        <v>288.0853256</v>
      </c>
      <c r="H1591" s="13">
        <f>F1591*1000</f>
        <v/>
      </c>
      <c r="I1591" s="14">
        <f>G1591-273.15</f>
        <v/>
      </c>
      <c r="K1591" s="15" t="n">
        <v>2005</v>
      </c>
      <c r="L1591" s="15" t="n">
        <v>5</v>
      </c>
      <c r="M1591" s="15" t="n">
        <v>27</v>
      </c>
      <c r="N1591" s="16" t="n">
        <v>0</v>
      </c>
      <c r="O1591" s="11" t="n">
        <v>293.3270973</v>
      </c>
      <c r="P1591" s="13">
        <f>N1591*86400</f>
        <v/>
      </c>
      <c r="Q1591" s="14">
        <f>O1591-273.15</f>
        <v/>
      </c>
    </row>
    <row r="1592">
      <c r="A1592" s="9" t="n">
        <v>38479</v>
      </c>
      <c r="B1592" s="7">
        <f>YEAR(A1592)</f>
        <v/>
      </c>
      <c r="C1592" s="7">
        <f>MONTH(A1592)</f>
        <v/>
      </c>
      <c r="D1592" s="10" t="n">
        <v>1.269798264</v>
      </c>
      <c r="E1592" s="11" t="n">
        <v>14.2885964</v>
      </c>
      <c r="F1592" s="12" t="n">
        <v>0.0008289658596</v>
      </c>
      <c r="G1592" s="11" t="n">
        <v>287.5184388</v>
      </c>
      <c r="H1592" s="13">
        <f>F1592*1000</f>
        <v/>
      </c>
      <c r="I1592" s="14">
        <f>G1592-273.15</f>
        <v/>
      </c>
      <c r="K1592" s="15" t="n">
        <v>2005</v>
      </c>
      <c r="L1592" s="15" t="n">
        <v>5</v>
      </c>
      <c r="M1592" s="15" t="n">
        <v>28</v>
      </c>
      <c r="N1592" s="16" t="n">
        <v>3.032902891e-05</v>
      </c>
      <c r="O1592" s="11" t="n">
        <v>290.9931579</v>
      </c>
      <c r="P1592" s="13">
        <f>N1592*86400</f>
        <v/>
      </c>
      <c r="Q1592" s="14">
        <f>O1592-273.15</f>
        <v/>
      </c>
    </row>
    <row r="1593">
      <c r="A1593" s="9" t="n">
        <v>38480</v>
      </c>
      <c r="B1593" s="7">
        <f>YEAR(A1593)</f>
        <v/>
      </c>
      <c r="C1593" s="7">
        <f>MONTH(A1593)</f>
        <v/>
      </c>
      <c r="D1593" s="10" t="n">
        <v>4.263966466</v>
      </c>
      <c r="E1593" s="11" t="n">
        <v>16.90874597</v>
      </c>
      <c r="F1593" s="12" t="n">
        <v>0.003976287093</v>
      </c>
      <c r="G1593" s="11" t="n">
        <v>290.7171653</v>
      </c>
      <c r="H1593" s="13">
        <f>F1593*1000</f>
        <v/>
      </c>
      <c r="I1593" s="14">
        <f>G1593-273.15</f>
        <v/>
      </c>
      <c r="K1593" s="15" t="n">
        <v>2005</v>
      </c>
      <c r="L1593" s="15" t="n">
        <v>5</v>
      </c>
      <c r="M1593" s="15" t="n">
        <v>29</v>
      </c>
      <c r="N1593" s="16" t="n">
        <v>4.816378929e-05</v>
      </c>
      <c r="O1593" s="11" t="n">
        <v>291.0561044</v>
      </c>
      <c r="P1593" s="13">
        <f>N1593*86400</f>
        <v/>
      </c>
      <c r="Q1593" s="14">
        <f>O1593-273.15</f>
        <v/>
      </c>
    </row>
    <row r="1594">
      <c r="A1594" s="9" t="n">
        <v>38481</v>
      </c>
      <c r="B1594" s="7">
        <f>YEAR(A1594)</f>
        <v/>
      </c>
      <c r="C1594" s="7">
        <f>MONTH(A1594)</f>
        <v/>
      </c>
      <c r="D1594" s="10" t="n">
        <v>0</v>
      </c>
      <c r="E1594" s="11" t="n">
        <v>18.22973363</v>
      </c>
      <c r="F1594" s="12" t="n">
        <v>0.0008322929067</v>
      </c>
      <c r="G1594" s="11" t="n">
        <v>292.1907005</v>
      </c>
      <c r="H1594" s="13">
        <f>F1594*1000</f>
        <v/>
      </c>
      <c r="I1594" s="14">
        <f>G1594-273.15</f>
        <v/>
      </c>
      <c r="K1594" s="15" t="n">
        <v>2005</v>
      </c>
      <c r="L1594" s="15" t="n">
        <v>5</v>
      </c>
      <c r="M1594" s="15" t="n">
        <v>30</v>
      </c>
      <c r="N1594" s="16" t="n">
        <v>0</v>
      </c>
      <c r="O1594" s="11" t="n">
        <v>292.0642946</v>
      </c>
      <c r="P1594" s="13">
        <f>N1594*86400</f>
        <v/>
      </c>
      <c r="Q1594" s="14">
        <f>O1594-273.15</f>
        <v/>
      </c>
    </row>
    <row r="1595">
      <c r="A1595" s="9" t="n">
        <v>38482</v>
      </c>
      <c r="B1595" s="7">
        <f>YEAR(A1595)</f>
        <v/>
      </c>
      <c r="C1595" s="7">
        <f>MONTH(A1595)</f>
        <v/>
      </c>
      <c r="D1595" s="10" t="n">
        <v>0</v>
      </c>
      <c r="E1595" s="11" t="n">
        <v>17.06685667</v>
      </c>
      <c r="F1595" s="12" t="n">
        <v>0.000768156548</v>
      </c>
      <c r="G1595" s="11" t="n">
        <v>290.766473</v>
      </c>
      <c r="H1595" s="13">
        <f>F1595*1000</f>
        <v/>
      </c>
      <c r="I1595" s="14">
        <f>G1595-273.15</f>
        <v/>
      </c>
      <c r="K1595" s="15" t="n">
        <v>2005</v>
      </c>
      <c r="L1595" s="15" t="n">
        <v>6</v>
      </c>
      <c r="M1595" s="15" t="n">
        <v>1</v>
      </c>
      <c r="N1595" s="16" t="n">
        <v>1.1391973e-05</v>
      </c>
      <c r="O1595" s="11" t="n">
        <v>293.9055065</v>
      </c>
      <c r="P1595" s="13">
        <f>N1595*86400</f>
        <v/>
      </c>
      <c r="Q1595" s="14">
        <f>O1595-273.15</f>
        <v/>
      </c>
    </row>
    <row r="1596">
      <c r="A1596" s="9" t="n">
        <v>38483</v>
      </c>
      <c r="B1596" s="7">
        <f>YEAR(A1596)</f>
        <v/>
      </c>
      <c r="C1596" s="7">
        <f>MONTH(A1596)</f>
        <v/>
      </c>
      <c r="D1596" s="10" t="n">
        <v>0</v>
      </c>
      <c r="E1596" s="11" t="n">
        <v>14.26446066</v>
      </c>
      <c r="F1596" s="12" t="n">
        <v>0.01007122534</v>
      </c>
      <c r="G1596" s="11" t="n">
        <v>289.1974142</v>
      </c>
      <c r="H1596" s="13">
        <f>F1596*1000</f>
        <v/>
      </c>
      <c r="I1596" s="14">
        <f>G1596-273.15</f>
        <v/>
      </c>
      <c r="K1596" s="15" t="n">
        <v>2005</v>
      </c>
      <c r="L1596" s="15" t="n">
        <v>6</v>
      </c>
      <c r="M1596" s="15" t="n">
        <v>2</v>
      </c>
      <c r="N1596" s="16" t="n">
        <v>3.574718123e-07</v>
      </c>
      <c r="O1596" s="11" t="n">
        <v>292.7966963</v>
      </c>
      <c r="P1596" s="13">
        <f>N1596*86400</f>
        <v/>
      </c>
      <c r="Q1596" s="14">
        <f>O1596-273.15</f>
        <v/>
      </c>
    </row>
    <row r="1597">
      <c r="A1597" s="9" t="n">
        <v>38484</v>
      </c>
      <c r="B1597" s="7">
        <f>YEAR(A1597)</f>
        <v/>
      </c>
      <c r="C1597" s="7">
        <f>MONTH(A1597)</f>
        <v/>
      </c>
      <c r="D1597" s="10" t="n">
        <v>17.73066715</v>
      </c>
      <c r="E1597" s="11" t="n">
        <v>16.37819051</v>
      </c>
      <c r="F1597" s="12" t="n">
        <v>0.01542561964</v>
      </c>
      <c r="G1597" s="11" t="n">
        <v>290.2671054</v>
      </c>
      <c r="H1597" s="13">
        <f>F1597*1000</f>
        <v/>
      </c>
      <c r="I1597" s="14">
        <f>G1597-273.15</f>
        <v/>
      </c>
      <c r="K1597" s="15" t="n">
        <v>2005</v>
      </c>
      <c r="L1597" s="15" t="n">
        <v>6</v>
      </c>
      <c r="M1597" s="15" t="n">
        <v>3</v>
      </c>
      <c r="N1597" s="16" t="n">
        <v>3.094367378e-06</v>
      </c>
      <c r="O1597" s="11" t="n">
        <v>290.9349816</v>
      </c>
      <c r="P1597" s="13">
        <f>N1597*86400</f>
        <v/>
      </c>
      <c r="Q1597" s="14">
        <f>O1597-273.15</f>
        <v/>
      </c>
    </row>
    <row r="1598">
      <c r="A1598" s="9" t="n">
        <v>38485</v>
      </c>
      <c r="B1598" s="7">
        <f>YEAR(A1598)</f>
        <v/>
      </c>
      <c r="C1598" s="7">
        <f>MONTH(A1598)</f>
        <v/>
      </c>
      <c r="D1598" s="10" t="n">
        <v>16.99494971</v>
      </c>
      <c r="E1598" s="11" t="n">
        <v>13.35366016</v>
      </c>
      <c r="F1598" s="12" t="n">
        <v>0.01794664349</v>
      </c>
      <c r="G1598" s="11" t="n">
        <v>288.5422192</v>
      </c>
      <c r="H1598" s="13">
        <f>F1598*1000</f>
        <v/>
      </c>
      <c r="I1598" s="14">
        <f>G1598-273.15</f>
        <v/>
      </c>
      <c r="K1598" s="15" t="n">
        <v>2005</v>
      </c>
      <c r="L1598" s="15" t="n">
        <v>6</v>
      </c>
      <c r="M1598" s="15" t="n">
        <v>4</v>
      </c>
      <c r="N1598" s="16" t="n">
        <v>4.177062614e-08</v>
      </c>
      <c r="O1598" s="11" t="n">
        <v>294.0377785</v>
      </c>
      <c r="P1598" s="13">
        <f>N1598*86400</f>
        <v/>
      </c>
      <c r="Q1598" s="14">
        <f>O1598-273.15</f>
        <v/>
      </c>
    </row>
    <row r="1599">
      <c r="A1599" s="9" t="n">
        <v>38486</v>
      </c>
      <c r="B1599" s="7">
        <f>YEAR(A1599)</f>
        <v/>
      </c>
      <c r="C1599" s="7">
        <f>MONTH(A1599)</f>
        <v/>
      </c>
      <c r="D1599" s="10" t="n">
        <v>1.496239632</v>
      </c>
      <c r="E1599" s="11" t="n">
        <v>14.36221884</v>
      </c>
      <c r="F1599" s="12" t="n">
        <v>0.009249256209</v>
      </c>
      <c r="G1599" s="11" t="n">
        <v>289.3322194</v>
      </c>
      <c r="H1599" s="13">
        <f>F1599*1000</f>
        <v/>
      </c>
      <c r="I1599" s="14">
        <f>G1599-273.15</f>
        <v/>
      </c>
      <c r="K1599" s="15" t="n">
        <v>2005</v>
      </c>
      <c r="L1599" s="15" t="n">
        <v>6</v>
      </c>
      <c r="M1599" s="15" t="n">
        <v>5</v>
      </c>
      <c r="N1599" s="16" t="n">
        <v>2.522942211e-05</v>
      </c>
      <c r="O1599" s="11" t="n">
        <v>293.423134</v>
      </c>
      <c r="P1599" s="13">
        <f>N1599*86400</f>
        <v/>
      </c>
      <c r="Q1599" s="14">
        <f>O1599-273.15</f>
        <v/>
      </c>
    </row>
    <row r="1600">
      <c r="A1600" s="9" t="n">
        <v>38487</v>
      </c>
      <c r="B1600" s="7">
        <f>YEAR(A1600)</f>
        <v/>
      </c>
      <c r="C1600" s="7">
        <f>MONTH(A1600)</f>
        <v/>
      </c>
      <c r="D1600" s="10" t="n">
        <v>0.07741088785</v>
      </c>
      <c r="E1600" s="11" t="n">
        <v>14.38094898</v>
      </c>
      <c r="F1600" s="12" t="n">
        <v>0.008488875496</v>
      </c>
      <c r="G1600" s="11" t="n">
        <v>288.6761621</v>
      </c>
      <c r="H1600" s="13">
        <f>F1600*1000</f>
        <v/>
      </c>
      <c r="I1600" s="14">
        <f>G1600-273.15</f>
        <v/>
      </c>
      <c r="K1600" s="15" t="n">
        <v>2005</v>
      </c>
      <c r="L1600" s="15" t="n">
        <v>6</v>
      </c>
      <c r="M1600" s="15" t="n">
        <v>6</v>
      </c>
      <c r="N1600" s="16" t="n">
        <v>2.043993743e-05</v>
      </c>
      <c r="O1600" s="11" t="n">
        <v>294.6849421</v>
      </c>
      <c r="P1600" s="13">
        <f>N1600*86400</f>
        <v/>
      </c>
      <c r="Q1600" s="14">
        <f>O1600-273.15</f>
        <v/>
      </c>
    </row>
    <row r="1601">
      <c r="A1601" s="9" t="n">
        <v>38488</v>
      </c>
      <c r="B1601" s="7">
        <f>YEAR(A1601)</f>
        <v/>
      </c>
      <c r="C1601" s="7">
        <f>MONTH(A1601)</f>
        <v/>
      </c>
      <c r="D1601" s="10" t="n">
        <v>0</v>
      </c>
      <c r="E1601" s="11" t="n">
        <v>13.70879577</v>
      </c>
      <c r="F1601" s="12" t="n">
        <v>0</v>
      </c>
      <c r="G1601" s="11" t="n">
        <v>289.7631536</v>
      </c>
      <c r="H1601" s="13">
        <f>F1601*1000</f>
        <v/>
      </c>
      <c r="I1601" s="14">
        <f>G1601-273.15</f>
        <v/>
      </c>
      <c r="K1601" s="15" t="n">
        <v>2005</v>
      </c>
      <c r="L1601" s="15" t="n">
        <v>6</v>
      </c>
      <c r="M1601" s="15" t="n">
        <v>7</v>
      </c>
      <c r="N1601" s="16" t="n">
        <v>1.441738001e-05</v>
      </c>
      <c r="O1601" s="11" t="n">
        <v>295.3706485</v>
      </c>
      <c r="P1601" s="13">
        <f>N1601*86400</f>
        <v/>
      </c>
      <c r="Q1601" s="14">
        <f>O1601-273.15</f>
        <v/>
      </c>
    </row>
    <row r="1602">
      <c r="A1602" s="9" t="n">
        <v>38489</v>
      </c>
      <c r="B1602" s="7">
        <f>YEAR(A1602)</f>
        <v/>
      </c>
      <c r="C1602" s="7">
        <f>MONTH(A1602)</f>
        <v/>
      </c>
      <c r="D1602" s="10" t="n">
        <v>0</v>
      </c>
      <c r="E1602" s="11" t="n">
        <v>14.36390499</v>
      </c>
      <c r="F1602" s="12" t="n">
        <v>0.001482439348</v>
      </c>
      <c r="G1602" s="11" t="n">
        <v>290.0942508</v>
      </c>
      <c r="H1602" s="13">
        <f>F1602*1000</f>
        <v/>
      </c>
      <c r="I1602" s="14">
        <f>G1602-273.15</f>
        <v/>
      </c>
      <c r="K1602" s="15" t="n">
        <v>2005</v>
      </c>
      <c r="L1602" s="15" t="n">
        <v>6</v>
      </c>
      <c r="M1602" s="15" t="n">
        <v>8</v>
      </c>
      <c r="N1602" s="16" t="n">
        <v>4.85448937e-05</v>
      </c>
      <c r="O1602" s="11" t="n">
        <v>290.7448752</v>
      </c>
      <c r="P1602" s="13">
        <f>N1602*86400</f>
        <v/>
      </c>
      <c r="Q1602" s="14">
        <f>O1602-273.15</f>
        <v/>
      </c>
    </row>
    <row r="1603">
      <c r="A1603" s="9" t="n">
        <v>38490</v>
      </c>
      <c r="B1603" s="7">
        <f>YEAR(A1603)</f>
        <v/>
      </c>
      <c r="C1603" s="7">
        <f>MONTH(A1603)</f>
        <v/>
      </c>
      <c r="D1603" s="10" t="n">
        <v>0</v>
      </c>
      <c r="E1603" s="11" t="n">
        <v>14.21154309</v>
      </c>
      <c r="F1603" s="12" t="n">
        <v>0</v>
      </c>
      <c r="G1603" s="11" t="n">
        <v>290.3082665</v>
      </c>
      <c r="H1603" s="13">
        <f>F1603*1000</f>
        <v/>
      </c>
      <c r="I1603" s="14">
        <f>G1603-273.15</f>
        <v/>
      </c>
      <c r="K1603" s="15" t="n">
        <v>2005</v>
      </c>
      <c r="L1603" s="15" t="n">
        <v>6</v>
      </c>
      <c r="M1603" s="15" t="n">
        <v>9</v>
      </c>
      <c r="N1603" s="16" t="n">
        <v>0</v>
      </c>
      <c r="O1603" s="11" t="n">
        <v>292.3410425</v>
      </c>
      <c r="P1603" s="13">
        <f>N1603*86400</f>
        <v/>
      </c>
      <c r="Q1603" s="14">
        <f>O1603-273.15</f>
        <v/>
      </c>
    </row>
    <row r="1604">
      <c r="A1604" s="9" t="n">
        <v>38491</v>
      </c>
      <c r="B1604" s="7">
        <f>YEAR(A1604)</f>
        <v/>
      </c>
      <c r="C1604" s="7">
        <f>MONTH(A1604)</f>
        <v/>
      </c>
      <c r="D1604" s="10" t="n">
        <v>0</v>
      </c>
      <c r="E1604" s="11" t="n">
        <v>15.98778317</v>
      </c>
      <c r="F1604" s="12" t="n">
        <v>0</v>
      </c>
      <c r="G1604" s="11" t="n">
        <v>291.7539552</v>
      </c>
      <c r="H1604" s="13">
        <f>F1604*1000</f>
        <v/>
      </c>
      <c r="I1604" s="14">
        <f>G1604-273.15</f>
        <v/>
      </c>
      <c r="K1604" s="15" t="n">
        <v>2005</v>
      </c>
      <c r="L1604" s="15" t="n">
        <v>6</v>
      </c>
      <c r="M1604" s="15" t="n">
        <v>10</v>
      </c>
      <c r="N1604" s="16" t="n">
        <v>1.381813809e-07</v>
      </c>
      <c r="O1604" s="11" t="n">
        <v>291.9616885</v>
      </c>
      <c r="P1604" s="13">
        <f>N1604*86400</f>
        <v/>
      </c>
      <c r="Q1604" s="14">
        <f>O1604-273.15</f>
        <v/>
      </c>
    </row>
    <row r="1605">
      <c r="A1605" s="9" t="n">
        <v>38492</v>
      </c>
      <c r="B1605" s="7">
        <f>YEAR(A1605)</f>
        <v/>
      </c>
      <c r="C1605" s="7">
        <f>MONTH(A1605)</f>
        <v/>
      </c>
      <c r="D1605" s="10" t="n">
        <v>0</v>
      </c>
      <c r="E1605" s="11" t="n">
        <v>13.4692623</v>
      </c>
      <c r="F1605" s="12" t="n">
        <v>0</v>
      </c>
      <c r="G1605" s="11" t="n">
        <v>288.9726786</v>
      </c>
      <c r="H1605" s="13">
        <f>F1605*1000</f>
        <v/>
      </c>
      <c r="I1605" s="14">
        <f>G1605-273.15</f>
        <v/>
      </c>
      <c r="K1605" s="15" t="n">
        <v>2005</v>
      </c>
      <c r="L1605" s="15" t="n">
        <v>6</v>
      </c>
      <c r="M1605" s="15" t="n">
        <v>11</v>
      </c>
      <c r="N1605" s="16" t="n">
        <v>3.194057415e-06</v>
      </c>
      <c r="O1605" s="11" t="n">
        <v>294.4641715</v>
      </c>
      <c r="P1605" s="13">
        <f>N1605*86400</f>
        <v/>
      </c>
      <c r="Q1605" s="14">
        <f>O1605-273.15</f>
        <v/>
      </c>
    </row>
    <row r="1606">
      <c r="A1606" s="9" t="n">
        <v>38493</v>
      </c>
      <c r="B1606" s="7">
        <f>YEAR(A1606)</f>
        <v/>
      </c>
      <c r="C1606" s="7">
        <f>MONTH(A1606)</f>
        <v/>
      </c>
      <c r="D1606" s="10" t="n">
        <v>0</v>
      </c>
      <c r="E1606" s="11" t="n">
        <v>12.07985269</v>
      </c>
      <c r="F1606" s="12" t="n">
        <v>0</v>
      </c>
      <c r="G1606" s="11" t="n">
        <v>287.1469537</v>
      </c>
      <c r="H1606" s="13">
        <f>F1606*1000</f>
        <v/>
      </c>
      <c r="I1606" s="14">
        <f>G1606-273.15</f>
        <v/>
      </c>
      <c r="K1606" s="15" t="n">
        <v>2005</v>
      </c>
      <c r="L1606" s="15" t="n">
        <v>6</v>
      </c>
      <c r="M1606" s="15" t="n">
        <v>12</v>
      </c>
      <c r="N1606" s="16" t="n">
        <v>0.0001143268331</v>
      </c>
      <c r="O1606" s="11" t="n">
        <v>293.9869422</v>
      </c>
      <c r="P1606" s="13">
        <f>N1606*86400</f>
        <v/>
      </c>
      <c r="Q1606" s="14">
        <f>O1606-273.15</f>
        <v/>
      </c>
    </row>
    <row r="1607">
      <c r="A1607" s="9" t="n">
        <v>38494</v>
      </c>
      <c r="B1607" s="7">
        <f>YEAR(A1607)</f>
        <v/>
      </c>
      <c r="C1607" s="7">
        <f>MONTH(A1607)</f>
        <v/>
      </c>
      <c r="D1607" s="10" t="n">
        <v>9.684823696</v>
      </c>
      <c r="E1607" s="11" t="n">
        <v>13.56081606</v>
      </c>
      <c r="F1607" s="12" t="n">
        <v>0.004095469651</v>
      </c>
      <c r="G1607" s="11" t="n">
        <v>289.4831372</v>
      </c>
      <c r="H1607" s="13">
        <f>F1607*1000</f>
        <v/>
      </c>
      <c r="I1607" s="14">
        <f>G1607-273.15</f>
        <v/>
      </c>
      <c r="K1607" s="15" t="n">
        <v>2005</v>
      </c>
      <c r="L1607" s="15" t="n">
        <v>6</v>
      </c>
      <c r="M1607" s="15" t="n">
        <v>13</v>
      </c>
      <c r="N1607" s="16" t="n">
        <v>9.287476791e-06</v>
      </c>
      <c r="O1607" s="11" t="n">
        <v>294.0364042</v>
      </c>
      <c r="P1607" s="13">
        <f>N1607*86400</f>
        <v/>
      </c>
      <c r="Q1607" s="14">
        <f>O1607-273.15</f>
        <v/>
      </c>
    </row>
    <row r="1608">
      <c r="A1608" s="9" t="n">
        <v>38495</v>
      </c>
      <c r="B1608" s="7">
        <f>YEAR(A1608)</f>
        <v/>
      </c>
      <c r="C1608" s="7">
        <f>MONTH(A1608)</f>
        <v/>
      </c>
      <c r="D1608" s="10" t="n">
        <v>0</v>
      </c>
      <c r="E1608" s="11" t="n">
        <v>14.11289454</v>
      </c>
      <c r="F1608" s="12" t="n">
        <v>0.001363096077</v>
      </c>
      <c r="G1608" s="11" t="n">
        <v>289.1015582</v>
      </c>
      <c r="H1608" s="13">
        <f>F1608*1000</f>
        <v/>
      </c>
      <c r="I1608" s="14">
        <f>G1608-273.15</f>
        <v/>
      </c>
      <c r="K1608" s="15" t="n">
        <v>2005</v>
      </c>
      <c r="L1608" s="15" t="n">
        <v>6</v>
      </c>
      <c r="M1608" s="15" t="n">
        <v>14</v>
      </c>
      <c r="N1608" s="16" t="n">
        <v>0</v>
      </c>
      <c r="O1608" s="11" t="n">
        <v>291.8564508</v>
      </c>
      <c r="P1608" s="13">
        <f>N1608*86400</f>
        <v/>
      </c>
      <c r="Q1608" s="14">
        <f>O1608-273.15</f>
        <v/>
      </c>
    </row>
    <row r="1609">
      <c r="A1609" s="9" t="n">
        <v>38496</v>
      </c>
      <c r="B1609" s="7">
        <f>YEAR(A1609)</f>
        <v/>
      </c>
      <c r="C1609" s="7">
        <f>MONTH(A1609)</f>
        <v/>
      </c>
      <c r="D1609" s="10" t="n">
        <v>0</v>
      </c>
      <c r="E1609" s="11" t="n">
        <v>12.65602523</v>
      </c>
      <c r="F1609" s="12" t="n">
        <v>0.0003989197647</v>
      </c>
      <c r="G1609" s="11" t="n">
        <v>288.6319138</v>
      </c>
      <c r="H1609" s="13">
        <f>F1609*1000</f>
        <v/>
      </c>
      <c r="I1609" s="14">
        <f>G1609-273.15</f>
        <v/>
      </c>
      <c r="K1609" s="15" t="n">
        <v>2005</v>
      </c>
      <c r="L1609" s="15" t="n">
        <v>6</v>
      </c>
      <c r="M1609" s="15" t="n">
        <v>15</v>
      </c>
      <c r="N1609" s="16" t="n">
        <v>0</v>
      </c>
      <c r="O1609" s="11" t="n">
        <v>291.9645229</v>
      </c>
      <c r="P1609" s="13">
        <f>N1609*86400</f>
        <v/>
      </c>
      <c r="Q1609" s="14">
        <f>O1609-273.15</f>
        <v/>
      </c>
    </row>
    <row r="1610">
      <c r="A1610" s="9" t="n">
        <v>38497</v>
      </c>
      <c r="B1610" s="7">
        <f>YEAR(A1610)</f>
        <v/>
      </c>
      <c r="C1610" s="7">
        <f>MONTH(A1610)</f>
        <v/>
      </c>
      <c r="D1610" s="10" t="n">
        <v>0</v>
      </c>
      <c r="E1610" s="11" t="n">
        <v>14.4687656</v>
      </c>
      <c r="F1610" s="12" t="n">
        <v>0.000416807976</v>
      </c>
      <c r="G1610" s="11" t="n">
        <v>288.9557408</v>
      </c>
      <c r="H1610" s="13">
        <f>F1610*1000</f>
        <v/>
      </c>
      <c r="I1610" s="14">
        <f>G1610-273.15</f>
        <v/>
      </c>
      <c r="K1610" s="15" t="n">
        <v>2005</v>
      </c>
      <c r="L1610" s="15" t="n">
        <v>6</v>
      </c>
      <c r="M1610" s="15" t="n">
        <v>16</v>
      </c>
      <c r="N1610" s="16" t="n">
        <v>1.518696304e-05</v>
      </c>
      <c r="O1610" s="11" t="n">
        <v>292.8648429</v>
      </c>
      <c r="P1610" s="13">
        <f>N1610*86400</f>
        <v/>
      </c>
      <c r="Q1610" s="14">
        <f>O1610-273.15</f>
        <v/>
      </c>
    </row>
    <row r="1611">
      <c r="A1611" s="9" t="n">
        <v>38498</v>
      </c>
      <c r="B1611" s="7">
        <f>YEAR(A1611)</f>
        <v/>
      </c>
      <c r="C1611" s="7">
        <f>MONTH(A1611)</f>
        <v/>
      </c>
      <c r="D1611" s="10" t="n">
        <v>0</v>
      </c>
      <c r="E1611" s="11" t="n">
        <v>14.90346412</v>
      </c>
      <c r="F1611" s="12" t="n">
        <v>0.0005221397118</v>
      </c>
      <c r="G1611" s="11" t="n">
        <v>289.1486453</v>
      </c>
      <c r="H1611" s="13">
        <f>F1611*1000</f>
        <v/>
      </c>
      <c r="I1611" s="14">
        <f>G1611-273.15</f>
        <v/>
      </c>
      <c r="K1611" s="15" t="n">
        <v>2005</v>
      </c>
      <c r="L1611" s="15" t="n">
        <v>6</v>
      </c>
      <c r="M1611" s="15" t="n">
        <v>17</v>
      </c>
      <c r="N1611" s="16" t="n">
        <v>7.531972169e-05</v>
      </c>
      <c r="O1611" s="11" t="n">
        <v>291.8685088</v>
      </c>
      <c r="P1611" s="13">
        <f>N1611*86400</f>
        <v/>
      </c>
      <c r="Q1611" s="14">
        <f>O1611-273.15</f>
        <v/>
      </c>
    </row>
    <row r="1612">
      <c r="A1612" s="9" t="n">
        <v>38499</v>
      </c>
      <c r="B1612" s="7">
        <f>YEAR(A1612)</f>
        <v/>
      </c>
      <c r="C1612" s="7">
        <f>MONTH(A1612)</f>
        <v/>
      </c>
      <c r="D1612" s="10" t="n">
        <v>0</v>
      </c>
      <c r="E1612" s="11" t="n">
        <v>16.4801026</v>
      </c>
      <c r="F1612" s="12" t="n">
        <v>0</v>
      </c>
      <c r="G1612" s="11" t="n">
        <v>290.8242671</v>
      </c>
      <c r="H1612" s="13">
        <f>F1612*1000</f>
        <v/>
      </c>
      <c r="I1612" s="14">
        <f>G1612-273.15</f>
        <v/>
      </c>
      <c r="K1612" s="15" t="n">
        <v>2005</v>
      </c>
      <c r="L1612" s="15" t="n">
        <v>6</v>
      </c>
      <c r="M1612" s="15" t="n">
        <v>18</v>
      </c>
      <c r="N1612" s="16" t="n">
        <v>5.49536126e-05</v>
      </c>
      <c r="O1612" s="11" t="n">
        <v>290.5767129</v>
      </c>
      <c r="P1612" s="13">
        <f>N1612*86400</f>
        <v/>
      </c>
      <c r="Q1612" s="14">
        <f>O1612-273.15</f>
        <v/>
      </c>
    </row>
    <row r="1613">
      <c r="A1613" s="9" t="n">
        <v>38500</v>
      </c>
      <c r="B1613" s="7">
        <f>YEAR(A1613)</f>
        <v/>
      </c>
      <c r="C1613" s="7">
        <f>MONTH(A1613)</f>
        <v/>
      </c>
      <c r="D1613" s="10" t="n">
        <v>0</v>
      </c>
      <c r="E1613" s="11" t="n">
        <v>17.38592236</v>
      </c>
      <c r="F1613" s="12" t="n">
        <v>0</v>
      </c>
      <c r="G1613" s="11" t="n">
        <v>292.4883622</v>
      </c>
      <c r="H1613" s="13">
        <f>F1613*1000</f>
        <v/>
      </c>
      <c r="I1613" s="14">
        <f>G1613-273.15</f>
        <v/>
      </c>
      <c r="K1613" s="15" t="n">
        <v>2005</v>
      </c>
      <c r="L1613" s="15" t="n">
        <v>6</v>
      </c>
      <c r="M1613" s="15" t="n">
        <v>19</v>
      </c>
      <c r="N1613" s="16" t="n">
        <v>0.000153367615</v>
      </c>
      <c r="O1613" s="11" t="n">
        <v>291.889732</v>
      </c>
      <c r="P1613" s="13">
        <f>N1613*86400</f>
        <v/>
      </c>
      <c r="Q1613" s="14">
        <f>O1613-273.15</f>
        <v/>
      </c>
    </row>
    <row r="1614">
      <c r="A1614" s="9" t="n">
        <v>38501</v>
      </c>
      <c r="B1614" s="7">
        <f>YEAR(A1614)</f>
        <v/>
      </c>
      <c r="C1614" s="7">
        <f>MONTH(A1614)</f>
        <v/>
      </c>
      <c r="D1614" s="10" t="n">
        <v>0</v>
      </c>
      <c r="E1614" s="11" t="n">
        <v>16.25901253</v>
      </c>
      <c r="F1614" s="12" t="n">
        <v>0</v>
      </c>
      <c r="G1614" s="11" t="n">
        <v>290.5810485</v>
      </c>
      <c r="H1614" s="13">
        <f>F1614*1000</f>
        <v/>
      </c>
      <c r="I1614" s="14">
        <f>G1614-273.15</f>
        <v/>
      </c>
      <c r="K1614" s="15" t="n">
        <v>2005</v>
      </c>
      <c r="L1614" s="15" t="n">
        <v>6</v>
      </c>
      <c r="M1614" s="15" t="n">
        <v>20</v>
      </c>
      <c r="N1614" s="16" t="n">
        <v>4.853608784e-05</v>
      </c>
      <c r="O1614" s="11" t="n">
        <v>293.083695</v>
      </c>
      <c r="P1614" s="13">
        <f>N1614*86400</f>
        <v/>
      </c>
      <c r="Q1614" s="14">
        <f>O1614-273.15</f>
        <v/>
      </c>
    </row>
    <row r="1615">
      <c r="A1615" s="9" t="n">
        <v>38502</v>
      </c>
      <c r="B1615" s="7">
        <f>YEAR(A1615)</f>
        <v/>
      </c>
      <c r="C1615" s="7">
        <f>MONTH(A1615)</f>
        <v/>
      </c>
      <c r="D1615" s="10" t="n">
        <v>0</v>
      </c>
      <c r="E1615" s="11" t="n">
        <v>18.18554895</v>
      </c>
      <c r="F1615" s="12" t="n">
        <v>0</v>
      </c>
      <c r="G1615" s="11" t="n">
        <v>292.2702478</v>
      </c>
      <c r="H1615" s="13">
        <f>F1615*1000</f>
        <v/>
      </c>
      <c r="I1615" s="14">
        <f>G1615-273.15</f>
        <v/>
      </c>
      <c r="K1615" s="15" t="n">
        <v>2005</v>
      </c>
      <c r="L1615" s="15" t="n">
        <v>6</v>
      </c>
      <c r="M1615" s="15" t="n">
        <v>21</v>
      </c>
      <c r="N1615" s="16" t="n">
        <v>0.000153963389</v>
      </c>
      <c r="O1615" s="11" t="n">
        <v>294.1730851</v>
      </c>
      <c r="P1615" s="13">
        <f>N1615*86400</f>
        <v/>
      </c>
      <c r="Q1615" s="14">
        <f>O1615-273.15</f>
        <v/>
      </c>
    </row>
    <row r="1616">
      <c r="A1616" s="9" t="n">
        <v>38503</v>
      </c>
      <c r="B1616" s="7">
        <f>YEAR(A1616)</f>
        <v/>
      </c>
      <c r="C1616" s="7">
        <f>MONTH(A1616)</f>
        <v/>
      </c>
      <c r="D1616" s="10" t="n">
        <v>0</v>
      </c>
      <c r="E1616" s="11" t="n">
        <v>19.52675562</v>
      </c>
      <c r="F1616" s="12" t="n">
        <v>0.003533262488</v>
      </c>
      <c r="G1616" s="11" t="n">
        <v>293.1559504</v>
      </c>
      <c r="H1616" s="13">
        <f>F1616*1000</f>
        <v/>
      </c>
      <c r="I1616" s="14">
        <f>G1616-273.15</f>
        <v/>
      </c>
      <c r="K1616" s="15" t="n">
        <v>2005</v>
      </c>
      <c r="L1616" s="15" t="n">
        <v>6</v>
      </c>
      <c r="M1616" s="15" t="n">
        <v>22</v>
      </c>
      <c r="N1616" s="16" t="n">
        <v>5.005326918e-05</v>
      </c>
      <c r="O1616" s="11" t="n">
        <v>293.1621113</v>
      </c>
      <c r="P1616" s="13">
        <f>N1616*86400</f>
        <v/>
      </c>
      <c r="Q1616" s="14">
        <f>O1616-273.15</f>
        <v/>
      </c>
    </row>
    <row r="1617">
      <c r="A1617" s="9" t="n">
        <v>38504</v>
      </c>
      <c r="B1617" s="7">
        <f>YEAR(A1617)</f>
        <v/>
      </c>
      <c r="C1617" s="7">
        <f>MONTH(A1617)</f>
        <v/>
      </c>
      <c r="D1617" s="10" t="n">
        <v>5.453116375</v>
      </c>
      <c r="E1617" s="11" t="n">
        <v>17.60012488</v>
      </c>
      <c r="F1617" s="12" t="n">
        <v>0.01233030687</v>
      </c>
      <c r="G1617" s="11" t="n">
        <v>291.5728659</v>
      </c>
      <c r="H1617" s="13">
        <f>F1617*1000</f>
        <v/>
      </c>
      <c r="I1617" s="14">
        <f>G1617-273.15</f>
        <v/>
      </c>
      <c r="K1617" s="15" t="n">
        <v>2005</v>
      </c>
      <c r="L1617" s="15" t="n">
        <v>6</v>
      </c>
      <c r="M1617" s="15" t="n">
        <v>23</v>
      </c>
      <c r="N1617" s="16" t="n">
        <v>0</v>
      </c>
      <c r="O1617" s="11" t="n">
        <v>289.50227</v>
      </c>
      <c r="P1617" s="13">
        <f>N1617*86400</f>
        <v/>
      </c>
      <c r="Q1617" s="14">
        <f>O1617-273.15</f>
        <v/>
      </c>
    </row>
    <row r="1618">
      <c r="A1618" s="9" t="n">
        <v>38505</v>
      </c>
      <c r="B1618" s="7">
        <f>YEAR(A1618)</f>
        <v/>
      </c>
      <c r="C1618" s="7">
        <f>MONTH(A1618)</f>
        <v/>
      </c>
      <c r="D1618" s="10" t="n">
        <v>0</v>
      </c>
      <c r="E1618" s="11" t="n">
        <v>17.88874251</v>
      </c>
      <c r="F1618" s="12" t="n">
        <v>4.852934984e-05</v>
      </c>
      <c r="G1618" s="11" t="n">
        <v>292.1652217</v>
      </c>
      <c r="H1618" s="13">
        <f>F1618*1000</f>
        <v/>
      </c>
      <c r="I1618" s="14">
        <f>G1618-273.15</f>
        <v/>
      </c>
      <c r="K1618" s="15" t="n">
        <v>2005</v>
      </c>
      <c r="L1618" s="15" t="n">
        <v>6</v>
      </c>
      <c r="M1618" s="15" t="n">
        <v>24</v>
      </c>
      <c r="N1618" s="16" t="n">
        <v>0.0001345422342</v>
      </c>
      <c r="O1618" s="11" t="n">
        <v>289.9180833</v>
      </c>
      <c r="P1618" s="13">
        <f>N1618*86400</f>
        <v/>
      </c>
      <c r="Q1618" s="14">
        <f>O1618-273.15</f>
        <v/>
      </c>
    </row>
    <row r="1619">
      <c r="A1619" s="9" t="n">
        <v>38506</v>
      </c>
      <c r="B1619" s="7">
        <f>YEAR(A1619)</f>
        <v/>
      </c>
      <c r="C1619" s="7">
        <f>MONTH(A1619)</f>
        <v/>
      </c>
      <c r="D1619" s="10" t="n">
        <v>0</v>
      </c>
      <c r="E1619" s="11" t="n">
        <v>19.60779517</v>
      </c>
      <c r="F1619" s="12" t="n">
        <v>0.001066752972</v>
      </c>
      <c r="G1619" s="11" t="n">
        <v>293.5350758</v>
      </c>
      <c r="H1619" s="13">
        <f>F1619*1000</f>
        <v/>
      </c>
      <c r="I1619" s="14">
        <f>G1619-273.15</f>
        <v/>
      </c>
      <c r="K1619" s="15" t="n">
        <v>2005</v>
      </c>
      <c r="L1619" s="15" t="n">
        <v>6</v>
      </c>
      <c r="M1619" s="15" t="n">
        <v>25</v>
      </c>
      <c r="N1619" s="16" t="n">
        <v>7.691302496e-05</v>
      </c>
      <c r="O1619" s="11" t="n">
        <v>288.2409986</v>
      </c>
      <c r="P1619" s="13">
        <f>N1619*86400</f>
        <v/>
      </c>
      <c r="Q1619" s="14">
        <f>O1619-273.15</f>
        <v/>
      </c>
    </row>
    <row r="1620">
      <c r="A1620" s="9" t="n">
        <v>38507</v>
      </c>
      <c r="B1620" s="7">
        <f>YEAR(A1620)</f>
        <v/>
      </c>
      <c r="C1620" s="7">
        <f>MONTH(A1620)</f>
        <v/>
      </c>
      <c r="D1620" s="10" t="n">
        <v>1.445373521</v>
      </c>
      <c r="E1620" s="11" t="n">
        <v>20.23772335</v>
      </c>
      <c r="F1620" s="12" t="n">
        <v>0.0003224075507</v>
      </c>
      <c r="G1620" s="11" t="n">
        <v>294.1236459</v>
      </c>
      <c r="H1620" s="13">
        <f>F1620*1000</f>
        <v/>
      </c>
      <c r="I1620" s="14">
        <f>G1620-273.15</f>
        <v/>
      </c>
      <c r="K1620" s="15" t="n">
        <v>2005</v>
      </c>
      <c r="L1620" s="15" t="n">
        <v>6</v>
      </c>
      <c r="M1620" s="15" t="n">
        <v>26</v>
      </c>
      <c r="N1620" s="16" t="n">
        <v>1.408126245e-05</v>
      </c>
      <c r="O1620" s="11" t="n">
        <v>289.9282826</v>
      </c>
      <c r="P1620" s="13">
        <f>N1620*86400</f>
        <v/>
      </c>
      <c r="Q1620" s="14">
        <f>O1620-273.15</f>
        <v/>
      </c>
    </row>
    <row r="1621">
      <c r="A1621" s="9" t="n">
        <v>38508</v>
      </c>
      <c r="B1621" s="7">
        <f>YEAR(A1621)</f>
        <v/>
      </c>
      <c r="C1621" s="7">
        <f>MONTH(A1621)</f>
        <v/>
      </c>
      <c r="D1621" s="10" t="n">
        <v>0</v>
      </c>
      <c r="E1621" s="11" t="n">
        <v>18.66201258</v>
      </c>
      <c r="F1621" s="12" t="n">
        <v>0.0008166689809</v>
      </c>
      <c r="G1621" s="11" t="n">
        <v>292.4228701</v>
      </c>
      <c r="H1621" s="13">
        <f>F1621*1000</f>
        <v/>
      </c>
      <c r="I1621" s="14">
        <f>G1621-273.15</f>
        <v/>
      </c>
      <c r="K1621" s="15" t="n">
        <v>2005</v>
      </c>
      <c r="L1621" s="15" t="n">
        <v>6</v>
      </c>
      <c r="M1621" s="15" t="n">
        <v>27</v>
      </c>
      <c r="N1621" s="16" t="n">
        <v>4.589068483e-05</v>
      </c>
      <c r="O1621" s="11" t="n">
        <v>289.0991307</v>
      </c>
      <c r="P1621" s="13">
        <f>N1621*86400</f>
        <v/>
      </c>
      <c r="Q1621" s="14">
        <f>O1621-273.15</f>
        <v/>
      </c>
    </row>
    <row r="1622">
      <c r="A1622" s="9" t="n">
        <v>38509</v>
      </c>
      <c r="B1622" s="7">
        <f>YEAR(A1622)</f>
        <v/>
      </c>
      <c r="C1622" s="7">
        <f>MONTH(A1622)</f>
        <v/>
      </c>
      <c r="D1622" s="10" t="n">
        <v>0</v>
      </c>
      <c r="E1622" s="11" t="n">
        <v>16.51738613</v>
      </c>
      <c r="F1622" s="12" t="n">
        <v>0</v>
      </c>
      <c r="G1622" s="11" t="n">
        <v>291.6041329</v>
      </c>
      <c r="H1622" s="13">
        <f>F1622*1000</f>
        <v/>
      </c>
      <c r="I1622" s="14">
        <f>G1622-273.15</f>
        <v/>
      </c>
      <c r="K1622" s="15" t="n">
        <v>2005</v>
      </c>
      <c r="L1622" s="15" t="n">
        <v>6</v>
      </c>
      <c r="M1622" s="15" t="n">
        <v>28</v>
      </c>
      <c r="N1622" s="16" t="n">
        <v>0.0002631553349</v>
      </c>
      <c r="O1622" s="11" t="n">
        <v>289.8299965</v>
      </c>
      <c r="P1622" s="13">
        <f>N1622*86400</f>
        <v/>
      </c>
      <c r="Q1622" s="14">
        <f>O1622-273.15</f>
        <v/>
      </c>
    </row>
    <row r="1623">
      <c r="A1623" s="9" t="n">
        <v>38510</v>
      </c>
      <c r="B1623" s="7">
        <f>YEAR(A1623)</f>
        <v/>
      </c>
      <c r="C1623" s="7">
        <f>MONTH(A1623)</f>
        <v/>
      </c>
      <c r="D1623" s="10" t="n">
        <v>24.19782065</v>
      </c>
      <c r="E1623" s="11" t="n">
        <v>16.32096075</v>
      </c>
      <c r="F1623" s="12" t="n">
        <v>0.007289345353</v>
      </c>
      <c r="G1623" s="11" t="n">
        <v>291.8078009</v>
      </c>
      <c r="H1623" s="13">
        <f>F1623*1000</f>
        <v/>
      </c>
      <c r="I1623" s="14">
        <f>G1623-273.15</f>
        <v/>
      </c>
      <c r="K1623" s="15" t="n">
        <v>2005</v>
      </c>
      <c r="L1623" s="15" t="n">
        <v>6</v>
      </c>
      <c r="M1623" s="15" t="n">
        <v>29</v>
      </c>
      <c r="N1623" s="16" t="n">
        <v>5.799075835999999e-07</v>
      </c>
      <c r="O1623" s="11" t="n">
        <v>290.4779511</v>
      </c>
      <c r="P1623" s="13">
        <f>N1623*86400</f>
        <v/>
      </c>
      <c r="Q1623" s="14">
        <f>O1623-273.15</f>
        <v/>
      </c>
    </row>
    <row r="1624">
      <c r="A1624" s="9" t="n">
        <v>38511</v>
      </c>
      <c r="B1624" s="7">
        <f>YEAR(A1624)</f>
        <v/>
      </c>
      <c r="C1624" s="7">
        <f>MONTH(A1624)</f>
        <v/>
      </c>
      <c r="D1624" s="10" t="n">
        <v>56.97059836</v>
      </c>
      <c r="E1624" s="11" t="n">
        <v>16.99806588</v>
      </c>
      <c r="F1624" s="12" t="n">
        <v>0.01230517691</v>
      </c>
      <c r="G1624" s="11" t="n">
        <v>292.682092</v>
      </c>
      <c r="H1624" s="13">
        <f>F1624*1000</f>
        <v/>
      </c>
      <c r="I1624" s="14">
        <f>G1624-273.15</f>
        <v/>
      </c>
      <c r="K1624" s="15" t="n">
        <v>2005</v>
      </c>
      <c r="L1624" s="15" t="n">
        <v>6</v>
      </c>
      <c r="M1624" s="15" t="n">
        <v>30</v>
      </c>
      <c r="N1624" s="16" t="n">
        <v>0</v>
      </c>
      <c r="O1624" s="11" t="n">
        <v>291.8859233</v>
      </c>
      <c r="P1624" s="13">
        <f>N1624*86400</f>
        <v/>
      </c>
      <c r="Q1624" s="14">
        <f>O1624-273.15</f>
        <v/>
      </c>
    </row>
    <row r="1625">
      <c r="A1625" s="9" t="n">
        <v>38512</v>
      </c>
      <c r="B1625" s="7">
        <f>YEAR(A1625)</f>
        <v/>
      </c>
      <c r="C1625" s="7">
        <f>MONTH(A1625)</f>
        <v/>
      </c>
      <c r="D1625" s="10" t="n">
        <v>42.60170154</v>
      </c>
      <c r="E1625" s="11" t="n">
        <v>18.00036179</v>
      </c>
      <c r="F1625" s="12" t="n">
        <v>0.009254579579</v>
      </c>
      <c r="G1625" s="11" t="n">
        <v>292.4501078</v>
      </c>
      <c r="H1625" s="13">
        <f>F1625*1000</f>
        <v/>
      </c>
      <c r="I1625" s="14">
        <f>G1625-273.15</f>
        <v/>
      </c>
      <c r="K1625" s="15" t="n">
        <v>2005</v>
      </c>
      <c r="L1625" s="15" t="n">
        <v>7</v>
      </c>
      <c r="M1625" s="15" t="n">
        <v>1</v>
      </c>
      <c r="N1625" s="16" t="n">
        <v>0</v>
      </c>
      <c r="O1625" s="11" t="n">
        <v>293.421784</v>
      </c>
      <c r="P1625" s="13">
        <f>N1625*86400</f>
        <v/>
      </c>
      <c r="Q1625" s="14">
        <f>O1625-273.15</f>
        <v/>
      </c>
    </row>
    <row r="1626">
      <c r="A1626" s="9" t="n">
        <v>38513</v>
      </c>
      <c r="B1626" s="7">
        <f>YEAR(A1626)</f>
        <v/>
      </c>
      <c r="C1626" s="7">
        <f>MONTH(A1626)</f>
        <v/>
      </c>
      <c r="D1626" s="10" t="n">
        <v>11.95820952</v>
      </c>
      <c r="E1626" s="11" t="n">
        <v>17.97723297</v>
      </c>
      <c r="F1626" s="12" t="n">
        <v>0.002986385719</v>
      </c>
      <c r="G1626" s="11" t="n">
        <v>292.1912251</v>
      </c>
      <c r="H1626" s="13">
        <f>F1626*1000</f>
        <v/>
      </c>
      <c r="I1626" s="14">
        <f>G1626-273.15</f>
        <v/>
      </c>
      <c r="K1626" s="15" t="n">
        <v>2005</v>
      </c>
      <c r="L1626" s="15" t="n">
        <v>7</v>
      </c>
      <c r="M1626" s="15" t="n">
        <v>2</v>
      </c>
      <c r="N1626" s="16" t="n">
        <v>0</v>
      </c>
      <c r="O1626" s="11" t="n">
        <v>293.0371921</v>
      </c>
      <c r="P1626" s="13">
        <f>N1626*86400</f>
        <v/>
      </c>
      <c r="Q1626" s="14">
        <f>O1626-273.15</f>
        <v/>
      </c>
    </row>
    <row r="1627">
      <c r="A1627" s="9" t="n">
        <v>38514</v>
      </c>
      <c r="B1627" s="7">
        <f>YEAR(A1627)</f>
        <v/>
      </c>
      <c r="C1627" s="7">
        <f>MONTH(A1627)</f>
        <v/>
      </c>
      <c r="D1627" s="10" t="n">
        <v>21.14455801</v>
      </c>
      <c r="E1627" s="11" t="n">
        <v>16.94330329</v>
      </c>
      <c r="F1627" s="12" t="n">
        <v>0.001221677419</v>
      </c>
      <c r="G1627" s="11" t="n">
        <v>290.1515876</v>
      </c>
      <c r="H1627" s="13">
        <f>F1627*1000</f>
        <v/>
      </c>
      <c r="I1627" s="14">
        <f>G1627-273.15</f>
        <v/>
      </c>
      <c r="K1627" s="15" t="n">
        <v>2005</v>
      </c>
      <c r="L1627" s="15" t="n">
        <v>7</v>
      </c>
      <c r="M1627" s="15" t="n">
        <v>3</v>
      </c>
      <c r="N1627" s="16" t="n">
        <v>3.080077421e-05</v>
      </c>
      <c r="O1627" s="11" t="n">
        <v>290.9459481</v>
      </c>
      <c r="P1627" s="13">
        <f>N1627*86400</f>
        <v/>
      </c>
      <c r="Q1627" s="14">
        <f>O1627-273.15</f>
        <v/>
      </c>
    </row>
    <row r="1628">
      <c r="A1628" s="9" t="n">
        <v>38515</v>
      </c>
      <c r="B1628" s="7">
        <f>YEAR(A1628)</f>
        <v/>
      </c>
      <c r="C1628" s="7">
        <f>MONTH(A1628)</f>
        <v/>
      </c>
      <c r="D1628" s="10" t="n">
        <v>64.63067529</v>
      </c>
      <c r="E1628" s="11" t="n">
        <v>18.72841878</v>
      </c>
      <c r="F1628" s="12" t="n">
        <v>0.02802167091</v>
      </c>
      <c r="G1628" s="11" t="n">
        <v>292.5216959</v>
      </c>
      <c r="H1628" s="13">
        <f>F1628*1000</f>
        <v/>
      </c>
      <c r="I1628" s="14">
        <f>G1628-273.15</f>
        <v/>
      </c>
      <c r="K1628" s="15" t="n">
        <v>2005</v>
      </c>
      <c r="L1628" s="15" t="n">
        <v>7</v>
      </c>
      <c r="M1628" s="15" t="n">
        <v>4</v>
      </c>
      <c r="N1628" s="16" t="n">
        <v>0</v>
      </c>
      <c r="O1628" s="11" t="n">
        <v>290.1644581</v>
      </c>
      <c r="P1628" s="13">
        <f>N1628*86400</f>
        <v/>
      </c>
      <c r="Q1628" s="14">
        <f>O1628-273.15</f>
        <v/>
      </c>
    </row>
    <row r="1629">
      <c r="A1629" s="9" t="n">
        <v>38516</v>
      </c>
      <c r="B1629" s="7">
        <f>YEAR(A1629)</f>
        <v/>
      </c>
      <c r="C1629" s="7">
        <f>MONTH(A1629)</f>
        <v/>
      </c>
      <c r="D1629" s="10" t="n">
        <v>1.488878623</v>
      </c>
      <c r="E1629" s="11" t="n">
        <v>14.7858158</v>
      </c>
      <c r="F1629" s="12" t="n">
        <v>0.0149694883</v>
      </c>
      <c r="G1629" s="11" t="n">
        <v>290.0765045</v>
      </c>
      <c r="H1629" s="13">
        <f>F1629*1000</f>
        <v/>
      </c>
      <c r="I1629" s="14">
        <f>G1629-273.15</f>
        <v/>
      </c>
      <c r="K1629" s="15" t="n">
        <v>2005</v>
      </c>
      <c r="L1629" s="15" t="n">
        <v>7</v>
      </c>
      <c r="M1629" s="15" t="n">
        <v>5</v>
      </c>
      <c r="N1629" s="16" t="n">
        <v>2.637168468e-05</v>
      </c>
      <c r="O1629" s="11" t="n">
        <v>291.1018472</v>
      </c>
      <c r="P1629" s="13">
        <f>N1629*86400</f>
        <v/>
      </c>
      <c r="Q1629" s="14">
        <f>O1629-273.15</f>
        <v/>
      </c>
    </row>
    <row r="1630">
      <c r="A1630" s="9" t="n">
        <v>38517</v>
      </c>
      <c r="B1630" s="7">
        <f>YEAR(A1630)</f>
        <v/>
      </c>
      <c r="C1630" s="7">
        <f>MONTH(A1630)</f>
        <v/>
      </c>
      <c r="D1630" s="10" t="n">
        <v>0.093977277</v>
      </c>
      <c r="E1630" s="11" t="n">
        <v>16.85443923</v>
      </c>
      <c r="F1630" s="12" t="n">
        <v>0.004924593398</v>
      </c>
      <c r="G1630" s="11" t="n">
        <v>292.7996265</v>
      </c>
      <c r="H1630" s="13">
        <f>F1630*1000</f>
        <v/>
      </c>
      <c r="I1630" s="14">
        <f>G1630-273.15</f>
        <v/>
      </c>
      <c r="K1630" s="15" t="n">
        <v>2005</v>
      </c>
      <c r="L1630" s="15" t="n">
        <v>7</v>
      </c>
      <c r="M1630" s="15" t="n">
        <v>6</v>
      </c>
      <c r="N1630" s="16" t="n">
        <v>0</v>
      </c>
      <c r="O1630" s="11" t="n">
        <v>290.4694441</v>
      </c>
      <c r="P1630" s="13">
        <f>N1630*86400</f>
        <v/>
      </c>
      <c r="Q1630" s="14">
        <f>O1630-273.15</f>
        <v/>
      </c>
    </row>
    <row r="1631">
      <c r="A1631" s="9" t="n">
        <v>38518</v>
      </c>
      <c r="B1631" s="7">
        <f>YEAR(A1631)</f>
        <v/>
      </c>
      <c r="C1631" s="7">
        <f>MONTH(A1631)</f>
        <v/>
      </c>
      <c r="D1631" s="10" t="n">
        <v>1.829711891</v>
      </c>
      <c r="E1631" s="11" t="n">
        <v>16.071008</v>
      </c>
      <c r="F1631" s="12" t="n">
        <v>0.0001143401958</v>
      </c>
      <c r="G1631" s="11" t="n">
        <v>292.5312915</v>
      </c>
      <c r="H1631" s="13">
        <f>F1631*1000</f>
        <v/>
      </c>
      <c r="I1631" s="14">
        <f>G1631-273.15</f>
        <v/>
      </c>
      <c r="K1631" s="15" t="n">
        <v>2005</v>
      </c>
      <c r="L1631" s="15" t="n">
        <v>7</v>
      </c>
      <c r="M1631" s="15" t="n">
        <v>7</v>
      </c>
      <c r="N1631" s="16" t="n">
        <v>2.738699497e-07</v>
      </c>
      <c r="O1631" s="11" t="n">
        <v>290.23647</v>
      </c>
      <c r="P1631" s="13">
        <f>N1631*86400</f>
        <v/>
      </c>
      <c r="Q1631" s="14">
        <f>O1631-273.15</f>
        <v/>
      </c>
    </row>
    <row r="1632">
      <c r="A1632" s="9" t="n">
        <v>38519</v>
      </c>
      <c r="B1632" s="7">
        <f>YEAR(A1632)</f>
        <v/>
      </c>
      <c r="C1632" s="7">
        <f>MONTH(A1632)</f>
        <v/>
      </c>
      <c r="D1632" s="10" t="n">
        <v>0.5554889262</v>
      </c>
      <c r="E1632" s="11" t="n">
        <v>18.12158943</v>
      </c>
      <c r="F1632" s="12" t="n">
        <v>0.001456452988</v>
      </c>
      <c r="G1632" s="11" t="n">
        <v>293.7492118</v>
      </c>
      <c r="H1632" s="13">
        <f>F1632*1000</f>
        <v/>
      </c>
      <c r="I1632" s="14">
        <f>G1632-273.15</f>
        <v/>
      </c>
      <c r="K1632" s="15" t="n">
        <v>2005</v>
      </c>
      <c r="L1632" s="15" t="n">
        <v>7</v>
      </c>
      <c r="M1632" s="15" t="n">
        <v>8</v>
      </c>
      <c r="N1632" s="16" t="n">
        <v>0</v>
      </c>
      <c r="O1632" s="11" t="n">
        <v>292.2774543</v>
      </c>
      <c r="P1632" s="13">
        <f>N1632*86400</f>
        <v/>
      </c>
      <c r="Q1632" s="14">
        <f>O1632-273.15</f>
        <v/>
      </c>
    </row>
    <row r="1633">
      <c r="A1633" s="9" t="n">
        <v>38520</v>
      </c>
      <c r="B1633" s="7">
        <f>YEAR(A1633)</f>
        <v/>
      </c>
      <c r="C1633" s="7">
        <f>MONTH(A1633)</f>
        <v/>
      </c>
      <c r="D1633" s="10" t="n">
        <v>24.74838002</v>
      </c>
      <c r="E1633" s="11" t="n">
        <v>18.51155651</v>
      </c>
      <c r="F1633" s="12" t="n">
        <v>0.01276737316</v>
      </c>
      <c r="G1633" s="11" t="n">
        <v>295.2294943</v>
      </c>
      <c r="H1633" s="13">
        <f>F1633*1000</f>
        <v/>
      </c>
      <c r="I1633" s="14">
        <f>G1633-273.15</f>
        <v/>
      </c>
      <c r="K1633" s="15" t="n">
        <v>2005</v>
      </c>
      <c r="L1633" s="15" t="n">
        <v>7</v>
      </c>
      <c r="M1633" s="15" t="n">
        <v>9</v>
      </c>
      <c r="N1633" s="16" t="n">
        <v>1.350048324e-05</v>
      </c>
      <c r="O1633" s="11" t="n">
        <v>294.0495659</v>
      </c>
      <c r="P1633" s="13">
        <f>N1633*86400</f>
        <v/>
      </c>
      <c r="Q1633" s="14">
        <f>O1633-273.15</f>
        <v/>
      </c>
    </row>
    <row r="1634">
      <c r="A1634" s="9" t="n">
        <v>38521</v>
      </c>
      <c r="B1634" s="7">
        <f>YEAR(A1634)</f>
        <v/>
      </c>
      <c r="C1634" s="7">
        <f>MONTH(A1634)</f>
        <v/>
      </c>
      <c r="D1634" s="10" t="n">
        <v>46.99254675</v>
      </c>
      <c r="E1634" s="11" t="n">
        <v>16.88761117</v>
      </c>
      <c r="F1634" s="12" t="n">
        <v>0.03634747796</v>
      </c>
      <c r="G1634" s="11" t="n">
        <v>292.7678788</v>
      </c>
      <c r="H1634" s="13">
        <f>F1634*1000</f>
        <v/>
      </c>
      <c r="I1634" s="14">
        <f>G1634-273.15</f>
        <v/>
      </c>
      <c r="K1634" s="15" t="n">
        <v>2005</v>
      </c>
      <c r="L1634" s="15" t="n">
        <v>7</v>
      </c>
      <c r="M1634" s="15" t="n">
        <v>10</v>
      </c>
      <c r="N1634" s="16" t="n">
        <v>2.942851436e-05</v>
      </c>
      <c r="O1634" s="11" t="n">
        <v>293.3006201</v>
      </c>
      <c r="P1634" s="13">
        <f>N1634*86400</f>
        <v/>
      </c>
      <c r="Q1634" s="14">
        <f>O1634-273.15</f>
        <v/>
      </c>
    </row>
    <row r="1635">
      <c r="A1635" s="9" t="n">
        <v>38522</v>
      </c>
      <c r="B1635" s="7">
        <f>YEAR(A1635)</f>
        <v/>
      </c>
      <c r="C1635" s="7">
        <f>MONTH(A1635)</f>
        <v/>
      </c>
      <c r="D1635" s="10" t="n">
        <v>36.04755443</v>
      </c>
      <c r="E1635" s="11" t="n">
        <v>18.84248415</v>
      </c>
      <c r="F1635" s="12" t="n">
        <v>0.02115128505</v>
      </c>
      <c r="G1635" s="11" t="n">
        <v>294.4347556</v>
      </c>
      <c r="H1635" s="13">
        <f>F1635*1000</f>
        <v/>
      </c>
      <c r="I1635" s="14">
        <f>G1635-273.15</f>
        <v/>
      </c>
      <c r="K1635" s="15" t="n">
        <v>2005</v>
      </c>
      <c r="L1635" s="15" t="n">
        <v>7</v>
      </c>
      <c r="M1635" s="15" t="n">
        <v>11</v>
      </c>
      <c r="N1635" s="16" t="n">
        <v>0</v>
      </c>
      <c r="O1635" s="11" t="n">
        <v>294.982122</v>
      </c>
      <c r="P1635" s="13">
        <f>N1635*86400</f>
        <v/>
      </c>
      <c r="Q1635" s="14">
        <f>O1635-273.15</f>
        <v/>
      </c>
    </row>
    <row r="1636">
      <c r="A1636" s="9" t="n">
        <v>38523</v>
      </c>
      <c r="B1636" s="7">
        <f>YEAR(A1636)</f>
        <v/>
      </c>
      <c r="C1636" s="7">
        <f>MONTH(A1636)</f>
        <v/>
      </c>
      <c r="D1636" s="10" t="n">
        <v>8.571303464</v>
      </c>
      <c r="E1636" s="11" t="n">
        <v>16.71130002</v>
      </c>
      <c r="F1636" s="12" t="n">
        <v>0.02151210114</v>
      </c>
      <c r="G1636" s="11" t="n">
        <v>292.5129077</v>
      </c>
      <c r="H1636" s="13">
        <f>F1636*1000</f>
        <v/>
      </c>
      <c r="I1636" s="14">
        <f>G1636-273.15</f>
        <v/>
      </c>
      <c r="K1636" s="15" t="n">
        <v>2005</v>
      </c>
      <c r="L1636" s="15" t="n">
        <v>7</v>
      </c>
      <c r="M1636" s="15" t="n">
        <v>12</v>
      </c>
      <c r="N1636" s="16" t="n">
        <v>2.723501542e-05</v>
      </c>
      <c r="O1636" s="11" t="n">
        <v>293.547176</v>
      </c>
      <c r="P1636" s="13">
        <f>N1636*86400</f>
        <v/>
      </c>
      <c r="Q1636" s="14">
        <f>O1636-273.15</f>
        <v/>
      </c>
    </row>
    <row r="1637">
      <c r="A1637" s="9" t="n">
        <v>38524</v>
      </c>
      <c r="B1637" s="7">
        <f>YEAR(A1637)</f>
        <v/>
      </c>
      <c r="C1637" s="7">
        <f>MONTH(A1637)</f>
        <v/>
      </c>
      <c r="D1637" s="10" t="n">
        <v>0</v>
      </c>
      <c r="E1637" s="11" t="n">
        <v>17.15403232</v>
      </c>
      <c r="F1637" s="12" t="n">
        <v>0.006007102286</v>
      </c>
      <c r="G1637" s="11" t="n">
        <v>293.3919828</v>
      </c>
      <c r="H1637" s="13">
        <f>F1637*1000</f>
        <v/>
      </c>
      <c r="I1637" s="14">
        <f>G1637-273.15</f>
        <v/>
      </c>
      <c r="K1637" s="15" t="n">
        <v>2005</v>
      </c>
      <c r="L1637" s="15" t="n">
        <v>7</v>
      </c>
      <c r="M1637" s="15" t="n">
        <v>13</v>
      </c>
      <c r="N1637" s="16" t="n">
        <v>7.630128572e-05</v>
      </c>
      <c r="O1637" s="11" t="n">
        <v>292.9892162</v>
      </c>
      <c r="P1637" s="13">
        <f>N1637*86400</f>
        <v/>
      </c>
      <c r="Q1637" s="14">
        <f>O1637-273.15</f>
        <v/>
      </c>
    </row>
    <row r="1638">
      <c r="A1638" s="9" t="n">
        <v>38525</v>
      </c>
      <c r="B1638" s="7">
        <f>YEAR(A1638)</f>
        <v/>
      </c>
      <c r="C1638" s="7">
        <f>MONTH(A1638)</f>
        <v/>
      </c>
      <c r="D1638" s="10" t="n">
        <v>0</v>
      </c>
      <c r="E1638" s="11" t="n">
        <v>16.80011715</v>
      </c>
      <c r="F1638" s="12" t="n">
        <v>0.001570351949</v>
      </c>
      <c r="G1638" s="11" t="n">
        <v>292.5265978</v>
      </c>
      <c r="H1638" s="13">
        <f>F1638*1000</f>
        <v/>
      </c>
      <c r="I1638" s="14">
        <f>G1638-273.15</f>
        <v/>
      </c>
      <c r="K1638" s="15" t="n">
        <v>2005</v>
      </c>
      <c r="L1638" s="15" t="n">
        <v>7</v>
      </c>
      <c r="M1638" s="15" t="n">
        <v>14</v>
      </c>
      <c r="N1638" s="16" t="n">
        <v>5.078330575e-05</v>
      </c>
      <c r="O1638" s="11" t="n">
        <v>291.7380051</v>
      </c>
      <c r="P1638" s="13">
        <f>N1638*86400</f>
        <v/>
      </c>
      <c r="Q1638" s="14">
        <f>O1638-273.15</f>
        <v/>
      </c>
    </row>
    <row r="1639">
      <c r="A1639" s="9" t="n">
        <v>38526</v>
      </c>
      <c r="B1639" s="7">
        <f>YEAR(A1639)</f>
        <v/>
      </c>
      <c r="C1639" s="7">
        <f>MONTH(A1639)</f>
        <v/>
      </c>
      <c r="D1639" s="10" t="n">
        <v>18.89695934</v>
      </c>
      <c r="E1639" s="11" t="n">
        <v>17.13724806</v>
      </c>
      <c r="F1639" s="12" t="n">
        <v>0.01826830522</v>
      </c>
      <c r="G1639" s="11" t="n">
        <v>292.2209135</v>
      </c>
      <c r="H1639" s="13">
        <f>F1639*1000</f>
        <v/>
      </c>
      <c r="I1639" s="14">
        <f>G1639-273.15</f>
        <v/>
      </c>
      <c r="K1639" s="15" t="n">
        <v>2005</v>
      </c>
      <c r="L1639" s="15" t="n">
        <v>7</v>
      </c>
      <c r="M1639" s="15" t="n">
        <v>15</v>
      </c>
      <c r="N1639" s="16" t="n">
        <v>0.0003863220136</v>
      </c>
      <c r="O1639" s="11" t="n">
        <v>291.7129668</v>
      </c>
      <c r="P1639" s="13">
        <f>N1639*86400</f>
        <v/>
      </c>
      <c r="Q1639" s="14">
        <f>O1639-273.15</f>
        <v/>
      </c>
    </row>
    <row r="1640">
      <c r="A1640" s="9" t="n">
        <v>38527</v>
      </c>
      <c r="B1640" s="7">
        <f>YEAR(A1640)</f>
        <v/>
      </c>
      <c r="C1640" s="7">
        <f>MONTH(A1640)</f>
        <v/>
      </c>
      <c r="D1640" s="10" t="n">
        <v>97.21163122999999</v>
      </c>
      <c r="E1640" s="11" t="n">
        <v>16.30496322</v>
      </c>
      <c r="F1640" s="12" t="n">
        <v>0.05891834976</v>
      </c>
      <c r="G1640" s="11" t="n">
        <v>291.0687907</v>
      </c>
      <c r="H1640" s="13">
        <f>F1640*1000</f>
        <v/>
      </c>
      <c r="I1640" s="14">
        <f>G1640-273.15</f>
        <v/>
      </c>
      <c r="K1640" s="15" t="n">
        <v>2005</v>
      </c>
      <c r="L1640" s="15" t="n">
        <v>7</v>
      </c>
      <c r="M1640" s="15" t="n">
        <v>16</v>
      </c>
      <c r="N1640" s="16" t="n">
        <v>0.0002616833973</v>
      </c>
      <c r="O1640" s="11" t="n">
        <v>293.3201896</v>
      </c>
      <c r="P1640" s="13">
        <f>N1640*86400</f>
        <v/>
      </c>
      <c r="Q1640" s="14">
        <f>O1640-273.15</f>
        <v/>
      </c>
    </row>
    <row r="1641">
      <c r="A1641" s="9" t="n">
        <v>38528</v>
      </c>
      <c r="B1641" s="7">
        <f>YEAR(A1641)</f>
        <v/>
      </c>
      <c r="C1641" s="7">
        <f>MONTH(A1641)</f>
        <v/>
      </c>
      <c r="D1641" s="10" t="n">
        <v>53.47393164</v>
      </c>
      <c r="E1641" s="11" t="n">
        <v>17.85522862</v>
      </c>
      <c r="F1641" s="12" t="n">
        <v>0.03722223393</v>
      </c>
      <c r="G1641" s="11" t="n">
        <v>292.8394569</v>
      </c>
      <c r="H1641" s="13">
        <f>F1641*1000</f>
        <v/>
      </c>
      <c r="I1641" s="14">
        <f>G1641-273.15</f>
        <v/>
      </c>
      <c r="K1641" s="15" t="n">
        <v>2005</v>
      </c>
      <c r="L1641" s="15" t="n">
        <v>7</v>
      </c>
      <c r="M1641" s="15" t="n">
        <v>17</v>
      </c>
      <c r="N1641" s="16" t="n">
        <v>6.405623367e-05</v>
      </c>
      <c r="O1641" s="11" t="n">
        <v>292.0984835</v>
      </c>
      <c r="P1641" s="13">
        <f>N1641*86400</f>
        <v/>
      </c>
      <c r="Q1641" s="14">
        <f>O1641-273.15</f>
        <v/>
      </c>
    </row>
    <row r="1642">
      <c r="A1642" s="9" t="n">
        <v>38529</v>
      </c>
      <c r="B1642" s="7">
        <f>YEAR(A1642)</f>
        <v/>
      </c>
      <c r="C1642" s="7">
        <f>MONTH(A1642)</f>
        <v/>
      </c>
      <c r="D1642" s="10" t="n">
        <v>43.64824397</v>
      </c>
      <c r="E1642" s="11" t="n">
        <v>18.9336203</v>
      </c>
      <c r="F1642" s="12" t="n">
        <v>0.006705524728</v>
      </c>
      <c r="G1642" s="11" t="n">
        <v>293.4241021</v>
      </c>
      <c r="H1642" s="13">
        <f>F1642*1000</f>
        <v/>
      </c>
      <c r="I1642" s="14">
        <f>G1642-273.15</f>
        <v/>
      </c>
      <c r="K1642" s="15" t="n">
        <v>2005</v>
      </c>
      <c r="L1642" s="15" t="n">
        <v>7</v>
      </c>
      <c r="M1642" s="15" t="n">
        <v>18</v>
      </c>
      <c r="N1642" s="16" t="n">
        <v>4.930449948e-05</v>
      </c>
      <c r="O1642" s="11" t="n">
        <v>290.6316233</v>
      </c>
      <c r="P1642" s="13">
        <f>N1642*86400</f>
        <v/>
      </c>
      <c r="Q1642" s="14">
        <f>O1642-273.15</f>
        <v/>
      </c>
    </row>
    <row r="1643">
      <c r="A1643" s="9" t="n">
        <v>38530</v>
      </c>
      <c r="B1643" s="7">
        <f>YEAR(A1643)</f>
        <v/>
      </c>
      <c r="C1643" s="7">
        <f>MONTH(A1643)</f>
        <v/>
      </c>
      <c r="D1643" s="10" t="n">
        <v>16.85047685</v>
      </c>
      <c r="E1643" s="11" t="n">
        <v>19.53343806</v>
      </c>
      <c r="F1643" s="12" t="n">
        <v>0.01269529647</v>
      </c>
      <c r="G1643" s="11" t="n">
        <v>294.3473644</v>
      </c>
      <c r="H1643" s="13">
        <f>F1643*1000</f>
        <v/>
      </c>
      <c r="I1643" s="14">
        <f>G1643-273.15</f>
        <v/>
      </c>
      <c r="K1643" s="15" t="n">
        <v>2005</v>
      </c>
      <c r="L1643" s="15" t="n">
        <v>7</v>
      </c>
      <c r="M1643" s="15" t="n">
        <v>19</v>
      </c>
      <c r="N1643" s="16" t="n">
        <v>4.139725677e-05</v>
      </c>
      <c r="O1643" s="11" t="n">
        <v>291.2553869</v>
      </c>
      <c r="P1643" s="13">
        <f>N1643*86400</f>
        <v/>
      </c>
      <c r="Q1643" s="14">
        <f>O1643-273.15</f>
        <v/>
      </c>
    </row>
    <row r="1644">
      <c r="A1644" s="9" t="n">
        <v>38531</v>
      </c>
      <c r="B1644" s="7">
        <f>YEAR(A1644)</f>
        <v/>
      </c>
      <c r="C1644" s="7">
        <f>MONTH(A1644)</f>
        <v/>
      </c>
      <c r="D1644" s="10" t="n">
        <v>5.268920741</v>
      </c>
      <c r="E1644" s="11" t="n">
        <v>19.25543419</v>
      </c>
      <c r="F1644" s="12" t="n">
        <v>0.009945840345</v>
      </c>
      <c r="G1644" s="11" t="n">
        <v>294.5350223</v>
      </c>
      <c r="H1644" s="13">
        <f>F1644*1000</f>
        <v/>
      </c>
      <c r="I1644" s="14">
        <f>G1644-273.15</f>
        <v/>
      </c>
      <c r="K1644" s="15" t="n">
        <v>2005</v>
      </c>
      <c r="L1644" s="15" t="n">
        <v>7</v>
      </c>
      <c r="M1644" s="15" t="n">
        <v>20</v>
      </c>
      <c r="N1644" s="16" t="n">
        <v>0.0001029947672</v>
      </c>
      <c r="O1644" s="11" t="n">
        <v>291.2054249</v>
      </c>
      <c r="P1644" s="13">
        <f>N1644*86400</f>
        <v/>
      </c>
      <c r="Q1644" s="14">
        <f>O1644-273.15</f>
        <v/>
      </c>
    </row>
    <row r="1645">
      <c r="A1645" s="9" t="n">
        <v>38532</v>
      </c>
      <c r="B1645" s="7">
        <f>YEAR(A1645)</f>
        <v/>
      </c>
      <c r="C1645" s="7">
        <f>MONTH(A1645)</f>
        <v/>
      </c>
      <c r="D1645" s="10" t="n">
        <v>0</v>
      </c>
      <c r="E1645" s="11" t="n">
        <v>17.71537712</v>
      </c>
      <c r="F1645" s="12" t="n">
        <v>0.01369722965</v>
      </c>
      <c r="G1645" s="11" t="n">
        <v>292.9287236</v>
      </c>
      <c r="H1645" s="13">
        <f>F1645*1000</f>
        <v/>
      </c>
      <c r="I1645" s="14">
        <f>G1645-273.15</f>
        <v/>
      </c>
      <c r="K1645" s="15" t="n">
        <v>2005</v>
      </c>
      <c r="L1645" s="15" t="n">
        <v>7</v>
      </c>
      <c r="M1645" s="15" t="n">
        <v>21</v>
      </c>
      <c r="N1645" s="16" t="n">
        <v>5.026374026e-05</v>
      </c>
      <c r="O1645" s="11" t="n">
        <v>291.2145176</v>
      </c>
      <c r="P1645" s="13">
        <f>N1645*86400</f>
        <v/>
      </c>
      <c r="Q1645" s="14">
        <f>O1645-273.15</f>
        <v/>
      </c>
    </row>
    <row r="1646">
      <c r="A1646" s="9" t="n">
        <v>38533</v>
      </c>
      <c r="B1646" s="7">
        <f>YEAR(A1646)</f>
        <v/>
      </c>
      <c r="C1646" s="7">
        <f>MONTH(A1646)</f>
        <v/>
      </c>
      <c r="D1646" s="10" t="n">
        <v>4.835728937</v>
      </c>
      <c r="E1646" s="11" t="n">
        <v>17.37872655</v>
      </c>
      <c r="F1646" s="12" t="n">
        <v>0.004050972566</v>
      </c>
      <c r="G1646" s="11" t="n">
        <v>292.7649403</v>
      </c>
      <c r="H1646" s="13">
        <f>F1646*1000</f>
        <v/>
      </c>
      <c r="I1646" s="14">
        <f>G1646-273.15</f>
        <v/>
      </c>
      <c r="K1646" s="15" t="n">
        <v>2005</v>
      </c>
      <c r="L1646" s="15" t="n">
        <v>7</v>
      </c>
      <c r="M1646" s="15" t="n">
        <v>22</v>
      </c>
      <c r="N1646" s="16" t="n">
        <v>8.102007075e-05</v>
      </c>
      <c r="O1646" s="11" t="n">
        <v>292.5277223</v>
      </c>
      <c r="P1646" s="13">
        <f>N1646*86400</f>
        <v/>
      </c>
      <c r="Q1646" s="14">
        <f>O1646-273.15</f>
        <v/>
      </c>
    </row>
    <row r="1647">
      <c r="A1647" s="9" t="n">
        <v>38534</v>
      </c>
      <c r="B1647" s="7">
        <f>YEAR(A1647)</f>
        <v/>
      </c>
      <c r="C1647" s="7">
        <f>MONTH(A1647)</f>
        <v/>
      </c>
      <c r="D1647" s="10" t="n">
        <v>13.17086376</v>
      </c>
      <c r="E1647" s="11" t="n">
        <v>21.09149075</v>
      </c>
      <c r="F1647" s="12" t="n">
        <v>0.01232412131</v>
      </c>
      <c r="G1647" s="11" t="n">
        <v>294.9996015</v>
      </c>
      <c r="H1647" s="13">
        <f>F1647*1000</f>
        <v/>
      </c>
      <c r="I1647" s="14">
        <f>G1647-273.15</f>
        <v/>
      </c>
      <c r="K1647" s="15" t="n">
        <v>2005</v>
      </c>
      <c r="L1647" s="15" t="n">
        <v>7</v>
      </c>
      <c r="M1647" s="15" t="n">
        <v>23</v>
      </c>
      <c r="N1647" s="16" t="n">
        <v>0.0001959117741</v>
      </c>
      <c r="O1647" s="11" t="n">
        <v>293.2939112</v>
      </c>
      <c r="P1647" s="13">
        <f>N1647*86400</f>
        <v/>
      </c>
      <c r="Q1647" s="14">
        <f>O1647-273.15</f>
        <v/>
      </c>
    </row>
    <row r="1648">
      <c r="A1648" s="9" t="n">
        <v>38535</v>
      </c>
      <c r="B1648" s="7">
        <f>YEAR(A1648)</f>
        <v/>
      </c>
      <c r="C1648" s="7">
        <f>MONTH(A1648)</f>
        <v/>
      </c>
      <c r="D1648" s="10" t="n">
        <v>55.45232495</v>
      </c>
      <c r="E1648" s="11" t="n">
        <v>19.76422332</v>
      </c>
      <c r="F1648" s="12" t="n">
        <v>0.01873788507</v>
      </c>
      <c r="G1648" s="11" t="n">
        <v>294.5178693</v>
      </c>
      <c r="H1648" s="13">
        <f>F1648*1000</f>
        <v/>
      </c>
      <c r="I1648" s="14">
        <f>G1648-273.15</f>
        <v/>
      </c>
      <c r="K1648" s="15" t="n">
        <v>2005</v>
      </c>
      <c r="L1648" s="15" t="n">
        <v>7</v>
      </c>
      <c r="M1648" s="15" t="n">
        <v>24</v>
      </c>
      <c r="N1648" s="16" t="n">
        <v>2.362748156e-05</v>
      </c>
      <c r="O1648" s="11" t="n">
        <v>291.7398194</v>
      </c>
      <c r="P1648" s="13">
        <f>N1648*86400</f>
        <v/>
      </c>
      <c r="Q1648" s="14">
        <f>O1648-273.15</f>
        <v/>
      </c>
    </row>
    <row r="1649">
      <c r="A1649" s="9" t="n">
        <v>38536</v>
      </c>
      <c r="B1649" s="7">
        <f>YEAR(A1649)</f>
        <v/>
      </c>
      <c r="C1649" s="7">
        <f>MONTH(A1649)</f>
        <v/>
      </c>
      <c r="D1649" s="10" t="n">
        <v>36.26412754</v>
      </c>
      <c r="E1649" s="11" t="n">
        <v>19.45762324</v>
      </c>
      <c r="F1649" s="12" t="n">
        <v>0.02248929992</v>
      </c>
      <c r="G1649" s="11" t="n">
        <v>294.6042337</v>
      </c>
      <c r="H1649" s="13">
        <f>F1649*1000</f>
        <v/>
      </c>
      <c r="I1649" s="14">
        <f>G1649-273.15</f>
        <v/>
      </c>
      <c r="K1649" s="15" t="n">
        <v>2005</v>
      </c>
      <c r="L1649" s="15" t="n">
        <v>7</v>
      </c>
      <c r="M1649" s="15" t="n">
        <v>25</v>
      </c>
      <c r="N1649" s="16" t="n">
        <v>9.571942442e-05</v>
      </c>
      <c r="O1649" s="11" t="n">
        <v>289.0810581</v>
      </c>
      <c r="P1649" s="13">
        <f>N1649*86400</f>
        <v/>
      </c>
      <c r="Q1649" s="14">
        <f>O1649-273.15</f>
        <v/>
      </c>
    </row>
    <row r="1650">
      <c r="A1650" s="9" t="n">
        <v>38537</v>
      </c>
      <c r="B1650" s="7">
        <f>YEAR(A1650)</f>
        <v/>
      </c>
      <c r="C1650" s="7">
        <f>MONTH(A1650)</f>
        <v/>
      </c>
      <c r="D1650" s="10" t="n">
        <v>15.52343636</v>
      </c>
      <c r="E1650" s="11" t="n">
        <v>18.33286464</v>
      </c>
      <c r="F1650" s="12" t="n">
        <v>0.01290184439</v>
      </c>
      <c r="G1650" s="11" t="n">
        <v>293.0325629</v>
      </c>
      <c r="H1650" s="13">
        <f>F1650*1000</f>
        <v/>
      </c>
      <c r="I1650" s="14">
        <f>G1650-273.15</f>
        <v/>
      </c>
      <c r="K1650" s="15" t="n">
        <v>2005</v>
      </c>
      <c r="L1650" s="15" t="n">
        <v>7</v>
      </c>
      <c r="M1650" s="15" t="n">
        <v>26</v>
      </c>
      <c r="N1650" s="16" t="n">
        <v>5.184437928999999e-07</v>
      </c>
      <c r="O1650" s="11" t="n">
        <v>289.7212275</v>
      </c>
      <c r="P1650" s="13">
        <f>N1650*86400</f>
        <v/>
      </c>
      <c r="Q1650" s="14">
        <f>O1650-273.15</f>
        <v/>
      </c>
    </row>
    <row r="1651">
      <c r="A1651" s="9" t="n">
        <v>38538</v>
      </c>
      <c r="B1651" s="7">
        <f>YEAR(A1651)</f>
        <v/>
      </c>
      <c r="C1651" s="7">
        <f>MONTH(A1651)</f>
        <v/>
      </c>
      <c r="D1651" s="10" t="n">
        <v>0</v>
      </c>
      <c r="E1651" s="11" t="n">
        <v>17.72012227</v>
      </c>
      <c r="F1651" s="12" t="n">
        <v>0.000305397124</v>
      </c>
      <c r="G1651" s="11" t="n">
        <v>292.8433522</v>
      </c>
      <c r="H1651" s="13">
        <f>F1651*1000</f>
        <v/>
      </c>
      <c r="I1651" s="14">
        <f>G1651-273.15</f>
        <v/>
      </c>
      <c r="K1651" s="15" t="n">
        <v>2005</v>
      </c>
      <c r="L1651" s="15" t="n">
        <v>7</v>
      </c>
      <c r="M1651" s="15" t="n">
        <v>27</v>
      </c>
      <c r="N1651" s="16" t="n">
        <v>1.113233126e-06</v>
      </c>
      <c r="O1651" s="11" t="n">
        <v>289.3327067</v>
      </c>
      <c r="P1651" s="13">
        <f>N1651*86400</f>
        <v/>
      </c>
      <c r="Q1651" s="14">
        <f>O1651-273.15</f>
        <v/>
      </c>
    </row>
    <row r="1652">
      <c r="A1652" s="9" t="n">
        <v>38539</v>
      </c>
      <c r="B1652" s="7">
        <f>YEAR(A1652)</f>
        <v/>
      </c>
      <c r="C1652" s="7">
        <f>MONTH(A1652)</f>
        <v/>
      </c>
      <c r="D1652" s="10" t="n">
        <v>50.20130949</v>
      </c>
      <c r="E1652" s="11" t="n">
        <v>17.93209081</v>
      </c>
      <c r="F1652" s="12" t="n">
        <v>0.03912043074</v>
      </c>
      <c r="G1652" s="11" t="n">
        <v>293.9930411</v>
      </c>
      <c r="H1652" s="13">
        <f>F1652*1000</f>
        <v/>
      </c>
      <c r="I1652" s="14">
        <f>G1652-273.15</f>
        <v/>
      </c>
      <c r="K1652" s="15" t="n">
        <v>2005</v>
      </c>
      <c r="L1652" s="15" t="n">
        <v>7</v>
      </c>
      <c r="M1652" s="15" t="n">
        <v>28</v>
      </c>
      <c r="N1652" s="16" t="n">
        <v>0.0001517829761</v>
      </c>
      <c r="O1652" s="11" t="n">
        <v>291.006452</v>
      </c>
      <c r="P1652" s="13">
        <f>N1652*86400</f>
        <v/>
      </c>
      <c r="Q1652" s="14">
        <f>O1652-273.15</f>
        <v/>
      </c>
    </row>
    <row r="1653">
      <c r="A1653" s="9" t="n">
        <v>38540</v>
      </c>
      <c r="B1653" s="7">
        <f>YEAR(A1653)</f>
        <v/>
      </c>
      <c r="C1653" s="7">
        <f>MONTH(A1653)</f>
        <v/>
      </c>
      <c r="D1653" s="10" t="n">
        <v>51.96882212</v>
      </c>
      <c r="E1653" s="11" t="n">
        <v>15.58007188</v>
      </c>
      <c r="F1653" s="12" t="n">
        <v>0.03868582017</v>
      </c>
      <c r="G1653" s="11" t="n">
        <v>291.8943918</v>
      </c>
      <c r="H1653" s="13">
        <f>F1653*1000</f>
        <v/>
      </c>
      <c r="I1653" s="14">
        <f>G1653-273.15</f>
        <v/>
      </c>
      <c r="K1653" s="15" t="n">
        <v>2005</v>
      </c>
      <c r="L1653" s="15" t="n">
        <v>7</v>
      </c>
      <c r="M1653" s="15" t="n">
        <v>29</v>
      </c>
      <c r="N1653" s="16" t="n">
        <v>0.0002063004075</v>
      </c>
      <c r="O1653" s="11" t="n">
        <v>292.6334816</v>
      </c>
      <c r="P1653" s="13">
        <f>N1653*86400</f>
        <v/>
      </c>
      <c r="Q1653" s="14">
        <f>O1653-273.15</f>
        <v/>
      </c>
    </row>
    <row r="1654">
      <c r="A1654" s="9" t="n">
        <v>38541</v>
      </c>
      <c r="B1654" s="7">
        <f>YEAR(A1654)</f>
        <v/>
      </c>
      <c r="C1654" s="7">
        <f>MONTH(A1654)</f>
        <v/>
      </c>
      <c r="D1654" s="10" t="n">
        <v>7.612059653</v>
      </c>
      <c r="E1654" s="11" t="n">
        <v>17.90758952</v>
      </c>
      <c r="F1654" s="12" t="n">
        <v>0.00511111047</v>
      </c>
      <c r="G1654" s="11" t="n">
        <v>293.7722155</v>
      </c>
      <c r="H1654" s="13">
        <f>F1654*1000</f>
        <v/>
      </c>
      <c r="I1654" s="14">
        <f>G1654-273.15</f>
        <v/>
      </c>
      <c r="K1654" s="15" t="n">
        <v>2005</v>
      </c>
      <c r="L1654" s="15" t="n">
        <v>7</v>
      </c>
      <c r="M1654" s="15" t="n">
        <v>30</v>
      </c>
      <c r="N1654" s="16" t="n">
        <v>0.00016566689</v>
      </c>
      <c r="O1654" s="11" t="n">
        <v>292.4469826</v>
      </c>
      <c r="P1654" s="13">
        <f>N1654*86400</f>
        <v/>
      </c>
      <c r="Q1654" s="14">
        <f>O1654-273.15</f>
        <v/>
      </c>
    </row>
    <row r="1655">
      <c r="A1655" s="9" t="n">
        <v>38542</v>
      </c>
      <c r="B1655" s="7">
        <f>YEAR(A1655)</f>
        <v/>
      </c>
      <c r="C1655" s="7">
        <f>MONTH(A1655)</f>
        <v/>
      </c>
      <c r="D1655" s="10" t="n">
        <v>25.8666022</v>
      </c>
      <c r="E1655" s="11" t="n">
        <v>18.97835444</v>
      </c>
      <c r="F1655" s="12" t="n">
        <v>0.01538694426</v>
      </c>
      <c r="G1655" s="11" t="n">
        <v>293.8063821</v>
      </c>
      <c r="H1655" s="13">
        <f>F1655*1000</f>
        <v/>
      </c>
      <c r="I1655" s="14">
        <f>G1655-273.15</f>
        <v/>
      </c>
      <c r="K1655" s="15" t="n">
        <v>2005</v>
      </c>
      <c r="L1655" s="15" t="n">
        <v>8</v>
      </c>
      <c r="M1655" s="15" t="n">
        <v>1</v>
      </c>
      <c r="N1655" s="16" t="n">
        <v>0.0003382411157</v>
      </c>
      <c r="O1655" s="11" t="n">
        <v>293.6614732</v>
      </c>
      <c r="P1655" s="13">
        <f>N1655*86400</f>
        <v/>
      </c>
      <c r="Q1655" s="14">
        <f>O1655-273.15</f>
        <v/>
      </c>
    </row>
    <row r="1656">
      <c r="A1656" s="9" t="n">
        <v>38543</v>
      </c>
      <c r="B1656" s="7">
        <f>YEAR(A1656)</f>
        <v/>
      </c>
      <c r="C1656" s="7">
        <f>MONTH(A1656)</f>
        <v/>
      </c>
      <c r="D1656" s="10" t="n">
        <v>50.14126426</v>
      </c>
      <c r="E1656" s="11" t="n">
        <v>17.6458594</v>
      </c>
      <c r="F1656" s="12" t="n">
        <v>0.01027235856</v>
      </c>
      <c r="G1656" s="11" t="n">
        <v>290.7864944</v>
      </c>
      <c r="H1656" s="13">
        <f>F1656*1000</f>
        <v/>
      </c>
      <c r="I1656" s="14">
        <f>G1656-273.15</f>
        <v/>
      </c>
      <c r="K1656" s="15" t="n">
        <v>2005</v>
      </c>
      <c r="L1656" s="15" t="n">
        <v>8</v>
      </c>
      <c r="M1656" s="15" t="n">
        <v>2</v>
      </c>
      <c r="N1656" s="16" t="n">
        <v>0.0006268955677</v>
      </c>
      <c r="O1656" s="11" t="n">
        <v>292.3280254</v>
      </c>
      <c r="P1656" s="13">
        <f>N1656*86400</f>
        <v/>
      </c>
      <c r="Q1656" s="14">
        <f>O1656-273.15</f>
        <v/>
      </c>
    </row>
    <row r="1657">
      <c r="A1657" s="9" t="n">
        <v>38544</v>
      </c>
      <c r="B1657" s="7">
        <f>YEAR(A1657)</f>
        <v/>
      </c>
      <c r="C1657" s="7">
        <f>MONTH(A1657)</f>
        <v/>
      </c>
      <c r="D1657" s="10" t="n">
        <v>72.56233526</v>
      </c>
      <c r="E1657" s="11" t="n">
        <v>18.49055968</v>
      </c>
      <c r="F1657" s="12" t="n">
        <v>0.03890234955</v>
      </c>
      <c r="G1657" s="11" t="n">
        <v>291.4777983</v>
      </c>
      <c r="H1657" s="13">
        <f>F1657*1000</f>
        <v/>
      </c>
      <c r="I1657" s="14">
        <f>G1657-273.15</f>
        <v/>
      </c>
      <c r="K1657" s="15" t="n">
        <v>2005</v>
      </c>
      <c r="L1657" s="15" t="n">
        <v>8</v>
      </c>
      <c r="M1657" s="15" t="n">
        <v>3</v>
      </c>
      <c r="N1657" s="16" t="n">
        <v>0.0003909977916</v>
      </c>
      <c r="O1657" s="11" t="n">
        <v>289.4701655</v>
      </c>
      <c r="P1657" s="13">
        <f>N1657*86400</f>
        <v/>
      </c>
      <c r="Q1657" s="14">
        <f>O1657-273.15</f>
        <v/>
      </c>
    </row>
    <row r="1658">
      <c r="A1658" s="9" t="n">
        <v>38545</v>
      </c>
      <c r="B1658" s="7">
        <f>YEAR(A1658)</f>
        <v/>
      </c>
      <c r="C1658" s="7">
        <f>MONTH(A1658)</f>
        <v/>
      </c>
      <c r="D1658" s="10" t="n">
        <v>42.68151514</v>
      </c>
      <c r="E1658" s="11" t="n">
        <v>19.31983608</v>
      </c>
      <c r="F1658" s="12" t="n">
        <v>0.05389641406</v>
      </c>
      <c r="G1658" s="11" t="n">
        <v>292.5628935</v>
      </c>
      <c r="H1658" s="13">
        <f>F1658*1000</f>
        <v/>
      </c>
      <c r="I1658" s="14">
        <f>G1658-273.15</f>
        <v/>
      </c>
      <c r="K1658" s="15" t="n">
        <v>2005</v>
      </c>
      <c r="L1658" s="15" t="n">
        <v>8</v>
      </c>
      <c r="M1658" s="15" t="n">
        <v>4</v>
      </c>
      <c r="N1658" s="16" t="n">
        <v>0.0004948652691</v>
      </c>
      <c r="O1658" s="11" t="n">
        <v>290.0129015</v>
      </c>
      <c r="P1658" s="13">
        <f>N1658*86400</f>
        <v/>
      </c>
      <c r="Q1658" s="14">
        <f>O1658-273.15</f>
        <v/>
      </c>
    </row>
    <row r="1659">
      <c r="A1659" s="9" t="n">
        <v>38546</v>
      </c>
      <c r="B1659" s="7">
        <f>YEAR(A1659)</f>
        <v/>
      </c>
      <c r="C1659" s="7">
        <f>MONTH(A1659)</f>
        <v/>
      </c>
      <c r="D1659" s="10" t="n">
        <v>70.87719201</v>
      </c>
      <c r="E1659" s="11" t="n">
        <v>17.99056766</v>
      </c>
      <c r="F1659" s="12" t="n">
        <v>0.04322223212</v>
      </c>
      <c r="G1659" s="11" t="n">
        <v>291.5476759</v>
      </c>
      <c r="H1659" s="13">
        <f>F1659*1000</f>
        <v/>
      </c>
      <c r="I1659" s="14">
        <f>G1659-273.15</f>
        <v/>
      </c>
      <c r="K1659" s="15" t="n">
        <v>2005</v>
      </c>
      <c r="L1659" s="15" t="n">
        <v>8</v>
      </c>
      <c r="M1659" s="15" t="n">
        <v>5</v>
      </c>
      <c r="N1659" s="16" t="n">
        <v>3.163471595e-05</v>
      </c>
      <c r="O1659" s="11" t="n">
        <v>290.909219</v>
      </c>
      <c r="P1659" s="13">
        <f>N1659*86400</f>
        <v/>
      </c>
      <c r="Q1659" s="14">
        <f>O1659-273.15</f>
        <v/>
      </c>
    </row>
    <row r="1660">
      <c r="A1660" s="9" t="n">
        <v>38547</v>
      </c>
      <c r="B1660" s="7">
        <f>YEAR(A1660)</f>
        <v/>
      </c>
      <c r="C1660" s="7">
        <f>MONTH(A1660)</f>
        <v/>
      </c>
      <c r="D1660" s="10" t="n">
        <v>47.2824704</v>
      </c>
      <c r="E1660" s="11" t="n">
        <v>19.39435142</v>
      </c>
      <c r="F1660" s="12" t="n">
        <v>0.038481883</v>
      </c>
      <c r="G1660" s="11" t="n">
        <v>293.2169625</v>
      </c>
      <c r="H1660" s="13">
        <f>F1660*1000</f>
        <v/>
      </c>
      <c r="I1660" s="14">
        <f>G1660-273.15</f>
        <v/>
      </c>
      <c r="K1660" s="15" t="n">
        <v>2005</v>
      </c>
      <c r="L1660" s="15" t="n">
        <v>8</v>
      </c>
      <c r="M1660" s="15" t="n">
        <v>6</v>
      </c>
      <c r="N1660" s="16" t="n">
        <v>3.031491174e-05</v>
      </c>
      <c r="O1660" s="11" t="n">
        <v>289.9711369</v>
      </c>
      <c r="P1660" s="13">
        <f>N1660*86400</f>
        <v/>
      </c>
      <c r="Q1660" s="14">
        <f>O1660-273.15</f>
        <v/>
      </c>
    </row>
    <row r="1661">
      <c r="A1661" s="9" t="n">
        <v>38548</v>
      </c>
      <c r="B1661" s="7">
        <f>YEAR(A1661)</f>
        <v/>
      </c>
      <c r="C1661" s="7">
        <f>MONTH(A1661)</f>
        <v/>
      </c>
      <c r="D1661" s="10" t="n">
        <v>12.91129921</v>
      </c>
      <c r="E1661" s="11" t="n">
        <v>18.72021461</v>
      </c>
      <c r="F1661" s="12" t="n">
        <v>0.006909095284</v>
      </c>
      <c r="G1661" s="11" t="n">
        <v>293.4435623</v>
      </c>
      <c r="H1661" s="13">
        <f>F1661*1000</f>
        <v/>
      </c>
      <c r="I1661" s="14">
        <f>G1661-273.15</f>
        <v/>
      </c>
      <c r="K1661" s="15" t="n">
        <v>2005</v>
      </c>
      <c r="L1661" s="15" t="n">
        <v>8</v>
      </c>
      <c r="M1661" s="15" t="n">
        <v>7</v>
      </c>
      <c r="N1661" s="16" t="n">
        <v>2.45573639e-06</v>
      </c>
      <c r="O1661" s="11" t="n">
        <v>289.9244424</v>
      </c>
      <c r="P1661" s="13">
        <f>N1661*86400</f>
        <v/>
      </c>
      <c r="Q1661" s="14">
        <f>O1661-273.15</f>
        <v/>
      </c>
    </row>
    <row r="1662">
      <c r="A1662" s="9" t="n">
        <v>38549</v>
      </c>
      <c r="B1662" s="7">
        <f>YEAR(A1662)</f>
        <v/>
      </c>
      <c r="C1662" s="7">
        <f>MONTH(A1662)</f>
        <v/>
      </c>
      <c r="D1662" s="10" t="n">
        <v>18.65139642</v>
      </c>
      <c r="E1662" s="11" t="n">
        <v>17.92564464</v>
      </c>
      <c r="F1662" s="12" t="n">
        <v>0.02080526779</v>
      </c>
      <c r="G1662" s="11" t="n">
        <v>292.9209318</v>
      </c>
      <c r="H1662" s="13">
        <f>F1662*1000</f>
        <v/>
      </c>
      <c r="I1662" s="14">
        <f>G1662-273.15</f>
        <v/>
      </c>
      <c r="K1662" s="15" t="n">
        <v>2005</v>
      </c>
      <c r="L1662" s="15" t="n">
        <v>8</v>
      </c>
      <c r="M1662" s="15" t="n">
        <v>8</v>
      </c>
      <c r="N1662" s="16" t="n">
        <v>0.000145067859</v>
      </c>
      <c r="O1662" s="11" t="n">
        <v>287.5216411</v>
      </c>
      <c r="P1662" s="13">
        <f>N1662*86400</f>
        <v/>
      </c>
      <c r="Q1662" s="14">
        <f>O1662-273.15</f>
        <v/>
      </c>
    </row>
    <row r="1663">
      <c r="A1663" s="9" t="n">
        <v>38550</v>
      </c>
      <c r="B1663" s="7">
        <f>YEAR(A1663)</f>
        <v/>
      </c>
      <c r="C1663" s="7">
        <f>MONTH(A1663)</f>
        <v/>
      </c>
      <c r="D1663" s="10" t="n">
        <v>40.67150277</v>
      </c>
      <c r="E1663" s="11" t="n">
        <v>18.49233104</v>
      </c>
      <c r="F1663" s="12" t="n">
        <v>0.034324731</v>
      </c>
      <c r="G1663" s="11" t="n">
        <v>293.1891272</v>
      </c>
      <c r="H1663" s="13">
        <f>F1663*1000</f>
        <v/>
      </c>
      <c r="I1663" s="14">
        <f>G1663-273.15</f>
        <v/>
      </c>
      <c r="K1663" s="15" t="n">
        <v>2005</v>
      </c>
      <c r="L1663" s="15" t="n">
        <v>8</v>
      </c>
      <c r="M1663" s="15" t="n">
        <v>9</v>
      </c>
      <c r="N1663" s="16" t="n">
        <v>5.797780527e-05</v>
      </c>
      <c r="O1663" s="11" t="n">
        <v>289.829742</v>
      </c>
      <c r="P1663" s="13">
        <f>N1663*86400</f>
        <v/>
      </c>
      <c r="Q1663" s="14">
        <f>O1663-273.15</f>
        <v/>
      </c>
    </row>
    <row r="1664">
      <c r="A1664" s="9" t="n">
        <v>38551</v>
      </c>
      <c r="B1664" s="7">
        <f>YEAR(A1664)</f>
        <v/>
      </c>
      <c r="C1664" s="7">
        <f>MONTH(A1664)</f>
        <v/>
      </c>
      <c r="D1664" s="10" t="n">
        <v>21.5046052</v>
      </c>
      <c r="E1664" s="11" t="n">
        <v>16.78338329</v>
      </c>
      <c r="F1664" s="12" t="n">
        <v>0.01509301627</v>
      </c>
      <c r="G1664" s="11" t="n">
        <v>291.0591189</v>
      </c>
      <c r="H1664" s="13">
        <f>F1664*1000</f>
        <v/>
      </c>
      <c r="I1664" s="14">
        <f>G1664-273.15</f>
        <v/>
      </c>
      <c r="K1664" s="15" t="n">
        <v>2005</v>
      </c>
      <c r="L1664" s="15" t="n">
        <v>8</v>
      </c>
      <c r="M1664" s="15" t="n">
        <v>10</v>
      </c>
      <c r="N1664" s="16" t="n">
        <v>9.387230606000001e-06</v>
      </c>
      <c r="O1664" s="11" t="n">
        <v>289.5349285</v>
      </c>
      <c r="P1664" s="13">
        <f>N1664*86400</f>
        <v/>
      </c>
      <c r="Q1664" s="14">
        <f>O1664-273.15</f>
        <v/>
      </c>
    </row>
    <row r="1665">
      <c r="A1665" s="9" t="n">
        <v>38552</v>
      </c>
      <c r="B1665" s="7">
        <f>YEAR(A1665)</f>
        <v/>
      </c>
      <c r="C1665" s="7">
        <f>MONTH(A1665)</f>
        <v/>
      </c>
      <c r="D1665" s="10" t="n">
        <v>26.28315386</v>
      </c>
      <c r="E1665" s="11" t="n">
        <v>16.86538139</v>
      </c>
      <c r="F1665" s="12" t="n">
        <v>0.007881694563000001</v>
      </c>
      <c r="G1665" s="11" t="n">
        <v>291.5523445</v>
      </c>
      <c r="H1665" s="13">
        <f>F1665*1000</f>
        <v/>
      </c>
      <c r="I1665" s="14">
        <f>G1665-273.15</f>
        <v/>
      </c>
      <c r="K1665" s="15" t="n">
        <v>2005</v>
      </c>
      <c r="L1665" s="15" t="n">
        <v>8</v>
      </c>
      <c r="M1665" s="15" t="n">
        <v>11</v>
      </c>
      <c r="N1665" s="16" t="n">
        <v>4.477374293e-05</v>
      </c>
      <c r="O1665" s="11" t="n">
        <v>290.1411136</v>
      </c>
      <c r="P1665" s="13">
        <f>N1665*86400</f>
        <v/>
      </c>
      <c r="Q1665" s="14">
        <f>O1665-273.15</f>
        <v/>
      </c>
    </row>
    <row r="1666">
      <c r="A1666" s="9" t="n">
        <v>38553</v>
      </c>
      <c r="B1666" s="7">
        <f>YEAR(A1666)</f>
        <v/>
      </c>
      <c r="C1666" s="7">
        <f>MONTH(A1666)</f>
        <v/>
      </c>
      <c r="D1666" s="10" t="n">
        <v>7.942860643</v>
      </c>
      <c r="E1666" s="11" t="n">
        <v>16.99090777</v>
      </c>
      <c r="F1666" s="12" t="n">
        <v>0.002724528904</v>
      </c>
      <c r="G1666" s="11" t="n">
        <v>291.8999597</v>
      </c>
      <c r="H1666" s="13">
        <f>F1666*1000</f>
        <v/>
      </c>
      <c r="I1666" s="14">
        <f>G1666-273.15</f>
        <v/>
      </c>
      <c r="K1666" s="15" t="n">
        <v>2005</v>
      </c>
      <c r="L1666" s="15" t="n">
        <v>8</v>
      </c>
      <c r="M1666" s="15" t="n">
        <v>12</v>
      </c>
      <c r="N1666" s="16" t="n">
        <v>6.059348768e-05</v>
      </c>
      <c r="O1666" s="11" t="n">
        <v>288.9450203</v>
      </c>
      <c r="P1666" s="13">
        <f>N1666*86400</f>
        <v/>
      </c>
      <c r="Q1666" s="14">
        <f>O1666-273.15</f>
        <v/>
      </c>
    </row>
    <row r="1667">
      <c r="A1667" s="9" t="n">
        <v>38554</v>
      </c>
      <c r="B1667" s="7">
        <f>YEAR(A1667)</f>
        <v/>
      </c>
      <c r="C1667" s="7">
        <f>MONTH(A1667)</f>
        <v/>
      </c>
      <c r="D1667" s="10" t="n">
        <v>2.674653959</v>
      </c>
      <c r="E1667" s="11" t="n">
        <v>15.61738557</v>
      </c>
      <c r="F1667" s="12" t="n">
        <v>0.003073858997</v>
      </c>
      <c r="G1667" s="11" t="n">
        <v>290.8172904</v>
      </c>
      <c r="H1667" s="13">
        <f>F1667*1000</f>
        <v/>
      </c>
      <c r="I1667" s="14">
        <f>G1667-273.15</f>
        <v/>
      </c>
      <c r="K1667" s="15" t="n">
        <v>2005</v>
      </c>
      <c r="L1667" s="15" t="n">
        <v>8</v>
      </c>
      <c r="M1667" s="15" t="n">
        <v>13</v>
      </c>
      <c r="N1667" s="16" t="n">
        <v>5.953660807e-05</v>
      </c>
      <c r="O1667" s="11" t="n">
        <v>290.391642</v>
      </c>
      <c r="P1667" s="13">
        <f>N1667*86400</f>
        <v/>
      </c>
      <c r="Q1667" s="14">
        <f>O1667-273.15</f>
        <v/>
      </c>
    </row>
    <row r="1668">
      <c r="A1668" s="9" t="n">
        <v>38555</v>
      </c>
      <c r="B1668" s="7">
        <f>YEAR(A1668)</f>
        <v/>
      </c>
      <c r="C1668" s="7">
        <f>MONTH(A1668)</f>
        <v/>
      </c>
      <c r="D1668" s="10" t="n">
        <v>0</v>
      </c>
      <c r="E1668" s="11" t="n">
        <v>17.48435951</v>
      </c>
      <c r="F1668" s="12" t="n">
        <v>0.003157200419</v>
      </c>
      <c r="G1668" s="11" t="n">
        <v>291.9583885</v>
      </c>
      <c r="H1668" s="13">
        <f>F1668*1000</f>
        <v/>
      </c>
      <c r="I1668" s="14">
        <f>G1668-273.15</f>
        <v/>
      </c>
      <c r="K1668" s="15" t="n">
        <v>2005</v>
      </c>
      <c r="L1668" s="15" t="n">
        <v>8</v>
      </c>
      <c r="M1668" s="15" t="n">
        <v>14</v>
      </c>
      <c r="N1668" s="16" t="n">
        <v>8.831571728e-07</v>
      </c>
      <c r="O1668" s="11" t="n">
        <v>288.1649799</v>
      </c>
      <c r="P1668" s="13">
        <f>N1668*86400</f>
        <v/>
      </c>
      <c r="Q1668" s="14">
        <f>O1668-273.15</f>
        <v/>
      </c>
    </row>
    <row r="1669">
      <c r="A1669" s="9" t="n">
        <v>38556</v>
      </c>
      <c r="B1669" s="7">
        <f>YEAR(A1669)</f>
        <v/>
      </c>
      <c r="C1669" s="7">
        <f>MONTH(A1669)</f>
        <v/>
      </c>
      <c r="D1669" s="10" t="n">
        <v>0.4391380237</v>
      </c>
      <c r="E1669" s="11" t="n">
        <v>15.71922164</v>
      </c>
      <c r="F1669" s="12" t="n">
        <v>0.009039937264</v>
      </c>
      <c r="G1669" s="11" t="n">
        <v>291.8199724</v>
      </c>
      <c r="H1669" s="13">
        <f>F1669*1000</f>
        <v/>
      </c>
      <c r="I1669" s="14">
        <f>G1669-273.15</f>
        <v/>
      </c>
      <c r="K1669" s="15" t="n">
        <v>2005</v>
      </c>
      <c r="L1669" s="15" t="n">
        <v>8</v>
      </c>
      <c r="M1669" s="15" t="n">
        <v>15</v>
      </c>
      <c r="N1669" s="16" t="n">
        <v>0.0005154287174</v>
      </c>
      <c r="O1669" s="11" t="n">
        <v>286.5342347</v>
      </c>
      <c r="P1669" s="13">
        <f>N1669*86400</f>
        <v/>
      </c>
      <c r="Q1669" s="14">
        <f>O1669-273.15</f>
        <v/>
      </c>
    </row>
    <row r="1670">
      <c r="A1670" s="9" t="n">
        <v>38557</v>
      </c>
      <c r="B1670" s="7">
        <f>YEAR(A1670)</f>
        <v/>
      </c>
      <c r="C1670" s="7">
        <f>MONTH(A1670)</f>
        <v/>
      </c>
      <c r="D1670" s="10" t="n">
        <v>7.08049132</v>
      </c>
      <c r="E1670" s="11" t="n">
        <v>15.63173726</v>
      </c>
      <c r="F1670" s="12" t="n">
        <v>0.004370750125</v>
      </c>
      <c r="G1670" s="11" t="n">
        <v>290.0055965</v>
      </c>
      <c r="H1670" s="13">
        <f>F1670*1000</f>
        <v/>
      </c>
      <c r="I1670" s="14">
        <f>G1670-273.15</f>
        <v/>
      </c>
      <c r="K1670" s="15" t="n">
        <v>2005</v>
      </c>
      <c r="L1670" s="15" t="n">
        <v>8</v>
      </c>
      <c r="M1670" s="15" t="n">
        <v>16</v>
      </c>
      <c r="N1670" s="16" t="n">
        <v>0.0005956625271</v>
      </c>
      <c r="O1670" s="11" t="n">
        <v>289.7065378</v>
      </c>
      <c r="P1670" s="13">
        <f>N1670*86400</f>
        <v/>
      </c>
      <c r="Q1670" s="14">
        <f>O1670-273.15</f>
        <v/>
      </c>
    </row>
    <row r="1671">
      <c r="A1671" s="9" t="n">
        <v>38558</v>
      </c>
      <c r="B1671" s="7">
        <f>YEAR(A1671)</f>
        <v/>
      </c>
      <c r="C1671" s="7">
        <f>MONTH(A1671)</f>
        <v/>
      </c>
      <c r="D1671" s="10" t="n">
        <v>14.47862341</v>
      </c>
      <c r="E1671" s="11" t="n">
        <v>14.97925898</v>
      </c>
      <c r="F1671" s="12" t="n">
        <v>0.02582939449</v>
      </c>
      <c r="G1671" s="11" t="n">
        <v>290.0155601</v>
      </c>
      <c r="H1671" s="13">
        <f>F1671*1000</f>
        <v/>
      </c>
      <c r="I1671" s="14">
        <f>G1671-273.15</f>
        <v/>
      </c>
      <c r="K1671" s="15" t="n">
        <v>2005</v>
      </c>
      <c r="L1671" s="15" t="n">
        <v>8</v>
      </c>
      <c r="M1671" s="15" t="n">
        <v>17</v>
      </c>
      <c r="N1671" s="16" t="n">
        <v>0.0001654345595</v>
      </c>
      <c r="O1671" s="11" t="n">
        <v>290.6550463</v>
      </c>
      <c r="P1671" s="13">
        <f>N1671*86400</f>
        <v/>
      </c>
      <c r="Q1671" s="14">
        <f>O1671-273.15</f>
        <v/>
      </c>
    </row>
    <row r="1672">
      <c r="A1672" s="9" t="n">
        <v>38559</v>
      </c>
      <c r="B1672" s="7">
        <f>YEAR(A1672)</f>
        <v/>
      </c>
      <c r="C1672" s="7">
        <f>MONTH(A1672)</f>
        <v/>
      </c>
      <c r="D1672" s="10" t="n">
        <v>30.37499382</v>
      </c>
      <c r="E1672" s="11" t="n">
        <v>15.35295117</v>
      </c>
      <c r="F1672" s="12" t="n">
        <v>0.01745222406</v>
      </c>
      <c r="G1672" s="11" t="n">
        <v>290.0891241</v>
      </c>
      <c r="H1672" s="13">
        <f>F1672*1000</f>
        <v/>
      </c>
      <c r="I1672" s="14">
        <f>G1672-273.15</f>
        <v/>
      </c>
      <c r="K1672" s="15" t="n">
        <v>2005</v>
      </c>
      <c r="L1672" s="15" t="n">
        <v>8</v>
      </c>
      <c r="M1672" s="15" t="n">
        <v>18</v>
      </c>
      <c r="N1672" s="16" t="n">
        <v>2.755765958e-05</v>
      </c>
      <c r="O1672" s="11" t="n">
        <v>289.1275773</v>
      </c>
      <c r="P1672" s="13">
        <f>N1672*86400</f>
        <v/>
      </c>
      <c r="Q1672" s="14">
        <f>O1672-273.15</f>
        <v/>
      </c>
    </row>
    <row r="1673">
      <c r="A1673" s="9" t="n">
        <v>38560</v>
      </c>
      <c r="B1673" s="7">
        <f>YEAR(A1673)</f>
        <v/>
      </c>
      <c r="C1673" s="7">
        <f>MONTH(A1673)</f>
        <v/>
      </c>
      <c r="D1673" s="10" t="n">
        <v>0</v>
      </c>
      <c r="E1673" s="11" t="n">
        <v>17.02832911</v>
      </c>
      <c r="F1673" s="12" t="n">
        <v>0.0001487018231</v>
      </c>
      <c r="G1673" s="11" t="n">
        <v>291.239904</v>
      </c>
      <c r="H1673" s="13">
        <f>F1673*1000</f>
        <v/>
      </c>
      <c r="I1673" s="14">
        <f>G1673-273.15</f>
        <v/>
      </c>
      <c r="K1673" s="15" t="n">
        <v>2005</v>
      </c>
      <c r="L1673" s="15" t="n">
        <v>8</v>
      </c>
      <c r="M1673" s="15" t="n">
        <v>19</v>
      </c>
      <c r="N1673" s="16" t="n">
        <v>0.00027523856</v>
      </c>
      <c r="O1673" s="11" t="n">
        <v>288.159668</v>
      </c>
      <c r="P1673" s="13">
        <f>N1673*86400</f>
        <v/>
      </c>
      <c r="Q1673" s="14">
        <f>O1673-273.15</f>
        <v/>
      </c>
    </row>
    <row r="1674">
      <c r="A1674" s="9" t="n">
        <v>38561</v>
      </c>
      <c r="B1674" s="7">
        <f>YEAR(A1674)</f>
        <v/>
      </c>
      <c r="C1674" s="7">
        <f>MONTH(A1674)</f>
        <v/>
      </c>
      <c r="D1674" s="10" t="n">
        <v>0</v>
      </c>
      <c r="E1674" s="11" t="n">
        <v>14.32839419</v>
      </c>
      <c r="F1674" s="12" t="n">
        <v>0.0009898854554000001</v>
      </c>
      <c r="G1674" s="11" t="n">
        <v>289.6427359</v>
      </c>
      <c r="H1674" s="13">
        <f>F1674*1000</f>
        <v/>
      </c>
      <c r="I1674" s="14">
        <f>G1674-273.15</f>
        <v/>
      </c>
      <c r="K1674" s="15" t="n">
        <v>2005</v>
      </c>
      <c r="L1674" s="15" t="n">
        <v>8</v>
      </c>
      <c r="M1674" s="15" t="n">
        <v>20</v>
      </c>
      <c r="N1674" s="16" t="n">
        <v>0.0001960379237</v>
      </c>
      <c r="O1674" s="11" t="n">
        <v>291.1414029</v>
      </c>
      <c r="P1674" s="13">
        <f>N1674*86400</f>
        <v/>
      </c>
      <c r="Q1674" s="14">
        <f>O1674-273.15</f>
        <v/>
      </c>
    </row>
    <row r="1675">
      <c r="A1675" s="9" t="n">
        <v>38562</v>
      </c>
      <c r="B1675" s="7">
        <f>YEAR(A1675)</f>
        <v/>
      </c>
      <c r="C1675" s="7">
        <f>MONTH(A1675)</f>
        <v/>
      </c>
      <c r="D1675" s="10" t="n">
        <v>30.32654134</v>
      </c>
      <c r="E1675" s="11" t="n">
        <v>14.2760877</v>
      </c>
      <c r="F1675" s="12" t="n">
        <v>0.02983336931</v>
      </c>
      <c r="G1675" s="11" t="n">
        <v>289.5929545</v>
      </c>
      <c r="H1675" s="13">
        <f>F1675*1000</f>
        <v/>
      </c>
      <c r="I1675" s="14">
        <f>G1675-273.15</f>
        <v/>
      </c>
      <c r="K1675" s="15" t="n">
        <v>2005</v>
      </c>
      <c r="L1675" s="15" t="n">
        <v>8</v>
      </c>
      <c r="M1675" s="15" t="n">
        <v>21</v>
      </c>
      <c r="N1675" s="16" t="n">
        <v>2.598104499e-05</v>
      </c>
      <c r="O1675" s="11" t="n">
        <v>289.2202959</v>
      </c>
      <c r="P1675" s="13">
        <f>N1675*86400</f>
        <v/>
      </c>
      <c r="Q1675" s="14">
        <f>O1675-273.15</f>
        <v/>
      </c>
    </row>
    <row r="1676">
      <c r="A1676" s="9" t="n">
        <v>38563</v>
      </c>
      <c r="B1676" s="7">
        <f>YEAR(A1676)</f>
        <v/>
      </c>
      <c r="C1676" s="7">
        <f>MONTH(A1676)</f>
        <v/>
      </c>
      <c r="D1676" s="10" t="n">
        <v>0</v>
      </c>
      <c r="E1676" s="11" t="n">
        <v>14.77060597</v>
      </c>
      <c r="F1676" s="12" t="n">
        <v>0.002184989509</v>
      </c>
      <c r="G1676" s="11" t="n">
        <v>289.3524952</v>
      </c>
      <c r="H1676" s="13">
        <f>F1676*1000</f>
        <v/>
      </c>
      <c r="I1676" s="14">
        <f>G1676-273.15</f>
        <v/>
      </c>
      <c r="K1676" s="15" t="n">
        <v>2005</v>
      </c>
      <c r="L1676" s="15" t="n">
        <v>8</v>
      </c>
      <c r="M1676" s="15" t="n">
        <v>22</v>
      </c>
      <c r="N1676" s="16" t="n">
        <v>0.0001229746893</v>
      </c>
      <c r="O1676" s="11" t="n">
        <v>286.7076844</v>
      </c>
      <c r="P1676" s="13">
        <f>N1676*86400</f>
        <v/>
      </c>
      <c r="Q1676" s="14">
        <f>O1676-273.15</f>
        <v/>
      </c>
    </row>
    <row r="1677">
      <c r="A1677" s="9" t="n">
        <v>38564</v>
      </c>
      <c r="B1677" s="7">
        <f>YEAR(A1677)</f>
        <v/>
      </c>
      <c r="C1677" s="7">
        <f>MONTH(A1677)</f>
        <v/>
      </c>
      <c r="D1677" s="10" t="n">
        <v>8.366658171999999</v>
      </c>
      <c r="E1677" s="11" t="n">
        <v>14.83383304</v>
      </c>
      <c r="F1677" s="12" t="n">
        <v>0.006647967774</v>
      </c>
      <c r="G1677" s="11" t="n">
        <v>289.753245</v>
      </c>
      <c r="H1677" s="13">
        <f>F1677*1000</f>
        <v/>
      </c>
      <c r="I1677" s="14">
        <f>G1677-273.15</f>
        <v/>
      </c>
      <c r="K1677" s="15" t="n">
        <v>2005</v>
      </c>
      <c r="L1677" s="15" t="n">
        <v>8</v>
      </c>
      <c r="M1677" s="15" t="n">
        <v>23</v>
      </c>
      <c r="N1677" s="16" t="n">
        <v>0.0002662590155</v>
      </c>
      <c r="O1677" s="11" t="n">
        <v>286.7033462</v>
      </c>
      <c r="P1677" s="13">
        <f>N1677*86400</f>
        <v/>
      </c>
      <c r="Q1677" s="14">
        <f>O1677-273.15</f>
        <v/>
      </c>
    </row>
    <row r="1678">
      <c r="A1678" s="9" t="n">
        <v>38565</v>
      </c>
      <c r="B1678" s="7">
        <f>YEAR(A1678)</f>
        <v/>
      </c>
      <c r="C1678" s="7">
        <f>MONTH(A1678)</f>
        <v/>
      </c>
      <c r="D1678" s="10" t="n">
        <v>10.88622816</v>
      </c>
      <c r="E1678" s="11" t="n">
        <v>13.23946288</v>
      </c>
      <c r="F1678" s="12" t="n">
        <v>0.009325068230999999</v>
      </c>
      <c r="G1678" s="11" t="n">
        <v>287.5627819</v>
      </c>
      <c r="H1678" s="13">
        <f>F1678*1000</f>
        <v/>
      </c>
      <c r="I1678" s="14">
        <f>G1678-273.15</f>
        <v/>
      </c>
      <c r="K1678" s="15" t="n">
        <v>2005</v>
      </c>
      <c r="L1678" s="15" t="n">
        <v>8</v>
      </c>
      <c r="M1678" s="15" t="n">
        <v>24</v>
      </c>
      <c r="N1678" s="16" t="n">
        <v>7.941804526e-05</v>
      </c>
      <c r="O1678" s="11" t="n">
        <v>287.2744667</v>
      </c>
      <c r="P1678" s="13">
        <f>N1678*86400</f>
        <v/>
      </c>
      <c r="Q1678" s="14">
        <f>O1678-273.15</f>
        <v/>
      </c>
    </row>
    <row r="1679">
      <c r="A1679" s="9" t="n">
        <v>38566</v>
      </c>
      <c r="B1679" s="7">
        <f>YEAR(A1679)</f>
        <v/>
      </c>
      <c r="C1679" s="7">
        <f>MONTH(A1679)</f>
        <v/>
      </c>
      <c r="D1679" s="10" t="n">
        <v>0</v>
      </c>
      <c r="E1679" s="11" t="n">
        <v>13.88531078</v>
      </c>
      <c r="F1679" s="12" t="n">
        <v>0.0003331105372</v>
      </c>
      <c r="G1679" s="11" t="n">
        <v>288.8358666</v>
      </c>
      <c r="H1679" s="13">
        <f>F1679*1000</f>
        <v/>
      </c>
      <c r="I1679" s="14">
        <f>G1679-273.15</f>
        <v/>
      </c>
      <c r="K1679" s="15" t="n">
        <v>2005</v>
      </c>
      <c r="L1679" s="15" t="n">
        <v>8</v>
      </c>
      <c r="M1679" s="15" t="n">
        <v>25</v>
      </c>
      <c r="N1679" s="16" t="n">
        <v>2.145488558e-05</v>
      </c>
      <c r="O1679" s="11" t="n">
        <v>288.2044382</v>
      </c>
      <c r="P1679" s="13">
        <f>N1679*86400</f>
        <v/>
      </c>
      <c r="Q1679" s="14">
        <f>O1679-273.15</f>
        <v/>
      </c>
    </row>
    <row r="1680">
      <c r="A1680" s="9" t="n">
        <v>38567</v>
      </c>
      <c r="B1680" s="7">
        <f>YEAR(A1680)</f>
        <v/>
      </c>
      <c r="C1680" s="7">
        <f>MONTH(A1680)</f>
        <v/>
      </c>
      <c r="D1680" s="10" t="n">
        <v>0</v>
      </c>
      <c r="E1680" s="11" t="n">
        <v>15.80912087</v>
      </c>
      <c r="F1680" s="12" t="n">
        <v>0</v>
      </c>
      <c r="G1680" s="11" t="n">
        <v>291.5556563</v>
      </c>
      <c r="H1680" s="13">
        <f>F1680*1000</f>
        <v/>
      </c>
      <c r="I1680" s="14">
        <f>G1680-273.15</f>
        <v/>
      </c>
      <c r="K1680" s="15" t="n">
        <v>2005</v>
      </c>
      <c r="L1680" s="15" t="n">
        <v>8</v>
      </c>
      <c r="M1680" s="15" t="n">
        <v>26</v>
      </c>
      <c r="N1680" s="16" t="n">
        <v>0</v>
      </c>
      <c r="O1680" s="11" t="n">
        <v>287.9853731</v>
      </c>
      <c r="P1680" s="13">
        <f>N1680*86400</f>
        <v/>
      </c>
      <c r="Q1680" s="14">
        <f>O1680-273.15</f>
        <v/>
      </c>
    </row>
    <row r="1681">
      <c r="A1681" s="9" t="n">
        <v>38568</v>
      </c>
      <c r="B1681" s="7">
        <f>YEAR(A1681)</f>
        <v/>
      </c>
      <c r="C1681" s="7">
        <f>MONTH(A1681)</f>
        <v/>
      </c>
      <c r="D1681" s="10" t="n">
        <v>12.42534618</v>
      </c>
      <c r="E1681" s="11" t="n">
        <v>15.51866675</v>
      </c>
      <c r="F1681" s="12" t="n">
        <v>0.001947344255</v>
      </c>
      <c r="G1681" s="11" t="n">
        <v>291.788141</v>
      </c>
      <c r="H1681" s="13">
        <f>F1681*1000</f>
        <v/>
      </c>
      <c r="I1681" s="14">
        <f>G1681-273.15</f>
        <v/>
      </c>
      <c r="K1681" s="15" t="n">
        <v>2005</v>
      </c>
      <c r="L1681" s="15" t="n">
        <v>8</v>
      </c>
      <c r="M1681" s="15" t="n">
        <v>27</v>
      </c>
      <c r="N1681" s="16" t="n">
        <v>7.903024924e-05</v>
      </c>
      <c r="O1681" s="11" t="n">
        <v>288.584209</v>
      </c>
      <c r="P1681" s="13">
        <f>N1681*86400</f>
        <v/>
      </c>
      <c r="Q1681" s="14">
        <f>O1681-273.15</f>
        <v/>
      </c>
    </row>
    <row r="1682">
      <c r="A1682" s="9" t="n">
        <v>38569</v>
      </c>
      <c r="B1682" s="7">
        <f>YEAR(A1682)</f>
        <v/>
      </c>
      <c r="C1682" s="7">
        <f>MONTH(A1682)</f>
        <v/>
      </c>
      <c r="D1682" s="10" t="n">
        <v>0</v>
      </c>
      <c r="E1682" s="11" t="n">
        <v>15.73160143</v>
      </c>
      <c r="F1682" s="12" t="n">
        <v>0.002853013389</v>
      </c>
      <c r="G1682" s="11" t="n">
        <v>291.3957926</v>
      </c>
      <c r="H1682" s="13">
        <f>F1682*1000</f>
        <v/>
      </c>
      <c r="I1682" s="14">
        <f>G1682-273.15</f>
        <v/>
      </c>
      <c r="K1682" s="15" t="n">
        <v>2005</v>
      </c>
      <c r="L1682" s="15" t="n">
        <v>8</v>
      </c>
      <c r="M1682" s="15" t="n">
        <v>28</v>
      </c>
      <c r="N1682" s="16" t="n">
        <v>0</v>
      </c>
      <c r="O1682" s="11" t="n">
        <v>287.8253553</v>
      </c>
      <c r="P1682" s="13">
        <f>N1682*86400</f>
        <v/>
      </c>
      <c r="Q1682" s="14">
        <f>O1682-273.15</f>
        <v/>
      </c>
    </row>
    <row r="1683">
      <c r="A1683" s="9" t="n">
        <v>38570</v>
      </c>
      <c r="B1683" s="7">
        <f>YEAR(A1683)</f>
        <v/>
      </c>
      <c r="C1683" s="7">
        <f>MONTH(A1683)</f>
        <v/>
      </c>
      <c r="D1683" s="10" t="n">
        <v>51.84879268</v>
      </c>
      <c r="E1683" s="11" t="n">
        <v>14.36123369</v>
      </c>
      <c r="F1683" s="12" t="n">
        <v>0.04410301308</v>
      </c>
      <c r="G1683" s="11" t="n">
        <v>289.5593895</v>
      </c>
      <c r="H1683" s="13">
        <f>F1683*1000</f>
        <v/>
      </c>
      <c r="I1683" s="14">
        <f>G1683-273.15</f>
        <v/>
      </c>
      <c r="K1683" s="15" t="n">
        <v>2005</v>
      </c>
      <c r="L1683" s="15" t="n">
        <v>8</v>
      </c>
      <c r="M1683" s="15" t="n">
        <v>29</v>
      </c>
      <c r="N1683" s="16" t="n">
        <v>4.476411503e-06</v>
      </c>
      <c r="O1683" s="11" t="n">
        <v>287.7606341</v>
      </c>
      <c r="P1683" s="13">
        <f>N1683*86400</f>
        <v/>
      </c>
      <c r="Q1683" s="14">
        <f>O1683-273.15</f>
        <v/>
      </c>
    </row>
    <row r="1684">
      <c r="A1684" s="9" t="n">
        <v>38571</v>
      </c>
      <c r="B1684" s="7">
        <f>YEAR(A1684)</f>
        <v/>
      </c>
      <c r="C1684" s="7">
        <f>MONTH(A1684)</f>
        <v/>
      </c>
      <c r="D1684" s="10" t="n">
        <v>30.59019596</v>
      </c>
      <c r="E1684" s="11" t="n">
        <v>15.49995766</v>
      </c>
      <c r="F1684" s="12" t="n">
        <v>0.01670777271</v>
      </c>
      <c r="G1684" s="11" t="n">
        <v>291.2472821</v>
      </c>
      <c r="H1684" s="13">
        <f>F1684*1000</f>
        <v/>
      </c>
      <c r="I1684" s="14">
        <f>G1684-273.15</f>
        <v/>
      </c>
      <c r="K1684" s="15" t="n">
        <v>2005</v>
      </c>
      <c r="L1684" s="15" t="n">
        <v>8</v>
      </c>
      <c r="M1684" s="15" t="n">
        <v>30</v>
      </c>
      <c r="N1684" s="16" t="n">
        <v>4.854506773e-05</v>
      </c>
      <c r="O1684" s="11" t="n">
        <v>286.50397</v>
      </c>
      <c r="P1684" s="13">
        <f>N1684*86400</f>
        <v/>
      </c>
      <c r="Q1684" s="14">
        <f>O1684-273.15</f>
        <v/>
      </c>
    </row>
    <row r="1685">
      <c r="A1685" s="9" t="n">
        <v>38572</v>
      </c>
      <c r="B1685" s="7">
        <f>YEAR(A1685)</f>
        <v/>
      </c>
      <c r="C1685" s="7">
        <f>MONTH(A1685)</f>
        <v/>
      </c>
      <c r="D1685" s="10" t="n">
        <v>44.59332325</v>
      </c>
      <c r="E1685" s="11" t="n">
        <v>14.57018858</v>
      </c>
      <c r="F1685" s="12" t="n">
        <v>0.03416999746</v>
      </c>
      <c r="G1685" s="11" t="n">
        <v>290.3287031</v>
      </c>
      <c r="H1685" s="13">
        <f>F1685*1000</f>
        <v/>
      </c>
      <c r="I1685" s="14">
        <f>G1685-273.15</f>
        <v/>
      </c>
      <c r="K1685" s="15" t="n">
        <v>2005</v>
      </c>
      <c r="L1685" s="15" t="n">
        <v>9</v>
      </c>
      <c r="M1685" s="15" t="n">
        <v>1</v>
      </c>
      <c r="N1685" s="16" t="n">
        <v>2.499673379e-05</v>
      </c>
      <c r="O1685" s="11" t="n">
        <v>287.3888301</v>
      </c>
      <c r="P1685" s="13">
        <f>N1685*86400</f>
        <v/>
      </c>
      <c r="Q1685" s="14">
        <f>O1685-273.15</f>
        <v/>
      </c>
    </row>
    <row r="1686">
      <c r="A1686" s="9" t="n">
        <v>38573</v>
      </c>
      <c r="B1686" s="7">
        <f>YEAR(A1686)</f>
        <v/>
      </c>
      <c r="C1686" s="7">
        <f>MONTH(A1686)</f>
        <v/>
      </c>
      <c r="D1686" s="10" t="n">
        <v>0.1179742376</v>
      </c>
      <c r="E1686" s="11" t="n">
        <v>14.23285505</v>
      </c>
      <c r="F1686" s="12" t="n">
        <v>0.001793014167</v>
      </c>
      <c r="G1686" s="11" t="n">
        <v>289.8256055</v>
      </c>
      <c r="H1686" s="13">
        <f>F1686*1000</f>
        <v/>
      </c>
      <c r="I1686" s="14">
        <f>G1686-273.15</f>
        <v/>
      </c>
      <c r="K1686" s="15" t="n">
        <v>2005</v>
      </c>
      <c r="L1686" s="15" t="n">
        <v>9</v>
      </c>
      <c r="M1686" s="15" t="n">
        <v>2</v>
      </c>
      <c r="N1686" s="16" t="n">
        <v>1.008332776e-05</v>
      </c>
      <c r="O1686" s="11" t="n">
        <v>284.8907675</v>
      </c>
      <c r="P1686" s="13">
        <f>N1686*86400</f>
        <v/>
      </c>
      <c r="Q1686" s="14">
        <f>O1686-273.15</f>
        <v/>
      </c>
    </row>
    <row r="1687">
      <c r="A1687" s="9" t="n">
        <v>38574</v>
      </c>
      <c r="B1687" s="7">
        <f>YEAR(A1687)</f>
        <v/>
      </c>
      <c r="C1687" s="7">
        <f>MONTH(A1687)</f>
        <v/>
      </c>
      <c r="D1687" s="10" t="n">
        <v>0.1756837244</v>
      </c>
      <c r="E1687" s="11" t="n">
        <v>15.07708932</v>
      </c>
      <c r="F1687" s="12" t="n">
        <v>0.006227892105</v>
      </c>
      <c r="G1687" s="11" t="n">
        <v>289.4604888</v>
      </c>
      <c r="H1687" s="13">
        <f>F1687*1000</f>
        <v/>
      </c>
      <c r="I1687" s="14">
        <f>G1687-273.15</f>
        <v/>
      </c>
      <c r="K1687" s="15" t="n">
        <v>2005</v>
      </c>
      <c r="L1687" s="15" t="n">
        <v>9</v>
      </c>
      <c r="M1687" s="15" t="n">
        <v>3</v>
      </c>
      <c r="N1687" s="16" t="n">
        <v>3.593488915e-05</v>
      </c>
      <c r="O1687" s="11" t="n">
        <v>287.8263684</v>
      </c>
      <c r="P1687" s="13">
        <f>N1687*86400</f>
        <v/>
      </c>
      <c r="Q1687" s="14">
        <f>O1687-273.15</f>
        <v/>
      </c>
    </row>
    <row r="1688">
      <c r="A1688" s="9" t="n">
        <v>38575</v>
      </c>
      <c r="B1688" s="7">
        <f>YEAR(A1688)</f>
        <v/>
      </c>
      <c r="C1688" s="7">
        <f>MONTH(A1688)</f>
        <v/>
      </c>
      <c r="D1688" s="10" t="n">
        <v>10.8772722</v>
      </c>
      <c r="E1688" s="11" t="n">
        <v>14.30545931</v>
      </c>
      <c r="F1688" s="12" t="n">
        <v>0.007815631533</v>
      </c>
      <c r="G1688" s="11" t="n">
        <v>289.748877</v>
      </c>
      <c r="H1688" s="13">
        <f>F1688*1000</f>
        <v/>
      </c>
      <c r="I1688" s="14">
        <f>G1688-273.15</f>
        <v/>
      </c>
      <c r="K1688" s="15" t="n">
        <v>2005</v>
      </c>
      <c r="L1688" s="15" t="n">
        <v>9</v>
      </c>
      <c r="M1688" s="15" t="n">
        <v>4</v>
      </c>
      <c r="N1688" s="16" t="n">
        <v>3.651739887e-05</v>
      </c>
      <c r="O1688" s="11" t="n">
        <v>288.2809798</v>
      </c>
      <c r="P1688" s="13">
        <f>N1688*86400</f>
        <v/>
      </c>
      <c r="Q1688" s="14">
        <f>O1688-273.15</f>
        <v/>
      </c>
    </row>
    <row r="1689">
      <c r="A1689" s="9" t="n">
        <v>38576</v>
      </c>
      <c r="B1689" s="7">
        <f>YEAR(A1689)</f>
        <v/>
      </c>
      <c r="C1689" s="7">
        <f>MONTH(A1689)</f>
        <v/>
      </c>
      <c r="D1689" s="10" t="n">
        <v>50.61049743</v>
      </c>
      <c r="E1689" s="11" t="n">
        <v>14.35380627</v>
      </c>
      <c r="F1689" s="12" t="n">
        <v>0.02574388008</v>
      </c>
      <c r="G1689" s="11" t="n">
        <v>289.9068925</v>
      </c>
      <c r="H1689" s="13">
        <f>F1689*1000</f>
        <v/>
      </c>
      <c r="I1689" s="14">
        <f>G1689-273.15</f>
        <v/>
      </c>
      <c r="K1689" s="15" t="n">
        <v>2005</v>
      </c>
      <c r="L1689" s="15" t="n">
        <v>9</v>
      </c>
      <c r="M1689" s="15" t="n">
        <v>5</v>
      </c>
      <c r="N1689" s="16" t="n">
        <v>1.964813074e-05</v>
      </c>
      <c r="O1689" s="11" t="n">
        <v>287.2103151</v>
      </c>
      <c r="P1689" s="13">
        <f>N1689*86400</f>
        <v/>
      </c>
      <c r="Q1689" s="14">
        <f>O1689-273.15</f>
        <v/>
      </c>
    </row>
    <row r="1690">
      <c r="A1690" s="9" t="n">
        <v>38577</v>
      </c>
      <c r="B1690" s="7">
        <f>YEAR(A1690)</f>
        <v/>
      </c>
      <c r="C1690" s="7">
        <f>MONTH(A1690)</f>
        <v/>
      </c>
      <c r="D1690" s="10" t="n">
        <v>0</v>
      </c>
      <c r="E1690" s="11" t="n">
        <v>12.63854744</v>
      </c>
      <c r="F1690" s="12" t="n">
        <v>9.604040356e-05</v>
      </c>
      <c r="G1690" s="11" t="n">
        <v>288.3896992</v>
      </c>
      <c r="H1690" s="13">
        <f>F1690*1000</f>
        <v/>
      </c>
      <c r="I1690" s="14">
        <f>G1690-273.15</f>
        <v/>
      </c>
      <c r="K1690" s="15" t="n">
        <v>2005</v>
      </c>
      <c r="L1690" s="15" t="n">
        <v>9</v>
      </c>
      <c r="M1690" s="15" t="n">
        <v>6</v>
      </c>
      <c r="N1690" s="16" t="n">
        <v>8.401518128999999e-05</v>
      </c>
      <c r="O1690" s="11" t="n">
        <v>285.9252454</v>
      </c>
      <c r="P1690" s="13">
        <f>N1690*86400</f>
        <v/>
      </c>
      <c r="Q1690" s="14">
        <f>O1690-273.15</f>
        <v/>
      </c>
    </row>
    <row r="1691">
      <c r="A1691" s="9" t="n">
        <v>38578</v>
      </c>
      <c r="B1691" s="7">
        <f>YEAR(A1691)</f>
        <v/>
      </c>
      <c r="C1691" s="7">
        <f>MONTH(A1691)</f>
        <v/>
      </c>
      <c r="D1691" s="10" t="n">
        <v>0</v>
      </c>
      <c r="E1691" s="11" t="n">
        <v>12.02596006</v>
      </c>
      <c r="F1691" s="12" t="n">
        <v>0.005725882492</v>
      </c>
      <c r="G1691" s="11" t="n">
        <v>287.2505218</v>
      </c>
      <c r="H1691" s="13">
        <f>F1691*1000</f>
        <v/>
      </c>
      <c r="I1691" s="14">
        <f>G1691-273.15</f>
        <v/>
      </c>
      <c r="K1691" s="15" t="n">
        <v>2005</v>
      </c>
      <c r="L1691" s="15" t="n">
        <v>9</v>
      </c>
      <c r="M1691" s="15" t="n">
        <v>7</v>
      </c>
      <c r="N1691" s="16" t="n">
        <v>0.0001054815044</v>
      </c>
      <c r="O1691" s="11" t="n">
        <v>287.6891362</v>
      </c>
      <c r="P1691" s="13">
        <f>N1691*86400</f>
        <v/>
      </c>
      <c r="Q1691" s="14">
        <f>O1691-273.15</f>
        <v/>
      </c>
    </row>
    <row r="1692">
      <c r="A1692" s="9" t="n">
        <v>38579</v>
      </c>
      <c r="B1692" s="7">
        <f>YEAR(A1692)</f>
        <v/>
      </c>
      <c r="C1692" s="7">
        <f>MONTH(A1692)</f>
        <v/>
      </c>
      <c r="D1692" s="10" t="n">
        <v>4.161776654</v>
      </c>
      <c r="E1692" s="11" t="n">
        <v>14.11812694</v>
      </c>
      <c r="F1692" s="12" t="n">
        <v>0.007684388343</v>
      </c>
      <c r="G1692" s="11" t="n">
        <v>288.4874322</v>
      </c>
      <c r="H1692" s="13">
        <f>F1692*1000</f>
        <v/>
      </c>
      <c r="I1692" s="14">
        <f>G1692-273.15</f>
        <v/>
      </c>
      <c r="K1692" s="15" t="n">
        <v>2005</v>
      </c>
      <c r="L1692" s="15" t="n">
        <v>9</v>
      </c>
      <c r="M1692" s="15" t="n">
        <v>8</v>
      </c>
      <c r="N1692" s="16" t="n">
        <v>0.0001466689369</v>
      </c>
      <c r="O1692" s="11" t="n">
        <v>288.6238024</v>
      </c>
      <c r="P1692" s="13">
        <f>N1692*86400</f>
        <v/>
      </c>
      <c r="Q1692" s="14">
        <f>O1692-273.15</f>
        <v/>
      </c>
    </row>
    <row r="1693">
      <c r="A1693" s="9" t="n">
        <v>38580</v>
      </c>
      <c r="B1693" s="7">
        <f>YEAR(A1693)</f>
        <v/>
      </c>
      <c r="C1693" s="7">
        <f>MONTH(A1693)</f>
        <v/>
      </c>
      <c r="D1693" s="10" t="n">
        <v>2.201635909</v>
      </c>
      <c r="E1693" s="11" t="n">
        <v>14.41337844</v>
      </c>
      <c r="F1693" s="12" t="n">
        <v>0.001802342118</v>
      </c>
      <c r="G1693" s="11" t="n">
        <v>289.4871295</v>
      </c>
      <c r="H1693" s="13">
        <f>F1693*1000</f>
        <v/>
      </c>
      <c r="I1693" s="14">
        <f>G1693-273.15</f>
        <v/>
      </c>
      <c r="K1693" s="15" t="n">
        <v>2005</v>
      </c>
      <c r="L1693" s="15" t="n">
        <v>9</v>
      </c>
      <c r="M1693" s="15" t="n">
        <v>9</v>
      </c>
      <c r="N1693" s="16" t="n">
        <v>5.97396525e-05</v>
      </c>
      <c r="O1693" s="11" t="n">
        <v>286.8109729</v>
      </c>
      <c r="P1693" s="13">
        <f>N1693*86400</f>
        <v/>
      </c>
      <c r="Q1693" s="14">
        <f>O1693-273.15</f>
        <v/>
      </c>
    </row>
    <row r="1694">
      <c r="A1694" s="9" t="n">
        <v>38581</v>
      </c>
      <c r="B1694" s="7">
        <f>YEAR(A1694)</f>
        <v/>
      </c>
      <c r="C1694" s="7">
        <f>MONTH(A1694)</f>
        <v/>
      </c>
      <c r="D1694" s="10" t="n">
        <v>66.00302073</v>
      </c>
      <c r="E1694" s="11" t="n">
        <v>12.86505575</v>
      </c>
      <c r="F1694" s="12" t="n">
        <v>0.04203720044</v>
      </c>
      <c r="G1694" s="11" t="n">
        <v>288.4488063</v>
      </c>
      <c r="H1694" s="13">
        <f>F1694*1000</f>
        <v/>
      </c>
      <c r="I1694" s="14">
        <f>G1694-273.15</f>
        <v/>
      </c>
      <c r="K1694" s="15" t="n">
        <v>2005</v>
      </c>
      <c r="L1694" s="15" t="n">
        <v>9</v>
      </c>
      <c r="M1694" s="15" t="n">
        <v>10</v>
      </c>
      <c r="N1694" s="16" t="n">
        <v>2.743270485e-05</v>
      </c>
      <c r="O1694" s="11" t="n">
        <v>286.9236508</v>
      </c>
      <c r="P1694" s="13">
        <f>N1694*86400</f>
        <v/>
      </c>
      <c r="Q1694" s="14">
        <f>O1694-273.15</f>
        <v/>
      </c>
    </row>
    <row r="1695">
      <c r="A1695" s="9" t="n">
        <v>38582</v>
      </c>
      <c r="B1695" s="7">
        <f>YEAR(A1695)</f>
        <v/>
      </c>
      <c r="C1695" s="7">
        <f>MONTH(A1695)</f>
        <v/>
      </c>
      <c r="D1695" s="10" t="n">
        <v>0</v>
      </c>
      <c r="E1695" s="11" t="n">
        <v>13.19504954</v>
      </c>
      <c r="F1695" s="12" t="n">
        <v>0.00190345133</v>
      </c>
      <c r="G1695" s="11" t="n">
        <v>288.3325546</v>
      </c>
      <c r="H1695" s="13">
        <f>F1695*1000</f>
        <v/>
      </c>
      <c r="I1695" s="14">
        <f>G1695-273.15</f>
        <v/>
      </c>
      <c r="K1695" s="15" t="n">
        <v>2005</v>
      </c>
      <c r="L1695" s="15" t="n">
        <v>9</v>
      </c>
      <c r="M1695" s="15" t="n">
        <v>11</v>
      </c>
      <c r="N1695" s="16" t="n">
        <v>0.0001154291427</v>
      </c>
      <c r="O1695" s="11" t="n">
        <v>286.0757441</v>
      </c>
      <c r="P1695" s="13">
        <f>N1695*86400</f>
        <v/>
      </c>
      <c r="Q1695" s="14">
        <f>O1695-273.15</f>
        <v/>
      </c>
    </row>
    <row r="1696">
      <c r="A1696" s="9" t="n">
        <v>38583</v>
      </c>
      <c r="B1696" s="7">
        <f>YEAR(A1696)</f>
        <v/>
      </c>
      <c r="C1696" s="7">
        <f>MONTH(A1696)</f>
        <v/>
      </c>
      <c r="D1696" s="10" t="n">
        <v>3.027373368</v>
      </c>
      <c r="E1696" s="11" t="n">
        <v>12.65087676</v>
      </c>
      <c r="F1696" s="12" t="n">
        <v>0.002853911839</v>
      </c>
      <c r="G1696" s="11" t="n">
        <v>287.9221757</v>
      </c>
      <c r="H1696" s="13">
        <f>F1696*1000</f>
        <v/>
      </c>
      <c r="I1696" s="14">
        <f>G1696-273.15</f>
        <v/>
      </c>
      <c r="K1696" s="15" t="n">
        <v>2005</v>
      </c>
      <c r="L1696" s="15" t="n">
        <v>9</v>
      </c>
      <c r="M1696" s="15" t="n">
        <v>12</v>
      </c>
      <c r="N1696" s="16" t="n">
        <v>0.0001214983724</v>
      </c>
      <c r="O1696" s="11" t="n">
        <v>286.4778282</v>
      </c>
      <c r="P1696" s="13">
        <f>N1696*86400</f>
        <v/>
      </c>
      <c r="Q1696" s="14">
        <f>O1696-273.15</f>
        <v/>
      </c>
    </row>
    <row r="1697">
      <c r="A1697" s="9" t="n">
        <v>38584</v>
      </c>
      <c r="B1697" s="7">
        <f>YEAR(A1697)</f>
        <v/>
      </c>
      <c r="C1697" s="7">
        <f>MONTH(A1697)</f>
        <v/>
      </c>
      <c r="D1697" s="10" t="n">
        <v>0</v>
      </c>
      <c r="E1697" s="11" t="n">
        <v>14.44120576</v>
      </c>
      <c r="F1697" s="12" t="n">
        <v>0</v>
      </c>
      <c r="G1697" s="11" t="n">
        <v>289.1764286</v>
      </c>
      <c r="H1697" s="13">
        <f>F1697*1000</f>
        <v/>
      </c>
      <c r="I1697" s="14">
        <f>G1697-273.15</f>
        <v/>
      </c>
      <c r="K1697" s="15" t="n">
        <v>2005</v>
      </c>
      <c r="L1697" s="15" t="n">
        <v>9</v>
      </c>
      <c r="M1697" s="15" t="n">
        <v>13</v>
      </c>
      <c r="N1697" s="16" t="n">
        <v>3.020324091e-05</v>
      </c>
      <c r="O1697" s="11" t="n">
        <v>283.5492343</v>
      </c>
      <c r="P1697" s="13">
        <f>N1697*86400</f>
        <v/>
      </c>
      <c r="Q1697" s="14">
        <f>O1697-273.15</f>
        <v/>
      </c>
    </row>
    <row r="1698">
      <c r="A1698" s="9" t="n">
        <v>38585</v>
      </c>
      <c r="B1698" s="7">
        <f>YEAR(A1698)</f>
        <v/>
      </c>
      <c r="C1698" s="7">
        <f>MONTH(A1698)</f>
        <v/>
      </c>
      <c r="D1698" s="10" t="n">
        <v>0</v>
      </c>
      <c r="E1698" s="11" t="n">
        <v>15.74219839</v>
      </c>
      <c r="F1698" s="12" t="n">
        <v>0.000774174309</v>
      </c>
      <c r="G1698" s="11" t="n">
        <v>289.3490306</v>
      </c>
      <c r="H1698" s="13">
        <f>F1698*1000</f>
        <v/>
      </c>
      <c r="I1698" s="14">
        <f>G1698-273.15</f>
        <v/>
      </c>
      <c r="K1698" s="15" t="n">
        <v>2005</v>
      </c>
      <c r="L1698" s="15" t="n">
        <v>9</v>
      </c>
      <c r="M1698" s="15" t="n">
        <v>14</v>
      </c>
      <c r="N1698" s="16" t="n">
        <v>7.858273666e-05</v>
      </c>
      <c r="O1698" s="11" t="n">
        <v>285.2221909</v>
      </c>
      <c r="P1698" s="13">
        <f>N1698*86400</f>
        <v/>
      </c>
      <c r="Q1698" s="14">
        <f>O1698-273.15</f>
        <v/>
      </c>
    </row>
    <row r="1699">
      <c r="A1699" s="9" t="n">
        <v>38586</v>
      </c>
      <c r="B1699" s="7">
        <f>YEAR(A1699)</f>
        <v/>
      </c>
      <c r="C1699" s="7">
        <f>MONTH(A1699)</f>
        <v/>
      </c>
      <c r="D1699" s="10" t="n">
        <v>0</v>
      </c>
      <c r="E1699" s="11" t="n">
        <v>13.15021663</v>
      </c>
      <c r="F1699" s="12" t="n">
        <v>0</v>
      </c>
      <c r="G1699" s="11" t="n">
        <v>288.3657929</v>
      </c>
      <c r="H1699" s="13">
        <f>F1699*1000</f>
        <v/>
      </c>
      <c r="I1699" s="14">
        <f>G1699-273.15</f>
        <v/>
      </c>
      <c r="K1699" s="15" t="n">
        <v>2005</v>
      </c>
      <c r="L1699" s="15" t="n">
        <v>9</v>
      </c>
      <c r="M1699" s="15" t="n">
        <v>15</v>
      </c>
      <c r="N1699" s="16" t="n">
        <v>7.452100745e-07</v>
      </c>
      <c r="O1699" s="11" t="n">
        <v>286.0901346</v>
      </c>
      <c r="P1699" s="13">
        <f>N1699*86400</f>
        <v/>
      </c>
      <c r="Q1699" s="14">
        <f>O1699-273.15</f>
        <v/>
      </c>
    </row>
    <row r="1700">
      <c r="A1700" s="9" t="n">
        <v>38587</v>
      </c>
      <c r="B1700" s="7">
        <f>YEAR(A1700)</f>
        <v/>
      </c>
      <c r="C1700" s="7">
        <f>MONTH(A1700)</f>
        <v/>
      </c>
      <c r="D1700" s="10" t="n">
        <v>0</v>
      </c>
      <c r="E1700" s="11" t="n">
        <v>14.83668468</v>
      </c>
      <c r="F1700" s="12" t="n">
        <v>0.009592261018</v>
      </c>
      <c r="G1700" s="11" t="n">
        <v>289.7739751</v>
      </c>
      <c r="H1700" s="13">
        <f>F1700*1000</f>
        <v/>
      </c>
      <c r="I1700" s="14">
        <f>G1700-273.15</f>
        <v/>
      </c>
      <c r="K1700" s="15" t="n">
        <v>2005</v>
      </c>
      <c r="L1700" s="15" t="n">
        <v>9</v>
      </c>
      <c r="M1700" s="15" t="n">
        <v>16</v>
      </c>
      <c r="N1700" s="16" t="n">
        <v>4.708134924e-05</v>
      </c>
      <c r="O1700" s="11" t="n">
        <v>287.4568757</v>
      </c>
      <c r="P1700" s="13">
        <f>N1700*86400</f>
        <v/>
      </c>
      <c r="Q1700" s="14">
        <f>O1700-273.15</f>
        <v/>
      </c>
    </row>
    <row r="1701">
      <c r="A1701" s="9" t="n">
        <v>38588</v>
      </c>
      <c r="B1701" s="7">
        <f>YEAR(A1701)</f>
        <v/>
      </c>
      <c r="C1701" s="7">
        <f>MONTH(A1701)</f>
        <v/>
      </c>
      <c r="D1701" s="10" t="n">
        <v>10.25256331</v>
      </c>
      <c r="E1701" s="11" t="n">
        <v>15.95520779</v>
      </c>
      <c r="F1701" s="12" t="n">
        <v>0.01558487485</v>
      </c>
      <c r="G1701" s="11" t="n">
        <v>290.3705224</v>
      </c>
      <c r="H1701" s="13">
        <f>F1701*1000</f>
        <v/>
      </c>
      <c r="I1701" s="14">
        <f>G1701-273.15</f>
        <v/>
      </c>
      <c r="K1701" s="15" t="n">
        <v>2005</v>
      </c>
      <c r="L1701" s="15" t="n">
        <v>9</v>
      </c>
      <c r="M1701" s="15" t="n">
        <v>17</v>
      </c>
      <c r="N1701" s="16" t="n">
        <v>0.0001412816863</v>
      </c>
      <c r="O1701" s="11" t="n">
        <v>287.9668937</v>
      </c>
      <c r="P1701" s="13">
        <f>N1701*86400</f>
        <v/>
      </c>
      <c r="Q1701" s="14">
        <f>O1701-273.15</f>
        <v/>
      </c>
    </row>
    <row r="1702">
      <c r="A1702" s="9" t="n">
        <v>38589</v>
      </c>
      <c r="B1702" s="7">
        <f>YEAR(A1702)</f>
        <v/>
      </c>
      <c r="C1702" s="7">
        <f>MONTH(A1702)</f>
        <v/>
      </c>
      <c r="D1702" s="10" t="n">
        <v>59.45021726</v>
      </c>
      <c r="E1702" s="11" t="n">
        <v>14.05929741</v>
      </c>
      <c r="F1702" s="12" t="n">
        <v>0.04295776966</v>
      </c>
      <c r="G1702" s="11" t="n">
        <v>288.761622</v>
      </c>
      <c r="H1702" s="13">
        <f>F1702*1000</f>
        <v/>
      </c>
      <c r="I1702" s="14">
        <f>G1702-273.15</f>
        <v/>
      </c>
      <c r="K1702" s="15" t="n">
        <v>2005</v>
      </c>
      <c r="L1702" s="15" t="n">
        <v>9</v>
      </c>
      <c r="M1702" s="15" t="n">
        <v>18</v>
      </c>
      <c r="N1702" s="16" t="n">
        <v>9.777196899e-07</v>
      </c>
      <c r="O1702" s="11" t="n">
        <v>286.3801355</v>
      </c>
      <c r="P1702" s="13">
        <f>N1702*86400</f>
        <v/>
      </c>
      <c r="Q1702" s="14">
        <f>O1702-273.15</f>
        <v/>
      </c>
    </row>
    <row r="1703">
      <c r="A1703" s="9" t="n">
        <v>38590</v>
      </c>
      <c r="B1703" s="7">
        <f>YEAR(A1703)</f>
        <v/>
      </c>
      <c r="C1703" s="7">
        <f>MONTH(A1703)</f>
        <v/>
      </c>
      <c r="D1703" s="10" t="n">
        <v>22.49143415</v>
      </c>
      <c r="E1703" s="11" t="n">
        <v>13.47188338</v>
      </c>
      <c r="F1703" s="12" t="n">
        <v>0.001181370613</v>
      </c>
      <c r="G1703" s="11" t="n">
        <v>287.269721</v>
      </c>
      <c r="H1703" s="13">
        <f>F1703*1000</f>
        <v/>
      </c>
      <c r="I1703" s="14">
        <f>G1703-273.15</f>
        <v/>
      </c>
      <c r="K1703" s="15" t="n">
        <v>2005</v>
      </c>
      <c r="L1703" s="15" t="n">
        <v>9</v>
      </c>
      <c r="M1703" s="15" t="n">
        <v>19</v>
      </c>
      <c r="N1703" s="16" t="n">
        <v>0</v>
      </c>
      <c r="O1703" s="11" t="n">
        <v>287.8938648</v>
      </c>
      <c r="P1703" s="13">
        <f>N1703*86400</f>
        <v/>
      </c>
      <c r="Q1703" s="14">
        <f>O1703-273.15</f>
        <v/>
      </c>
    </row>
    <row r="1704">
      <c r="A1704" s="9" t="n">
        <v>38591</v>
      </c>
      <c r="B1704" s="7">
        <f>YEAR(A1704)</f>
        <v/>
      </c>
      <c r="C1704" s="7">
        <f>MONTH(A1704)</f>
        <v/>
      </c>
      <c r="D1704" s="10" t="n">
        <v>6.822598072</v>
      </c>
      <c r="E1704" s="11" t="n">
        <v>12.85810378</v>
      </c>
      <c r="F1704" s="12" t="n">
        <v>0.002620009013</v>
      </c>
      <c r="G1704" s="11" t="n">
        <v>287.2268008</v>
      </c>
      <c r="H1704" s="13">
        <f>F1704*1000</f>
        <v/>
      </c>
      <c r="I1704" s="14">
        <f>G1704-273.15</f>
        <v/>
      </c>
      <c r="K1704" s="15" t="n">
        <v>2005</v>
      </c>
      <c r="L1704" s="15" t="n">
        <v>9</v>
      </c>
      <c r="M1704" s="15" t="n">
        <v>20</v>
      </c>
      <c r="N1704" s="16" t="n">
        <v>1.751866138e-05</v>
      </c>
      <c r="O1704" s="11" t="n">
        <v>288.1048766</v>
      </c>
      <c r="P1704" s="13">
        <f>N1704*86400</f>
        <v/>
      </c>
      <c r="Q1704" s="14">
        <f>O1704-273.15</f>
        <v/>
      </c>
    </row>
    <row r="1705">
      <c r="A1705" s="9" t="n">
        <v>38592</v>
      </c>
      <c r="B1705" s="7">
        <f>YEAR(A1705)</f>
        <v/>
      </c>
      <c r="C1705" s="7">
        <f>MONTH(A1705)</f>
        <v/>
      </c>
      <c r="D1705" s="10" t="n">
        <v>0</v>
      </c>
      <c r="E1705" s="11" t="n">
        <v>13.44126111</v>
      </c>
      <c r="F1705" s="12" t="n">
        <v>9.517375907e-05</v>
      </c>
      <c r="G1705" s="11" t="n">
        <v>287.6849985</v>
      </c>
      <c r="H1705" s="13">
        <f>F1705*1000</f>
        <v/>
      </c>
      <c r="I1705" s="14">
        <f>G1705-273.15</f>
        <v/>
      </c>
      <c r="K1705" s="15" t="n">
        <v>2005</v>
      </c>
      <c r="L1705" s="15" t="n">
        <v>9</v>
      </c>
      <c r="M1705" s="15" t="n">
        <v>21</v>
      </c>
      <c r="N1705" s="16" t="n">
        <v>8.64450861e-06</v>
      </c>
      <c r="O1705" s="11" t="n">
        <v>288.5203843</v>
      </c>
      <c r="P1705" s="13">
        <f>N1705*86400</f>
        <v/>
      </c>
      <c r="Q1705" s="14">
        <f>O1705-273.15</f>
        <v/>
      </c>
    </row>
    <row r="1706">
      <c r="A1706" s="9" t="n">
        <v>38593</v>
      </c>
      <c r="B1706" s="7">
        <f>YEAR(A1706)</f>
        <v/>
      </c>
      <c r="C1706" s="7">
        <f>MONTH(A1706)</f>
        <v/>
      </c>
      <c r="D1706" s="10" t="n">
        <v>0</v>
      </c>
      <c r="E1706" s="11" t="n">
        <v>14.6035431</v>
      </c>
      <c r="F1706" s="12" t="n">
        <v>3.48303201e-05</v>
      </c>
      <c r="G1706" s="11" t="n">
        <v>287.5791877</v>
      </c>
      <c r="H1706" s="13">
        <f>F1706*1000</f>
        <v/>
      </c>
      <c r="I1706" s="14">
        <f>G1706-273.15</f>
        <v/>
      </c>
      <c r="K1706" s="15" t="n">
        <v>2005</v>
      </c>
      <c r="L1706" s="15" t="n">
        <v>9</v>
      </c>
      <c r="M1706" s="15" t="n">
        <v>22</v>
      </c>
      <c r="N1706" s="16" t="n">
        <v>0</v>
      </c>
      <c r="O1706" s="11" t="n">
        <v>287.8849845</v>
      </c>
      <c r="P1706" s="13">
        <f>N1706*86400</f>
        <v/>
      </c>
      <c r="Q1706" s="14">
        <f>O1706-273.15</f>
        <v/>
      </c>
    </row>
    <row r="1707">
      <c r="A1707" s="9" t="n">
        <v>38594</v>
      </c>
      <c r="B1707" s="7">
        <f>YEAR(A1707)</f>
        <v/>
      </c>
      <c r="C1707" s="7">
        <f>MONTH(A1707)</f>
        <v/>
      </c>
      <c r="D1707" s="10" t="n">
        <v>0</v>
      </c>
      <c r="E1707" s="11" t="n">
        <v>14.2635154</v>
      </c>
      <c r="F1707" s="12" t="n">
        <v>0.0001890011267</v>
      </c>
      <c r="G1707" s="11" t="n">
        <v>287.9092487</v>
      </c>
      <c r="H1707" s="13">
        <f>F1707*1000</f>
        <v/>
      </c>
      <c r="I1707" s="14">
        <f>G1707-273.15</f>
        <v/>
      </c>
      <c r="K1707" s="15" t="n">
        <v>2005</v>
      </c>
      <c r="L1707" s="15" t="n">
        <v>9</v>
      </c>
      <c r="M1707" s="15" t="n">
        <v>23</v>
      </c>
      <c r="N1707" s="16" t="n">
        <v>2.772291353e-05</v>
      </c>
      <c r="O1707" s="11" t="n">
        <v>287.9867531</v>
      </c>
      <c r="P1707" s="13">
        <f>N1707*86400</f>
        <v/>
      </c>
      <c r="Q1707" s="14">
        <f>O1707-273.15</f>
        <v/>
      </c>
    </row>
    <row r="1708">
      <c r="A1708" s="9" t="n">
        <v>38595</v>
      </c>
      <c r="B1708" s="7">
        <f>YEAR(A1708)</f>
        <v/>
      </c>
      <c r="C1708" s="7">
        <f>MONTH(A1708)</f>
        <v/>
      </c>
      <c r="D1708" s="10" t="n">
        <v>0</v>
      </c>
      <c r="E1708" s="11" t="n">
        <v>16.88945855</v>
      </c>
      <c r="F1708" s="12" t="n">
        <v>0</v>
      </c>
      <c r="G1708" s="11" t="n">
        <v>289.8197553</v>
      </c>
      <c r="H1708" s="13">
        <f>F1708*1000</f>
        <v/>
      </c>
      <c r="I1708" s="14">
        <f>G1708-273.15</f>
        <v/>
      </c>
      <c r="K1708" s="15" t="n">
        <v>2005</v>
      </c>
      <c r="L1708" s="15" t="n">
        <v>9</v>
      </c>
      <c r="M1708" s="15" t="n">
        <v>24</v>
      </c>
      <c r="N1708" s="16" t="n">
        <v>2.493335395e-05</v>
      </c>
      <c r="O1708" s="11" t="n">
        <v>287.727369</v>
      </c>
      <c r="P1708" s="13">
        <f>N1708*86400</f>
        <v/>
      </c>
      <c r="Q1708" s="14">
        <f>O1708-273.15</f>
        <v/>
      </c>
    </row>
    <row r="1709">
      <c r="A1709" s="9" t="n">
        <v>38596</v>
      </c>
      <c r="B1709" s="7">
        <f>YEAR(A1709)</f>
        <v/>
      </c>
      <c r="C1709" s="7">
        <f>MONTH(A1709)</f>
        <v/>
      </c>
      <c r="D1709" s="10" t="n">
        <v>0.2927301427</v>
      </c>
      <c r="E1709" s="11" t="n">
        <v>15.3913361</v>
      </c>
      <c r="F1709" s="12" t="n">
        <v>0.003323761269</v>
      </c>
      <c r="G1709" s="11" t="n">
        <v>289.3769612</v>
      </c>
      <c r="H1709" s="13">
        <f>F1709*1000</f>
        <v/>
      </c>
      <c r="I1709" s="14">
        <f>G1709-273.15</f>
        <v/>
      </c>
      <c r="K1709" s="15" t="n">
        <v>2005</v>
      </c>
      <c r="L1709" s="15" t="n">
        <v>9</v>
      </c>
      <c r="M1709" s="15" t="n">
        <v>25</v>
      </c>
      <c r="N1709" s="16" t="n">
        <v>6.483646892e-05</v>
      </c>
      <c r="O1709" s="11" t="n">
        <v>288.3489377</v>
      </c>
      <c r="P1709" s="13">
        <f>N1709*86400</f>
        <v/>
      </c>
      <c r="Q1709" s="14">
        <f>O1709-273.15</f>
        <v/>
      </c>
    </row>
    <row r="1710">
      <c r="A1710" s="9" t="n">
        <v>38597</v>
      </c>
      <c r="B1710" s="7">
        <f>YEAR(A1710)</f>
        <v/>
      </c>
      <c r="C1710" s="7">
        <f>MONTH(A1710)</f>
        <v/>
      </c>
      <c r="D1710" s="10" t="n">
        <v>10.87367796</v>
      </c>
      <c r="E1710" s="11" t="n">
        <v>12.86686258</v>
      </c>
      <c r="F1710" s="12" t="n">
        <v>0.01151075007</v>
      </c>
      <c r="G1710" s="11" t="n">
        <v>287.0301707</v>
      </c>
      <c r="H1710" s="13">
        <f>F1710*1000</f>
        <v/>
      </c>
      <c r="I1710" s="14">
        <f>G1710-273.15</f>
        <v/>
      </c>
      <c r="K1710" s="15" t="n">
        <v>2005</v>
      </c>
      <c r="L1710" s="15" t="n">
        <v>9</v>
      </c>
      <c r="M1710" s="15" t="n">
        <v>26</v>
      </c>
      <c r="N1710" s="16" t="n">
        <v>0.0002259966738</v>
      </c>
      <c r="O1710" s="11" t="n">
        <v>286.8427526</v>
      </c>
      <c r="P1710" s="13">
        <f>N1710*86400</f>
        <v/>
      </c>
      <c r="Q1710" s="14">
        <f>O1710-273.15</f>
        <v/>
      </c>
    </row>
    <row r="1711">
      <c r="A1711" s="9" t="n">
        <v>38598</v>
      </c>
      <c r="B1711" s="7">
        <f>YEAR(A1711)</f>
        <v/>
      </c>
      <c r="C1711" s="7">
        <f>MONTH(A1711)</f>
        <v/>
      </c>
      <c r="D1711" s="10" t="n">
        <v>0</v>
      </c>
      <c r="E1711" s="11" t="n">
        <v>12.82827143</v>
      </c>
      <c r="F1711" s="12" t="n">
        <v>3.262174711e-06</v>
      </c>
      <c r="G1711" s="11" t="n">
        <v>286.7824643</v>
      </c>
      <c r="H1711" s="13">
        <f>F1711*1000</f>
        <v/>
      </c>
      <c r="I1711" s="14">
        <f>G1711-273.15</f>
        <v/>
      </c>
      <c r="K1711" s="15" t="n">
        <v>2005</v>
      </c>
      <c r="L1711" s="15" t="n">
        <v>9</v>
      </c>
      <c r="M1711" s="15" t="n">
        <v>27</v>
      </c>
      <c r="N1711" s="16" t="n">
        <v>5.058941914e-05</v>
      </c>
      <c r="O1711" s="11" t="n">
        <v>287.8034954</v>
      </c>
      <c r="P1711" s="13">
        <f>N1711*86400</f>
        <v/>
      </c>
      <c r="Q1711" s="14">
        <f>O1711-273.15</f>
        <v/>
      </c>
    </row>
    <row r="1712">
      <c r="A1712" s="9" t="n">
        <v>38599</v>
      </c>
      <c r="B1712" s="7">
        <f>YEAR(A1712)</f>
        <v/>
      </c>
      <c r="C1712" s="7">
        <f>MONTH(A1712)</f>
        <v/>
      </c>
      <c r="D1712" s="10" t="n">
        <v>0</v>
      </c>
      <c r="E1712" s="11" t="n">
        <v>12.20389694</v>
      </c>
      <c r="F1712" s="12" t="n">
        <v>0</v>
      </c>
      <c r="G1712" s="11" t="n">
        <v>286.9655384</v>
      </c>
      <c r="H1712" s="13">
        <f>F1712*1000</f>
        <v/>
      </c>
      <c r="I1712" s="14">
        <f>G1712-273.15</f>
        <v/>
      </c>
      <c r="K1712" s="15" t="n">
        <v>2005</v>
      </c>
      <c r="L1712" s="15" t="n">
        <v>9</v>
      </c>
      <c r="M1712" s="15" t="n">
        <v>28</v>
      </c>
      <c r="N1712" s="16" t="n">
        <v>5.791523468e-05</v>
      </c>
      <c r="O1712" s="11" t="n">
        <v>286.8572844</v>
      </c>
      <c r="P1712" s="13">
        <f>N1712*86400</f>
        <v/>
      </c>
      <c r="Q1712" s="14">
        <f>O1712-273.15</f>
        <v/>
      </c>
    </row>
    <row r="1713">
      <c r="A1713" s="9" t="n">
        <v>38600</v>
      </c>
      <c r="B1713" s="7">
        <f>YEAR(A1713)</f>
        <v/>
      </c>
      <c r="C1713" s="7">
        <f>MONTH(A1713)</f>
        <v/>
      </c>
      <c r="D1713" s="10" t="n">
        <v>0.6961160136</v>
      </c>
      <c r="E1713" s="11" t="n">
        <v>12.4939915</v>
      </c>
      <c r="F1713" s="12" t="n">
        <v>0.002852953066</v>
      </c>
      <c r="G1713" s="11" t="n">
        <v>287.539651</v>
      </c>
      <c r="H1713" s="13">
        <f>F1713*1000</f>
        <v/>
      </c>
      <c r="I1713" s="14">
        <f>G1713-273.15</f>
        <v/>
      </c>
      <c r="K1713" s="15" t="n">
        <v>2005</v>
      </c>
      <c r="L1713" s="15" t="n">
        <v>9</v>
      </c>
      <c r="M1713" s="15" t="n">
        <v>29</v>
      </c>
      <c r="N1713" s="16" t="n">
        <v>1.00828448e-05</v>
      </c>
      <c r="O1713" s="11" t="n">
        <v>288.6329598</v>
      </c>
      <c r="P1713" s="13">
        <f>N1713*86400</f>
        <v/>
      </c>
      <c r="Q1713" s="14">
        <f>O1713-273.15</f>
        <v/>
      </c>
    </row>
    <row r="1714">
      <c r="A1714" s="9" t="n">
        <v>38601</v>
      </c>
      <c r="B1714" s="7">
        <f>YEAR(A1714)</f>
        <v/>
      </c>
      <c r="C1714" s="7">
        <f>MONTH(A1714)</f>
        <v/>
      </c>
      <c r="D1714" s="10" t="n">
        <v>0</v>
      </c>
      <c r="E1714" s="11" t="n">
        <v>11.694415</v>
      </c>
      <c r="F1714" s="12" t="n">
        <v>0</v>
      </c>
      <c r="G1714" s="11" t="n">
        <v>285.8790446</v>
      </c>
      <c r="H1714" s="13">
        <f>F1714*1000</f>
        <v/>
      </c>
      <c r="I1714" s="14">
        <f>G1714-273.15</f>
        <v/>
      </c>
      <c r="K1714" s="15" t="n">
        <v>2005</v>
      </c>
      <c r="L1714" s="15" t="n">
        <v>9</v>
      </c>
      <c r="M1714" s="15" t="n">
        <v>30</v>
      </c>
      <c r="N1714" s="16" t="n">
        <v>0</v>
      </c>
      <c r="O1714" s="11" t="n">
        <v>286.2672369</v>
      </c>
      <c r="P1714" s="13">
        <f>N1714*86400</f>
        <v/>
      </c>
      <c r="Q1714" s="14">
        <f>O1714-273.15</f>
        <v/>
      </c>
    </row>
    <row r="1715">
      <c r="A1715" s="9" t="n">
        <v>38602</v>
      </c>
      <c r="B1715" s="7">
        <f>YEAR(A1715)</f>
        <v/>
      </c>
      <c r="C1715" s="7">
        <f>MONTH(A1715)</f>
        <v/>
      </c>
      <c r="D1715" s="10" t="n">
        <v>0</v>
      </c>
      <c r="E1715" s="11" t="n">
        <v>12.76855996</v>
      </c>
      <c r="F1715" s="12" t="n">
        <v>0</v>
      </c>
      <c r="G1715" s="11" t="n">
        <v>286.2973545</v>
      </c>
      <c r="H1715" s="13">
        <f>F1715*1000</f>
        <v/>
      </c>
      <c r="I1715" s="14">
        <f>G1715-273.15</f>
        <v/>
      </c>
      <c r="K1715" s="15" t="n">
        <v>2005</v>
      </c>
      <c r="L1715" s="15" t="n">
        <v>10</v>
      </c>
      <c r="M1715" s="15" t="n">
        <v>1</v>
      </c>
      <c r="N1715" s="16" t="n">
        <v>8.678009016e-05</v>
      </c>
      <c r="O1715" s="11" t="n">
        <v>283.9362653</v>
      </c>
      <c r="P1715" s="13">
        <f>N1715*86400</f>
        <v/>
      </c>
      <c r="Q1715" s="14">
        <f>O1715-273.15</f>
        <v/>
      </c>
    </row>
    <row r="1716">
      <c r="A1716" s="9" t="n">
        <v>38603</v>
      </c>
      <c r="B1716" s="7">
        <f>YEAR(A1716)</f>
        <v/>
      </c>
      <c r="C1716" s="7">
        <f>MONTH(A1716)</f>
        <v/>
      </c>
      <c r="D1716" s="10" t="n">
        <v>0</v>
      </c>
      <c r="E1716" s="11" t="n">
        <v>13.39168832</v>
      </c>
      <c r="F1716" s="12" t="n">
        <v>0</v>
      </c>
      <c r="G1716" s="11" t="n">
        <v>286.7419303</v>
      </c>
      <c r="H1716" s="13">
        <f>F1716*1000</f>
        <v/>
      </c>
      <c r="I1716" s="14">
        <f>G1716-273.15</f>
        <v/>
      </c>
      <c r="K1716" s="15" t="n">
        <v>2005</v>
      </c>
      <c r="L1716" s="15" t="n">
        <v>10</v>
      </c>
      <c r="M1716" s="15" t="n">
        <v>2</v>
      </c>
      <c r="N1716" s="16" t="n">
        <v>0.0001469987491</v>
      </c>
      <c r="O1716" s="11" t="n">
        <v>284.3387265</v>
      </c>
      <c r="P1716" s="13">
        <f>N1716*86400</f>
        <v/>
      </c>
      <c r="Q1716" s="14">
        <f>O1716-273.15</f>
        <v/>
      </c>
    </row>
    <row r="1717">
      <c r="A1717" s="9" t="n">
        <v>38604</v>
      </c>
      <c r="B1717" s="7">
        <f>YEAR(A1717)</f>
        <v/>
      </c>
      <c r="C1717" s="7">
        <f>MONTH(A1717)</f>
        <v/>
      </c>
      <c r="D1717" s="10" t="n">
        <v>3.499836035</v>
      </c>
      <c r="E1717" s="11" t="n">
        <v>11.1690082</v>
      </c>
      <c r="F1717" s="12" t="n">
        <v>0.004508033161</v>
      </c>
      <c r="G1717" s="11" t="n">
        <v>285.9472822</v>
      </c>
      <c r="H1717" s="13">
        <f>F1717*1000</f>
        <v/>
      </c>
      <c r="I1717" s="14">
        <f>G1717-273.15</f>
        <v/>
      </c>
      <c r="K1717" s="15" t="n">
        <v>2005</v>
      </c>
      <c r="L1717" s="15" t="n">
        <v>10</v>
      </c>
      <c r="M1717" s="15" t="n">
        <v>3</v>
      </c>
      <c r="N1717" s="16" t="n">
        <v>6.823692518e-05</v>
      </c>
      <c r="O1717" s="11" t="n">
        <v>284.4508961</v>
      </c>
      <c r="P1717" s="13">
        <f>N1717*86400</f>
        <v/>
      </c>
      <c r="Q1717" s="14">
        <f>O1717-273.15</f>
        <v/>
      </c>
    </row>
    <row r="1718">
      <c r="A1718" s="9" t="n">
        <v>38605</v>
      </c>
      <c r="B1718" s="7">
        <f>YEAR(A1718)</f>
        <v/>
      </c>
      <c r="C1718" s="7">
        <f>MONTH(A1718)</f>
        <v/>
      </c>
      <c r="D1718" s="10" t="n">
        <v>20.57288485</v>
      </c>
      <c r="E1718" s="11" t="n">
        <v>11.6715974</v>
      </c>
      <c r="F1718" s="12" t="n">
        <v>0.01567935818</v>
      </c>
      <c r="G1718" s="11" t="n">
        <v>286.5121849</v>
      </c>
      <c r="H1718" s="13">
        <f>F1718*1000</f>
        <v/>
      </c>
      <c r="I1718" s="14">
        <f>G1718-273.15</f>
        <v/>
      </c>
      <c r="K1718" s="15" t="n">
        <v>2005</v>
      </c>
      <c r="L1718" s="15" t="n">
        <v>10</v>
      </c>
      <c r="M1718" s="15" t="n">
        <v>4</v>
      </c>
      <c r="N1718" s="16" t="n">
        <v>1.214671547e-05</v>
      </c>
      <c r="O1718" s="11" t="n">
        <v>282.755297</v>
      </c>
      <c r="P1718" s="13">
        <f>N1718*86400</f>
        <v/>
      </c>
      <c r="Q1718" s="14">
        <f>O1718-273.15</f>
        <v/>
      </c>
    </row>
    <row r="1719">
      <c r="A1719" s="9" t="n">
        <v>38606</v>
      </c>
      <c r="B1719" s="7">
        <f>YEAR(A1719)</f>
        <v/>
      </c>
      <c r="C1719" s="7">
        <f>MONTH(A1719)</f>
        <v/>
      </c>
      <c r="D1719" s="10" t="n">
        <v>24.11430454</v>
      </c>
      <c r="E1719" s="11" t="n">
        <v>11.7258366</v>
      </c>
      <c r="F1719" s="12" t="n">
        <v>0.01129179593</v>
      </c>
      <c r="G1719" s="11" t="n">
        <v>287.7913464</v>
      </c>
      <c r="H1719" s="13">
        <f>F1719*1000</f>
        <v/>
      </c>
      <c r="I1719" s="14">
        <f>G1719-273.15</f>
        <v/>
      </c>
      <c r="K1719" s="15" t="n">
        <v>2005</v>
      </c>
      <c r="L1719" s="15" t="n">
        <v>10</v>
      </c>
      <c r="M1719" s="15" t="n">
        <v>5</v>
      </c>
      <c r="N1719" s="16" t="n">
        <v>9.103067281e-07</v>
      </c>
      <c r="O1719" s="11" t="n">
        <v>284.4876953</v>
      </c>
      <c r="P1719" s="13">
        <f>N1719*86400</f>
        <v/>
      </c>
      <c r="Q1719" s="14">
        <f>O1719-273.15</f>
        <v/>
      </c>
    </row>
    <row r="1720">
      <c r="A1720" s="9" t="n">
        <v>38607</v>
      </c>
      <c r="B1720" s="7">
        <f>YEAR(A1720)</f>
        <v/>
      </c>
      <c r="C1720" s="7">
        <f>MONTH(A1720)</f>
        <v/>
      </c>
      <c r="D1720" s="10" t="n">
        <v>14.39605029</v>
      </c>
      <c r="E1720" s="11" t="n">
        <v>10.32020484</v>
      </c>
      <c r="F1720" s="12" t="n">
        <v>0.002511147928</v>
      </c>
      <c r="G1720" s="11" t="n">
        <v>285.9029306</v>
      </c>
      <c r="H1720" s="13">
        <f>F1720*1000</f>
        <v/>
      </c>
      <c r="I1720" s="14">
        <f>G1720-273.15</f>
        <v/>
      </c>
      <c r="K1720" s="15" t="n">
        <v>2005</v>
      </c>
      <c r="L1720" s="15" t="n">
        <v>10</v>
      </c>
      <c r="M1720" s="15" t="n">
        <v>6</v>
      </c>
      <c r="N1720" s="16" t="n">
        <v>8.192465342e-05</v>
      </c>
      <c r="O1720" s="11" t="n">
        <v>285.1100789</v>
      </c>
      <c r="P1720" s="13">
        <f>N1720*86400</f>
        <v/>
      </c>
      <c r="Q1720" s="14">
        <f>O1720-273.15</f>
        <v/>
      </c>
    </row>
    <row r="1721">
      <c r="A1721" s="9" t="n">
        <v>38608</v>
      </c>
      <c r="B1721" s="7">
        <f>YEAR(A1721)</f>
        <v/>
      </c>
      <c r="C1721" s="7">
        <f>MONTH(A1721)</f>
        <v/>
      </c>
      <c r="D1721" s="10" t="n">
        <v>0</v>
      </c>
      <c r="E1721" s="11" t="n">
        <v>12.59963488</v>
      </c>
      <c r="F1721" s="12" t="n">
        <v>0</v>
      </c>
      <c r="G1721" s="11" t="n">
        <v>287.38651</v>
      </c>
      <c r="H1721" s="13">
        <f>F1721*1000</f>
        <v/>
      </c>
      <c r="I1721" s="14">
        <f>G1721-273.15</f>
        <v/>
      </c>
      <c r="K1721" s="15" t="n">
        <v>2005</v>
      </c>
      <c r="L1721" s="15" t="n">
        <v>10</v>
      </c>
      <c r="M1721" s="15" t="n">
        <v>7</v>
      </c>
      <c r="N1721" s="16" t="n">
        <v>0</v>
      </c>
      <c r="O1721" s="11" t="n">
        <v>286.2824873</v>
      </c>
      <c r="P1721" s="13">
        <f>N1721*86400</f>
        <v/>
      </c>
      <c r="Q1721" s="14">
        <f>O1721-273.15</f>
        <v/>
      </c>
    </row>
    <row r="1722">
      <c r="A1722" s="9" t="n">
        <v>38609</v>
      </c>
      <c r="B1722" s="7">
        <f>YEAR(A1722)</f>
        <v/>
      </c>
      <c r="C1722" s="7">
        <f>MONTH(A1722)</f>
        <v/>
      </c>
      <c r="D1722" s="10" t="n">
        <v>0</v>
      </c>
      <c r="E1722" s="11" t="n">
        <v>10.29028133</v>
      </c>
      <c r="F1722" s="12" t="n">
        <v>0.002903634481</v>
      </c>
      <c r="G1722" s="11" t="n">
        <v>284.9589918</v>
      </c>
      <c r="H1722" s="13">
        <f>F1722*1000</f>
        <v/>
      </c>
      <c r="I1722" s="14">
        <f>G1722-273.15</f>
        <v/>
      </c>
      <c r="K1722" s="15" t="n">
        <v>2005</v>
      </c>
      <c r="L1722" s="15" t="n">
        <v>10</v>
      </c>
      <c r="M1722" s="15" t="n">
        <v>8</v>
      </c>
      <c r="N1722" s="16" t="n">
        <v>2.405331061e-06</v>
      </c>
      <c r="O1722" s="11" t="n">
        <v>286.2859972</v>
      </c>
      <c r="P1722" s="13">
        <f>N1722*86400</f>
        <v/>
      </c>
      <c r="Q1722" s="14">
        <f>O1722-273.15</f>
        <v/>
      </c>
    </row>
    <row r="1723">
      <c r="A1723" s="9" t="n">
        <v>38610</v>
      </c>
      <c r="B1723" s="7">
        <f>YEAR(A1723)</f>
        <v/>
      </c>
      <c r="C1723" s="7">
        <f>MONTH(A1723)</f>
        <v/>
      </c>
      <c r="D1723" s="10" t="n">
        <v>0</v>
      </c>
      <c r="E1723" s="11" t="n">
        <v>9.077732061000001</v>
      </c>
      <c r="F1723" s="12" t="n">
        <v>0</v>
      </c>
      <c r="G1723" s="11" t="n">
        <v>284.3475062</v>
      </c>
      <c r="H1723" s="13">
        <f>F1723*1000</f>
        <v/>
      </c>
      <c r="I1723" s="14">
        <f>G1723-273.15</f>
        <v/>
      </c>
      <c r="K1723" s="15" t="n">
        <v>2005</v>
      </c>
      <c r="L1723" s="15" t="n">
        <v>10</v>
      </c>
      <c r="M1723" s="15" t="n">
        <v>9</v>
      </c>
      <c r="N1723" s="16" t="n">
        <v>1.843627519e-05</v>
      </c>
      <c r="O1723" s="11" t="n">
        <v>286.0683752</v>
      </c>
      <c r="P1723" s="13">
        <f>N1723*86400</f>
        <v/>
      </c>
      <c r="Q1723" s="14">
        <f>O1723-273.15</f>
        <v/>
      </c>
    </row>
    <row r="1724">
      <c r="A1724" s="9" t="n">
        <v>38611</v>
      </c>
      <c r="B1724" s="7">
        <f>YEAR(A1724)</f>
        <v/>
      </c>
      <c r="C1724" s="7">
        <f>MONTH(A1724)</f>
        <v/>
      </c>
      <c r="D1724" s="10" t="n">
        <v>0</v>
      </c>
      <c r="E1724" s="11" t="n">
        <v>9.913166695999999</v>
      </c>
      <c r="F1724" s="12" t="n">
        <v>0</v>
      </c>
      <c r="G1724" s="11" t="n">
        <v>284.8923892</v>
      </c>
      <c r="H1724" s="13">
        <f>F1724*1000</f>
        <v/>
      </c>
      <c r="I1724" s="14">
        <f>G1724-273.15</f>
        <v/>
      </c>
      <c r="K1724" s="15" t="n">
        <v>2005</v>
      </c>
      <c r="L1724" s="15" t="n">
        <v>10</v>
      </c>
      <c r="M1724" s="15" t="n">
        <v>10</v>
      </c>
      <c r="N1724" s="16" t="n">
        <v>8.456081036e-06</v>
      </c>
      <c r="O1724" s="11" t="n">
        <v>286.7829123</v>
      </c>
      <c r="P1724" s="13">
        <f>N1724*86400</f>
        <v/>
      </c>
      <c r="Q1724" s="14">
        <f>O1724-273.15</f>
        <v/>
      </c>
    </row>
    <row r="1725">
      <c r="A1725" s="9" t="n">
        <v>38612</v>
      </c>
      <c r="B1725" s="7">
        <f>YEAR(A1725)</f>
        <v/>
      </c>
      <c r="C1725" s="7">
        <f>MONTH(A1725)</f>
        <v/>
      </c>
      <c r="D1725" s="10" t="n">
        <v>0</v>
      </c>
      <c r="E1725" s="11" t="n">
        <v>9.284504757000001</v>
      </c>
      <c r="F1725" s="12" t="n">
        <v>0</v>
      </c>
      <c r="G1725" s="11" t="n">
        <v>284.8518766</v>
      </c>
      <c r="H1725" s="13">
        <f>F1725*1000</f>
        <v/>
      </c>
      <c r="I1725" s="14">
        <f>G1725-273.15</f>
        <v/>
      </c>
      <c r="K1725" s="15" t="n">
        <v>2005</v>
      </c>
      <c r="L1725" s="15" t="n">
        <v>10</v>
      </c>
      <c r="M1725" s="15" t="n">
        <v>11</v>
      </c>
      <c r="N1725" s="16" t="n">
        <v>0.0001176490627</v>
      </c>
      <c r="O1725" s="11" t="n">
        <v>285.339438</v>
      </c>
      <c r="P1725" s="13">
        <f>N1725*86400</f>
        <v/>
      </c>
      <c r="Q1725" s="14">
        <f>O1725-273.15</f>
        <v/>
      </c>
    </row>
    <row r="1726">
      <c r="A1726" s="9" t="n">
        <v>38613</v>
      </c>
      <c r="B1726" s="7">
        <f>YEAR(A1726)</f>
        <v/>
      </c>
      <c r="C1726" s="7">
        <f>MONTH(A1726)</f>
        <v/>
      </c>
      <c r="D1726" s="10" t="n">
        <v>0</v>
      </c>
      <c r="E1726" s="11" t="n">
        <v>10.11757889</v>
      </c>
      <c r="F1726" s="12" t="n">
        <v>0.00171534495</v>
      </c>
      <c r="G1726" s="11" t="n">
        <v>285.8166321</v>
      </c>
      <c r="H1726" s="13">
        <f>F1726*1000</f>
        <v/>
      </c>
      <c r="I1726" s="14">
        <f>G1726-273.15</f>
        <v/>
      </c>
      <c r="K1726" s="15" t="n">
        <v>2005</v>
      </c>
      <c r="L1726" s="15" t="n">
        <v>10</v>
      </c>
      <c r="M1726" s="15" t="n">
        <v>12</v>
      </c>
      <c r="N1726" s="16" t="n">
        <v>3.360213074e-06</v>
      </c>
      <c r="O1726" s="11" t="n">
        <v>285.1600976</v>
      </c>
      <c r="P1726" s="13">
        <f>N1726*86400</f>
        <v/>
      </c>
      <c r="Q1726" s="14">
        <f>O1726-273.15</f>
        <v/>
      </c>
    </row>
    <row r="1727">
      <c r="A1727" s="9" t="n">
        <v>38614</v>
      </c>
      <c r="B1727" s="7">
        <f>YEAR(A1727)</f>
        <v/>
      </c>
      <c r="C1727" s="7">
        <f>MONTH(A1727)</f>
        <v/>
      </c>
      <c r="D1727" s="10" t="n">
        <v>0</v>
      </c>
      <c r="E1727" s="11" t="n">
        <v>6.414095835</v>
      </c>
      <c r="F1727" s="12" t="n">
        <v>0.006363200536</v>
      </c>
      <c r="G1727" s="11" t="n">
        <v>282.140815</v>
      </c>
      <c r="H1727" s="13">
        <f>F1727*1000</f>
        <v/>
      </c>
      <c r="I1727" s="14">
        <f>G1727-273.15</f>
        <v/>
      </c>
      <c r="K1727" s="15" t="n">
        <v>2005</v>
      </c>
      <c r="L1727" s="15" t="n">
        <v>10</v>
      </c>
      <c r="M1727" s="15" t="n">
        <v>13</v>
      </c>
      <c r="N1727" s="16" t="n">
        <v>2.47868295e-06</v>
      </c>
      <c r="O1727" s="11" t="n">
        <v>283.7393794</v>
      </c>
      <c r="P1727" s="13">
        <f>N1727*86400</f>
        <v/>
      </c>
      <c r="Q1727" s="14">
        <f>O1727-273.15</f>
        <v/>
      </c>
    </row>
    <row r="1728">
      <c r="A1728" s="9" t="n">
        <v>38615</v>
      </c>
      <c r="B1728" s="7">
        <f>YEAR(A1728)</f>
        <v/>
      </c>
      <c r="C1728" s="7">
        <f>MONTH(A1728)</f>
        <v/>
      </c>
      <c r="D1728" s="10" t="n">
        <v>0</v>
      </c>
      <c r="E1728" s="11" t="n">
        <v>7.766046644</v>
      </c>
      <c r="F1728" s="12" t="n">
        <v>0.006159692995</v>
      </c>
      <c r="G1728" s="11" t="n">
        <v>282.7489719</v>
      </c>
      <c r="H1728" s="13">
        <f>F1728*1000</f>
        <v/>
      </c>
      <c r="I1728" s="14">
        <f>G1728-273.15</f>
        <v/>
      </c>
      <c r="K1728" s="15" t="n">
        <v>2005</v>
      </c>
      <c r="L1728" s="15" t="n">
        <v>10</v>
      </c>
      <c r="M1728" s="15" t="n">
        <v>14</v>
      </c>
      <c r="N1728" s="16" t="n">
        <v>5.42970293e-05</v>
      </c>
      <c r="O1728" s="11" t="n">
        <v>285.2262712</v>
      </c>
      <c r="P1728" s="13">
        <f>N1728*86400</f>
        <v/>
      </c>
      <c r="Q1728" s="14">
        <f>O1728-273.15</f>
        <v/>
      </c>
    </row>
    <row r="1729">
      <c r="A1729" s="9" t="n">
        <v>38616</v>
      </c>
      <c r="B1729" s="7">
        <f>YEAR(A1729)</f>
        <v/>
      </c>
      <c r="C1729" s="7">
        <f>MONTH(A1729)</f>
        <v/>
      </c>
      <c r="D1729" s="10" t="n">
        <v>0</v>
      </c>
      <c r="E1729" s="11" t="n">
        <v>10.46830217</v>
      </c>
      <c r="F1729" s="12" t="n">
        <v>0.002138348711</v>
      </c>
      <c r="G1729" s="11" t="n">
        <v>284.2069618</v>
      </c>
      <c r="H1729" s="13">
        <f>F1729*1000</f>
        <v/>
      </c>
      <c r="I1729" s="14">
        <f>G1729-273.15</f>
        <v/>
      </c>
      <c r="K1729" s="15" t="n">
        <v>2005</v>
      </c>
      <c r="L1729" s="15" t="n">
        <v>10</v>
      </c>
      <c r="M1729" s="15" t="n">
        <v>15</v>
      </c>
      <c r="N1729" s="16" t="n">
        <v>5.128684326e-05</v>
      </c>
      <c r="O1729" s="11" t="n">
        <v>284.8633136</v>
      </c>
      <c r="P1729" s="13">
        <f>N1729*86400</f>
        <v/>
      </c>
      <c r="Q1729" s="14">
        <f>O1729-273.15</f>
        <v/>
      </c>
    </row>
    <row r="1730">
      <c r="A1730" s="9" t="n">
        <v>38617</v>
      </c>
      <c r="B1730" s="7">
        <f>YEAR(A1730)</f>
        <v/>
      </c>
      <c r="C1730" s="7">
        <f>MONTH(A1730)</f>
        <v/>
      </c>
      <c r="D1730" s="10" t="n">
        <v>11.6458498</v>
      </c>
      <c r="E1730" s="11" t="n">
        <v>9.551260546</v>
      </c>
      <c r="F1730" s="12" t="n">
        <v>0.01193266543</v>
      </c>
      <c r="G1730" s="11" t="n">
        <v>283.551057</v>
      </c>
      <c r="H1730" s="13">
        <f>F1730*1000</f>
        <v/>
      </c>
      <c r="I1730" s="14">
        <f>G1730-273.15</f>
        <v/>
      </c>
      <c r="K1730" s="15" t="n">
        <v>2005</v>
      </c>
      <c r="L1730" s="15" t="n">
        <v>10</v>
      </c>
      <c r="M1730" s="15" t="n">
        <v>16</v>
      </c>
      <c r="N1730" s="16" t="n">
        <v>0</v>
      </c>
      <c r="O1730" s="11" t="n">
        <v>284.1218866</v>
      </c>
      <c r="P1730" s="13">
        <f>N1730*86400</f>
        <v/>
      </c>
      <c r="Q1730" s="14">
        <f>O1730-273.15</f>
        <v/>
      </c>
    </row>
    <row r="1731">
      <c r="A1731" s="9" t="n">
        <v>38618</v>
      </c>
      <c r="B1731" s="7">
        <f>YEAR(A1731)</f>
        <v/>
      </c>
      <c r="C1731" s="7">
        <f>MONTH(A1731)</f>
        <v/>
      </c>
      <c r="D1731" s="10" t="n">
        <v>14.11922239</v>
      </c>
      <c r="E1731" s="11" t="n">
        <v>7.535077824</v>
      </c>
      <c r="F1731" s="12" t="n">
        <v>0.01389989253</v>
      </c>
      <c r="G1731" s="11" t="n">
        <v>280.3934904</v>
      </c>
      <c r="H1731" s="13">
        <f>F1731*1000</f>
        <v/>
      </c>
      <c r="I1731" s="14">
        <f>G1731-273.15</f>
        <v/>
      </c>
      <c r="K1731" s="15" t="n">
        <v>2005</v>
      </c>
      <c r="L1731" s="15" t="n">
        <v>10</v>
      </c>
      <c r="M1731" s="15" t="n">
        <v>17</v>
      </c>
      <c r="N1731" s="16" t="n">
        <v>8.148872883e-07</v>
      </c>
      <c r="O1731" s="11" t="n">
        <v>282.9092643</v>
      </c>
      <c r="P1731" s="13">
        <f>N1731*86400</f>
        <v/>
      </c>
      <c r="Q1731" s="14">
        <f>O1731-273.15</f>
        <v/>
      </c>
    </row>
    <row r="1732">
      <c r="A1732" s="9" t="n">
        <v>38619</v>
      </c>
      <c r="B1732" s="7">
        <f>YEAR(A1732)</f>
        <v/>
      </c>
      <c r="C1732" s="7">
        <f>MONTH(A1732)</f>
        <v/>
      </c>
      <c r="D1732" s="10" t="n">
        <v>0</v>
      </c>
      <c r="E1732" s="11" t="n">
        <v>9.894534934999999</v>
      </c>
      <c r="F1732" s="12" t="n">
        <v>0.0011295011</v>
      </c>
      <c r="G1732" s="11" t="n">
        <v>282.7404285</v>
      </c>
      <c r="H1732" s="13">
        <f>F1732*1000</f>
        <v/>
      </c>
      <c r="I1732" s="14">
        <f>G1732-273.15</f>
        <v/>
      </c>
      <c r="K1732" s="15" t="n">
        <v>2005</v>
      </c>
      <c r="L1732" s="15" t="n">
        <v>10</v>
      </c>
      <c r="M1732" s="15" t="n">
        <v>18</v>
      </c>
      <c r="N1732" s="16" t="n">
        <v>0</v>
      </c>
      <c r="O1732" s="11" t="n">
        <v>283.1748605</v>
      </c>
      <c r="P1732" s="13">
        <f>N1732*86400</f>
        <v/>
      </c>
      <c r="Q1732" s="14">
        <f>O1732-273.15</f>
        <v/>
      </c>
    </row>
    <row r="1733">
      <c r="A1733" s="9" t="n">
        <v>38620</v>
      </c>
      <c r="B1733" s="7">
        <f>YEAR(A1733)</f>
        <v/>
      </c>
      <c r="C1733" s="7">
        <f>MONTH(A1733)</f>
        <v/>
      </c>
      <c r="D1733" s="10" t="n">
        <v>0.7834574166</v>
      </c>
      <c r="E1733" s="11" t="n">
        <v>8.268686668999999</v>
      </c>
      <c r="F1733" s="12" t="n">
        <v>0.007767453228</v>
      </c>
      <c r="G1733" s="11" t="n">
        <v>282.486007</v>
      </c>
      <c r="H1733" s="13">
        <f>F1733*1000</f>
        <v/>
      </c>
      <c r="I1733" s="14">
        <f>G1733-273.15</f>
        <v/>
      </c>
      <c r="K1733" s="15" t="n">
        <v>2005</v>
      </c>
      <c r="L1733" s="15" t="n">
        <v>10</v>
      </c>
      <c r="M1733" s="15" t="n">
        <v>19</v>
      </c>
      <c r="N1733" s="16" t="n">
        <v>0</v>
      </c>
      <c r="O1733" s="11" t="n">
        <v>282.4511138</v>
      </c>
      <c r="P1733" s="13">
        <f>N1733*86400</f>
        <v/>
      </c>
      <c r="Q1733" s="14">
        <f>O1733-273.15</f>
        <v/>
      </c>
    </row>
    <row r="1734">
      <c r="A1734" s="9" t="n">
        <v>38621</v>
      </c>
      <c r="B1734" s="7">
        <f>YEAR(A1734)</f>
        <v/>
      </c>
      <c r="C1734" s="7">
        <f>MONTH(A1734)</f>
        <v/>
      </c>
      <c r="D1734" s="10" t="n">
        <v>4.209522152</v>
      </c>
      <c r="E1734" s="11" t="n">
        <v>10.67892475</v>
      </c>
      <c r="F1734" s="12" t="n">
        <v>0.02923295144</v>
      </c>
      <c r="G1734" s="11" t="n">
        <v>284.8757384</v>
      </c>
      <c r="H1734" s="13">
        <f>F1734*1000</f>
        <v/>
      </c>
      <c r="I1734" s="14">
        <f>G1734-273.15</f>
        <v/>
      </c>
      <c r="K1734" s="15" t="n">
        <v>2005</v>
      </c>
      <c r="L1734" s="15" t="n">
        <v>10</v>
      </c>
      <c r="M1734" s="15" t="n">
        <v>20</v>
      </c>
      <c r="N1734" s="16" t="n">
        <v>2.477675149e-05</v>
      </c>
      <c r="O1734" s="11" t="n">
        <v>282.0046792</v>
      </c>
      <c r="P1734" s="13">
        <f>N1734*86400</f>
        <v/>
      </c>
      <c r="Q1734" s="14">
        <f>O1734-273.15</f>
        <v/>
      </c>
    </row>
    <row r="1735">
      <c r="A1735" s="9" t="n">
        <v>38622</v>
      </c>
      <c r="B1735" s="7">
        <f>YEAR(A1735)</f>
        <v/>
      </c>
      <c r="C1735" s="7">
        <f>MONTH(A1735)</f>
        <v/>
      </c>
      <c r="D1735" s="10" t="n">
        <v>0</v>
      </c>
      <c r="E1735" s="11" t="n">
        <v>10.21670247</v>
      </c>
      <c r="F1735" s="12" t="n">
        <v>0.003834111063</v>
      </c>
      <c r="G1735" s="11" t="n">
        <v>283.6966114</v>
      </c>
      <c r="H1735" s="13">
        <f>F1735*1000</f>
        <v/>
      </c>
      <c r="I1735" s="14">
        <f>G1735-273.15</f>
        <v/>
      </c>
      <c r="K1735" s="15" t="n">
        <v>2005</v>
      </c>
      <c r="L1735" s="15" t="n">
        <v>10</v>
      </c>
      <c r="M1735" s="15" t="n">
        <v>21</v>
      </c>
      <c r="N1735" s="16" t="n">
        <v>1.234122719e-05</v>
      </c>
      <c r="O1735" s="11" t="n">
        <v>281.1366404</v>
      </c>
      <c r="P1735" s="13">
        <f>N1735*86400</f>
        <v/>
      </c>
      <c r="Q1735" s="14">
        <f>O1735-273.15</f>
        <v/>
      </c>
    </row>
    <row r="1736">
      <c r="A1736" s="9" t="n">
        <v>38623</v>
      </c>
      <c r="B1736" s="7">
        <f>YEAR(A1736)</f>
        <v/>
      </c>
      <c r="C1736" s="7">
        <f>MONTH(A1736)</f>
        <v/>
      </c>
      <c r="D1736" s="10" t="n">
        <v>0</v>
      </c>
      <c r="E1736" s="11" t="n">
        <v>9.110863882</v>
      </c>
      <c r="F1736" s="12" t="n">
        <v>0</v>
      </c>
      <c r="G1736" s="11" t="n">
        <v>283.104856</v>
      </c>
      <c r="H1736" s="13">
        <f>F1736*1000</f>
        <v/>
      </c>
      <c r="I1736" s="14">
        <f>G1736-273.15</f>
        <v/>
      </c>
      <c r="K1736" s="15" t="n">
        <v>2005</v>
      </c>
      <c r="L1736" s="15" t="n">
        <v>10</v>
      </c>
      <c r="M1736" s="15" t="n">
        <v>22</v>
      </c>
      <c r="N1736" s="16" t="n">
        <v>7.793602936999999e-06</v>
      </c>
      <c r="O1736" s="11" t="n">
        <v>278.8838507</v>
      </c>
      <c r="P1736" s="13">
        <f>N1736*86400</f>
        <v/>
      </c>
      <c r="Q1736" s="14">
        <f>O1736-273.15</f>
        <v/>
      </c>
    </row>
    <row r="1737">
      <c r="A1737" s="9" t="n">
        <v>38624</v>
      </c>
      <c r="B1737" s="7">
        <f>YEAR(A1737)</f>
        <v/>
      </c>
      <c r="C1737" s="7">
        <f>MONTH(A1737)</f>
        <v/>
      </c>
      <c r="D1737" s="10" t="n">
        <v>4.309097398</v>
      </c>
      <c r="E1737" s="11" t="n">
        <v>8.653274980999999</v>
      </c>
      <c r="F1737" s="12" t="n">
        <v>0.003933027253</v>
      </c>
      <c r="G1737" s="11" t="n">
        <v>282.2051573</v>
      </c>
      <c r="H1737" s="13">
        <f>F1737*1000</f>
        <v/>
      </c>
      <c r="I1737" s="14">
        <f>G1737-273.15</f>
        <v/>
      </c>
      <c r="K1737" s="15" t="n">
        <v>2005</v>
      </c>
      <c r="L1737" s="15" t="n">
        <v>10</v>
      </c>
      <c r="M1737" s="15" t="n">
        <v>23</v>
      </c>
      <c r="N1737" s="16" t="n">
        <v>1.200410067e-06</v>
      </c>
      <c r="O1737" s="11" t="n">
        <v>279.3568788</v>
      </c>
      <c r="P1737" s="13">
        <f>N1737*86400</f>
        <v/>
      </c>
      <c r="Q1737" s="14">
        <f>O1737-273.15</f>
        <v/>
      </c>
    </row>
    <row r="1738">
      <c r="A1738" s="9" t="n">
        <v>38625</v>
      </c>
      <c r="B1738" s="7">
        <f>YEAR(A1738)</f>
        <v/>
      </c>
      <c r="C1738" s="7">
        <f>MONTH(A1738)</f>
        <v/>
      </c>
      <c r="D1738" s="10" t="n">
        <v>0</v>
      </c>
      <c r="E1738" s="11" t="n">
        <v>7.865941973</v>
      </c>
      <c r="F1738" s="12" t="n">
        <v>0.0003081681928</v>
      </c>
      <c r="G1738" s="11" t="n">
        <v>282.0095232</v>
      </c>
      <c r="H1738" s="13">
        <f>F1738*1000</f>
        <v/>
      </c>
      <c r="I1738" s="14">
        <f>G1738-273.15</f>
        <v/>
      </c>
      <c r="K1738" s="15" t="n">
        <v>2005</v>
      </c>
      <c r="L1738" s="15" t="n">
        <v>10</v>
      </c>
      <c r="M1738" s="15" t="n">
        <v>24</v>
      </c>
      <c r="N1738" s="16" t="n">
        <v>5.872556576e-07</v>
      </c>
      <c r="O1738" s="11" t="n">
        <v>280.9553615</v>
      </c>
      <c r="P1738" s="13">
        <f>N1738*86400</f>
        <v/>
      </c>
      <c r="Q1738" s="14">
        <f>O1738-273.15</f>
        <v/>
      </c>
    </row>
    <row r="1739">
      <c r="A1739" s="9" t="n">
        <v>38626</v>
      </c>
      <c r="B1739" s="7">
        <f>YEAR(A1739)</f>
        <v/>
      </c>
      <c r="C1739" s="7">
        <f>MONTH(A1739)</f>
        <v/>
      </c>
      <c r="D1739" s="10" t="n">
        <v>0</v>
      </c>
      <c r="E1739" s="11" t="n">
        <v>9.872638647</v>
      </c>
      <c r="F1739" s="12" t="n">
        <v>0.003124847601</v>
      </c>
      <c r="G1739" s="11" t="n">
        <v>284.4806187</v>
      </c>
      <c r="H1739" s="13">
        <f>F1739*1000</f>
        <v/>
      </c>
      <c r="I1739" s="14">
        <f>G1739-273.15</f>
        <v/>
      </c>
      <c r="K1739" s="15" t="n">
        <v>2005</v>
      </c>
      <c r="L1739" s="15" t="n">
        <v>10</v>
      </c>
      <c r="M1739" s="15" t="n">
        <v>25</v>
      </c>
      <c r="N1739" s="16" t="n">
        <v>0</v>
      </c>
      <c r="O1739" s="11" t="n">
        <v>281.0334063</v>
      </c>
      <c r="P1739" s="13">
        <f>N1739*86400</f>
        <v/>
      </c>
      <c r="Q1739" s="14">
        <f>O1739-273.15</f>
        <v/>
      </c>
    </row>
    <row r="1740">
      <c r="A1740" s="9" t="n">
        <v>38627</v>
      </c>
      <c r="B1740" s="7">
        <f>YEAR(A1740)</f>
        <v/>
      </c>
      <c r="C1740" s="7">
        <f>MONTH(A1740)</f>
        <v/>
      </c>
      <c r="D1740" s="10" t="n">
        <v>0</v>
      </c>
      <c r="E1740" s="11" t="n">
        <v>8.469341492</v>
      </c>
      <c r="F1740" s="12" t="n">
        <v>0.004865499513</v>
      </c>
      <c r="G1740" s="11" t="n">
        <v>283.8092149</v>
      </c>
      <c r="H1740" s="13">
        <f>F1740*1000</f>
        <v/>
      </c>
      <c r="I1740" s="14">
        <f>G1740-273.15</f>
        <v/>
      </c>
      <c r="K1740" s="15" t="n">
        <v>2005</v>
      </c>
      <c r="L1740" s="15" t="n">
        <v>10</v>
      </c>
      <c r="M1740" s="15" t="n">
        <v>26</v>
      </c>
      <c r="N1740" s="16" t="n">
        <v>1.289445483e-05</v>
      </c>
      <c r="O1740" s="11" t="n">
        <v>283.0387502</v>
      </c>
      <c r="P1740" s="13">
        <f>N1740*86400</f>
        <v/>
      </c>
      <c r="Q1740" s="14">
        <f>O1740-273.15</f>
        <v/>
      </c>
    </row>
    <row r="1741">
      <c r="A1741" s="9" t="n">
        <v>38628</v>
      </c>
      <c r="B1741" s="7">
        <f>YEAR(A1741)</f>
        <v/>
      </c>
      <c r="C1741" s="7">
        <f>MONTH(A1741)</f>
        <v/>
      </c>
      <c r="D1741" s="10" t="n">
        <v>0</v>
      </c>
      <c r="E1741" s="11" t="n">
        <v>7.283907488</v>
      </c>
      <c r="F1741" s="12" t="n">
        <v>0.002045735409</v>
      </c>
      <c r="G1741" s="11" t="n">
        <v>282.9111485</v>
      </c>
      <c r="H1741" s="13">
        <f>F1741*1000</f>
        <v/>
      </c>
      <c r="I1741" s="14">
        <f>G1741-273.15</f>
        <v/>
      </c>
      <c r="K1741" s="15" t="n">
        <v>2005</v>
      </c>
      <c r="L1741" s="15" t="n">
        <v>10</v>
      </c>
      <c r="M1741" s="15" t="n">
        <v>27</v>
      </c>
      <c r="N1741" s="16" t="n">
        <v>0</v>
      </c>
      <c r="O1741" s="11" t="n">
        <v>283.1422652</v>
      </c>
      <c r="P1741" s="13">
        <f>N1741*86400</f>
        <v/>
      </c>
      <c r="Q1741" s="14">
        <f>O1741-273.15</f>
        <v/>
      </c>
    </row>
    <row r="1742">
      <c r="A1742" s="9" t="n">
        <v>38629</v>
      </c>
      <c r="B1742" s="7">
        <f>YEAR(A1742)</f>
        <v/>
      </c>
      <c r="C1742" s="7">
        <f>MONTH(A1742)</f>
        <v/>
      </c>
      <c r="D1742" s="10" t="n">
        <v>0</v>
      </c>
      <c r="E1742" s="11" t="n">
        <v>7.679726748</v>
      </c>
      <c r="F1742" s="12" t="n">
        <v>0</v>
      </c>
      <c r="G1742" s="11" t="n">
        <v>283.3721418</v>
      </c>
      <c r="H1742" s="13">
        <f>F1742*1000</f>
        <v/>
      </c>
      <c r="I1742" s="14">
        <f>G1742-273.15</f>
        <v/>
      </c>
      <c r="K1742" s="15" t="n">
        <v>2005</v>
      </c>
      <c r="L1742" s="15" t="n">
        <v>10</v>
      </c>
      <c r="M1742" s="15" t="n">
        <v>28</v>
      </c>
      <c r="N1742" s="16" t="n">
        <v>0</v>
      </c>
      <c r="O1742" s="11" t="n">
        <v>283.2568148</v>
      </c>
      <c r="P1742" s="13">
        <f>N1742*86400</f>
        <v/>
      </c>
      <c r="Q1742" s="14">
        <f>O1742-273.15</f>
        <v/>
      </c>
    </row>
    <row r="1743">
      <c r="A1743" s="9" t="n">
        <v>38630</v>
      </c>
      <c r="B1743" s="7">
        <f>YEAR(A1743)</f>
        <v/>
      </c>
      <c r="C1743" s="7">
        <f>MONTH(A1743)</f>
        <v/>
      </c>
      <c r="D1743" s="10" t="n">
        <v>0</v>
      </c>
      <c r="E1743" s="11" t="n">
        <v>7.775286909</v>
      </c>
      <c r="F1743" s="12" t="n">
        <v>8.475745709e-06</v>
      </c>
      <c r="G1743" s="11" t="n">
        <v>283.0524623</v>
      </c>
      <c r="H1743" s="13">
        <f>F1743*1000</f>
        <v/>
      </c>
      <c r="I1743" s="14">
        <f>G1743-273.15</f>
        <v/>
      </c>
      <c r="K1743" s="15" t="n">
        <v>2005</v>
      </c>
      <c r="L1743" s="15" t="n">
        <v>10</v>
      </c>
      <c r="M1743" s="15" t="n">
        <v>29</v>
      </c>
      <c r="N1743" s="16" t="n">
        <v>0</v>
      </c>
      <c r="O1743" s="11" t="n">
        <v>283.7791654</v>
      </c>
      <c r="P1743" s="13">
        <f>N1743*86400</f>
        <v/>
      </c>
      <c r="Q1743" s="14">
        <f>O1743-273.15</f>
        <v/>
      </c>
    </row>
    <row r="1744">
      <c r="A1744" s="9" t="n">
        <v>38631</v>
      </c>
      <c r="B1744" s="7">
        <f>YEAR(A1744)</f>
        <v/>
      </c>
      <c r="C1744" s="7">
        <f>MONTH(A1744)</f>
        <v/>
      </c>
      <c r="D1744" s="10" t="n">
        <v>0</v>
      </c>
      <c r="E1744" s="11" t="n">
        <v>4.701473877</v>
      </c>
      <c r="F1744" s="12" t="n">
        <v>0.0002961760971</v>
      </c>
      <c r="G1744" s="11" t="n">
        <v>279.3591288</v>
      </c>
      <c r="H1744" s="13">
        <f>F1744*1000</f>
        <v/>
      </c>
      <c r="I1744" s="14">
        <f>G1744-273.15</f>
        <v/>
      </c>
      <c r="K1744" s="15" t="n">
        <v>2005</v>
      </c>
      <c r="L1744" s="15" t="n">
        <v>10</v>
      </c>
      <c r="M1744" s="15" t="n">
        <v>30</v>
      </c>
      <c r="N1744" s="16" t="n">
        <v>0</v>
      </c>
      <c r="O1744" s="11" t="n">
        <v>282.4170119</v>
      </c>
      <c r="P1744" s="13">
        <f>N1744*86400</f>
        <v/>
      </c>
      <c r="Q1744" s="14">
        <f>O1744-273.15</f>
        <v/>
      </c>
    </row>
    <row r="1745">
      <c r="A1745" s="9" t="n">
        <v>38632</v>
      </c>
      <c r="B1745" s="7">
        <f>YEAR(A1745)</f>
        <v/>
      </c>
      <c r="C1745" s="7">
        <f>MONTH(A1745)</f>
        <v/>
      </c>
      <c r="D1745" s="10" t="n">
        <v>0</v>
      </c>
      <c r="E1745" s="11" t="n">
        <v>6.594541819</v>
      </c>
      <c r="F1745" s="12" t="n">
        <v>0</v>
      </c>
      <c r="G1745" s="11" t="n">
        <v>280.1253926</v>
      </c>
      <c r="H1745" s="13">
        <f>F1745*1000</f>
        <v/>
      </c>
      <c r="I1745" s="14">
        <f>G1745-273.15</f>
        <v/>
      </c>
      <c r="K1745" s="15" t="n">
        <v>2005</v>
      </c>
      <c r="L1745" s="15" t="n">
        <v>11</v>
      </c>
      <c r="M1745" s="15" t="n">
        <v>1</v>
      </c>
      <c r="N1745" s="16" t="n">
        <v>2.341926571e-06</v>
      </c>
      <c r="O1745" s="11" t="n">
        <v>280.4795166</v>
      </c>
      <c r="P1745" s="13">
        <f>N1745*86400</f>
        <v/>
      </c>
      <c r="Q1745" s="14">
        <f>O1745-273.15</f>
        <v/>
      </c>
    </row>
    <row r="1746">
      <c r="A1746" s="9" t="n">
        <v>38633</v>
      </c>
      <c r="B1746" s="7">
        <f>YEAR(A1746)</f>
        <v/>
      </c>
      <c r="C1746" s="7">
        <f>MONTH(A1746)</f>
        <v/>
      </c>
      <c r="D1746" s="10" t="n">
        <v>0</v>
      </c>
      <c r="E1746" s="11" t="n">
        <v>7.494315458</v>
      </c>
      <c r="F1746" s="12" t="n">
        <v>0</v>
      </c>
      <c r="G1746" s="11" t="n">
        <v>282.7881767</v>
      </c>
      <c r="H1746" s="13">
        <f>F1746*1000</f>
        <v/>
      </c>
      <c r="I1746" s="14">
        <f>G1746-273.15</f>
        <v/>
      </c>
      <c r="K1746" s="15" t="n">
        <v>2005</v>
      </c>
      <c r="L1746" s="15" t="n">
        <v>11</v>
      </c>
      <c r="M1746" s="15" t="n">
        <v>2</v>
      </c>
      <c r="N1746" s="16" t="n">
        <v>0</v>
      </c>
      <c r="O1746" s="11" t="n">
        <v>283.1475062</v>
      </c>
      <c r="P1746" s="13">
        <f>N1746*86400</f>
        <v/>
      </c>
      <c r="Q1746" s="14">
        <f>O1746-273.15</f>
        <v/>
      </c>
    </row>
    <row r="1747">
      <c r="A1747" s="9" t="n">
        <v>38634</v>
      </c>
      <c r="B1747" s="7">
        <f>YEAR(A1747)</f>
        <v/>
      </c>
      <c r="C1747" s="7">
        <f>MONTH(A1747)</f>
        <v/>
      </c>
      <c r="D1747" s="10" t="n">
        <v>0</v>
      </c>
      <c r="E1747" s="11" t="n">
        <v>7.872536402</v>
      </c>
      <c r="F1747" s="12" t="n">
        <v>0</v>
      </c>
      <c r="G1747" s="11" t="n">
        <v>283.6563749</v>
      </c>
      <c r="H1747" s="13">
        <f>F1747*1000</f>
        <v/>
      </c>
      <c r="I1747" s="14">
        <f>G1747-273.15</f>
        <v/>
      </c>
      <c r="K1747" s="15" t="n">
        <v>2005</v>
      </c>
      <c r="L1747" s="15" t="n">
        <v>11</v>
      </c>
      <c r="M1747" s="15" t="n">
        <v>3</v>
      </c>
      <c r="N1747" s="16" t="n">
        <v>1.269012155e-05</v>
      </c>
      <c r="O1747" s="11" t="n">
        <v>281.900762</v>
      </c>
      <c r="P1747" s="13">
        <f>N1747*86400</f>
        <v/>
      </c>
      <c r="Q1747" s="14">
        <f>O1747-273.15</f>
        <v/>
      </c>
    </row>
    <row r="1748">
      <c r="A1748" s="9" t="n">
        <v>38635</v>
      </c>
      <c r="B1748" s="7">
        <f>YEAR(A1748)</f>
        <v/>
      </c>
      <c r="C1748" s="7">
        <f>MONTH(A1748)</f>
        <v/>
      </c>
      <c r="D1748" s="10" t="n">
        <v>0</v>
      </c>
      <c r="E1748" s="11" t="n">
        <v>9.404407118</v>
      </c>
      <c r="F1748" s="12" t="n">
        <v>0</v>
      </c>
      <c r="G1748" s="11" t="n">
        <v>285.5847459</v>
      </c>
      <c r="H1748" s="13">
        <f>F1748*1000</f>
        <v/>
      </c>
      <c r="I1748" s="14">
        <f>G1748-273.15</f>
        <v/>
      </c>
      <c r="K1748" s="15" t="n">
        <v>2005</v>
      </c>
      <c r="L1748" s="15" t="n">
        <v>11</v>
      </c>
      <c r="M1748" s="15" t="n">
        <v>4</v>
      </c>
      <c r="N1748" s="16" t="n">
        <v>6.435200259e-06</v>
      </c>
      <c r="O1748" s="11" t="n">
        <v>282.4497605</v>
      </c>
      <c r="P1748" s="13">
        <f>N1748*86400</f>
        <v/>
      </c>
      <c r="Q1748" s="14">
        <f>O1748-273.15</f>
        <v/>
      </c>
    </row>
    <row r="1749">
      <c r="A1749" s="9" t="n">
        <v>38636</v>
      </c>
      <c r="B1749" s="7">
        <f>YEAR(A1749)</f>
        <v/>
      </c>
      <c r="C1749" s="7">
        <f>MONTH(A1749)</f>
        <v/>
      </c>
      <c r="D1749" s="10" t="n">
        <v>0</v>
      </c>
      <c r="E1749" s="11" t="n">
        <v>9.285548492</v>
      </c>
      <c r="F1749" s="12" t="n">
        <v>0</v>
      </c>
      <c r="G1749" s="11" t="n">
        <v>285.2992406</v>
      </c>
      <c r="H1749" s="13">
        <f>F1749*1000</f>
        <v/>
      </c>
      <c r="I1749" s="14">
        <f>G1749-273.15</f>
        <v/>
      </c>
      <c r="K1749" s="15" t="n">
        <v>2005</v>
      </c>
      <c r="L1749" s="15" t="n">
        <v>11</v>
      </c>
      <c r="M1749" s="15" t="n">
        <v>5</v>
      </c>
      <c r="N1749" s="16" t="n">
        <v>0</v>
      </c>
      <c r="O1749" s="11" t="n">
        <v>281.2464688</v>
      </c>
      <c r="P1749" s="13">
        <f>N1749*86400</f>
        <v/>
      </c>
      <c r="Q1749" s="14">
        <f>O1749-273.15</f>
        <v/>
      </c>
    </row>
    <row r="1750">
      <c r="A1750" s="9" t="n">
        <v>38637</v>
      </c>
      <c r="B1750" s="7">
        <f>YEAR(A1750)</f>
        <v/>
      </c>
      <c r="C1750" s="7">
        <f>MONTH(A1750)</f>
        <v/>
      </c>
      <c r="D1750" s="10" t="n">
        <v>0</v>
      </c>
      <c r="E1750" s="11" t="n">
        <v>8.890710295</v>
      </c>
      <c r="F1750" s="12" t="n">
        <v>0.001027549356</v>
      </c>
      <c r="G1750" s="11" t="n">
        <v>283.838531</v>
      </c>
      <c r="H1750" s="13">
        <f>F1750*1000</f>
        <v/>
      </c>
      <c r="I1750" s="14">
        <f>G1750-273.15</f>
        <v/>
      </c>
      <c r="K1750" s="15" t="n">
        <v>2005</v>
      </c>
      <c r="L1750" s="15" t="n">
        <v>11</v>
      </c>
      <c r="M1750" s="15" t="n">
        <v>6</v>
      </c>
      <c r="N1750" s="16" t="n">
        <v>0</v>
      </c>
      <c r="O1750" s="11" t="n">
        <v>281.5759215</v>
      </c>
      <c r="P1750" s="13">
        <f>N1750*86400</f>
        <v/>
      </c>
      <c r="Q1750" s="14">
        <f>O1750-273.15</f>
        <v/>
      </c>
    </row>
    <row r="1751">
      <c r="A1751" s="9" t="n">
        <v>38638</v>
      </c>
      <c r="B1751" s="7">
        <f>YEAR(A1751)</f>
        <v/>
      </c>
      <c r="C1751" s="7">
        <f>MONTH(A1751)</f>
        <v/>
      </c>
      <c r="D1751" s="10" t="n">
        <v>0</v>
      </c>
      <c r="E1751" s="11" t="n">
        <v>8.609862769999999</v>
      </c>
      <c r="F1751" s="12" t="n">
        <v>0</v>
      </c>
      <c r="G1751" s="11" t="n">
        <v>284.2029014</v>
      </c>
      <c r="H1751" s="13">
        <f>F1751*1000</f>
        <v/>
      </c>
      <c r="I1751" s="14">
        <f>G1751-273.15</f>
        <v/>
      </c>
      <c r="K1751" s="15" t="n">
        <v>2005</v>
      </c>
      <c r="L1751" s="15" t="n">
        <v>11</v>
      </c>
      <c r="M1751" s="15" t="n">
        <v>7</v>
      </c>
      <c r="N1751" s="16" t="n">
        <v>0</v>
      </c>
      <c r="O1751" s="11" t="n">
        <v>280.2117504</v>
      </c>
      <c r="P1751" s="13">
        <f>N1751*86400</f>
        <v/>
      </c>
      <c r="Q1751" s="14">
        <f>O1751-273.15</f>
        <v/>
      </c>
    </row>
    <row r="1752">
      <c r="A1752" s="9" t="n">
        <v>38639</v>
      </c>
      <c r="B1752" s="7">
        <f>YEAR(A1752)</f>
        <v/>
      </c>
      <c r="C1752" s="7">
        <f>MONTH(A1752)</f>
        <v/>
      </c>
      <c r="D1752" s="10" t="n">
        <v>0</v>
      </c>
      <c r="E1752" s="11" t="n">
        <v>7.384005561</v>
      </c>
      <c r="F1752" s="12" t="n">
        <v>0</v>
      </c>
      <c r="G1752" s="11" t="n">
        <v>282.6163869</v>
      </c>
      <c r="H1752" s="13">
        <f>F1752*1000</f>
        <v/>
      </c>
      <c r="I1752" s="14">
        <f>G1752-273.15</f>
        <v/>
      </c>
      <c r="K1752" s="15" t="n">
        <v>2005</v>
      </c>
      <c r="L1752" s="15" t="n">
        <v>11</v>
      </c>
      <c r="M1752" s="15" t="n">
        <v>8</v>
      </c>
      <c r="N1752" s="16" t="n">
        <v>8.246950208e-06</v>
      </c>
      <c r="O1752" s="11" t="n">
        <v>281.1866873</v>
      </c>
      <c r="P1752" s="13">
        <f>N1752*86400</f>
        <v/>
      </c>
      <c r="Q1752" s="14">
        <f>O1752-273.15</f>
        <v/>
      </c>
    </row>
    <row r="1753">
      <c r="A1753" s="9" t="n">
        <v>38640</v>
      </c>
      <c r="B1753" s="7">
        <f>YEAR(A1753)</f>
        <v/>
      </c>
      <c r="C1753" s="7">
        <f>MONTH(A1753)</f>
        <v/>
      </c>
      <c r="D1753" s="10" t="n">
        <v>0</v>
      </c>
      <c r="E1753" s="11" t="n">
        <v>7.393402518</v>
      </c>
      <c r="F1753" s="12" t="n">
        <v>0</v>
      </c>
      <c r="G1753" s="11" t="n">
        <v>283.5777239</v>
      </c>
      <c r="H1753" s="13">
        <f>F1753*1000</f>
        <v/>
      </c>
      <c r="I1753" s="14">
        <f>G1753-273.15</f>
        <v/>
      </c>
      <c r="K1753" s="15" t="n">
        <v>2005</v>
      </c>
      <c r="L1753" s="15" t="n">
        <v>11</v>
      </c>
      <c r="M1753" s="15" t="n">
        <v>9</v>
      </c>
      <c r="N1753" s="16" t="n">
        <v>0</v>
      </c>
      <c r="O1753" s="11" t="n">
        <v>280.1558</v>
      </c>
      <c r="P1753" s="13">
        <f>N1753*86400</f>
        <v/>
      </c>
      <c r="Q1753" s="14">
        <f>O1753-273.15</f>
        <v/>
      </c>
    </row>
    <row r="1754">
      <c r="A1754" s="9" t="n">
        <v>38641</v>
      </c>
      <c r="B1754" s="7">
        <f>YEAR(A1754)</f>
        <v/>
      </c>
      <c r="C1754" s="7">
        <f>MONTH(A1754)</f>
        <v/>
      </c>
      <c r="D1754" s="10" t="n">
        <v>0</v>
      </c>
      <c r="E1754" s="11" t="n">
        <v>7.706173253</v>
      </c>
      <c r="F1754" s="12" t="n">
        <v>0</v>
      </c>
      <c r="G1754" s="11" t="n">
        <v>282.6358845</v>
      </c>
      <c r="H1754" s="13">
        <f>F1754*1000</f>
        <v/>
      </c>
      <c r="I1754" s="14">
        <f>G1754-273.15</f>
        <v/>
      </c>
      <c r="K1754" s="15" t="n">
        <v>2005</v>
      </c>
      <c r="L1754" s="15" t="n">
        <v>11</v>
      </c>
      <c r="M1754" s="15" t="n">
        <v>10</v>
      </c>
      <c r="N1754" s="16" t="n">
        <v>0</v>
      </c>
      <c r="O1754" s="11" t="n">
        <v>280.2872415</v>
      </c>
      <c r="P1754" s="13">
        <f>N1754*86400</f>
        <v/>
      </c>
      <c r="Q1754" s="14">
        <f>O1754-273.15</f>
        <v/>
      </c>
    </row>
    <row r="1755">
      <c r="A1755" s="9" t="n">
        <v>38642</v>
      </c>
      <c r="B1755" s="7">
        <f>YEAR(A1755)</f>
        <v/>
      </c>
      <c r="C1755" s="7">
        <f>MONTH(A1755)</f>
        <v/>
      </c>
      <c r="D1755" s="10" t="n">
        <v>0</v>
      </c>
      <c r="E1755" s="11" t="n">
        <v>4.811268596</v>
      </c>
      <c r="F1755" s="12" t="n">
        <v>0</v>
      </c>
      <c r="G1755" s="11" t="n">
        <v>280.3501931</v>
      </c>
      <c r="H1755" s="13">
        <f>F1755*1000</f>
        <v/>
      </c>
      <c r="I1755" s="14">
        <f>G1755-273.15</f>
        <v/>
      </c>
      <c r="K1755" s="15" t="n">
        <v>2005</v>
      </c>
      <c r="L1755" s="15" t="n">
        <v>11</v>
      </c>
      <c r="M1755" s="15" t="n">
        <v>11</v>
      </c>
      <c r="N1755" s="16" t="n">
        <v>3.094531494e-06</v>
      </c>
      <c r="O1755" s="11" t="n">
        <v>280.1669211</v>
      </c>
      <c r="P1755" s="13">
        <f>N1755*86400</f>
        <v/>
      </c>
      <c r="Q1755" s="14">
        <f>O1755-273.15</f>
        <v/>
      </c>
    </row>
    <row r="1756">
      <c r="A1756" s="9" t="n">
        <v>38643</v>
      </c>
      <c r="B1756" s="7">
        <f>YEAR(A1756)</f>
        <v/>
      </c>
      <c r="C1756" s="7">
        <f>MONTH(A1756)</f>
        <v/>
      </c>
      <c r="D1756" s="10" t="n">
        <v>0</v>
      </c>
      <c r="E1756" s="11" t="n">
        <v>5.973556059</v>
      </c>
      <c r="F1756" s="12" t="n">
        <v>0</v>
      </c>
      <c r="G1756" s="11" t="n">
        <v>280.5641494</v>
      </c>
      <c r="H1756" s="13">
        <f>F1756*1000</f>
        <v/>
      </c>
      <c r="I1756" s="14">
        <f>G1756-273.15</f>
        <v/>
      </c>
      <c r="K1756" s="15" t="n">
        <v>2005</v>
      </c>
      <c r="L1756" s="15" t="n">
        <v>11</v>
      </c>
      <c r="M1756" s="15" t="n">
        <v>12</v>
      </c>
      <c r="N1756" s="16" t="n">
        <v>1.471172049e-05</v>
      </c>
      <c r="O1756" s="11" t="n">
        <v>279.6806842</v>
      </c>
      <c r="P1756" s="13">
        <f>N1756*86400</f>
        <v/>
      </c>
      <c r="Q1756" s="14">
        <f>O1756-273.15</f>
        <v/>
      </c>
    </row>
    <row r="1757">
      <c r="A1757" s="9" t="n">
        <v>38644</v>
      </c>
      <c r="B1757" s="7">
        <f>YEAR(A1757)</f>
        <v/>
      </c>
      <c r="C1757" s="7">
        <f>MONTH(A1757)</f>
        <v/>
      </c>
      <c r="D1757" s="10" t="n">
        <v>0</v>
      </c>
      <c r="E1757" s="11" t="n">
        <v>5.69084668</v>
      </c>
      <c r="F1757" s="12" t="n">
        <v>0.0004608367558</v>
      </c>
      <c r="G1757" s="11" t="n">
        <v>280.4782716</v>
      </c>
      <c r="H1757" s="13">
        <f>F1757*1000</f>
        <v/>
      </c>
      <c r="I1757" s="14">
        <f>G1757-273.15</f>
        <v/>
      </c>
      <c r="K1757" s="15" t="n">
        <v>2005</v>
      </c>
      <c r="L1757" s="15" t="n">
        <v>11</v>
      </c>
      <c r="M1757" s="15" t="n">
        <v>13</v>
      </c>
      <c r="N1757" s="16" t="n">
        <v>0</v>
      </c>
      <c r="O1757" s="11" t="n">
        <v>278.4335767</v>
      </c>
      <c r="P1757" s="13">
        <f>N1757*86400</f>
        <v/>
      </c>
      <c r="Q1757" s="14">
        <f>O1757-273.15</f>
        <v/>
      </c>
    </row>
    <row r="1758">
      <c r="A1758" s="9" t="n">
        <v>38645</v>
      </c>
      <c r="B1758" s="7">
        <f>YEAR(A1758)</f>
        <v/>
      </c>
      <c r="C1758" s="7">
        <f>MONTH(A1758)</f>
        <v/>
      </c>
      <c r="D1758" s="10" t="n">
        <v>0</v>
      </c>
      <c r="E1758" s="11" t="n">
        <v>4.837200569</v>
      </c>
      <c r="F1758" s="12" t="n">
        <v>0</v>
      </c>
      <c r="G1758" s="11" t="n">
        <v>280.6655854</v>
      </c>
      <c r="H1758" s="13">
        <f>F1758*1000</f>
        <v/>
      </c>
      <c r="I1758" s="14">
        <f>G1758-273.15</f>
        <v/>
      </c>
      <c r="K1758" s="15" t="n">
        <v>2005</v>
      </c>
      <c r="L1758" s="15" t="n">
        <v>11</v>
      </c>
      <c r="M1758" s="15" t="n">
        <v>14</v>
      </c>
      <c r="N1758" s="16" t="n">
        <v>5.579368981e-06</v>
      </c>
      <c r="O1758" s="11" t="n">
        <v>279.2504336</v>
      </c>
      <c r="P1758" s="13">
        <f>N1758*86400</f>
        <v/>
      </c>
      <c r="Q1758" s="14">
        <f>O1758-273.15</f>
        <v/>
      </c>
    </row>
    <row r="1759">
      <c r="A1759" s="9" t="n">
        <v>38646</v>
      </c>
      <c r="B1759" s="7">
        <f>YEAR(A1759)</f>
        <v/>
      </c>
      <c r="C1759" s="7">
        <f>MONTH(A1759)</f>
        <v/>
      </c>
      <c r="D1759" s="10" t="n">
        <v>2.422304423</v>
      </c>
      <c r="E1759" s="11" t="n">
        <v>6.774091452</v>
      </c>
      <c r="F1759" s="12" t="n">
        <v>0.006628548657</v>
      </c>
      <c r="G1759" s="11" t="n">
        <v>282.9218618</v>
      </c>
      <c r="H1759" s="13">
        <f>F1759*1000</f>
        <v/>
      </c>
      <c r="I1759" s="14">
        <f>G1759-273.15</f>
        <v/>
      </c>
      <c r="K1759" s="15" t="n">
        <v>2005</v>
      </c>
      <c r="L1759" s="15" t="n">
        <v>11</v>
      </c>
      <c r="M1759" s="15" t="n">
        <v>15</v>
      </c>
      <c r="N1759" s="16" t="n">
        <v>2.594736373e-05</v>
      </c>
      <c r="O1759" s="11" t="n">
        <v>280.8111913</v>
      </c>
      <c r="P1759" s="13">
        <f>N1759*86400</f>
        <v/>
      </c>
      <c r="Q1759" s="14">
        <f>O1759-273.15</f>
        <v/>
      </c>
    </row>
    <row r="1760">
      <c r="A1760" s="9" t="n">
        <v>38647</v>
      </c>
      <c r="B1760" s="7">
        <f>YEAR(A1760)</f>
        <v/>
      </c>
      <c r="C1760" s="7">
        <f>MONTH(A1760)</f>
        <v/>
      </c>
      <c r="D1760" s="10" t="n">
        <v>0</v>
      </c>
      <c r="E1760" s="11" t="n">
        <v>7.158400103</v>
      </c>
      <c r="F1760" s="12" t="n">
        <v>0</v>
      </c>
      <c r="G1760" s="11" t="n">
        <v>282.8878338</v>
      </c>
      <c r="H1760" s="13">
        <f>F1760*1000</f>
        <v/>
      </c>
      <c r="I1760" s="14">
        <f>G1760-273.15</f>
        <v/>
      </c>
      <c r="K1760" s="15" t="n">
        <v>2005</v>
      </c>
      <c r="L1760" s="15" t="n">
        <v>11</v>
      </c>
      <c r="M1760" s="15" t="n">
        <v>16</v>
      </c>
      <c r="N1760" s="16" t="n">
        <v>0</v>
      </c>
      <c r="O1760" s="11" t="n">
        <v>281.0662643</v>
      </c>
      <c r="P1760" s="13">
        <f>N1760*86400</f>
        <v/>
      </c>
      <c r="Q1760" s="14">
        <f>O1760-273.15</f>
        <v/>
      </c>
    </row>
    <row r="1761">
      <c r="A1761" s="9" t="n">
        <v>38648</v>
      </c>
      <c r="B1761" s="7">
        <f>YEAR(A1761)</f>
        <v/>
      </c>
      <c r="C1761" s="7">
        <f>MONTH(A1761)</f>
        <v/>
      </c>
      <c r="D1761" s="10" t="n">
        <v>0</v>
      </c>
      <c r="E1761" s="11" t="n">
        <v>4.808977409</v>
      </c>
      <c r="F1761" s="12" t="n">
        <v>0</v>
      </c>
      <c r="G1761" s="11" t="n">
        <v>280.6518475</v>
      </c>
      <c r="H1761" s="13">
        <f>F1761*1000</f>
        <v/>
      </c>
      <c r="I1761" s="14">
        <f>G1761-273.15</f>
        <v/>
      </c>
      <c r="K1761" s="15" t="n">
        <v>2005</v>
      </c>
      <c r="L1761" s="15" t="n">
        <v>11</v>
      </c>
      <c r="M1761" s="15" t="n">
        <v>17</v>
      </c>
      <c r="N1761" s="16" t="n">
        <v>2.738855132e-06</v>
      </c>
      <c r="O1761" s="11" t="n">
        <v>280.0837223</v>
      </c>
      <c r="P1761" s="13">
        <f>N1761*86400</f>
        <v/>
      </c>
      <c r="Q1761" s="14">
        <f>O1761-273.15</f>
        <v/>
      </c>
    </row>
    <row r="1762">
      <c r="A1762" s="9" t="n">
        <v>38649</v>
      </c>
      <c r="B1762" s="7">
        <f>YEAR(A1762)</f>
        <v/>
      </c>
      <c r="C1762" s="7">
        <f>MONTH(A1762)</f>
        <v/>
      </c>
      <c r="D1762" s="10" t="n">
        <v>0</v>
      </c>
      <c r="E1762" s="11" t="n">
        <v>3.45029639</v>
      </c>
      <c r="F1762" s="12" t="n">
        <v>7.289316266000001e-05</v>
      </c>
      <c r="G1762" s="11" t="n">
        <v>279.189287</v>
      </c>
      <c r="H1762" s="13">
        <f>F1762*1000</f>
        <v/>
      </c>
      <c r="I1762" s="14">
        <f>G1762-273.15</f>
        <v/>
      </c>
      <c r="K1762" s="15" t="n">
        <v>2005</v>
      </c>
      <c r="L1762" s="15" t="n">
        <v>11</v>
      </c>
      <c r="M1762" s="15" t="n">
        <v>18</v>
      </c>
      <c r="N1762" s="16" t="n">
        <v>0</v>
      </c>
      <c r="O1762" s="11" t="n">
        <v>279.5919001</v>
      </c>
      <c r="P1762" s="13">
        <f>N1762*86400</f>
        <v/>
      </c>
      <c r="Q1762" s="14">
        <f>O1762-273.15</f>
        <v/>
      </c>
    </row>
    <row r="1763">
      <c r="A1763" s="9" t="n">
        <v>38650</v>
      </c>
      <c r="B1763" s="7">
        <f>YEAR(A1763)</f>
        <v/>
      </c>
      <c r="C1763" s="7">
        <f>MONTH(A1763)</f>
        <v/>
      </c>
      <c r="D1763" s="10" t="n">
        <v>0</v>
      </c>
      <c r="E1763" s="11" t="n">
        <v>4.939068107</v>
      </c>
      <c r="F1763" s="12" t="n">
        <v>0</v>
      </c>
      <c r="G1763" s="11" t="n">
        <v>279.9726489</v>
      </c>
      <c r="H1763" s="13">
        <f>F1763*1000</f>
        <v/>
      </c>
      <c r="I1763" s="14">
        <f>G1763-273.15</f>
        <v/>
      </c>
      <c r="K1763" s="15" t="n">
        <v>2005</v>
      </c>
      <c r="L1763" s="15" t="n">
        <v>11</v>
      </c>
      <c r="M1763" s="15" t="n">
        <v>19</v>
      </c>
      <c r="N1763" s="16" t="n">
        <v>4.722946325e-06</v>
      </c>
      <c r="O1763" s="11" t="n">
        <v>279.4170665</v>
      </c>
      <c r="P1763" s="13">
        <f>N1763*86400</f>
        <v/>
      </c>
      <c r="Q1763" s="14">
        <f>O1763-273.15</f>
        <v/>
      </c>
    </row>
    <row r="1764">
      <c r="A1764" s="9" t="n">
        <v>38651</v>
      </c>
      <c r="B1764" s="7">
        <f>YEAR(A1764)</f>
        <v/>
      </c>
      <c r="C1764" s="7">
        <f>MONTH(A1764)</f>
        <v/>
      </c>
      <c r="D1764" s="10" t="n">
        <v>0</v>
      </c>
      <c r="E1764" s="11" t="n">
        <v>6.589559655</v>
      </c>
      <c r="F1764" s="12" t="n">
        <v>0.001475034188</v>
      </c>
      <c r="G1764" s="11" t="n">
        <v>281.3646064</v>
      </c>
      <c r="H1764" s="13">
        <f>F1764*1000</f>
        <v/>
      </c>
      <c r="I1764" s="14">
        <f>G1764-273.15</f>
        <v/>
      </c>
      <c r="K1764" s="15" t="n">
        <v>2005</v>
      </c>
      <c r="L1764" s="15" t="n">
        <v>11</v>
      </c>
      <c r="M1764" s="15" t="n">
        <v>20</v>
      </c>
      <c r="N1764" s="16" t="n">
        <v>0</v>
      </c>
      <c r="O1764" s="11" t="n">
        <v>280.4592014</v>
      </c>
      <c r="P1764" s="13">
        <f>N1764*86400</f>
        <v/>
      </c>
      <c r="Q1764" s="14">
        <f>O1764-273.15</f>
        <v/>
      </c>
    </row>
    <row r="1765">
      <c r="A1765" s="9" t="n">
        <v>38652</v>
      </c>
      <c r="B1765" s="7">
        <f>YEAR(A1765)</f>
        <v/>
      </c>
      <c r="C1765" s="7">
        <f>MONTH(A1765)</f>
        <v/>
      </c>
      <c r="D1765" s="10" t="n">
        <v>0</v>
      </c>
      <c r="E1765" s="11" t="n">
        <v>5.308249735</v>
      </c>
      <c r="F1765" s="12" t="n">
        <v>0</v>
      </c>
      <c r="G1765" s="11" t="n">
        <v>281.0466891</v>
      </c>
      <c r="H1765" s="13">
        <f>F1765*1000</f>
        <v/>
      </c>
      <c r="I1765" s="14">
        <f>G1765-273.15</f>
        <v/>
      </c>
      <c r="K1765" s="15" t="n">
        <v>2005</v>
      </c>
      <c r="L1765" s="15" t="n">
        <v>11</v>
      </c>
      <c r="M1765" s="15" t="n">
        <v>21</v>
      </c>
      <c r="N1765" s="16" t="n">
        <v>2.17307745e-05</v>
      </c>
      <c r="O1765" s="11" t="n">
        <v>282.6332893</v>
      </c>
      <c r="P1765" s="13">
        <f>N1765*86400</f>
        <v/>
      </c>
      <c r="Q1765" s="14">
        <f>O1765-273.15</f>
        <v/>
      </c>
    </row>
    <row r="1766">
      <c r="A1766" s="9" t="n">
        <v>38653</v>
      </c>
      <c r="B1766" s="7">
        <f>YEAR(A1766)</f>
        <v/>
      </c>
      <c r="C1766" s="7">
        <f>MONTH(A1766)</f>
        <v/>
      </c>
      <c r="D1766" s="10" t="n">
        <v>0</v>
      </c>
      <c r="E1766" s="11" t="n">
        <v>6.87041138</v>
      </c>
      <c r="F1766" s="12" t="n">
        <v>0</v>
      </c>
      <c r="G1766" s="11" t="n">
        <v>281.6188746</v>
      </c>
      <c r="H1766" s="13">
        <f>F1766*1000</f>
        <v/>
      </c>
      <c r="I1766" s="14">
        <f>G1766-273.15</f>
        <v/>
      </c>
      <c r="K1766" s="15" t="n">
        <v>2005</v>
      </c>
      <c r="L1766" s="15" t="n">
        <v>11</v>
      </c>
      <c r="M1766" s="15" t="n">
        <v>22</v>
      </c>
      <c r="N1766" s="16" t="n">
        <v>8.472405854000001e-06</v>
      </c>
      <c r="O1766" s="11" t="n">
        <v>282.8841295</v>
      </c>
      <c r="P1766" s="13">
        <f>N1766*86400</f>
        <v/>
      </c>
      <c r="Q1766" s="14">
        <f>O1766-273.15</f>
        <v/>
      </c>
    </row>
    <row r="1767">
      <c r="A1767" s="9" t="n">
        <v>38654</v>
      </c>
      <c r="B1767" s="7">
        <f>YEAR(A1767)</f>
        <v/>
      </c>
      <c r="C1767" s="7">
        <f>MONTH(A1767)</f>
        <v/>
      </c>
      <c r="D1767" s="10" t="n">
        <v>0</v>
      </c>
      <c r="E1767" s="11" t="n">
        <v>5.851671879</v>
      </c>
      <c r="F1767" s="12" t="n">
        <v>0</v>
      </c>
      <c r="G1767" s="11" t="n">
        <v>280.6007162</v>
      </c>
      <c r="H1767" s="13">
        <f>F1767*1000</f>
        <v/>
      </c>
      <c r="I1767" s="14">
        <f>G1767-273.15</f>
        <v/>
      </c>
      <c r="K1767" s="15" t="n">
        <v>2005</v>
      </c>
      <c r="L1767" s="15" t="n">
        <v>11</v>
      </c>
      <c r="M1767" s="15" t="n">
        <v>23</v>
      </c>
      <c r="N1767" s="16" t="n">
        <v>4.232775558e-06</v>
      </c>
      <c r="O1767" s="11" t="n">
        <v>284.0100107</v>
      </c>
      <c r="P1767" s="13">
        <f>N1767*86400</f>
        <v/>
      </c>
      <c r="Q1767" s="14">
        <f>O1767-273.15</f>
        <v/>
      </c>
    </row>
    <row r="1768">
      <c r="A1768" s="9" t="n">
        <v>38655</v>
      </c>
      <c r="B1768" s="7">
        <f>YEAR(A1768)</f>
        <v/>
      </c>
      <c r="C1768" s="7">
        <f>MONTH(A1768)</f>
        <v/>
      </c>
      <c r="D1768" s="10" t="n">
        <v>0</v>
      </c>
      <c r="E1768" s="11" t="n">
        <v>7.063902669</v>
      </c>
      <c r="F1768" s="12" t="n">
        <v>0</v>
      </c>
      <c r="G1768" s="11" t="n">
        <v>280.5668433</v>
      </c>
      <c r="H1768" s="13">
        <f>F1768*1000</f>
        <v/>
      </c>
      <c r="I1768" s="14">
        <f>G1768-273.15</f>
        <v/>
      </c>
      <c r="K1768" s="15" t="n">
        <v>2005</v>
      </c>
      <c r="L1768" s="15" t="n">
        <v>11</v>
      </c>
      <c r="M1768" s="15" t="n">
        <v>24</v>
      </c>
      <c r="N1768" s="16" t="n">
        <v>3.936424989e-07</v>
      </c>
      <c r="O1768" s="11" t="n">
        <v>281.2582466</v>
      </c>
      <c r="P1768" s="13">
        <f>N1768*86400</f>
        <v/>
      </c>
      <c r="Q1768" s="14">
        <f>O1768-273.15</f>
        <v/>
      </c>
    </row>
    <row r="1769">
      <c r="A1769" s="9" t="n">
        <v>38656</v>
      </c>
      <c r="B1769" s="7">
        <f>YEAR(A1769)</f>
        <v/>
      </c>
      <c r="C1769" s="7">
        <f>MONTH(A1769)</f>
        <v/>
      </c>
      <c r="D1769" s="10" t="n">
        <v>0</v>
      </c>
      <c r="E1769" s="11" t="n">
        <v>6.720302985</v>
      </c>
      <c r="F1769" s="12" t="n">
        <v>0</v>
      </c>
      <c r="G1769" s="11" t="n">
        <v>280.960799</v>
      </c>
      <c r="H1769" s="13">
        <f>F1769*1000</f>
        <v/>
      </c>
      <c r="I1769" s="14">
        <f>G1769-273.15</f>
        <v/>
      </c>
      <c r="K1769" s="15" t="n">
        <v>2005</v>
      </c>
      <c r="L1769" s="15" t="n">
        <v>11</v>
      </c>
      <c r="M1769" s="15" t="n">
        <v>25</v>
      </c>
      <c r="N1769" s="16" t="n">
        <v>6.198008477000001e-05</v>
      </c>
      <c r="O1769" s="11" t="n">
        <v>279.2846567</v>
      </c>
      <c r="P1769" s="13">
        <f>N1769*86400</f>
        <v/>
      </c>
      <c r="Q1769" s="14">
        <f>O1769-273.15</f>
        <v/>
      </c>
    </row>
    <row r="1770">
      <c r="A1770" s="9" t="n">
        <v>38657</v>
      </c>
      <c r="B1770" s="7">
        <f>YEAR(A1770)</f>
        <v/>
      </c>
      <c r="C1770" s="7">
        <f>MONTH(A1770)</f>
        <v/>
      </c>
      <c r="D1770" s="10" t="n">
        <v>0</v>
      </c>
      <c r="E1770" s="11" t="n">
        <v>4.868306588</v>
      </c>
      <c r="F1770" s="12" t="n">
        <v>0</v>
      </c>
      <c r="G1770" s="11" t="n">
        <v>280.7547377</v>
      </c>
      <c r="H1770" s="13">
        <f>F1770*1000</f>
        <v/>
      </c>
      <c r="I1770" s="14">
        <f>G1770-273.15</f>
        <v/>
      </c>
      <c r="K1770" s="15" t="n">
        <v>2005</v>
      </c>
      <c r="L1770" s="15" t="n">
        <v>11</v>
      </c>
      <c r="M1770" s="15" t="n">
        <v>26</v>
      </c>
      <c r="N1770" s="16" t="n">
        <v>0</v>
      </c>
      <c r="O1770" s="11" t="n">
        <v>279.9908801</v>
      </c>
      <c r="P1770" s="13">
        <f>N1770*86400</f>
        <v/>
      </c>
      <c r="Q1770" s="14">
        <f>O1770-273.15</f>
        <v/>
      </c>
    </row>
    <row r="1771">
      <c r="A1771" s="9" t="n">
        <v>38658</v>
      </c>
      <c r="B1771" s="7">
        <f>YEAR(A1771)</f>
        <v/>
      </c>
      <c r="C1771" s="7">
        <f>MONTH(A1771)</f>
        <v/>
      </c>
      <c r="D1771" s="10" t="n">
        <v>0</v>
      </c>
      <c r="E1771" s="11" t="n">
        <v>4.018392992</v>
      </c>
      <c r="F1771" s="12" t="n">
        <v>0</v>
      </c>
      <c r="G1771" s="11" t="n">
        <v>280.1003823</v>
      </c>
      <c r="H1771" s="13">
        <f>F1771*1000</f>
        <v/>
      </c>
      <c r="I1771" s="14">
        <f>G1771-273.15</f>
        <v/>
      </c>
      <c r="K1771" s="15" t="n">
        <v>2005</v>
      </c>
      <c r="L1771" s="15" t="n">
        <v>11</v>
      </c>
      <c r="M1771" s="15" t="n">
        <v>27</v>
      </c>
      <c r="N1771" s="16" t="n">
        <v>0</v>
      </c>
      <c r="O1771" s="11" t="n">
        <v>280.2744072</v>
      </c>
      <c r="P1771" s="13">
        <f>N1771*86400</f>
        <v/>
      </c>
      <c r="Q1771" s="14">
        <f>O1771-273.15</f>
        <v/>
      </c>
    </row>
    <row r="1772">
      <c r="A1772" s="9" t="n">
        <v>38659</v>
      </c>
      <c r="B1772" s="7">
        <f>YEAR(A1772)</f>
        <v/>
      </c>
      <c r="C1772" s="7">
        <f>MONTH(A1772)</f>
        <v/>
      </c>
      <c r="D1772" s="10" t="n">
        <v>0</v>
      </c>
      <c r="E1772" s="11" t="n">
        <v>3.399385207</v>
      </c>
      <c r="F1772" s="12" t="n">
        <v>0.0002056204079</v>
      </c>
      <c r="G1772" s="11" t="n">
        <v>278.3813785</v>
      </c>
      <c r="H1772" s="13">
        <f>F1772*1000</f>
        <v/>
      </c>
      <c r="I1772" s="14">
        <f>G1772-273.15</f>
        <v/>
      </c>
      <c r="K1772" s="15" t="n">
        <v>2005</v>
      </c>
      <c r="L1772" s="15" t="n">
        <v>11</v>
      </c>
      <c r="M1772" s="15" t="n">
        <v>28</v>
      </c>
      <c r="N1772" s="16" t="n">
        <v>0</v>
      </c>
      <c r="O1772" s="11" t="n">
        <v>280.6685959</v>
      </c>
      <c r="P1772" s="13">
        <f>N1772*86400</f>
        <v/>
      </c>
      <c r="Q1772" s="14">
        <f>O1772-273.15</f>
        <v/>
      </c>
    </row>
    <row r="1773">
      <c r="A1773" s="9" t="n">
        <v>38660</v>
      </c>
      <c r="B1773" s="7">
        <f>YEAR(A1773)</f>
        <v/>
      </c>
      <c r="C1773" s="7">
        <f>MONTH(A1773)</f>
        <v/>
      </c>
      <c r="D1773" s="10" t="n">
        <v>0</v>
      </c>
      <c r="E1773" s="11" t="n">
        <v>6.1400756</v>
      </c>
      <c r="F1773" s="12" t="n">
        <v>0</v>
      </c>
      <c r="G1773" s="11" t="n">
        <v>279.2430727</v>
      </c>
      <c r="H1773" s="13">
        <f>F1773*1000</f>
        <v/>
      </c>
      <c r="I1773" s="14">
        <f>G1773-273.15</f>
        <v/>
      </c>
      <c r="K1773" s="15" t="n">
        <v>2005</v>
      </c>
      <c r="L1773" s="15" t="n">
        <v>11</v>
      </c>
      <c r="M1773" s="15" t="n">
        <v>29</v>
      </c>
      <c r="N1773" s="16" t="n">
        <v>0.0001094669019</v>
      </c>
      <c r="O1773" s="11" t="n">
        <v>281.4326829</v>
      </c>
      <c r="P1773" s="13">
        <f>N1773*86400</f>
        <v/>
      </c>
      <c r="Q1773" s="14">
        <f>O1773-273.15</f>
        <v/>
      </c>
    </row>
    <row r="1774">
      <c r="A1774" s="9" t="n">
        <v>38661</v>
      </c>
      <c r="B1774" s="7">
        <f>YEAR(A1774)</f>
        <v/>
      </c>
      <c r="C1774" s="7">
        <f>MONTH(A1774)</f>
        <v/>
      </c>
      <c r="D1774" s="10" t="n">
        <v>0</v>
      </c>
      <c r="E1774" s="11" t="n">
        <v>5.347320177</v>
      </c>
      <c r="F1774" s="12" t="n">
        <v>0.001478257065</v>
      </c>
      <c r="G1774" s="11" t="n">
        <v>278.6925466</v>
      </c>
      <c r="H1774" s="13">
        <f>F1774*1000</f>
        <v/>
      </c>
      <c r="I1774" s="14">
        <f>G1774-273.15</f>
        <v/>
      </c>
      <c r="K1774" s="15" t="n">
        <v>2005</v>
      </c>
      <c r="L1774" s="15" t="n">
        <v>11</v>
      </c>
      <c r="M1774" s="15" t="n">
        <v>30</v>
      </c>
      <c r="N1774" s="16" t="n">
        <v>6.839703503e-06</v>
      </c>
      <c r="O1774" s="11" t="n">
        <v>279.3193306</v>
      </c>
      <c r="P1774" s="13">
        <f>N1774*86400</f>
        <v/>
      </c>
      <c r="Q1774" s="14">
        <f>O1774-273.15</f>
        <v/>
      </c>
    </row>
    <row r="1775">
      <c r="A1775" s="9" t="n">
        <v>38662</v>
      </c>
      <c r="B1775" s="7">
        <f>YEAR(A1775)</f>
        <v/>
      </c>
      <c r="C1775" s="7">
        <f>MONTH(A1775)</f>
        <v/>
      </c>
      <c r="D1775" s="10" t="n">
        <v>0</v>
      </c>
      <c r="E1775" s="11" t="n">
        <v>6.84299533</v>
      </c>
      <c r="F1775" s="12" t="n">
        <v>0</v>
      </c>
      <c r="G1775" s="11" t="n">
        <v>280.738263</v>
      </c>
      <c r="H1775" s="13">
        <f>F1775*1000</f>
        <v/>
      </c>
      <c r="I1775" s="14">
        <f>G1775-273.15</f>
        <v/>
      </c>
      <c r="K1775" s="15" t="n">
        <v>2005</v>
      </c>
      <c r="L1775" s="15" t="n">
        <v>12</v>
      </c>
      <c r="M1775" s="15" t="n">
        <v>1</v>
      </c>
      <c r="N1775" s="16" t="n">
        <v>3.91324e-05</v>
      </c>
      <c r="O1775" s="11" t="n">
        <v>276.6798204</v>
      </c>
      <c r="P1775" s="13">
        <f>N1775*86400</f>
        <v/>
      </c>
      <c r="Q1775" s="14">
        <f>O1775-273.15</f>
        <v/>
      </c>
    </row>
    <row r="1776">
      <c r="A1776" s="9" t="n">
        <v>38663</v>
      </c>
      <c r="B1776" s="7">
        <f>YEAR(A1776)</f>
        <v/>
      </c>
      <c r="C1776" s="7">
        <f>MONTH(A1776)</f>
        <v/>
      </c>
      <c r="D1776" s="10" t="n">
        <v>0</v>
      </c>
      <c r="E1776" s="11" t="n">
        <v>5.636170129</v>
      </c>
      <c r="F1776" s="12" t="n">
        <v>0</v>
      </c>
      <c r="G1776" s="11" t="n">
        <v>279.5996432</v>
      </c>
      <c r="H1776" s="13">
        <f>F1776*1000</f>
        <v/>
      </c>
      <c r="I1776" s="14">
        <f>G1776-273.15</f>
        <v/>
      </c>
      <c r="K1776" s="15" t="n">
        <v>2005</v>
      </c>
      <c r="L1776" s="15" t="n">
        <v>12</v>
      </c>
      <c r="M1776" s="15" t="n">
        <v>2</v>
      </c>
      <c r="N1776" s="16" t="n">
        <v>0</v>
      </c>
      <c r="O1776" s="11" t="n">
        <v>276.2791492</v>
      </c>
      <c r="P1776" s="13">
        <f>N1776*86400</f>
        <v/>
      </c>
      <c r="Q1776" s="14">
        <f>O1776-273.15</f>
        <v/>
      </c>
    </row>
    <row r="1777">
      <c r="A1777" s="9" t="n">
        <v>38664</v>
      </c>
      <c r="B1777" s="7">
        <f>YEAR(A1777)</f>
        <v/>
      </c>
      <c r="C1777" s="7">
        <f>MONTH(A1777)</f>
        <v/>
      </c>
      <c r="D1777" s="10" t="n">
        <v>0</v>
      </c>
      <c r="E1777" s="11" t="n">
        <v>4.223562151</v>
      </c>
      <c r="F1777" s="12" t="n">
        <v>0.003518095667</v>
      </c>
      <c r="G1777" s="11" t="n">
        <v>279.3843856</v>
      </c>
      <c r="H1777" s="13">
        <f>F1777*1000</f>
        <v/>
      </c>
      <c r="I1777" s="14">
        <f>G1777-273.15</f>
        <v/>
      </c>
      <c r="K1777" s="15" t="n">
        <v>2005</v>
      </c>
      <c r="L1777" s="15" t="n">
        <v>12</v>
      </c>
      <c r="M1777" s="15" t="n">
        <v>3</v>
      </c>
      <c r="N1777" s="16" t="n">
        <v>0</v>
      </c>
      <c r="O1777" s="11" t="n">
        <v>279.2986964</v>
      </c>
      <c r="P1777" s="13">
        <f>N1777*86400</f>
        <v/>
      </c>
      <c r="Q1777" s="14">
        <f>O1777-273.15</f>
        <v/>
      </c>
    </row>
    <row r="1778">
      <c r="A1778" s="9" t="n">
        <v>38665</v>
      </c>
      <c r="B1778" s="7">
        <f>YEAR(A1778)</f>
        <v/>
      </c>
      <c r="C1778" s="7">
        <f>MONTH(A1778)</f>
        <v/>
      </c>
      <c r="D1778" s="10" t="n">
        <v>0</v>
      </c>
      <c r="E1778" s="11" t="n">
        <v>5.244384386</v>
      </c>
      <c r="F1778" s="12" t="n">
        <v>0</v>
      </c>
      <c r="G1778" s="11" t="n">
        <v>279.4179394</v>
      </c>
      <c r="H1778" s="13">
        <f>F1778*1000</f>
        <v/>
      </c>
      <c r="I1778" s="14">
        <f>G1778-273.15</f>
        <v/>
      </c>
      <c r="K1778" s="15" t="n">
        <v>2005</v>
      </c>
      <c r="L1778" s="15" t="n">
        <v>12</v>
      </c>
      <c r="M1778" s="15" t="n">
        <v>4</v>
      </c>
      <c r="N1778" s="16" t="n">
        <v>0</v>
      </c>
      <c r="O1778" s="11" t="n">
        <v>280.9176826</v>
      </c>
      <c r="P1778" s="13">
        <f>N1778*86400</f>
        <v/>
      </c>
      <c r="Q1778" s="14">
        <f>O1778-273.15</f>
        <v/>
      </c>
    </row>
    <row r="1779">
      <c r="A1779" s="9" t="n">
        <v>38666</v>
      </c>
      <c r="B1779" s="7">
        <f>YEAR(A1779)</f>
        <v/>
      </c>
      <c r="C1779" s="7">
        <f>MONTH(A1779)</f>
        <v/>
      </c>
      <c r="D1779" s="10" t="n">
        <v>5.002789522</v>
      </c>
      <c r="E1779" s="11" t="n">
        <v>6.27486497</v>
      </c>
      <c r="F1779" s="12" t="n">
        <v>1.451222179e-05</v>
      </c>
      <c r="G1779" s="11" t="n">
        <v>280.8281456</v>
      </c>
      <c r="H1779" s="13">
        <f>F1779*1000</f>
        <v/>
      </c>
      <c r="I1779" s="14">
        <f>G1779-273.15</f>
        <v/>
      </c>
      <c r="K1779" s="15" t="n">
        <v>2005</v>
      </c>
      <c r="L1779" s="15" t="n">
        <v>12</v>
      </c>
      <c r="M1779" s="15" t="n">
        <v>5</v>
      </c>
      <c r="N1779" s="16" t="n">
        <v>0</v>
      </c>
      <c r="O1779" s="11" t="n">
        <v>278.9027855</v>
      </c>
      <c r="P1779" s="13">
        <f>N1779*86400</f>
        <v/>
      </c>
      <c r="Q1779" s="14">
        <f>O1779-273.15</f>
        <v/>
      </c>
    </row>
    <row r="1780">
      <c r="A1780" s="9" t="n">
        <v>38667</v>
      </c>
      <c r="B1780" s="7">
        <f>YEAR(A1780)</f>
        <v/>
      </c>
      <c r="C1780" s="7">
        <f>MONTH(A1780)</f>
        <v/>
      </c>
      <c r="D1780" s="10" t="n">
        <v>5.294708303</v>
      </c>
      <c r="E1780" s="11" t="n">
        <v>5.525126367</v>
      </c>
      <c r="F1780" s="12" t="n">
        <v>0.006406419555</v>
      </c>
      <c r="G1780" s="11" t="n">
        <v>280.3942537</v>
      </c>
      <c r="H1780" s="13">
        <f>F1780*1000</f>
        <v/>
      </c>
      <c r="I1780" s="14">
        <f>G1780-273.15</f>
        <v/>
      </c>
      <c r="K1780" s="15" t="n">
        <v>2005</v>
      </c>
      <c r="L1780" s="15" t="n">
        <v>12</v>
      </c>
      <c r="M1780" s="15" t="n">
        <v>6</v>
      </c>
      <c r="N1780" s="16" t="n">
        <v>0</v>
      </c>
      <c r="O1780" s="11" t="n">
        <v>278.4791997</v>
      </c>
      <c r="P1780" s="13">
        <f>N1780*86400</f>
        <v/>
      </c>
      <c r="Q1780" s="14">
        <f>O1780-273.15</f>
        <v/>
      </c>
    </row>
    <row r="1781">
      <c r="A1781" s="9" t="n">
        <v>38668</v>
      </c>
      <c r="B1781" s="7">
        <f>YEAR(A1781)</f>
        <v/>
      </c>
      <c r="C1781" s="7">
        <f>MONTH(A1781)</f>
        <v/>
      </c>
      <c r="D1781" s="10" t="n">
        <v>0</v>
      </c>
      <c r="E1781" s="11" t="n">
        <v>8.725938287</v>
      </c>
      <c r="F1781" s="12" t="n">
        <v>0</v>
      </c>
      <c r="G1781" s="11" t="n">
        <v>282.7806524</v>
      </c>
      <c r="H1781" s="13">
        <f>F1781*1000</f>
        <v/>
      </c>
      <c r="I1781" s="14">
        <f>G1781-273.15</f>
        <v/>
      </c>
      <c r="K1781" s="15" t="n">
        <v>2005</v>
      </c>
      <c r="L1781" s="15" t="n">
        <v>12</v>
      </c>
      <c r="M1781" s="15" t="n">
        <v>7</v>
      </c>
      <c r="N1781" s="16" t="n">
        <v>0</v>
      </c>
      <c r="O1781" s="11" t="n">
        <v>281.786118</v>
      </c>
      <c r="P1781" s="13">
        <f>N1781*86400</f>
        <v/>
      </c>
      <c r="Q1781" s="14">
        <f>O1781-273.15</f>
        <v/>
      </c>
    </row>
    <row r="1782">
      <c r="A1782" s="9" t="n">
        <v>38669</v>
      </c>
      <c r="B1782" s="7">
        <f>YEAR(A1782)</f>
        <v/>
      </c>
      <c r="C1782" s="7">
        <f>MONTH(A1782)</f>
        <v/>
      </c>
      <c r="D1782" s="10" t="n">
        <v>0</v>
      </c>
      <c r="E1782" s="11" t="n">
        <v>6.991116986</v>
      </c>
      <c r="F1782" s="12" t="n">
        <v>0</v>
      </c>
      <c r="G1782" s="11" t="n">
        <v>281.2940832</v>
      </c>
      <c r="H1782" s="13">
        <f>F1782*1000</f>
        <v/>
      </c>
      <c r="I1782" s="14">
        <f>G1782-273.15</f>
        <v/>
      </c>
      <c r="K1782" s="15" t="n">
        <v>2005</v>
      </c>
      <c r="L1782" s="15" t="n">
        <v>12</v>
      </c>
      <c r="M1782" s="15" t="n">
        <v>8</v>
      </c>
      <c r="N1782" s="16" t="n">
        <v>0</v>
      </c>
      <c r="O1782" s="11" t="n">
        <v>282.1732758</v>
      </c>
      <c r="P1782" s="13">
        <f>N1782*86400</f>
        <v/>
      </c>
      <c r="Q1782" s="14">
        <f>O1782-273.15</f>
        <v/>
      </c>
    </row>
    <row r="1783">
      <c r="A1783" s="9" t="n">
        <v>38670</v>
      </c>
      <c r="B1783" s="7">
        <f>YEAR(A1783)</f>
        <v/>
      </c>
      <c r="C1783" s="7">
        <f>MONTH(A1783)</f>
        <v/>
      </c>
      <c r="D1783" s="10" t="n">
        <v>0</v>
      </c>
      <c r="E1783" s="11" t="n">
        <v>8.094095887</v>
      </c>
      <c r="F1783" s="12" t="n">
        <v>0</v>
      </c>
      <c r="G1783" s="11" t="n">
        <v>282.3528442</v>
      </c>
      <c r="H1783" s="13">
        <f>F1783*1000</f>
        <v/>
      </c>
      <c r="I1783" s="14">
        <f>G1783-273.15</f>
        <v/>
      </c>
      <c r="K1783" s="15" t="n">
        <v>2005</v>
      </c>
      <c r="L1783" s="15" t="n">
        <v>12</v>
      </c>
      <c r="M1783" s="15" t="n">
        <v>9</v>
      </c>
      <c r="N1783" s="16" t="n">
        <v>8.357282980000001e-07</v>
      </c>
      <c r="O1783" s="11" t="n">
        <v>280.3892842</v>
      </c>
      <c r="P1783" s="13">
        <f>N1783*86400</f>
        <v/>
      </c>
      <c r="Q1783" s="14">
        <f>O1783-273.15</f>
        <v/>
      </c>
    </row>
    <row r="1784">
      <c r="A1784" s="9" t="n">
        <v>38671</v>
      </c>
      <c r="B1784" s="7">
        <f>YEAR(A1784)</f>
        <v/>
      </c>
      <c r="C1784" s="7">
        <f>MONTH(A1784)</f>
        <v/>
      </c>
      <c r="D1784" s="10" t="n">
        <v>13.70815123</v>
      </c>
      <c r="E1784" s="11" t="n">
        <v>7.347551089</v>
      </c>
      <c r="F1784" s="12" t="n">
        <v>0.008403254818</v>
      </c>
      <c r="G1784" s="11" t="n">
        <v>281.7521015</v>
      </c>
      <c r="H1784" s="13">
        <f>F1784*1000</f>
        <v/>
      </c>
      <c r="I1784" s="14">
        <f>G1784-273.15</f>
        <v/>
      </c>
      <c r="K1784" s="15" t="n">
        <v>2005</v>
      </c>
      <c r="L1784" s="15" t="n">
        <v>12</v>
      </c>
      <c r="M1784" s="15" t="n">
        <v>10</v>
      </c>
      <c r="N1784" s="16" t="n">
        <v>0</v>
      </c>
      <c r="O1784" s="11" t="n">
        <v>281.3414766</v>
      </c>
      <c r="P1784" s="13">
        <f>N1784*86400</f>
        <v/>
      </c>
      <c r="Q1784" s="14">
        <f>O1784-273.15</f>
        <v/>
      </c>
    </row>
    <row r="1785">
      <c r="A1785" s="9" t="n">
        <v>38672</v>
      </c>
      <c r="B1785" s="7">
        <f>YEAR(A1785)</f>
        <v/>
      </c>
      <c r="C1785" s="7">
        <f>MONTH(A1785)</f>
        <v/>
      </c>
      <c r="D1785" s="10" t="n">
        <v>14.58142481</v>
      </c>
      <c r="E1785" s="11" t="n">
        <v>5.474319223</v>
      </c>
      <c r="F1785" s="12" t="n">
        <v>0.01049442758</v>
      </c>
      <c r="G1785" s="11" t="n">
        <v>279.6583687</v>
      </c>
      <c r="H1785" s="13">
        <f>F1785*1000</f>
        <v/>
      </c>
      <c r="I1785" s="14">
        <f>G1785-273.15</f>
        <v/>
      </c>
      <c r="K1785" s="15" t="n">
        <v>2005</v>
      </c>
      <c r="L1785" s="15" t="n">
        <v>12</v>
      </c>
      <c r="M1785" s="15" t="n">
        <v>11</v>
      </c>
      <c r="N1785" s="16" t="n">
        <v>0</v>
      </c>
      <c r="O1785" s="11" t="n">
        <v>281.7622138</v>
      </c>
      <c r="P1785" s="13">
        <f>N1785*86400</f>
        <v/>
      </c>
      <c r="Q1785" s="14">
        <f>O1785-273.15</f>
        <v/>
      </c>
    </row>
    <row r="1786">
      <c r="A1786" s="9" t="n">
        <v>38673</v>
      </c>
      <c r="B1786" s="7">
        <f>YEAR(A1786)</f>
        <v/>
      </c>
      <c r="C1786" s="7">
        <f>MONTH(A1786)</f>
        <v/>
      </c>
      <c r="D1786" s="10" t="n">
        <v>4.144376688</v>
      </c>
      <c r="E1786" s="11" t="n">
        <v>5.837666913</v>
      </c>
      <c r="F1786" s="12" t="n">
        <v>0.003862925669</v>
      </c>
      <c r="G1786" s="11" t="n">
        <v>280.5526825</v>
      </c>
      <c r="H1786" s="13">
        <f>F1786*1000</f>
        <v/>
      </c>
      <c r="I1786" s="14">
        <f>G1786-273.15</f>
        <v/>
      </c>
      <c r="K1786" s="15" t="n">
        <v>2005</v>
      </c>
      <c r="L1786" s="15" t="n">
        <v>12</v>
      </c>
      <c r="M1786" s="15" t="n">
        <v>12</v>
      </c>
      <c r="N1786" s="16" t="n">
        <v>0</v>
      </c>
      <c r="O1786" s="11" t="n">
        <v>282.8240408</v>
      </c>
      <c r="P1786" s="13">
        <f>N1786*86400</f>
        <v/>
      </c>
      <c r="Q1786" s="14">
        <f>O1786-273.15</f>
        <v/>
      </c>
    </row>
    <row r="1787">
      <c r="A1787" s="9" t="n">
        <v>38674</v>
      </c>
      <c r="B1787" s="7">
        <f>YEAR(A1787)</f>
        <v/>
      </c>
      <c r="C1787" s="7">
        <f>MONTH(A1787)</f>
        <v/>
      </c>
      <c r="D1787" s="10" t="n">
        <v>0</v>
      </c>
      <c r="E1787" s="11" t="n">
        <v>4.520614961</v>
      </c>
      <c r="F1787" s="12" t="n">
        <v>0.0003410479748</v>
      </c>
      <c r="G1787" s="11" t="n">
        <v>279.1633215</v>
      </c>
      <c r="H1787" s="13">
        <f>F1787*1000</f>
        <v/>
      </c>
      <c r="I1787" s="14">
        <f>G1787-273.15</f>
        <v/>
      </c>
      <c r="K1787" s="15" t="n">
        <v>2005</v>
      </c>
      <c r="L1787" s="15" t="n">
        <v>12</v>
      </c>
      <c r="M1787" s="15" t="n">
        <v>13</v>
      </c>
      <c r="N1787" s="16" t="n">
        <v>2.241737853e-07</v>
      </c>
      <c r="O1787" s="11" t="n">
        <v>280.7701437</v>
      </c>
      <c r="P1787" s="13">
        <f>N1787*86400</f>
        <v/>
      </c>
      <c r="Q1787" s="14">
        <f>O1787-273.15</f>
        <v/>
      </c>
    </row>
    <row r="1788">
      <c r="A1788" s="9" t="n">
        <v>38675</v>
      </c>
      <c r="B1788" s="7">
        <f>YEAR(A1788)</f>
        <v/>
      </c>
      <c r="C1788" s="7">
        <f>MONTH(A1788)</f>
        <v/>
      </c>
      <c r="D1788" s="10" t="n">
        <v>0</v>
      </c>
      <c r="E1788" s="11" t="n">
        <v>3.690039347</v>
      </c>
      <c r="F1788" s="12" t="n">
        <v>0</v>
      </c>
      <c r="G1788" s="11" t="n">
        <v>279.0689657</v>
      </c>
      <c r="H1788" s="13">
        <f>F1788*1000</f>
        <v/>
      </c>
      <c r="I1788" s="14">
        <f>G1788-273.15</f>
        <v/>
      </c>
      <c r="K1788" s="15" t="n">
        <v>2005</v>
      </c>
      <c r="L1788" s="15" t="n">
        <v>12</v>
      </c>
      <c r="M1788" s="15" t="n">
        <v>14</v>
      </c>
      <c r="N1788" s="16" t="n">
        <v>1.899134093e-06</v>
      </c>
      <c r="O1788" s="11" t="n">
        <v>280.846539</v>
      </c>
      <c r="P1788" s="13">
        <f>N1788*86400</f>
        <v/>
      </c>
      <c r="Q1788" s="14">
        <f>O1788-273.15</f>
        <v/>
      </c>
    </row>
    <row r="1789">
      <c r="A1789" s="9" t="n">
        <v>38676</v>
      </c>
      <c r="B1789" s="7">
        <f>YEAR(A1789)</f>
        <v/>
      </c>
      <c r="C1789" s="7">
        <f>MONTH(A1789)</f>
        <v/>
      </c>
      <c r="D1789" s="10" t="n">
        <v>0</v>
      </c>
      <c r="E1789" s="11" t="n">
        <v>5.851113847</v>
      </c>
      <c r="F1789" s="12" t="n">
        <v>0</v>
      </c>
      <c r="G1789" s="11" t="n">
        <v>281.0274016</v>
      </c>
      <c r="H1789" s="13">
        <f>F1789*1000</f>
        <v/>
      </c>
      <c r="I1789" s="14">
        <f>G1789-273.15</f>
        <v/>
      </c>
      <c r="K1789" s="15" t="n">
        <v>2005</v>
      </c>
      <c r="L1789" s="15" t="n">
        <v>12</v>
      </c>
      <c r="M1789" s="15" t="n">
        <v>15</v>
      </c>
      <c r="N1789" s="16" t="n">
        <v>3.848345869e-05</v>
      </c>
      <c r="O1789" s="11" t="n">
        <v>281.5199684</v>
      </c>
      <c r="P1789" s="13">
        <f>N1789*86400</f>
        <v/>
      </c>
      <c r="Q1789" s="14">
        <f>O1789-273.15</f>
        <v/>
      </c>
    </row>
    <row r="1790">
      <c r="A1790" s="9" t="n">
        <v>38677</v>
      </c>
      <c r="B1790" s="7">
        <f>YEAR(A1790)</f>
        <v/>
      </c>
      <c r="C1790" s="7">
        <f>MONTH(A1790)</f>
        <v/>
      </c>
      <c r="D1790" s="10" t="n">
        <v>4.827159585</v>
      </c>
      <c r="E1790" s="11" t="n">
        <v>7.663533741</v>
      </c>
      <c r="F1790" s="12" t="n">
        <v>0.001165673041</v>
      </c>
      <c r="G1790" s="11" t="n">
        <v>281.6461072</v>
      </c>
      <c r="H1790" s="13">
        <f>F1790*1000</f>
        <v/>
      </c>
      <c r="I1790" s="14">
        <f>G1790-273.15</f>
        <v/>
      </c>
      <c r="K1790" s="15" t="n">
        <v>2005</v>
      </c>
      <c r="L1790" s="15" t="n">
        <v>12</v>
      </c>
      <c r="M1790" s="15" t="n">
        <v>16</v>
      </c>
      <c r="N1790" s="16" t="n">
        <v>5.907344768e-05</v>
      </c>
      <c r="O1790" s="11" t="n">
        <v>281.6903757</v>
      </c>
      <c r="P1790" s="13">
        <f>N1790*86400</f>
        <v/>
      </c>
      <c r="Q1790" s="14">
        <f>O1790-273.15</f>
        <v/>
      </c>
    </row>
    <row r="1791">
      <c r="A1791" s="9" t="n">
        <v>38678</v>
      </c>
      <c r="B1791" s="7">
        <f>YEAR(A1791)</f>
        <v/>
      </c>
      <c r="C1791" s="7">
        <f>MONTH(A1791)</f>
        <v/>
      </c>
      <c r="D1791" s="10" t="n">
        <v>0</v>
      </c>
      <c r="E1791" s="11" t="n">
        <v>7.001191845</v>
      </c>
      <c r="F1791" s="12" t="n">
        <v>6.163905440999999e-05</v>
      </c>
      <c r="G1791" s="11" t="n">
        <v>282.5466431</v>
      </c>
      <c r="H1791" s="13">
        <f>F1791*1000</f>
        <v/>
      </c>
      <c r="I1791" s="14">
        <f>G1791-273.15</f>
        <v/>
      </c>
      <c r="K1791" s="15" t="n">
        <v>2005</v>
      </c>
      <c r="L1791" s="15" t="n">
        <v>12</v>
      </c>
      <c r="M1791" s="15" t="n">
        <v>17</v>
      </c>
      <c r="N1791" s="16" t="n">
        <v>1.533317325e-05</v>
      </c>
      <c r="O1791" s="11" t="n">
        <v>278.7701037</v>
      </c>
      <c r="P1791" s="13">
        <f>N1791*86400</f>
        <v/>
      </c>
      <c r="Q1791" s="14">
        <f>O1791-273.15</f>
        <v/>
      </c>
    </row>
    <row r="1792">
      <c r="A1792" s="9" t="n">
        <v>38679</v>
      </c>
      <c r="B1792" s="7">
        <f>YEAR(A1792)</f>
        <v/>
      </c>
      <c r="C1792" s="7">
        <f>MONTH(A1792)</f>
        <v/>
      </c>
      <c r="D1792" s="10" t="n">
        <v>0</v>
      </c>
      <c r="E1792" s="11" t="n">
        <v>4.948446584</v>
      </c>
      <c r="F1792" s="12" t="n">
        <v>0</v>
      </c>
      <c r="G1792" s="11" t="n">
        <v>280.9377277</v>
      </c>
      <c r="H1792" s="13">
        <f>F1792*1000</f>
        <v/>
      </c>
      <c r="I1792" s="14">
        <f>G1792-273.15</f>
        <v/>
      </c>
      <c r="K1792" s="15" t="n">
        <v>2005</v>
      </c>
      <c r="L1792" s="15" t="n">
        <v>12</v>
      </c>
      <c r="M1792" s="15" t="n">
        <v>18</v>
      </c>
      <c r="N1792" s="16" t="n">
        <v>1.098858577e-05</v>
      </c>
      <c r="O1792" s="11" t="n">
        <v>278.3595136</v>
      </c>
      <c r="P1792" s="13">
        <f>N1792*86400</f>
        <v/>
      </c>
      <c r="Q1792" s="14">
        <f>O1792-273.15</f>
        <v/>
      </c>
    </row>
    <row r="1793">
      <c r="A1793" s="9" t="n">
        <v>38680</v>
      </c>
      <c r="B1793" s="7">
        <f>YEAR(A1793)</f>
        <v/>
      </c>
      <c r="C1793" s="7">
        <f>MONTH(A1793)</f>
        <v/>
      </c>
      <c r="D1793" s="10" t="n">
        <v>0</v>
      </c>
      <c r="E1793" s="11" t="n">
        <v>3.334678409</v>
      </c>
      <c r="F1793" s="12" t="n">
        <v>0</v>
      </c>
      <c r="G1793" s="11" t="n">
        <v>278.8743787</v>
      </c>
      <c r="H1793" s="13">
        <f>F1793*1000</f>
        <v/>
      </c>
      <c r="I1793" s="14">
        <f>G1793-273.15</f>
        <v/>
      </c>
      <c r="K1793" s="15" t="n">
        <v>2005</v>
      </c>
      <c r="L1793" s="15" t="n">
        <v>12</v>
      </c>
      <c r="M1793" s="15" t="n">
        <v>19</v>
      </c>
      <c r="N1793" s="16" t="n">
        <v>2.427940998e-05</v>
      </c>
      <c r="O1793" s="11" t="n">
        <v>276.4959366</v>
      </c>
      <c r="P1793" s="13">
        <f>N1793*86400</f>
        <v/>
      </c>
      <c r="Q1793" s="14">
        <f>O1793-273.15</f>
        <v/>
      </c>
    </row>
    <row r="1794">
      <c r="A1794" s="9" t="n">
        <v>38681</v>
      </c>
      <c r="B1794" s="7">
        <f>YEAR(A1794)</f>
        <v/>
      </c>
      <c r="C1794" s="7">
        <f>MONTH(A1794)</f>
        <v/>
      </c>
      <c r="D1794" s="10" t="n">
        <v>0</v>
      </c>
      <c r="E1794" s="11" t="n">
        <v>2.133850152</v>
      </c>
      <c r="F1794" s="12" t="n">
        <v>0</v>
      </c>
      <c r="G1794" s="11" t="n">
        <v>278.1191404</v>
      </c>
      <c r="H1794" s="13">
        <f>F1794*1000</f>
        <v/>
      </c>
      <c r="I1794" s="14">
        <f>G1794-273.15</f>
        <v/>
      </c>
      <c r="K1794" s="15" t="n">
        <v>2005</v>
      </c>
      <c r="L1794" s="15" t="n">
        <v>12</v>
      </c>
      <c r="M1794" s="15" t="n">
        <v>20</v>
      </c>
      <c r="N1794" s="16" t="n">
        <v>3.526061578e-05</v>
      </c>
      <c r="O1794" s="11" t="n">
        <v>278.5760786</v>
      </c>
      <c r="P1794" s="13">
        <f>N1794*86400</f>
        <v/>
      </c>
      <c r="Q1794" s="14">
        <f>O1794-273.15</f>
        <v/>
      </c>
    </row>
    <row r="1795">
      <c r="A1795" s="9" t="n">
        <v>38682</v>
      </c>
      <c r="B1795" s="7">
        <f>YEAR(A1795)</f>
        <v/>
      </c>
      <c r="C1795" s="7">
        <f>MONTH(A1795)</f>
        <v/>
      </c>
      <c r="D1795" s="10" t="n">
        <v>0</v>
      </c>
      <c r="E1795" s="11" t="n">
        <v>3.649127536</v>
      </c>
      <c r="F1795" s="12" t="n">
        <v>0</v>
      </c>
      <c r="G1795" s="11" t="n">
        <v>279.9394236</v>
      </c>
      <c r="H1795" s="13">
        <f>F1795*1000</f>
        <v/>
      </c>
      <c r="I1795" s="14">
        <f>G1795-273.15</f>
        <v/>
      </c>
      <c r="K1795" s="15" t="n">
        <v>2005</v>
      </c>
      <c r="L1795" s="15" t="n">
        <v>12</v>
      </c>
      <c r="M1795" s="15" t="n">
        <v>21</v>
      </c>
      <c r="N1795" s="16" t="n">
        <v>5.25791362e-05</v>
      </c>
      <c r="O1795" s="11" t="n">
        <v>279.4773448</v>
      </c>
      <c r="P1795" s="13">
        <f>N1795*86400</f>
        <v/>
      </c>
      <c r="Q1795" s="14">
        <f>O1795-273.15</f>
        <v/>
      </c>
    </row>
    <row r="1796">
      <c r="A1796" s="9" t="n">
        <v>38683</v>
      </c>
      <c r="B1796" s="7">
        <f>YEAR(A1796)</f>
        <v/>
      </c>
      <c r="C1796" s="7">
        <f>MONTH(A1796)</f>
        <v/>
      </c>
      <c r="D1796" s="10" t="n">
        <v>0</v>
      </c>
      <c r="E1796" s="11" t="n">
        <v>3.629616373</v>
      </c>
      <c r="F1796" s="12" t="n">
        <v>0</v>
      </c>
      <c r="G1796" s="11" t="n">
        <v>280.3416864</v>
      </c>
      <c r="H1796" s="13">
        <f>F1796*1000</f>
        <v/>
      </c>
      <c r="I1796" s="14">
        <f>G1796-273.15</f>
        <v/>
      </c>
      <c r="K1796" s="15" t="n">
        <v>2005</v>
      </c>
      <c r="L1796" s="15" t="n">
        <v>12</v>
      </c>
      <c r="M1796" s="15" t="n">
        <v>22</v>
      </c>
      <c r="N1796" s="16" t="n">
        <v>2.172092215e-05</v>
      </c>
      <c r="O1796" s="11" t="n">
        <v>279.9932979</v>
      </c>
      <c r="P1796" s="13">
        <f>N1796*86400</f>
        <v/>
      </c>
      <c r="Q1796" s="14">
        <f>O1796-273.15</f>
        <v/>
      </c>
    </row>
    <row r="1797">
      <c r="A1797" s="9" t="n">
        <v>38684</v>
      </c>
      <c r="B1797" s="7">
        <f>YEAR(A1797)</f>
        <v/>
      </c>
      <c r="C1797" s="7">
        <f>MONTH(A1797)</f>
        <v/>
      </c>
      <c r="D1797" s="10" t="n">
        <v>0</v>
      </c>
      <c r="E1797" s="11" t="n">
        <v>5.095654671</v>
      </c>
      <c r="F1797" s="12" t="n">
        <v>0</v>
      </c>
      <c r="G1797" s="11" t="n">
        <v>281.1642897</v>
      </c>
      <c r="H1797" s="13">
        <f>F1797*1000</f>
        <v/>
      </c>
      <c r="I1797" s="14">
        <f>G1797-273.15</f>
        <v/>
      </c>
      <c r="K1797" s="15" t="n">
        <v>2005</v>
      </c>
      <c r="L1797" s="15" t="n">
        <v>12</v>
      </c>
      <c r="M1797" s="15" t="n">
        <v>23</v>
      </c>
      <c r="N1797" s="16" t="n">
        <v>5.620150667e-05</v>
      </c>
      <c r="O1797" s="11" t="n">
        <v>280.6859802</v>
      </c>
      <c r="P1797" s="13">
        <f>N1797*86400</f>
        <v/>
      </c>
      <c r="Q1797" s="14">
        <f>O1797-273.15</f>
        <v/>
      </c>
    </row>
    <row r="1798">
      <c r="A1798" s="9" t="n">
        <v>38685</v>
      </c>
      <c r="B1798" s="7">
        <f>YEAR(A1798)</f>
        <v/>
      </c>
      <c r="C1798" s="7">
        <f>MONTH(A1798)</f>
        <v/>
      </c>
      <c r="D1798" s="10" t="n">
        <v>0</v>
      </c>
      <c r="E1798" s="11" t="n">
        <v>5.949955582</v>
      </c>
      <c r="F1798" s="12" t="n">
        <v>0</v>
      </c>
      <c r="G1798" s="11" t="n">
        <v>280.8614151</v>
      </c>
      <c r="H1798" s="13">
        <f>F1798*1000</f>
        <v/>
      </c>
      <c r="I1798" s="14">
        <f>G1798-273.15</f>
        <v/>
      </c>
      <c r="K1798" s="15" t="n">
        <v>2005</v>
      </c>
      <c r="L1798" s="15" t="n">
        <v>12</v>
      </c>
      <c r="M1798" s="15" t="n">
        <v>24</v>
      </c>
      <c r="N1798" s="16" t="n">
        <v>1.332696636e-05</v>
      </c>
      <c r="O1798" s="11" t="n">
        <v>279.4644115</v>
      </c>
      <c r="P1798" s="13">
        <f>N1798*86400</f>
        <v/>
      </c>
      <c r="Q1798" s="14">
        <f>O1798-273.15</f>
        <v/>
      </c>
    </row>
    <row r="1799">
      <c r="A1799" s="9" t="n">
        <v>38686</v>
      </c>
      <c r="B1799" s="7">
        <f>YEAR(A1799)</f>
        <v/>
      </c>
      <c r="C1799" s="7">
        <f>MONTH(A1799)</f>
        <v/>
      </c>
      <c r="D1799" s="10" t="n">
        <v>0</v>
      </c>
      <c r="E1799" s="11" t="n">
        <v>3.910490124</v>
      </c>
      <c r="F1799" s="12" t="n">
        <v>0</v>
      </c>
      <c r="G1799" s="11" t="n">
        <v>279.4095857</v>
      </c>
      <c r="H1799" s="13">
        <f>F1799*1000</f>
        <v/>
      </c>
      <c r="I1799" s="14">
        <f>G1799-273.15</f>
        <v/>
      </c>
      <c r="K1799" s="15" t="n">
        <v>2005</v>
      </c>
      <c r="L1799" s="15" t="n">
        <v>12</v>
      </c>
      <c r="M1799" s="15" t="n">
        <v>25</v>
      </c>
      <c r="N1799" s="16" t="n">
        <v>4.723836584e-06</v>
      </c>
      <c r="O1799" s="11" t="n">
        <v>280.033804</v>
      </c>
      <c r="P1799" s="13">
        <f>N1799*86400</f>
        <v/>
      </c>
      <c r="Q1799" s="14">
        <f>O1799-273.15</f>
        <v/>
      </c>
    </row>
    <row r="1800">
      <c r="A1800" s="9" t="n">
        <v>38687</v>
      </c>
      <c r="B1800" s="7">
        <f>YEAR(A1800)</f>
        <v/>
      </c>
      <c r="C1800" s="7">
        <f>MONTH(A1800)</f>
        <v/>
      </c>
      <c r="D1800" s="10" t="n">
        <v>0</v>
      </c>
      <c r="E1800" s="11" t="n">
        <v>2.587245654</v>
      </c>
      <c r="F1800" s="12" t="n">
        <v>0</v>
      </c>
      <c r="G1800" s="11" t="n">
        <v>278.1063334</v>
      </c>
      <c r="H1800" s="13">
        <f>F1800*1000</f>
        <v/>
      </c>
      <c r="I1800" s="14">
        <f>G1800-273.15</f>
        <v/>
      </c>
      <c r="K1800" s="15" t="n">
        <v>2005</v>
      </c>
      <c r="L1800" s="15" t="n">
        <v>12</v>
      </c>
      <c r="M1800" s="15" t="n">
        <v>26</v>
      </c>
      <c r="N1800" s="16" t="n">
        <v>0</v>
      </c>
      <c r="O1800" s="11" t="n">
        <v>279.5485498</v>
      </c>
      <c r="P1800" s="13">
        <f>N1800*86400</f>
        <v/>
      </c>
      <c r="Q1800" s="14">
        <f>O1800-273.15</f>
        <v/>
      </c>
    </row>
    <row r="1801">
      <c r="A1801" s="9" t="n">
        <v>38688</v>
      </c>
      <c r="B1801" s="7">
        <f>YEAR(A1801)</f>
        <v/>
      </c>
      <c r="C1801" s="7">
        <f>MONTH(A1801)</f>
        <v/>
      </c>
      <c r="D1801" s="10" t="n">
        <v>0</v>
      </c>
      <c r="E1801" s="11" t="n">
        <v>2.090253638</v>
      </c>
      <c r="F1801" s="12" t="n">
        <v>0</v>
      </c>
      <c r="G1801" s="11" t="n">
        <v>278.4280314</v>
      </c>
      <c r="H1801" s="13">
        <f>F1801*1000</f>
        <v/>
      </c>
      <c r="I1801" s="14">
        <f>G1801-273.15</f>
        <v/>
      </c>
      <c r="K1801" s="15" t="n">
        <v>2005</v>
      </c>
      <c r="L1801" s="15" t="n">
        <v>12</v>
      </c>
      <c r="M1801" s="15" t="n">
        <v>27</v>
      </c>
      <c r="N1801" s="16" t="n">
        <v>0</v>
      </c>
      <c r="O1801" s="11" t="n">
        <v>279.9956249</v>
      </c>
      <c r="P1801" s="13">
        <f>N1801*86400</f>
        <v/>
      </c>
      <c r="Q1801" s="14">
        <f>O1801-273.15</f>
        <v/>
      </c>
    </row>
    <row r="1802">
      <c r="A1802" s="9" t="n">
        <v>38689</v>
      </c>
      <c r="B1802" s="7">
        <f>YEAR(A1802)</f>
        <v/>
      </c>
      <c r="C1802" s="7">
        <f>MONTH(A1802)</f>
        <v/>
      </c>
      <c r="D1802" s="10" t="n">
        <v>0</v>
      </c>
      <c r="E1802" s="11" t="n">
        <v>0.9156907042</v>
      </c>
      <c r="F1802" s="12" t="n">
        <v>0</v>
      </c>
      <c r="G1802" s="11" t="n">
        <v>277.1077472</v>
      </c>
      <c r="H1802" s="13">
        <f>F1802*1000</f>
        <v/>
      </c>
      <c r="I1802" s="14">
        <f>G1802-273.15</f>
        <v/>
      </c>
      <c r="K1802" s="15" t="n">
        <v>2005</v>
      </c>
      <c r="L1802" s="15" t="n">
        <v>12</v>
      </c>
      <c r="M1802" s="15" t="n">
        <v>28</v>
      </c>
      <c r="N1802" s="16" t="n">
        <v>2.277481153e-06</v>
      </c>
      <c r="O1802" s="11" t="n">
        <v>279.1990389</v>
      </c>
      <c r="P1802" s="13">
        <f>N1802*86400</f>
        <v/>
      </c>
      <c r="Q1802" s="14">
        <f>O1802-273.15</f>
        <v/>
      </c>
    </row>
    <row r="1803">
      <c r="A1803" s="9" t="n">
        <v>38690</v>
      </c>
      <c r="B1803" s="7">
        <f>YEAR(A1803)</f>
        <v/>
      </c>
      <c r="C1803" s="7">
        <f>MONTH(A1803)</f>
        <v/>
      </c>
      <c r="D1803" s="10" t="n">
        <v>0</v>
      </c>
      <c r="E1803" s="11" t="n">
        <v>2.42154184</v>
      </c>
      <c r="F1803" s="12" t="n">
        <v>0</v>
      </c>
      <c r="G1803" s="11" t="n">
        <v>276.3480306</v>
      </c>
      <c r="H1803" s="13">
        <f>F1803*1000</f>
        <v/>
      </c>
      <c r="I1803" s="14">
        <f>G1803-273.15</f>
        <v/>
      </c>
      <c r="K1803" s="15" t="n">
        <v>2005</v>
      </c>
      <c r="L1803" s="15" t="n">
        <v>12</v>
      </c>
      <c r="M1803" s="15" t="n">
        <v>29</v>
      </c>
      <c r="N1803" s="16" t="n">
        <v>0</v>
      </c>
      <c r="O1803" s="11" t="n">
        <v>279.151094</v>
      </c>
      <c r="P1803" s="13">
        <f>N1803*86400</f>
        <v/>
      </c>
      <c r="Q1803" s="14">
        <f>O1803-273.15</f>
        <v/>
      </c>
    </row>
    <row r="1804">
      <c r="A1804" s="9" t="n">
        <v>38691</v>
      </c>
      <c r="B1804" s="7">
        <f>YEAR(A1804)</f>
        <v/>
      </c>
      <c r="C1804" s="7">
        <f>MONTH(A1804)</f>
        <v/>
      </c>
      <c r="D1804" s="10" t="n">
        <v>0</v>
      </c>
      <c r="E1804" s="11" t="n">
        <v>2.733174058</v>
      </c>
      <c r="F1804" s="12" t="n">
        <v>0</v>
      </c>
      <c r="G1804" s="11" t="n">
        <v>277.3743128</v>
      </c>
      <c r="H1804" s="13">
        <f>F1804*1000</f>
        <v/>
      </c>
      <c r="I1804" s="14">
        <f>G1804-273.15</f>
        <v/>
      </c>
      <c r="K1804" s="15" t="n">
        <v>2005</v>
      </c>
      <c r="L1804" s="15" t="n">
        <v>12</v>
      </c>
      <c r="M1804" s="15" t="n">
        <v>30</v>
      </c>
      <c r="N1804" s="16" t="n">
        <v>0</v>
      </c>
      <c r="O1804" s="11" t="n">
        <v>279.3568836</v>
      </c>
      <c r="P1804" s="13">
        <f>N1804*86400</f>
        <v/>
      </c>
      <c r="Q1804" s="14">
        <f>O1804-273.15</f>
        <v/>
      </c>
    </row>
    <row r="1805">
      <c r="A1805" s="9" t="n">
        <v>38692</v>
      </c>
      <c r="B1805" s="7">
        <f>YEAR(A1805)</f>
        <v/>
      </c>
      <c r="C1805" s="7">
        <f>MONTH(A1805)</f>
        <v/>
      </c>
      <c r="D1805" s="10" t="n">
        <v>0</v>
      </c>
      <c r="E1805" s="11" t="n">
        <v>3.524743425</v>
      </c>
      <c r="F1805" s="12" t="n">
        <v>0</v>
      </c>
      <c r="G1805" s="11" t="n">
        <v>276.8829133</v>
      </c>
      <c r="H1805" s="13">
        <f>F1805*1000</f>
        <v/>
      </c>
      <c r="I1805" s="14">
        <f>G1805-273.15</f>
        <v/>
      </c>
      <c r="K1805" s="15" t="n">
        <v>2006</v>
      </c>
      <c r="L1805" s="15" t="n">
        <v>1</v>
      </c>
      <c r="M1805" s="15" t="n">
        <v>1</v>
      </c>
      <c r="N1805" s="16" t="n">
        <v>0</v>
      </c>
      <c r="O1805" s="11" t="n">
        <v>277.3820713</v>
      </c>
      <c r="P1805" s="13">
        <f>N1805*86400</f>
        <v/>
      </c>
      <c r="Q1805" s="14">
        <f>O1805-273.15</f>
        <v/>
      </c>
    </row>
    <row r="1806">
      <c r="A1806" s="9" t="n">
        <v>38693</v>
      </c>
      <c r="B1806" s="7">
        <f>YEAR(A1806)</f>
        <v/>
      </c>
      <c r="C1806" s="7">
        <f>MONTH(A1806)</f>
        <v/>
      </c>
      <c r="D1806" s="10" t="n">
        <v>0</v>
      </c>
      <c r="E1806" s="11" t="n">
        <v>4.359627801</v>
      </c>
      <c r="F1806" s="12" t="n">
        <v>0</v>
      </c>
      <c r="G1806" s="11" t="n">
        <v>277.7300859</v>
      </c>
      <c r="H1806" s="13">
        <f>F1806*1000</f>
        <v/>
      </c>
      <c r="I1806" s="14">
        <f>G1806-273.15</f>
        <v/>
      </c>
      <c r="K1806" s="15" t="n">
        <v>2006</v>
      </c>
      <c r="L1806" s="15" t="n">
        <v>1</v>
      </c>
      <c r="M1806" s="15" t="n">
        <v>2</v>
      </c>
      <c r="N1806" s="16" t="n">
        <v>0</v>
      </c>
      <c r="O1806" s="11" t="n">
        <v>277.7560892</v>
      </c>
      <c r="P1806" s="13">
        <f>N1806*86400</f>
        <v/>
      </c>
      <c r="Q1806" s="14">
        <f>O1806-273.15</f>
        <v/>
      </c>
    </row>
    <row r="1807">
      <c r="A1807" s="9" t="n">
        <v>38694</v>
      </c>
      <c r="B1807" s="7">
        <f>YEAR(A1807)</f>
        <v/>
      </c>
      <c r="C1807" s="7">
        <f>MONTH(A1807)</f>
        <v/>
      </c>
      <c r="D1807" s="10" t="n">
        <v>0</v>
      </c>
      <c r="E1807" s="11" t="n">
        <v>4.062750069</v>
      </c>
      <c r="F1807" s="12" t="n">
        <v>0</v>
      </c>
      <c r="G1807" s="11" t="n">
        <v>278.0975077</v>
      </c>
      <c r="H1807" s="13">
        <f>F1807*1000</f>
        <v/>
      </c>
      <c r="I1807" s="14">
        <f>G1807-273.15</f>
        <v/>
      </c>
      <c r="K1807" s="15" t="n">
        <v>2006</v>
      </c>
      <c r="L1807" s="15" t="n">
        <v>1</v>
      </c>
      <c r="M1807" s="15" t="n">
        <v>3</v>
      </c>
      <c r="N1807" s="16" t="n">
        <v>0</v>
      </c>
      <c r="O1807" s="11" t="n">
        <v>277.8565752</v>
      </c>
      <c r="P1807" s="13">
        <f>N1807*86400</f>
        <v/>
      </c>
      <c r="Q1807" s="14">
        <f>O1807-273.15</f>
        <v/>
      </c>
    </row>
    <row r="1808">
      <c r="A1808" s="9" t="n">
        <v>38695</v>
      </c>
      <c r="B1808" s="7">
        <f>YEAR(A1808)</f>
        <v/>
      </c>
      <c r="C1808" s="7">
        <f>MONTH(A1808)</f>
        <v/>
      </c>
      <c r="D1808" s="10" t="n">
        <v>0</v>
      </c>
      <c r="E1808" s="11" t="n">
        <v>4.850030003</v>
      </c>
      <c r="F1808" s="12" t="n">
        <v>0</v>
      </c>
      <c r="G1808" s="11" t="n">
        <v>278.8792192</v>
      </c>
      <c r="H1808" s="13">
        <f>F1808*1000</f>
        <v/>
      </c>
      <c r="I1808" s="14">
        <f>G1808-273.15</f>
        <v/>
      </c>
      <c r="K1808" s="15" t="n">
        <v>2006</v>
      </c>
      <c r="L1808" s="15" t="n">
        <v>1</v>
      </c>
      <c r="M1808" s="15" t="n">
        <v>4</v>
      </c>
      <c r="N1808" s="16" t="n">
        <v>0</v>
      </c>
      <c r="O1808" s="11" t="n">
        <v>278.644083</v>
      </c>
      <c r="P1808" s="13">
        <f>N1808*86400</f>
        <v/>
      </c>
      <c r="Q1808" s="14">
        <f>O1808-273.15</f>
        <v/>
      </c>
    </row>
    <row r="1809">
      <c r="A1809" s="9" t="n">
        <v>38696</v>
      </c>
      <c r="B1809" s="7">
        <f>YEAR(A1809)</f>
        <v/>
      </c>
      <c r="C1809" s="7">
        <f>MONTH(A1809)</f>
        <v/>
      </c>
      <c r="D1809" s="10" t="n">
        <v>0</v>
      </c>
      <c r="E1809" s="11" t="n">
        <v>5.718140144</v>
      </c>
      <c r="F1809" s="12" t="n">
        <v>8.419616011e-05</v>
      </c>
      <c r="G1809" s="11" t="n">
        <v>280.2937826</v>
      </c>
      <c r="H1809" s="13">
        <f>F1809*1000</f>
        <v/>
      </c>
      <c r="I1809" s="14">
        <f>G1809-273.15</f>
        <v/>
      </c>
      <c r="K1809" s="15" t="n">
        <v>2006</v>
      </c>
      <c r="L1809" s="15" t="n">
        <v>1</v>
      </c>
      <c r="M1809" s="15" t="n">
        <v>5</v>
      </c>
      <c r="N1809" s="16" t="n">
        <v>3.236124444e-07</v>
      </c>
      <c r="O1809" s="11" t="n">
        <v>279.1853716</v>
      </c>
      <c r="P1809" s="13">
        <f>N1809*86400</f>
        <v/>
      </c>
      <c r="Q1809" s="14">
        <f>O1809-273.15</f>
        <v/>
      </c>
    </row>
    <row r="1810">
      <c r="A1810" s="9" t="n">
        <v>38697</v>
      </c>
      <c r="B1810" s="7">
        <f>YEAR(A1810)</f>
        <v/>
      </c>
      <c r="C1810" s="7">
        <f>MONTH(A1810)</f>
        <v/>
      </c>
      <c r="D1810" s="10" t="n">
        <v>0</v>
      </c>
      <c r="E1810" s="11" t="n">
        <v>6.048459414</v>
      </c>
      <c r="F1810" s="12" t="n">
        <v>0</v>
      </c>
      <c r="G1810" s="11" t="n">
        <v>281.3738438</v>
      </c>
      <c r="H1810" s="13">
        <f>F1810*1000</f>
        <v/>
      </c>
      <c r="I1810" s="14">
        <f>G1810-273.15</f>
        <v/>
      </c>
      <c r="K1810" s="15" t="n">
        <v>2006</v>
      </c>
      <c r="L1810" s="15" t="n">
        <v>1</v>
      </c>
      <c r="M1810" s="15" t="n">
        <v>6</v>
      </c>
      <c r="N1810" s="16" t="n">
        <v>6.311074026e-08</v>
      </c>
      <c r="O1810" s="11" t="n">
        <v>279.2132419</v>
      </c>
      <c r="P1810" s="13">
        <f>N1810*86400</f>
        <v/>
      </c>
      <c r="Q1810" s="14">
        <f>O1810-273.15</f>
        <v/>
      </c>
    </row>
    <row r="1811">
      <c r="A1811" s="9" t="n">
        <v>38698</v>
      </c>
      <c r="B1811" s="7">
        <f>YEAR(A1811)</f>
        <v/>
      </c>
      <c r="C1811" s="7">
        <f>MONTH(A1811)</f>
        <v/>
      </c>
      <c r="D1811" s="10" t="n">
        <v>0.4901812279</v>
      </c>
      <c r="E1811" s="11" t="n">
        <v>6.198986763</v>
      </c>
      <c r="F1811" s="12" t="n">
        <v>0.002915951928</v>
      </c>
      <c r="G1811" s="11" t="n">
        <v>281.3372931</v>
      </c>
      <c r="H1811" s="13">
        <f>F1811*1000</f>
        <v/>
      </c>
      <c r="I1811" s="14">
        <f>G1811-273.15</f>
        <v/>
      </c>
      <c r="K1811" s="15" t="n">
        <v>2006</v>
      </c>
      <c r="L1811" s="15" t="n">
        <v>1</v>
      </c>
      <c r="M1811" s="15" t="n">
        <v>7</v>
      </c>
      <c r="N1811" s="16" t="n">
        <v>0</v>
      </c>
      <c r="O1811" s="11" t="n">
        <v>280.0279633</v>
      </c>
      <c r="P1811" s="13">
        <f>N1811*86400</f>
        <v/>
      </c>
      <c r="Q1811" s="14">
        <f>O1811-273.15</f>
        <v/>
      </c>
    </row>
    <row r="1812">
      <c r="A1812" s="9" t="n">
        <v>38699</v>
      </c>
      <c r="B1812" s="7">
        <f>YEAR(A1812)</f>
        <v/>
      </c>
      <c r="C1812" s="7">
        <f>MONTH(A1812)</f>
        <v/>
      </c>
      <c r="D1812" s="10" t="n">
        <v>0</v>
      </c>
      <c r="E1812" s="11" t="n">
        <v>6.254415992</v>
      </c>
      <c r="F1812" s="12" t="n">
        <v>0</v>
      </c>
      <c r="G1812" s="11" t="n">
        <v>281.1094072</v>
      </c>
      <c r="H1812" s="13">
        <f>F1812*1000</f>
        <v/>
      </c>
      <c r="I1812" s="14">
        <f>G1812-273.15</f>
        <v/>
      </c>
      <c r="K1812" s="15" t="n">
        <v>2006</v>
      </c>
      <c r="L1812" s="15" t="n">
        <v>1</v>
      </c>
      <c r="M1812" s="15" t="n">
        <v>8</v>
      </c>
      <c r="N1812" s="16" t="n">
        <v>4.137751906e-07</v>
      </c>
      <c r="O1812" s="11" t="n">
        <v>278.2879706</v>
      </c>
      <c r="P1812" s="13">
        <f>N1812*86400</f>
        <v/>
      </c>
      <c r="Q1812" s="14">
        <f>O1812-273.15</f>
        <v/>
      </c>
    </row>
    <row r="1813">
      <c r="A1813" s="9" t="n">
        <v>38700</v>
      </c>
      <c r="B1813" s="7">
        <f>YEAR(A1813)</f>
        <v/>
      </c>
      <c r="C1813" s="7">
        <f>MONTH(A1813)</f>
        <v/>
      </c>
      <c r="D1813" s="10" t="n">
        <v>0</v>
      </c>
      <c r="E1813" s="11" t="n">
        <v>5.030606668</v>
      </c>
      <c r="F1813" s="12" t="n">
        <v>0.0005339578926</v>
      </c>
      <c r="G1813" s="11" t="n">
        <v>279.8083991</v>
      </c>
      <c r="H1813" s="13">
        <f>F1813*1000</f>
        <v/>
      </c>
      <c r="I1813" s="14">
        <f>G1813-273.15</f>
        <v/>
      </c>
      <c r="K1813" s="15" t="n">
        <v>2006</v>
      </c>
      <c r="L1813" s="15" t="n">
        <v>1</v>
      </c>
      <c r="M1813" s="15" t="n">
        <v>9</v>
      </c>
      <c r="N1813" s="16" t="n">
        <v>1.330830034e-05</v>
      </c>
      <c r="O1813" s="11" t="n">
        <v>280.2784708</v>
      </c>
      <c r="P1813" s="13">
        <f>N1813*86400</f>
        <v/>
      </c>
      <c r="Q1813" s="14">
        <f>O1813-273.15</f>
        <v/>
      </c>
    </row>
    <row r="1814">
      <c r="A1814" s="9" t="n">
        <v>38701</v>
      </c>
      <c r="B1814" s="7">
        <f>YEAR(A1814)</f>
        <v/>
      </c>
      <c r="C1814" s="7">
        <f>MONTH(A1814)</f>
        <v/>
      </c>
      <c r="D1814" s="10" t="n">
        <v>0</v>
      </c>
      <c r="E1814" s="11" t="n">
        <v>4.509968893</v>
      </c>
      <c r="F1814" s="12" t="n">
        <v>0.0009039897646</v>
      </c>
      <c r="G1814" s="11" t="n">
        <v>279.2823347</v>
      </c>
      <c r="H1814" s="13">
        <f>F1814*1000</f>
        <v/>
      </c>
      <c r="I1814" s="14">
        <f>G1814-273.15</f>
        <v/>
      </c>
      <c r="K1814" s="15" t="n">
        <v>2006</v>
      </c>
      <c r="L1814" s="15" t="n">
        <v>1</v>
      </c>
      <c r="M1814" s="15" t="n">
        <v>10</v>
      </c>
      <c r="N1814" s="16" t="n">
        <v>0</v>
      </c>
      <c r="O1814" s="11" t="n">
        <v>279.2182147</v>
      </c>
      <c r="P1814" s="13">
        <f>N1814*86400</f>
        <v/>
      </c>
      <c r="Q1814" s="14">
        <f>O1814-273.15</f>
        <v/>
      </c>
    </row>
    <row r="1815">
      <c r="A1815" s="9" t="n">
        <v>38702</v>
      </c>
      <c r="B1815" s="7">
        <f>YEAR(A1815)</f>
        <v/>
      </c>
      <c r="C1815" s="7">
        <f>MONTH(A1815)</f>
        <v/>
      </c>
      <c r="D1815" s="10" t="n">
        <v>0</v>
      </c>
      <c r="E1815" s="11" t="n">
        <v>3.945990389</v>
      </c>
      <c r="F1815" s="12" t="n">
        <v>0</v>
      </c>
      <c r="G1815" s="11" t="n">
        <v>278.7110376</v>
      </c>
      <c r="H1815" s="13">
        <f>F1815*1000</f>
        <v/>
      </c>
      <c r="I1815" s="14">
        <f>G1815-273.15</f>
        <v/>
      </c>
      <c r="K1815" s="15" t="n">
        <v>2006</v>
      </c>
      <c r="L1815" s="15" t="n">
        <v>1</v>
      </c>
      <c r="M1815" s="15" t="n">
        <v>11</v>
      </c>
      <c r="N1815" s="16" t="n">
        <v>1.784517195e-05</v>
      </c>
      <c r="O1815" s="11" t="n">
        <v>277.9841728</v>
      </c>
      <c r="P1815" s="13">
        <f>N1815*86400</f>
        <v/>
      </c>
      <c r="Q1815" s="14">
        <f>O1815-273.15</f>
        <v/>
      </c>
    </row>
    <row r="1816">
      <c r="A1816" s="9" t="n">
        <v>38703</v>
      </c>
      <c r="B1816" s="7">
        <f>YEAR(A1816)</f>
        <v/>
      </c>
      <c r="C1816" s="7">
        <f>MONTH(A1816)</f>
        <v/>
      </c>
      <c r="D1816" s="10" t="n">
        <v>0</v>
      </c>
      <c r="E1816" s="11" t="n">
        <v>5.575726959</v>
      </c>
      <c r="F1816" s="12" t="n">
        <v>0</v>
      </c>
      <c r="G1816" s="11" t="n">
        <v>280.7073659</v>
      </c>
      <c r="H1816" s="13">
        <f>F1816*1000</f>
        <v/>
      </c>
      <c r="I1816" s="14">
        <f>G1816-273.15</f>
        <v/>
      </c>
      <c r="K1816" s="15" t="n">
        <v>2006</v>
      </c>
      <c r="L1816" s="15" t="n">
        <v>1</v>
      </c>
      <c r="M1816" s="15" t="n">
        <v>12</v>
      </c>
      <c r="N1816" s="16" t="n">
        <v>1.63449545e-05</v>
      </c>
      <c r="O1816" s="11" t="n">
        <v>276.9852034</v>
      </c>
      <c r="P1816" s="13">
        <f>N1816*86400</f>
        <v/>
      </c>
      <c r="Q1816" s="14">
        <f>O1816-273.15</f>
        <v/>
      </c>
    </row>
    <row r="1817">
      <c r="A1817" s="9" t="n">
        <v>38704</v>
      </c>
      <c r="B1817" s="7">
        <f>YEAR(A1817)</f>
        <v/>
      </c>
      <c r="C1817" s="7">
        <f>MONTH(A1817)</f>
        <v/>
      </c>
      <c r="D1817" s="10" t="n">
        <v>0</v>
      </c>
      <c r="E1817" s="11" t="n">
        <v>5.490054519</v>
      </c>
      <c r="F1817" s="12" t="n">
        <v>0</v>
      </c>
      <c r="G1817" s="11" t="n">
        <v>281.0463289</v>
      </c>
      <c r="H1817" s="13">
        <f>F1817*1000</f>
        <v/>
      </c>
      <c r="I1817" s="14">
        <f>G1817-273.15</f>
        <v/>
      </c>
      <c r="K1817" s="15" t="n">
        <v>2006</v>
      </c>
      <c r="L1817" s="15" t="n">
        <v>1</v>
      </c>
      <c r="M1817" s="15" t="n">
        <v>13</v>
      </c>
      <c r="N1817" s="16" t="n">
        <v>0</v>
      </c>
      <c r="O1817" s="11" t="n">
        <v>278.5028296</v>
      </c>
      <c r="P1817" s="13">
        <f>N1817*86400</f>
        <v/>
      </c>
      <c r="Q1817" s="14">
        <f>O1817-273.15</f>
        <v/>
      </c>
    </row>
    <row r="1818">
      <c r="A1818" s="9" t="n">
        <v>38705</v>
      </c>
      <c r="B1818" s="7">
        <f>YEAR(A1818)</f>
        <v/>
      </c>
      <c r="C1818" s="7">
        <f>MONTH(A1818)</f>
        <v/>
      </c>
      <c r="D1818" s="10" t="n">
        <v>0</v>
      </c>
      <c r="E1818" s="11" t="n">
        <v>4.686236674</v>
      </c>
      <c r="F1818" s="12" t="n">
        <v>0</v>
      </c>
      <c r="G1818" s="11" t="n">
        <v>279.4217559</v>
      </c>
      <c r="H1818" s="13">
        <f>F1818*1000</f>
        <v/>
      </c>
      <c r="I1818" s="14">
        <f>G1818-273.15</f>
        <v/>
      </c>
      <c r="K1818" s="15" t="n">
        <v>2006</v>
      </c>
      <c r="L1818" s="15" t="n">
        <v>1</v>
      </c>
      <c r="M1818" s="15" t="n">
        <v>14</v>
      </c>
      <c r="N1818" s="16" t="n">
        <v>4.131937306e-06</v>
      </c>
      <c r="O1818" s="11" t="n">
        <v>278.799214</v>
      </c>
      <c r="P1818" s="13">
        <f>N1818*86400</f>
        <v/>
      </c>
      <c r="Q1818" s="14">
        <f>O1818-273.15</f>
        <v/>
      </c>
    </row>
    <row r="1819">
      <c r="A1819" s="9" t="n">
        <v>38706</v>
      </c>
      <c r="B1819" s="7">
        <f>YEAR(A1819)</f>
        <v/>
      </c>
      <c r="C1819" s="7">
        <f>MONTH(A1819)</f>
        <v/>
      </c>
      <c r="D1819" s="10" t="n">
        <v>0</v>
      </c>
      <c r="E1819" s="11" t="n">
        <v>4.587468681</v>
      </c>
      <c r="F1819" s="12" t="n">
        <v>0</v>
      </c>
      <c r="G1819" s="11" t="n">
        <v>280.8029364</v>
      </c>
      <c r="H1819" s="13">
        <f>F1819*1000</f>
        <v/>
      </c>
      <c r="I1819" s="14">
        <f>G1819-273.15</f>
        <v/>
      </c>
      <c r="K1819" s="15" t="n">
        <v>2006</v>
      </c>
      <c r="L1819" s="15" t="n">
        <v>1</v>
      </c>
      <c r="M1819" s="15" t="n">
        <v>15</v>
      </c>
      <c r="N1819" s="16" t="n">
        <v>0</v>
      </c>
      <c r="O1819" s="11" t="n">
        <v>281.2467427</v>
      </c>
      <c r="P1819" s="13">
        <f>N1819*86400</f>
        <v/>
      </c>
      <c r="Q1819" s="14">
        <f>O1819-273.15</f>
        <v/>
      </c>
    </row>
    <row r="1820">
      <c r="A1820" s="9" t="n">
        <v>38707</v>
      </c>
      <c r="B1820" s="7">
        <f>YEAR(A1820)</f>
        <v/>
      </c>
      <c r="C1820" s="7">
        <f>MONTH(A1820)</f>
        <v/>
      </c>
      <c r="D1820" s="10" t="n">
        <v>0</v>
      </c>
      <c r="E1820" s="11" t="n">
        <v>5.524000672</v>
      </c>
      <c r="F1820" s="12" t="n">
        <v>0</v>
      </c>
      <c r="G1820" s="11" t="n">
        <v>281.5545122</v>
      </c>
      <c r="H1820" s="13">
        <f>F1820*1000</f>
        <v/>
      </c>
      <c r="I1820" s="14">
        <f>G1820-273.15</f>
        <v/>
      </c>
      <c r="K1820" s="15" t="n">
        <v>2006</v>
      </c>
      <c r="L1820" s="15" t="n">
        <v>1</v>
      </c>
      <c r="M1820" s="15" t="n">
        <v>16</v>
      </c>
      <c r="N1820" s="16" t="n">
        <v>0</v>
      </c>
      <c r="O1820" s="11" t="n">
        <v>278.2447839</v>
      </c>
      <c r="P1820" s="13">
        <f>N1820*86400</f>
        <v/>
      </c>
      <c r="Q1820" s="14">
        <f>O1820-273.15</f>
        <v/>
      </c>
    </row>
    <row r="1821">
      <c r="A1821" s="9" t="n">
        <v>38708</v>
      </c>
      <c r="B1821" s="7">
        <f>YEAR(A1821)</f>
        <v/>
      </c>
      <c r="C1821" s="7">
        <f>MONTH(A1821)</f>
        <v/>
      </c>
      <c r="D1821" s="10" t="n">
        <v>0</v>
      </c>
      <c r="E1821" s="11" t="n">
        <v>7.125254781</v>
      </c>
      <c r="F1821" s="12" t="n">
        <v>0</v>
      </c>
      <c r="G1821" s="11" t="n">
        <v>282.3697839</v>
      </c>
      <c r="H1821" s="13">
        <f>F1821*1000</f>
        <v/>
      </c>
      <c r="I1821" s="14">
        <f>G1821-273.15</f>
        <v/>
      </c>
      <c r="K1821" s="15" t="n">
        <v>2006</v>
      </c>
      <c r="L1821" s="15" t="n">
        <v>1</v>
      </c>
      <c r="M1821" s="15" t="n">
        <v>17</v>
      </c>
      <c r="N1821" s="16" t="n">
        <v>0</v>
      </c>
      <c r="O1821" s="11" t="n">
        <v>279.5534901</v>
      </c>
      <c r="P1821" s="13">
        <f>N1821*86400</f>
        <v/>
      </c>
      <c r="Q1821" s="14">
        <f>O1821-273.15</f>
        <v/>
      </c>
    </row>
    <row r="1822">
      <c r="A1822" s="9" t="n">
        <v>38709</v>
      </c>
      <c r="B1822" s="7">
        <f>YEAR(A1822)</f>
        <v/>
      </c>
      <c r="C1822" s="7">
        <f>MONTH(A1822)</f>
        <v/>
      </c>
      <c r="D1822" s="10" t="n">
        <v>0</v>
      </c>
      <c r="E1822" s="11" t="n">
        <v>4.599864008</v>
      </c>
      <c r="F1822" s="12" t="n">
        <v>0</v>
      </c>
      <c r="G1822" s="11" t="n">
        <v>281.3016744</v>
      </c>
      <c r="H1822" s="13">
        <f>F1822*1000</f>
        <v/>
      </c>
      <c r="I1822" s="14">
        <f>G1822-273.15</f>
        <v/>
      </c>
      <c r="K1822" s="15" t="n">
        <v>2006</v>
      </c>
      <c r="L1822" s="15" t="n">
        <v>1</v>
      </c>
      <c r="M1822" s="15" t="n">
        <v>18</v>
      </c>
      <c r="N1822" s="16" t="n">
        <v>9.012574485e-07</v>
      </c>
      <c r="O1822" s="11" t="n">
        <v>280.1611336</v>
      </c>
      <c r="P1822" s="13">
        <f>N1822*86400</f>
        <v/>
      </c>
      <c r="Q1822" s="14">
        <f>O1822-273.15</f>
        <v/>
      </c>
    </row>
    <row r="1823">
      <c r="A1823" s="9" t="n">
        <v>38710</v>
      </c>
      <c r="B1823" s="7">
        <f>YEAR(A1823)</f>
        <v/>
      </c>
      <c r="C1823" s="7">
        <f>MONTH(A1823)</f>
        <v/>
      </c>
      <c r="D1823" s="10" t="n">
        <v>0</v>
      </c>
      <c r="E1823" s="11" t="n">
        <v>2.665301718</v>
      </c>
      <c r="F1823" s="12" t="n">
        <v>0.004517151731</v>
      </c>
      <c r="G1823" s="11" t="n">
        <v>278.0668593</v>
      </c>
      <c r="H1823" s="13">
        <f>F1823*1000</f>
        <v/>
      </c>
      <c r="I1823" s="14">
        <f>G1823-273.15</f>
        <v/>
      </c>
      <c r="K1823" s="15" t="n">
        <v>2006</v>
      </c>
      <c r="L1823" s="15" t="n">
        <v>1</v>
      </c>
      <c r="M1823" s="15" t="n">
        <v>19</v>
      </c>
      <c r="N1823" s="16" t="n">
        <v>3.002781416e-06</v>
      </c>
      <c r="O1823" s="11" t="n">
        <v>281.3105443</v>
      </c>
      <c r="P1823" s="13">
        <f>N1823*86400</f>
        <v/>
      </c>
      <c r="Q1823" s="14">
        <f>O1823-273.15</f>
        <v/>
      </c>
    </row>
    <row r="1824">
      <c r="A1824" s="9" t="n">
        <v>38711</v>
      </c>
      <c r="B1824" s="7">
        <f>YEAR(A1824)</f>
        <v/>
      </c>
      <c r="C1824" s="7">
        <f>MONTH(A1824)</f>
        <v/>
      </c>
      <c r="D1824" s="10" t="n">
        <v>0.876203333</v>
      </c>
      <c r="E1824" s="11" t="n">
        <v>1.228077848</v>
      </c>
      <c r="F1824" s="12" t="n">
        <v>0.0002808087745</v>
      </c>
      <c r="G1824" s="11" t="n">
        <v>277.348665</v>
      </c>
      <c r="H1824" s="13">
        <f>F1824*1000</f>
        <v/>
      </c>
      <c r="I1824" s="14">
        <f>G1824-273.15</f>
        <v/>
      </c>
      <c r="K1824" s="15" t="n">
        <v>2006</v>
      </c>
      <c r="L1824" s="15" t="n">
        <v>1</v>
      </c>
      <c r="M1824" s="15" t="n">
        <v>20</v>
      </c>
      <c r="N1824" s="16" t="n">
        <v>4.023787374e-06</v>
      </c>
      <c r="O1824" s="11" t="n">
        <v>279.6821716</v>
      </c>
      <c r="P1824" s="13">
        <f>N1824*86400</f>
        <v/>
      </c>
      <c r="Q1824" s="14">
        <f>O1824-273.15</f>
        <v/>
      </c>
    </row>
    <row r="1825">
      <c r="A1825" s="9" t="n">
        <v>38712</v>
      </c>
      <c r="B1825" s="7">
        <f>YEAR(A1825)</f>
        <v/>
      </c>
      <c r="C1825" s="7">
        <f>MONTH(A1825)</f>
        <v/>
      </c>
      <c r="D1825" s="10" t="n">
        <v>0</v>
      </c>
      <c r="E1825" s="11" t="n">
        <v>0.6752400017</v>
      </c>
      <c r="F1825" s="12" t="n">
        <v>1.607722043e-05</v>
      </c>
      <c r="G1825" s="11" t="n">
        <v>277.2414816</v>
      </c>
      <c r="H1825" s="13">
        <f>F1825*1000</f>
        <v/>
      </c>
      <c r="I1825" s="14">
        <f>G1825-273.15</f>
        <v/>
      </c>
      <c r="K1825" s="15" t="n">
        <v>2006</v>
      </c>
      <c r="L1825" s="15" t="n">
        <v>1</v>
      </c>
      <c r="M1825" s="15" t="n">
        <v>21</v>
      </c>
      <c r="N1825" s="16" t="n">
        <v>0</v>
      </c>
      <c r="O1825" s="11" t="n">
        <v>279.3438816</v>
      </c>
      <c r="P1825" s="13">
        <f>N1825*86400</f>
        <v/>
      </c>
      <c r="Q1825" s="14">
        <f>O1825-273.15</f>
        <v/>
      </c>
    </row>
    <row r="1826">
      <c r="A1826" s="9" t="n">
        <v>38713</v>
      </c>
      <c r="B1826" s="7">
        <f>YEAR(A1826)</f>
        <v/>
      </c>
      <c r="C1826" s="7">
        <f>MONTH(A1826)</f>
        <v/>
      </c>
      <c r="D1826" s="10" t="n">
        <v>0</v>
      </c>
      <c r="E1826" s="11" t="n">
        <v>1.162728253</v>
      </c>
      <c r="F1826" s="12" t="n">
        <v>0.000187101658</v>
      </c>
      <c r="G1826" s="11" t="n">
        <v>277.890141</v>
      </c>
      <c r="H1826" s="13">
        <f>F1826*1000</f>
        <v/>
      </c>
      <c r="I1826" s="14">
        <f>G1826-273.15</f>
        <v/>
      </c>
      <c r="K1826" s="15" t="n">
        <v>2006</v>
      </c>
      <c r="L1826" s="15" t="n">
        <v>1</v>
      </c>
      <c r="M1826" s="15" t="n">
        <v>22</v>
      </c>
      <c r="N1826" s="16" t="n">
        <v>4.522576494e-06</v>
      </c>
      <c r="O1826" s="11" t="n">
        <v>281.1647164</v>
      </c>
      <c r="P1826" s="13">
        <f>N1826*86400</f>
        <v/>
      </c>
      <c r="Q1826" s="14">
        <f>O1826-273.15</f>
        <v/>
      </c>
    </row>
    <row r="1827">
      <c r="A1827" s="9" t="n">
        <v>38714</v>
      </c>
      <c r="B1827" s="7">
        <f>YEAR(A1827)</f>
        <v/>
      </c>
      <c r="C1827" s="7">
        <f>MONTH(A1827)</f>
        <v/>
      </c>
      <c r="D1827" s="10" t="n">
        <v>0</v>
      </c>
      <c r="E1827" s="11" t="n">
        <v>0.5177567358</v>
      </c>
      <c r="F1827" s="12" t="n">
        <v>0.0002801533787</v>
      </c>
      <c r="G1827" s="11" t="n">
        <v>276.6554971</v>
      </c>
      <c r="H1827" s="13">
        <f>F1827*1000</f>
        <v/>
      </c>
      <c r="I1827" s="14">
        <f>G1827-273.15</f>
        <v/>
      </c>
      <c r="K1827" s="15" t="n">
        <v>2006</v>
      </c>
      <c r="L1827" s="15" t="n">
        <v>1</v>
      </c>
      <c r="M1827" s="15" t="n">
        <v>23</v>
      </c>
      <c r="N1827" s="16" t="n">
        <v>7.267173675e-08</v>
      </c>
      <c r="O1827" s="11" t="n">
        <v>281.6712111</v>
      </c>
      <c r="P1827" s="13">
        <f>N1827*86400</f>
        <v/>
      </c>
      <c r="Q1827" s="14">
        <f>O1827-273.15</f>
        <v/>
      </c>
    </row>
    <row r="1828">
      <c r="A1828" s="9" t="n">
        <v>38715</v>
      </c>
      <c r="B1828" s="7">
        <f>YEAR(A1828)</f>
        <v/>
      </c>
      <c r="C1828" s="7">
        <f>MONTH(A1828)</f>
        <v/>
      </c>
      <c r="D1828" s="10" t="n">
        <v>0</v>
      </c>
      <c r="E1828" s="11" t="n">
        <v>0.8151906946</v>
      </c>
      <c r="F1828" s="12" t="n">
        <v>0</v>
      </c>
      <c r="G1828" s="11" t="n">
        <v>278.5287559</v>
      </c>
      <c r="H1828" s="13">
        <f>F1828*1000</f>
        <v/>
      </c>
      <c r="I1828" s="14">
        <f>G1828-273.15</f>
        <v/>
      </c>
      <c r="K1828" s="15" t="n">
        <v>2006</v>
      </c>
      <c r="L1828" s="15" t="n">
        <v>1</v>
      </c>
      <c r="M1828" s="15" t="n">
        <v>24</v>
      </c>
      <c r="N1828" s="16" t="n">
        <v>3.361216308e-07</v>
      </c>
      <c r="O1828" s="11" t="n">
        <v>281.0781764</v>
      </c>
      <c r="P1828" s="13">
        <f>N1828*86400</f>
        <v/>
      </c>
      <c r="Q1828" s="14">
        <f>O1828-273.15</f>
        <v/>
      </c>
    </row>
    <row r="1829">
      <c r="A1829" s="9" t="n">
        <v>38716</v>
      </c>
      <c r="B1829" s="7">
        <f>YEAR(A1829)</f>
        <v/>
      </c>
      <c r="C1829" s="7">
        <f>MONTH(A1829)</f>
        <v/>
      </c>
      <c r="D1829" s="10" t="n">
        <v>0</v>
      </c>
      <c r="E1829" s="11" t="n">
        <v>1.939461163</v>
      </c>
      <c r="F1829" s="12" t="n">
        <v>0</v>
      </c>
      <c r="G1829" s="11" t="n">
        <v>278.7764269</v>
      </c>
      <c r="H1829" s="13">
        <f>F1829*1000</f>
        <v/>
      </c>
      <c r="I1829" s="14">
        <f>G1829-273.15</f>
        <v/>
      </c>
      <c r="K1829" s="15" t="n">
        <v>2006</v>
      </c>
      <c r="L1829" s="15" t="n">
        <v>1</v>
      </c>
      <c r="M1829" s="15" t="n">
        <v>25</v>
      </c>
      <c r="N1829" s="16" t="n">
        <v>2.250880072e-06</v>
      </c>
      <c r="O1829" s="11" t="n">
        <v>280.325445</v>
      </c>
      <c r="P1829" s="13">
        <f>N1829*86400</f>
        <v/>
      </c>
      <c r="Q1829" s="14">
        <f>O1829-273.15</f>
        <v/>
      </c>
    </row>
    <row r="1830">
      <c r="A1830" s="9" t="n">
        <v>38717</v>
      </c>
      <c r="B1830" s="7">
        <f>YEAR(A1830)</f>
        <v/>
      </c>
      <c r="C1830" s="7">
        <f>MONTH(A1830)</f>
        <v/>
      </c>
      <c r="D1830" s="10" t="n">
        <v>0</v>
      </c>
      <c r="E1830" s="11" t="n">
        <v>2.648632269</v>
      </c>
      <c r="F1830" s="12" t="n">
        <v>0</v>
      </c>
      <c r="G1830" s="11" t="n">
        <v>279.0290675</v>
      </c>
      <c r="H1830" s="13">
        <f>F1830*1000</f>
        <v/>
      </c>
      <c r="I1830" s="14">
        <f>G1830-273.15</f>
        <v/>
      </c>
      <c r="K1830" s="15" t="n">
        <v>2006</v>
      </c>
      <c r="L1830" s="15" t="n">
        <v>1</v>
      </c>
      <c r="M1830" s="15" t="n">
        <v>26</v>
      </c>
      <c r="N1830" s="16" t="n">
        <v>0</v>
      </c>
      <c r="O1830" s="11" t="n">
        <v>281.4562573</v>
      </c>
      <c r="P1830" s="13">
        <f>N1830*86400</f>
        <v/>
      </c>
      <c r="Q1830" s="14">
        <f>O1830-273.15</f>
        <v/>
      </c>
    </row>
    <row r="1831">
      <c r="A1831" s="9" t="n">
        <v>38718</v>
      </c>
      <c r="B1831" s="7">
        <f>YEAR(A1831)</f>
        <v/>
      </c>
      <c r="C1831" s="7">
        <f>MONTH(A1831)</f>
        <v/>
      </c>
      <c r="D1831" s="10" t="n">
        <v>0</v>
      </c>
      <c r="E1831" s="11" t="n">
        <v>0.9171653158</v>
      </c>
      <c r="F1831" s="12" t="n">
        <v>0</v>
      </c>
      <c r="G1831" s="11" t="n">
        <v>276.6183858</v>
      </c>
      <c r="H1831" s="13">
        <f>F1831*1000</f>
        <v/>
      </c>
      <c r="I1831" s="14">
        <f>G1831-273.15</f>
        <v/>
      </c>
      <c r="K1831" s="15" t="n">
        <v>2006</v>
      </c>
      <c r="L1831" s="15" t="n">
        <v>1</v>
      </c>
      <c r="M1831" s="15" t="n">
        <v>27</v>
      </c>
      <c r="N1831" s="16" t="n">
        <v>5.44063183e-07</v>
      </c>
      <c r="O1831" s="11" t="n">
        <v>281.3111528</v>
      </c>
      <c r="P1831" s="13">
        <f>N1831*86400</f>
        <v/>
      </c>
      <c r="Q1831" s="14">
        <f>O1831-273.15</f>
        <v/>
      </c>
    </row>
    <row r="1832">
      <c r="A1832" s="9" t="n">
        <v>38719</v>
      </c>
      <c r="B1832" s="7">
        <f>YEAR(A1832)</f>
        <v/>
      </c>
      <c r="C1832" s="7">
        <f>MONTH(A1832)</f>
        <v/>
      </c>
      <c r="D1832" s="10" t="n">
        <v>0</v>
      </c>
      <c r="E1832" s="11" t="n">
        <v>0.7167606311</v>
      </c>
      <c r="F1832" s="12" t="n">
        <v>0</v>
      </c>
      <c r="G1832" s="11" t="n">
        <v>277.1222608</v>
      </c>
      <c r="H1832" s="13">
        <f>F1832*1000</f>
        <v/>
      </c>
      <c r="I1832" s="14">
        <f>G1832-273.15</f>
        <v/>
      </c>
      <c r="K1832" s="15" t="n">
        <v>2006</v>
      </c>
      <c r="L1832" s="15" t="n">
        <v>1</v>
      </c>
      <c r="M1832" s="15" t="n">
        <v>28</v>
      </c>
      <c r="N1832" s="16" t="n">
        <v>1.361899591e-06</v>
      </c>
      <c r="O1832" s="11" t="n">
        <v>279.7210027</v>
      </c>
      <c r="P1832" s="13">
        <f>N1832*86400</f>
        <v/>
      </c>
      <c r="Q1832" s="14">
        <f>O1832-273.15</f>
        <v/>
      </c>
    </row>
    <row r="1833">
      <c r="A1833" s="9" t="n">
        <v>38720</v>
      </c>
      <c r="B1833" s="7">
        <f>YEAR(A1833)</f>
        <v/>
      </c>
      <c r="C1833" s="7">
        <f>MONTH(A1833)</f>
        <v/>
      </c>
      <c r="D1833" s="10" t="n">
        <v>0</v>
      </c>
      <c r="E1833" s="11" t="n">
        <v>-0.1615819765</v>
      </c>
      <c r="F1833" s="12" t="n">
        <v>0.001470834207</v>
      </c>
      <c r="G1833" s="11" t="n">
        <v>276.8930236</v>
      </c>
      <c r="H1833" s="13">
        <f>F1833*1000</f>
        <v/>
      </c>
      <c r="I1833" s="14">
        <f>G1833-273.15</f>
        <v/>
      </c>
      <c r="K1833" s="15" t="n">
        <v>2006</v>
      </c>
      <c r="L1833" s="15" t="n">
        <v>1</v>
      </c>
      <c r="M1833" s="15" t="n">
        <v>29</v>
      </c>
      <c r="N1833" s="16" t="n">
        <v>0</v>
      </c>
      <c r="O1833" s="11" t="n">
        <v>280.399488</v>
      </c>
      <c r="P1833" s="13">
        <f>N1833*86400</f>
        <v/>
      </c>
      <c r="Q1833" s="14">
        <f>O1833-273.15</f>
        <v/>
      </c>
    </row>
    <row r="1834">
      <c r="A1834" s="9" t="n">
        <v>38721</v>
      </c>
      <c r="B1834" s="7">
        <f>YEAR(A1834)</f>
        <v/>
      </c>
      <c r="C1834" s="7">
        <f>MONTH(A1834)</f>
        <v/>
      </c>
      <c r="D1834" s="10" t="n">
        <v>0</v>
      </c>
      <c r="E1834" s="11" t="n">
        <v>0.5038486899</v>
      </c>
      <c r="F1834" s="12" t="n">
        <v>0.0004999018839</v>
      </c>
      <c r="G1834" s="11" t="n">
        <v>276.5326149</v>
      </c>
      <c r="H1834" s="13">
        <f>F1834*1000</f>
        <v/>
      </c>
      <c r="I1834" s="14">
        <f>G1834-273.15</f>
        <v/>
      </c>
      <c r="K1834" s="15" t="n">
        <v>2006</v>
      </c>
      <c r="L1834" s="15" t="n">
        <v>1</v>
      </c>
      <c r="M1834" s="15" t="n">
        <v>30</v>
      </c>
      <c r="N1834" s="16" t="n">
        <v>0</v>
      </c>
      <c r="O1834" s="11" t="n">
        <v>280.0772906</v>
      </c>
      <c r="P1834" s="13">
        <f>N1834*86400</f>
        <v/>
      </c>
      <c r="Q1834" s="14">
        <f>O1834-273.15</f>
        <v/>
      </c>
    </row>
    <row r="1835">
      <c r="A1835" s="9" t="n">
        <v>38722</v>
      </c>
      <c r="B1835" s="7">
        <f>YEAR(A1835)</f>
        <v/>
      </c>
      <c r="C1835" s="7">
        <f>MONTH(A1835)</f>
        <v/>
      </c>
      <c r="D1835" s="10" t="n">
        <v>0</v>
      </c>
      <c r="E1835" s="11" t="n">
        <v>-0.1902971241</v>
      </c>
      <c r="F1835" s="12" t="n">
        <v>0.0001729552956</v>
      </c>
      <c r="G1835" s="11" t="n">
        <v>276.1340829</v>
      </c>
      <c r="H1835" s="13">
        <f>F1835*1000</f>
        <v/>
      </c>
      <c r="I1835" s="14">
        <f>G1835-273.15</f>
        <v/>
      </c>
      <c r="K1835" s="15" t="n">
        <v>2006</v>
      </c>
      <c r="L1835" s="15" t="n">
        <v>2</v>
      </c>
      <c r="M1835" s="15" t="n">
        <v>1</v>
      </c>
      <c r="N1835" s="16" t="n">
        <v>0</v>
      </c>
      <c r="O1835" s="11" t="n">
        <v>279.2255225</v>
      </c>
      <c r="P1835" s="13">
        <f>N1835*86400</f>
        <v/>
      </c>
      <c r="Q1835" s="14">
        <f>O1835-273.15</f>
        <v/>
      </c>
    </row>
    <row r="1836">
      <c r="A1836" s="9" t="n">
        <v>38723</v>
      </c>
      <c r="B1836" s="7">
        <f>YEAR(A1836)</f>
        <v/>
      </c>
      <c r="C1836" s="7">
        <f>MONTH(A1836)</f>
        <v/>
      </c>
      <c r="D1836" s="10" t="n">
        <v>0.146267672</v>
      </c>
      <c r="E1836" s="11" t="n">
        <v>2.650579512</v>
      </c>
      <c r="F1836" s="12" t="n">
        <v>0.004600692402</v>
      </c>
      <c r="G1836" s="11" t="n">
        <v>278.664068</v>
      </c>
      <c r="H1836" s="13">
        <f>F1836*1000</f>
        <v/>
      </c>
      <c r="I1836" s="14">
        <f>G1836-273.15</f>
        <v/>
      </c>
      <c r="K1836" s="15" t="n">
        <v>2006</v>
      </c>
      <c r="L1836" s="15" t="n">
        <v>2</v>
      </c>
      <c r="M1836" s="15" t="n">
        <v>2</v>
      </c>
      <c r="N1836" s="16" t="n">
        <v>9.387496812e-07</v>
      </c>
      <c r="O1836" s="11" t="n">
        <v>279.3524985</v>
      </c>
      <c r="P1836" s="13">
        <f>N1836*86400</f>
        <v/>
      </c>
      <c r="Q1836" s="14">
        <f>O1836-273.15</f>
        <v/>
      </c>
    </row>
    <row r="1837">
      <c r="A1837" s="9" t="n">
        <v>38724</v>
      </c>
      <c r="B1837" s="7">
        <f>YEAR(A1837)</f>
        <v/>
      </c>
      <c r="C1837" s="7">
        <f>MONTH(A1837)</f>
        <v/>
      </c>
      <c r="D1837" s="10" t="n">
        <v>0</v>
      </c>
      <c r="E1837" s="11" t="n">
        <v>2.407872412</v>
      </c>
      <c r="F1837" s="12" t="n">
        <v>0.0002052978393</v>
      </c>
      <c r="G1837" s="11" t="n">
        <v>277.8794679</v>
      </c>
      <c r="H1837" s="13">
        <f>F1837*1000</f>
        <v/>
      </c>
      <c r="I1837" s="14">
        <f>G1837-273.15</f>
        <v/>
      </c>
      <c r="K1837" s="15" t="n">
        <v>2006</v>
      </c>
      <c r="L1837" s="15" t="n">
        <v>2</v>
      </c>
      <c r="M1837" s="15" t="n">
        <v>3</v>
      </c>
      <c r="N1837" s="16" t="n">
        <v>0</v>
      </c>
      <c r="O1837" s="11" t="n">
        <v>279.3373512</v>
      </c>
      <c r="P1837" s="13">
        <f>N1837*86400</f>
        <v/>
      </c>
      <c r="Q1837" s="14">
        <f>O1837-273.15</f>
        <v/>
      </c>
    </row>
    <row r="1838">
      <c r="A1838" s="9" t="n">
        <v>38725</v>
      </c>
      <c r="B1838" s="7">
        <f>YEAR(A1838)</f>
        <v/>
      </c>
      <c r="C1838" s="7">
        <f>MONTH(A1838)</f>
        <v/>
      </c>
      <c r="D1838" s="10" t="n">
        <v>0</v>
      </c>
      <c r="E1838" s="11" t="n">
        <v>5.742141545</v>
      </c>
      <c r="F1838" s="12" t="n">
        <v>0.0003754327802</v>
      </c>
      <c r="G1838" s="11" t="n">
        <v>280.323254</v>
      </c>
      <c r="H1838" s="13">
        <f>F1838*1000</f>
        <v/>
      </c>
      <c r="I1838" s="14">
        <f>G1838-273.15</f>
        <v/>
      </c>
      <c r="K1838" s="15" t="n">
        <v>2006</v>
      </c>
      <c r="L1838" s="15" t="n">
        <v>2</v>
      </c>
      <c r="M1838" s="15" t="n">
        <v>4</v>
      </c>
      <c r="N1838" s="16" t="n">
        <v>0</v>
      </c>
      <c r="O1838" s="11" t="n">
        <v>279.6317388</v>
      </c>
      <c r="P1838" s="13">
        <f>N1838*86400</f>
        <v/>
      </c>
      <c r="Q1838" s="14">
        <f>O1838-273.15</f>
        <v/>
      </c>
    </row>
    <row r="1839">
      <c r="A1839" s="9" t="n">
        <v>38726</v>
      </c>
      <c r="B1839" s="7">
        <f>YEAR(A1839)</f>
        <v/>
      </c>
      <c r="C1839" s="7">
        <f>MONTH(A1839)</f>
        <v/>
      </c>
      <c r="D1839" s="10" t="n">
        <v>0</v>
      </c>
      <c r="E1839" s="11" t="n">
        <v>3.43696132</v>
      </c>
      <c r="F1839" s="12" t="n">
        <v>0.0003307797177</v>
      </c>
      <c r="G1839" s="11" t="n">
        <v>278.0035989</v>
      </c>
      <c r="H1839" s="13">
        <f>F1839*1000</f>
        <v/>
      </c>
      <c r="I1839" s="14">
        <f>G1839-273.15</f>
        <v/>
      </c>
      <c r="K1839" s="15" t="n">
        <v>2006</v>
      </c>
      <c r="L1839" s="15" t="n">
        <v>2</v>
      </c>
      <c r="M1839" s="15" t="n">
        <v>5</v>
      </c>
      <c r="N1839" s="16" t="n">
        <v>0</v>
      </c>
      <c r="O1839" s="11" t="n">
        <v>279.4907876</v>
      </c>
      <c r="P1839" s="13">
        <f>N1839*86400</f>
        <v/>
      </c>
      <c r="Q1839" s="14">
        <f>O1839-273.15</f>
        <v/>
      </c>
    </row>
    <row r="1840">
      <c r="A1840" s="9" t="n">
        <v>38727</v>
      </c>
      <c r="B1840" s="7">
        <f>YEAR(A1840)</f>
        <v/>
      </c>
      <c r="C1840" s="7">
        <f>MONTH(A1840)</f>
        <v/>
      </c>
      <c r="D1840" s="10" t="n">
        <v>0</v>
      </c>
      <c r="E1840" s="11" t="n">
        <v>3.999429461</v>
      </c>
      <c r="F1840" s="12" t="n">
        <v>0</v>
      </c>
      <c r="G1840" s="11" t="n">
        <v>279.6455916</v>
      </c>
      <c r="H1840" s="13">
        <f>F1840*1000</f>
        <v/>
      </c>
      <c r="I1840" s="14">
        <f>G1840-273.15</f>
        <v/>
      </c>
      <c r="K1840" s="15" t="n">
        <v>2006</v>
      </c>
      <c r="L1840" s="15" t="n">
        <v>2</v>
      </c>
      <c r="M1840" s="15" t="n">
        <v>6</v>
      </c>
      <c r="N1840" s="16" t="n">
        <v>0</v>
      </c>
      <c r="O1840" s="11" t="n">
        <v>282.4181948</v>
      </c>
      <c r="P1840" s="13">
        <f>N1840*86400</f>
        <v/>
      </c>
      <c r="Q1840" s="14">
        <f>O1840-273.15</f>
        <v/>
      </c>
    </row>
    <row r="1841">
      <c r="A1841" s="9" t="n">
        <v>38728</v>
      </c>
      <c r="B1841" s="7">
        <f>YEAR(A1841)</f>
        <v/>
      </c>
      <c r="C1841" s="7">
        <f>MONTH(A1841)</f>
        <v/>
      </c>
      <c r="D1841" s="10" t="n">
        <v>0</v>
      </c>
      <c r="E1841" s="11" t="n">
        <v>2.404232525</v>
      </c>
      <c r="F1841" s="12" t="n">
        <v>0</v>
      </c>
      <c r="G1841" s="11" t="n">
        <v>278.16144</v>
      </c>
      <c r="H1841" s="13">
        <f>F1841*1000</f>
        <v/>
      </c>
      <c r="I1841" s="14">
        <f>G1841-273.15</f>
        <v/>
      </c>
      <c r="K1841" s="15" t="n">
        <v>2006</v>
      </c>
      <c r="L1841" s="15" t="n">
        <v>2</v>
      </c>
      <c r="M1841" s="15" t="n">
        <v>7</v>
      </c>
      <c r="N1841" s="16" t="n">
        <v>0</v>
      </c>
      <c r="O1841" s="11" t="n">
        <v>279.1760325</v>
      </c>
      <c r="P1841" s="13">
        <f>N1841*86400</f>
        <v/>
      </c>
      <c r="Q1841" s="14">
        <f>O1841-273.15</f>
        <v/>
      </c>
    </row>
    <row r="1842">
      <c r="A1842" s="9" t="n">
        <v>38729</v>
      </c>
      <c r="B1842" s="7">
        <f>YEAR(A1842)</f>
        <v/>
      </c>
      <c r="C1842" s="7">
        <f>MONTH(A1842)</f>
        <v/>
      </c>
      <c r="D1842" s="10" t="n">
        <v>0</v>
      </c>
      <c r="E1842" s="11" t="n">
        <v>1.461497103</v>
      </c>
      <c r="F1842" s="12" t="n">
        <v>0</v>
      </c>
      <c r="G1842" s="11" t="n">
        <v>278.9027255</v>
      </c>
      <c r="H1842" s="13">
        <f>F1842*1000</f>
        <v/>
      </c>
      <c r="I1842" s="14">
        <f>G1842-273.15</f>
        <v/>
      </c>
      <c r="K1842" s="15" t="n">
        <v>2006</v>
      </c>
      <c r="L1842" s="15" t="n">
        <v>2</v>
      </c>
      <c r="M1842" s="15" t="n">
        <v>8</v>
      </c>
      <c r="N1842" s="16" t="n">
        <v>2.132877822e-07</v>
      </c>
      <c r="O1842" s="11" t="n">
        <v>280.8172707</v>
      </c>
      <c r="P1842" s="13">
        <f>N1842*86400</f>
        <v/>
      </c>
      <c r="Q1842" s="14">
        <f>O1842-273.15</f>
        <v/>
      </c>
    </row>
    <row r="1843">
      <c r="A1843" s="9" t="n">
        <v>38730</v>
      </c>
      <c r="B1843" s="7">
        <f>YEAR(A1843)</f>
        <v/>
      </c>
      <c r="C1843" s="7">
        <f>MONTH(A1843)</f>
        <v/>
      </c>
      <c r="D1843" s="10" t="n">
        <v>0</v>
      </c>
      <c r="E1843" s="11" t="n">
        <v>0.8219145001</v>
      </c>
      <c r="F1843" s="12" t="n">
        <v>0</v>
      </c>
      <c r="G1843" s="11" t="n">
        <v>277.8785643</v>
      </c>
      <c r="H1843" s="13">
        <f>F1843*1000</f>
        <v/>
      </c>
      <c r="I1843" s="14">
        <f>G1843-273.15</f>
        <v/>
      </c>
      <c r="K1843" s="15" t="n">
        <v>2006</v>
      </c>
      <c r="L1843" s="15" t="n">
        <v>2</v>
      </c>
      <c r="M1843" s="15" t="n">
        <v>9</v>
      </c>
      <c r="N1843" s="16" t="n">
        <v>0</v>
      </c>
      <c r="O1843" s="11" t="n">
        <v>281.4458874</v>
      </c>
      <c r="P1843" s="13">
        <f>N1843*86400</f>
        <v/>
      </c>
      <c r="Q1843" s="14">
        <f>O1843-273.15</f>
        <v/>
      </c>
    </row>
    <row r="1844">
      <c r="A1844" s="9" t="n">
        <v>38731</v>
      </c>
      <c r="B1844" s="7">
        <f>YEAR(A1844)</f>
        <v/>
      </c>
      <c r="C1844" s="7">
        <f>MONTH(A1844)</f>
        <v/>
      </c>
      <c r="D1844" s="10" t="n">
        <v>0</v>
      </c>
      <c r="E1844" s="11" t="n">
        <v>2.209110827</v>
      </c>
      <c r="F1844" s="12" t="n">
        <v>0</v>
      </c>
      <c r="G1844" s="11" t="n">
        <v>278.787074</v>
      </c>
      <c r="H1844" s="13">
        <f>F1844*1000</f>
        <v/>
      </c>
      <c r="I1844" s="14">
        <f>G1844-273.15</f>
        <v/>
      </c>
      <c r="K1844" s="15" t="n">
        <v>2006</v>
      </c>
      <c r="L1844" s="15" t="n">
        <v>2</v>
      </c>
      <c r="M1844" s="15" t="n">
        <v>10</v>
      </c>
      <c r="N1844" s="16" t="n">
        <v>3.581511934e-05</v>
      </c>
      <c r="O1844" s="11" t="n">
        <v>283.6314123</v>
      </c>
      <c r="P1844" s="13">
        <f>N1844*86400</f>
        <v/>
      </c>
      <c r="Q1844" s="14">
        <f>O1844-273.15</f>
        <v/>
      </c>
    </row>
    <row r="1845">
      <c r="A1845" s="9" t="n">
        <v>38732</v>
      </c>
      <c r="B1845" s="7">
        <f>YEAR(A1845)</f>
        <v/>
      </c>
      <c r="C1845" s="7">
        <f>MONTH(A1845)</f>
        <v/>
      </c>
      <c r="D1845" s="10" t="n">
        <v>0</v>
      </c>
      <c r="E1845" s="11" t="n">
        <v>3.657750533</v>
      </c>
      <c r="F1845" s="12" t="n">
        <v>0</v>
      </c>
      <c r="G1845" s="11" t="n">
        <v>280.0584998</v>
      </c>
      <c r="H1845" s="13">
        <f>F1845*1000</f>
        <v/>
      </c>
      <c r="I1845" s="14">
        <f>G1845-273.15</f>
        <v/>
      </c>
      <c r="K1845" s="15" t="n">
        <v>2006</v>
      </c>
      <c r="L1845" s="15" t="n">
        <v>2</v>
      </c>
      <c r="M1845" s="15" t="n">
        <v>11</v>
      </c>
      <c r="N1845" s="16" t="n">
        <v>2.67570952e-05</v>
      </c>
      <c r="O1845" s="11" t="n">
        <v>284.8885826</v>
      </c>
      <c r="P1845" s="13">
        <f>N1845*86400</f>
        <v/>
      </c>
      <c r="Q1845" s="14">
        <f>O1845-273.15</f>
        <v/>
      </c>
    </row>
    <row r="1846">
      <c r="A1846" s="9" t="n">
        <v>38733</v>
      </c>
      <c r="B1846" s="7">
        <f>YEAR(A1846)</f>
        <v/>
      </c>
      <c r="C1846" s="7">
        <f>MONTH(A1846)</f>
        <v/>
      </c>
      <c r="D1846" s="10" t="n">
        <v>0</v>
      </c>
      <c r="E1846" s="11" t="n">
        <v>2.028613942</v>
      </c>
      <c r="F1846" s="12" t="n">
        <v>0</v>
      </c>
      <c r="G1846" s="11" t="n">
        <v>277.014084</v>
      </c>
      <c r="H1846" s="13">
        <f>F1846*1000</f>
        <v/>
      </c>
      <c r="I1846" s="14">
        <f>G1846-273.15</f>
        <v/>
      </c>
      <c r="K1846" s="15" t="n">
        <v>2006</v>
      </c>
      <c r="L1846" s="15" t="n">
        <v>2</v>
      </c>
      <c r="M1846" s="15" t="n">
        <v>12</v>
      </c>
      <c r="N1846" s="16" t="n">
        <v>0</v>
      </c>
      <c r="O1846" s="11" t="n">
        <v>284.476016</v>
      </c>
      <c r="P1846" s="13">
        <f>N1846*86400</f>
        <v/>
      </c>
      <c r="Q1846" s="14">
        <f>O1846-273.15</f>
        <v/>
      </c>
    </row>
    <row r="1847">
      <c r="A1847" s="9" t="n">
        <v>38734</v>
      </c>
      <c r="B1847" s="7">
        <f>YEAR(A1847)</f>
        <v/>
      </c>
      <c r="C1847" s="7">
        <f>MONTH(A1847)</f>
        <v/>
      </c>
      <c r="D1847" s="10" t="n">
        <v>0</v>
      </c>
      <c r="E1847" s="11" t="n">
        <v>0.368572555</v>
      </c>
      <c r="F1847" s="12" t="n">
        <v>0</v>
      </c>
      <c r="G1847" s="11" t="n">
        <v>275.7447787</v>
      </c>
      <c r="H1847" s="13">
        <f>F1847*1000</f>
        <v/>
      </c>
      <c r="I1847" s="14">
        <f>G1847-273.15</f>
        <v/>
      </c>
      <c r="K1847" s="15" t="n">
        <v>2006</v>
      </c>
      <c r="L1847" s="15" t="n">
        <v>2</v>
      </c>
      <c r="M1847" s="15" t="n">
        <v>13</v>
      </c>
      <c r="N1847" s="16" t="n">
        <v>0</v>
      </c>
      <c r="O1847" s="11" t="n">
        <v>282.9891689</v>
      </c>
      <c r="P1847" s="13">
        <f>N1847*86400</f>
        <v/>
      </c>
      <c r="Q1847" s="14">
        <f>O1847-273.15</f>
        <v/>
      </c>
    </row>
    <row r="1848">
      <c r="A1848" s="9" t="n">
        <v>38735</v>
      </c>
      <c r="B1848" s="7">
        <f>YEAR(A1848)</f>
        <v/>
      </c>
      <c r="C1848" s="7">
        <f>MONTH(A1848)</f>
        <v/>
      </c>
      <c r="D1848" s="10" t="n">
        <v>0</v>
      </c>
      <c r="E1848" s="11" t="n">
        <v>2.231934367</v>
      </c>
      <c r="F1848" s="12" t="n">
        <v>0</v>
      </c>
      <c r="G1848" s="11" t="n">
        <v>277.8087375</v>
      </c>
      <c r="H1848" s="13">
        <f>F1848*1000</f>
        <v/>
      </c>
      <c r="I1848" s="14">
        <f>G1848-273.15</f>
        <v/>
      </c>
      <c r="K1848" s="15" t="n">
        <v>2006</v>
      </c>
      <c r="L1848" s="15" t="n">
        <v>2</v>
      </c>
      <c r="M1848" s="15" t="n">
        <v>14</v>
      </c>
      <c r="N1848" s="16" t="n">
        <v>2.31295085e-06</v>
      </c>
      <c r="O1848" s="11" t="n">
        <v>282.1505985</v>
      </c>
      <c r="P1848" s="13">
        <f>N1848*86400</f>
        <v/>
      </c>
      <c r="Q1848" s="14">
        <f>O1848-273.15</f>
        <v/>
      </c>
    </row>
    <row r="1849">
      <c r="A1849" s="9" t="n">
        <v>38736</v>
      </c>
      <c r="B1849" s="7">
        <f>YEAR(A1849)</f>
        <v/>
      </c>
      <c r="C1849" s="7">
        <f>MONTH(A1849)</f>
        <v/>
      </c>
      <c r="D1849" s="10" t="n">
        <v>0</v>
      </c>
      <c r="E1849" s="11" t="n">
        <v>3.173436526</v>
      </c>
      <c r="F1849" s="12" t="n">
        <v>0</v>
      </c>
      <c r="G1849" s="11" t="n">
        <v>277.7238424</v>
      </c>
      <c r="H1849" s="13">
        <f>F1849*1000</f>
        <v/>
      </c>
      <c r="I1849" s="14">
        <f>G1849-273.15</f>
        <v/>
      </c>
      <c r="K1849" s="15" t="n">
        <v>2006</v>
      </c>
      <c r="L1849" s="15" t="n">
        <v>2</v>
      </c>
      <c r="M1849" s="15" t="n">
        <v>15</v>
      </c>
      <c r="N1849" s="16" t="n">
        <v>0</v>
      </c>
      <c r="O1849" s="11" t="n">
        <v>283.3703258</v>
      </c>
      <c r="P1849" s="13">
        <f>N1849*86400</f>
        <v/>
      </c>
      <c r="Q1849" s="14">
        <f>O1849-273.15</f>
        <v/>
      </c>
    </row>
    <row r="1850">
      <c r="A1850" s="9" t="n">
        <v>38737</v>
      </c>
      <c r="B1850" s="7">
        <f>YEAR(A1850)</f>
        <v/>
      </c>
      <c r="C1850" s="7">
        <f>MONTH(A1850)</f>
        <v/>
      </c>
      <c r="D1850" s="10" t="n">
        <v>0</v>
      </c>
      <c r="E1850" s="11" t="n">
        <v>4.827762054</v>
      </c>
      <c r="F1850" s="12" t="n">
        <v>0</v>
      </c>
      <c r="G1850" s="11" t="n">
        <v>279.5553165</v>
      </c>
      <c r="H1850" s="13">
        <f>F1850*1000</f>
        <v/>
      </c>
      <c r="I1850" s="14">
        <f>G1850-273.15</f>
        <v/>
      </c>
      <c r="K1850" s="15" t="n">
        <v>2006</v>
      </c>
      <c r="L1850" s="15" t="n">
        <v>2</v>
      </c>
      <c r="M1850" s="15" t="n">
        <v>16</v>
      </c>
      <c r="N1850" s="16" t="n">
        <v>0</v>
      </c>
      <c r="O1850" s="11" t="n">
        <v>283.4886962</v>
      </c>
      <c r="P1850" s="13">
        <f>N1850*86400</f>
        <v/>
      </c>
      <c r="Q1850" s="14">
        <f>O1850-273.15</f>
        <v/>
      </c>
    </row>
    <row r="1851">
      <c r="A1851" s="9" t="n">
        <v>38738</v>
      </c>
      <c r="B1851" s="7">
        <f>YEAR(A1851)</f>
        <v/>
      </c>
      <c r="C1851" s="7">
        <f>MONTH(A1851)</f>
        <v/>
      </c>
      <c r="D1851" s="10" t="n">
        <v>0</v>
      </c>
      <c r="E1851" s="11" t="n">
        <v>4.028941182</v>
      </c>
      <c r="F1851" s="12" t="n">
        <v>0</v>
      </c>
      <c r="G1851" s="11" t="n">
        <v>278.9556299</v>
      </c>
      <c r="H1851" s="13">
        <f>F1851*1000</f>
        <v/>
      </c>
      <c r="I1851" s="14">
        <f>G1851-273.15</f>
        <v/>
      </c>
      <c r="K1851" s="15" t="n">
        <v>2006</v>
      </c>
      <c r="L1851" s="15" t="n">
        <v>2</v>
      </c>
      <c r="M1851" s="15" t="n">
        <v>17</v>
      </c>
      <c r="N1851" s="16" t="n">
        <v>0</v>
      </c>
      <c r="O1851" s="11" t="n">
        <v>285.6649152</v>
      </c>
      <c r="P1851" s="13">
        <f>N1851*86400</f>
        <v/>
      </c>
      <c r="Q1851" s="14">
        <f>O1851-273.15</f>
        <v/>
      </c>
    </row>
    <row r="1852">
      <c r="A1852" s="9" t="n">
        <v>38739</v>
      </c>
      <c r="B1852" s="7">
        <f>YEAR(A1852)</f>
        <v/>
      </c>
      <c r="C1852" s="7">
        <f>MONTH(A1852)</f>
        <v/>
      </c>
      <c r="D1852" s="10" t="n">
        <v>0.1262012675</v>
      </c>
      <c r="E1852" s="11" t="n">
        <v>3.583365158</v>
      </c>
      <c r="F1852" s="12" t="n">
        <v>0.00277137626</v>
      </c>
      <c r="G1852" s="11" t="n">
        <v>278.5141022</v>
      </c>
      <c r="H1852" s="13">
        <f>F1852*1000</f>
        <v/>
      </c>
      <c r="I1852" s="14">
        <f>G1852-273.15</f>
        <v/>
      </c>
      <c r="K1852" s="15" t="n">
        <v>2006</v>
      </c>
      <c r="L1852" s="15" t="n">
        <v>2</v>
      </c>
      <c r="M1852" s="15" t="n">
        <v>18</v>
      </c>
      <c r="N1852" s="16" t="n">
        <v>0</v>
      </c>
      <c r="O1852" s="11" t="n">
        <v>285.9216561</v>
      </c>
      <c r="P1852" s="13">
        <f>N1852*86400</f>
        <v/>
      </c>
      <c r="Q1852" s="14">
        <f>O1852-273.15</f>
        <v/>
      </c>
    </row>
    <row r="1853">
      <c r="A1853" s="9" t="n">
        <v>38740</v>
      </c>
      <c r="B1853" s="7">
        <f>YEAR(A1853)</f>
        <v/>
      </c>
      <c r="C1853" s="7">
        <f>MONTH(A1853)</f>
        <v/>
      </c>
      <c r="D1853" s="10" t="n">
        <v>6.056014014</v>
      </c>
      <c r="E1853" s="11" t="n">
        <v>2.00167355</v>
      </c>
      <c r="F1853" s="12" t="n">
        <v>0.00393969542</v>
      </c>
      <c r="G1853" s="11" t="n">
        <v>277.0562271</v>
      </c>
      <c r="H1853" s="13">
        <f>F1853*1000</f>
        <v/>
      </c>
      <c r="I1853" s="14">
        <f>G1853-273.15</f>
        <v/>
      </c>
      <c r="K1853" s="15" t="n">
        <v>2006</v>
      </c>
      <c r="L1853" s="15" t="n">
        <v>2</v>
      </c>
      <c r="M1853" s="15" t="n">
        <v>19</v>
      </c>
      <c r="N1853" s="16" t="n">
        <v>2.179828887e-05</v>
      </c>
      <c r="O1853" s="11" t="n">
        <v>284.742162</v>
      </c>
      <c r="P1853" s="13">
        <f>N1853*86400</f>
        <v/>
      </c>
      <c r="Q1853" s="14">
        <f>O1853-273.15</f>
        <v/>
      </c>
    </row>
    <row r="1854">
      <c r="A1854" s="9" t="n">
        <v>38741</v>
      </c>
      <c r="B1854" s="7">
        <f>YEAR(A1854)</f>
        <v/>
      </c>
      <c r="C1854" s="7">
        <f>MONTH(A1854)</f>
        <v/>
      </c>
      <c r="D1854" s="10" t="n">
        <v>0</v>
      </c>
      <c r="E1854" s="11" t="n">
        <v>1.813791502</v>
      </c>
      <c r="F1854" s="12" t="n">
        <v>0.0001592008211</v>
      </c>
      <c r="G1854" s="11" t="n">
        <v>277.2597763</v>
      </c>
      <c r="H1854" s="13">
        <f>F1854*1000</f>
        <v/>
      </c>
      <c r="I1854" s="14">
        <f>G1854-273.15</f>
        <v/>
      </c>
      <c r="K1854" s="15" t="n">
        <v>2006</v>
      </c>
      <c r="L1854" s="15" t="n">
        <v>2</v>
      </c>
      <c r="M1854" s="15" t="n">
        <v>20</v>
      </c>
      <c r="N1854" s="16" t="n">
        <v>0</v>
      </c>
      <c r="O1854" s="11" t="n">
        <v>284.584401</v>
      </c>
      <c r="P1854" s="13">
        <f>N1854*86400</f>
        <v/>
      </c>
      <c r="Q1854" s="14">
        <f>O1854-273.15</f>
        <v/>
      </c>
    </row>
    <row r="1855">
      <c r="A1855" s="9" t="n">
        <v>38742</v>
      </c>
      <c r="B1855" s="7">
        <f>YEAR(A1855)</f>
        <v/>
      </c>
      <c r="C1855" s="7">
        <f>MONTH(A1855)</f>
        <v/>
      </c>
      <c r="D1855" s="10" t="n">
        <v>0</v>
      </c>
      <c r="E1855" s="11" t="n">
        <v>3.693363732</v>
      </c>
      <c r="F1855" s="12" t="n">
        <v>0</v>
      </c>
      <c r="G1855" s="11" t="n">
        <v>279.0075186</v>
      </c>
      <c r="H1855" s="13">
        <f>F1855*1000</f>
        <v/>
      </c>
      <c r="I1855" s="14">
        <f>G1855-273.15</f>
        <v/>
      </c>
      <c r="K1855" s="15" t="n">
        <v>2006</v>
      </c>
      <c r="L1855" s="15" t="n">
        <v>2</v>
      </c>
      <c r="M1855" s="15" t="n">
        <v>21</v>
      </c>
      <c r="N1855" s="16" t="n">
        <v>0</v>
      </c>
      <c r="O1855" s="11" t="n">
        <v>285.2212186</v>
      </c>
      <c r="P1855" s="13">
        <f>N1855*86400</f>
        <v/>
      </c>
      <c r="Q1855" s="14">
        <f>O1855-273.15</f>
        <v/>
      </c>
    </row>
    <row r="1856">
      <c r="A1856" s="9" t="n">
        <v>38743</v>
      </c>
      <c r="B1856" s="7">
        <f>YEAR(A1856)</f>
        <v/>
      </c>
      <c r="C1856" s="7">
        <f>MONTH(A1856)</f>
        <v/>
      </c>
      <c r="D1856" s="10" t="n">
        <v>0</v>
      </c>
      <c r="E1856" s="11" t="n">
        <v>2.71680573</v>
      </c>
      <c r="F1856" s="12" t="n">
        <v>0</v>
      </c>
      <c r="G1856" s="11" t="n">
        <v>277.8531317</v>
      </c>
      <c r="H1856" s="13">
        <f>F1856*1000</f>
        <v/>
      </c>
      <c r="I1856" s="14">
        <f>G1856-273.15</f>
        <v/>
      </c>
      <c r="K1856" s="15" t="n">
        <v>2006</v>
      </c>
      <c r="L1856" s="15" t="n">
        <v>2</v>
      </c>
      <c r="M1856" s="15" t="n">
        <v>22</v>
      </c>
      <c r="N1856" s="16" t="n">
        <v>4.160582867e-06</v>
      </c>
      <c r="O1856" s="11" t="n">
        <v>284.2356304</v>
      </c>
      <c r="P1856" s="13">
        <f>N1856*86400</f>
        <v/>
      </c>
      <c r="Q1856" s="14">
        <f>O1856-273.15</f>
        <v/>
      </c>
    </row>
    <row r="1857">
      <c r="A1857" s="9" t="n">
        <v>38744</v>
      </c>
      <c r="B1857" s="7">
        <f>YEAR(A1857)</f>
        <v/>
      </c>
      <c r="C1857" s="7">
        <f>MONTH(A1857)</f>
        <v/>
      </c>
      <c r="D1857" s="10" t="n">
        <v>0</v>
      </c>
      <c r="E1857" s="11" t="n">
        <v>0.3162924618</v>
      </c>
      <c r="F1857" s="12" t="n">
        <v>0</v>
      </c>
      <c r="G1857" s="11" t="n">
        <v>276.8887749</v>
      </c>
      <c r="H1857" s="13">
        <f>F1857*1000</f>
        <v/>
      </c>
      <c r="I1857" s="14">
        <f>G1857-273.15</f>
        <v/>
      </c>
      <c r="K1857" s="15" t="n">
        <v>2006</v>
      </c>
      <c r="L1857" s="15" t="n">
        <v>2</v>
      </c>
      <c r="M1857" s="15" t="n">
        <v>23</v>
      </c>
      <c r="N1857" s="16" t="n">
        <v>2.794923924e-05</v>
      </c>
      <c r="O1857" s="11" t="n">
        <v>285.0922336</v>
      </c>
      <c r="P1857" s="13">
        <f>N1857*86400</f>
        <v/>
      </c>
      <c r="Q1857" s="14">
        <f>O1857-273.15</f>
        <v/>
      </c>
    </row>
    <row r="1858">
      <c r="A1858" s="9" t="n">
        <v>38745</v>
      </c>
      <c r="B1858" s="7">
        <f>YEAR(A1858)</f>
        <v/>
      </c>
      <c r="C1858" s="7">
        <f>MONTH(A1858)</f>
        <v/>
      </c>
      <c r="D1858" s="10" t="n">
        <v>0</v>
      </c>
      <c r="E1858" s="11" t="n">
        <v>2.379829035</v>
      </c>
      <c r="F1858" s="12" t="n">
        <v>0</v>
      </c>
      <c r="G1858" s="11" t="n">
        <v>278.7718289</v>
      </c>
      <c r="H1858" s="13">
        <f>F1858*1000</f>
        <v/>
      </c>
      <c r="I1858" s="14">
        <f>G1858-273.15</f>
        <v/>
      </c>
      <c r="K1858" s="15" t="n">
        <v>2006</v>
      </c>
      <c r="L1858" s="15" t="n">
        <v>2</v>
      </c>
      <c r="M1858" s="15" t="n">
        <v>24</v>
      </c>
      <c r="N1858" s="16" t="n">
        <v>1.710206761e-05</v>
      </c>
      <c r="O1858" s="11" t="n">
        <v>284.2783682</v>
      </c>
      <c r="P1858" s="13">
        <f>N1858*86400</f>
        <v/>
      </c>
      <c r="Q1858" s="14">
        <f>O1858-273.15</f>
        <v/>
      </c>
    </row>
    <row r="1859">
      <c r="A1859" s="9" t="n">
        <v>38746</v>
      </c>
      <c r="B1859" s="7">
        <f>YEAR(A1859)</f>
        <v/>
      </c>
      <c r="C1859" s="7">
        <f>MONTH(A1859)</f>
        <v/>
      </c>
      <c r="D1859" s="10" t="n">
        <v>0</v>
      </c>
      <c r="E1859" s="11" t="n">
        <v>2.351843474</v>
      </c>
      <c r="F1859" s="12" t="n">
        <v>0</v>
      </c>
      <c r="G1859" s="11" t="n">
        <v>279.0833985</v>
      </c>
      <c r="H1859" s="13">
        <f>F1859*1000</f>
        <v/>
      </c>
      <c r="I1859" s="14">
        <f>G1859-273.15</f>
        <v/>
      </c>
      <c r="K1859" s="15" t="n">
        <v>2006</v>
      </c>
      <c r="L1859" s="15" t="n">
        <v>2</v>
      </c>
      <c r="M1859" s="15" t="n">
        <v>25</v>
      </c>
      <c r="N1859" s="16" t="n">
        <v>4.103669117e-05</v>
      </c>
      <c r="O1859" s="11" t="n">
        <v>285.3793893</v>
      </c>
      <c r="P1859" s="13">
        <f>N1859*86400</f>
        <v/>
      </c>
      <c r="Q1859" s="14">
        <f>O1859-273.15</f>
        <v/>
      </c>
    </row>
    <row r="1860">
      <c r="A1860" s="9" t="n">
        <v>38747</v>
      </c>
      <c r="B1860" s="7">
        <f>YEAR(A1860)</f>
        <v/>
      </c>
      <c r="C1860" s="7">
        <f>MONTH(A1860)</f>
        <v/>
      </c>
      <c r="D1860" s="10" t="n">
        <v>0</v>
      </c>
      <c r="E1860" s="11" t="n">
        <v>2.045636105</v>
      </c>
      <c r="F1860" s="12" t="n">
        <v>0</v>
      </c>
      <c r="G1860" s="11" t="n">
        <v>279.0195199</v>
      </c>
      <c r="H1860" s="13">
        <f>F1860*1000</f>
        <v/>
      </c>
      <c r="I1860" s="14">
        <f>G1860-273.15</f>
        <v/>
      </c>
      <c r="K1860" s="15" t="n">
        <v>2006</v>
      </c>
      <c r="L1860" s="15" t="n">
        <v>2</v>
      </c>
      <c r="M1860" s="15" t="n">
        <v>26</v>
      </c>
      <c r="N1860" s="16" t="n">
        <v>0</v>
      </c>
      <c r="O1860" s="11" t="n">
        <v>285.8560438</v>
      </c>
      <c r="P1860" s="13">
        <f>N1860*86400</f>
        <v/>
      </c>
      <c r="Q1860" s="14">
        <f>O1860-273.15</f>
        <v/>
      </c>
    </row>
    <row r="1861">
      <c r="A1861" s="9" t="n">
        <v>38748</v>
      </c>
      <c r="B1861" s="7">
        <f>YEAR(A1861)</f>
        <v/>
      </c>
      <c r="C1861" s="7">
        <f>MONTH(A1861)</f>
        <v/>
      </c>
      <c r="D1861" s="10" t="n">
        <v>0</v>
      </c>
      <c r="E1861" s="11" t="n">
        <v>-0.04853765327</v>
      </c>
      <c r="F1861" s="12" t="n">
        <v>0</v>
      </c>
      <c r="G1861" s="11" t="n">
        <v>277.2714252</v>
      </c>
      <c r="H1861" s="13">
        <f>F1861*1000</f>
        <v/>
      </c>
      <c r="I1861" s="14">
        <f>G1861-273.15</f>
        <v/>
      </c>
      <c r="K1861" s="15" t="n">
        <v>2006</v>
      </c>
      <c r="L1861" s="15" t="n">
        <v>2</v>
      </c>
      <c r="M1861" s="15" t="n">
        <v>27</v>
      </c>
      <c r="N1861" s="16" t="n">
        <v>6.065944731e-05</v>
      </c>
      <c r="O1861" s="11" t="n">
        <v>285.2653352</v>
      </c>
      <c r="P1861" s="13">
        <f>N1861*86400</f>
        <v/>
      </c>
      <c r="Q1861" s="14">
        <f>O1861-273.15</f>
        <v/>
      </c>
    </row>
    <row r="1862">
      <c r="A1862" s="9" t="n">
        <v>38749</v>
      </c>
      <c r="B1862" s="7">
        <f>YEAR(A1862)</f>
        <v/>
      </c>
      <c r="C1862" s="7">
        <f>MONTH(A1862)</f>
        <v/>
      </c>
      <c r="D1862" s="10" t="n">
        <v>0</v>
      </c>
      <c r="E1862" s="11" t="n">
        <v>3.318675184</v>
      </c>
      <c r="F1862" s="12" t="n">
        <v>0</v>
      </c>
      <c r="G1862" s="11" t="n">
        <v>280.0719531</v>
      </c>
      <c r="H1862" s="13">
        <f>F1862*1000</f>
        <v/>
      </c>
      <c r="I1862" s="14">
        <f>G1862-273.15</f>
        <v/>
      </c>
      <c r="K1862" s="15" t="n">
        <v>2006</v>
      </c>
      <c r="L1862" s="15" t="n">
        <v>2</v>
      </c>
      <c r="M1862" s="15" t="n">
        <v>28</v>
      </c>
      <c r="N1862" s="16" t="n">
        <v>3.658614553e-05</v>
      </c>
      <c r="O1862" s="11" t="n">
        <v>287.2339263</v>
      </c>
      <c r="P1862" s="13">
        <f>N1862*86400</f>
        <v/>
      </c>
      <c r="Q1862" s="14">
        <f>O1862-273.15</f>
        <v/>
      </c>
    </row>
    <row r="1863">
      <c r="A1863" s="9" t="n">
        <v>38750</v>
      </c>
      <c r="B1863" s="7">
        <f>YEAR(A1863)</f>
        <v/>
      </c>
      <c r="C1863" s="7">
        <f>MONTH(A1863)</f>
        <v/>
      </c>
      <c r="D1863" s="10" t="n">
        <v>0</v>
      </c>
      <c r="E1863" s="11" t="n">
        <v>5.832461763</v>
      </c>
      <c r="F1863" s="12" t="n">
        <v>0</v>
      </c>
      <c r="G1863" s="11" t="n">
        <v>280.9204856</v>
      </c>
      <c r="H1863" s="13">
        <f>F1863*1000</f>
        <v/>
      </c>
      <c r="I1863" s="14">
        <f>G1863-273.15</f>
        <v/>
      </c>
      <c r="K1863" s="15" t="n">
        <v>2006</v>
      </c>
      <c r="L1863" s="15" t="n">
        <v>2</v>
      </c>
      <c r="M1863" s="15" t="n">
        <v>29</v>
      </c>
      <c r="N1863" s="16" t="n">
        <v>1.593588488e-05</v>
      </c>
      <c r="O1863" s="11" t="n">
        <v>287.8810099</v>
      </c>
      <c r="P1863" s="13">
        <f>N1863*86400</f>
        <v/>
      </c>
      <c r="Q1863" s="14">
        <f>O1863-273.15</f>
        <v/>
      </c>
    </row>
    <row r="1864">
      <c r="A1864" s="9" t="n">
        <v>38751</v>
      </c>
      <c r="B1864" s="7">
        <f>YEAR(A1864)</f>
        <v/>
      </c>
      <c r="C1864" s="7">
        <f>MONTH(A1864)</f>
        <v/>
      </c>
      <c r="D1864" s="10" t="n">
        <v>0</v>
      </c>
      <c r="E1864" s="11" t="n">
        <v>7.371013391</v>
      </c>
      <c r="F1864" s="12" t="n">
        <v>0</v>
      </c>
      <c r="G1864" s="11" t="n">
        <v>281.288899</v>
      </c>
      <c r="H1864" s="13">
        <f>F1864*1000</f>
        <v/>
      </c>
      <c r="I1864" s="14">
        <f>G1864-273.15</f>
        <v/>
      </c>
      <c r="K1864" s="15" t="n">
        <v>2006</v>
      </c>
      <c r="L1864" s="15" t="n">
        <v>2</v>
      </c>
      <c r="M1864" s="15" t="n">
        <v>30</v>
      </c>
      <c r="N1864" s="16" t="n">
        <v>5.62311658e-05</v>
      </c>
      <c r="O1864" s="11" t="n">
        <v>286.6745377</v>
      </c>
      <c r="P1864" s="13">
        <f>N1864*86400</f>
        <v/>
      </c>
      <c r="Q1864" s="14">
        <f>O1864-273.15</f>
        <v/>
      </c>
    </row>
    <row r="1865">
      <c r="A1865" s="9" t="n">
        <v>38752</v>
      </c>
      <c r="B1865" s="7">
        <f>YEAR(A1865)</f>
        <v/>
      </c>
      <c r="C1865" s="7">
        <f>MONTH(A1865)</f>
        <v/>
      </c>
      <c r="D1865" s="10" t="n">
        <v>0</v>
      </c>
      <c r="E1865" s="11" t="n">
        <v>6.261835077</v>
      </c>
      <c r="F1865" s="12" t="n">
        <v>0</v>
      </c>
      <c r="G1865" s="11" t="n">
        <v>281.116417</v>
      </c>
      <c r="H1865" s="13">
        <f>F1865*1000</f>
        <v/>
      </c>
      <c r="I1865" s="14">
        <f>G1865-273.15</f>
        <v/>
      </c>
      <c r="K1865" s="15" t="n">
        <v>2006</v>
      </c>
      <c r="L1865" s="15" t="n">
        <v>3</v>
      </c>
      <c r="M1865" s="15" t="n">
        <v>1</v>
      </c>
      <c r="N1865" s="16" t="n">
        <v>0</v>
      </c>
      <c r="O1865" s="11" t="n">
        <v>285.1814666</v>
      </c>
      <c r="P1865" s="13">
        <f>N1865*86400</f>
        <v/>
      </c>
      <c r="Q1865" s="14">
        <f>O1865-273.15</f>
        <v/>
      </c>
    </row>
    <row r="1866">
      <c r="A1866" s="9" t="n">
        <v>38753</v>
      </c>
      <c r="B1866" s="7">
        <f>YEAR(A1866)</f>
        <v/>
      </c>
      <c r="C1866" s="7">
        <f>MONTH(A1866)</f>
        <v/>
      </c>
      <c r="D1866" s="10" t="n">
        <v>0</v>
      </c>
      <c r="E1866" s="11" t="n">
        <v>5.922320166</v>
      </c>
      <c r="F1866" s="12" t="n">
        <v>0</v>
      </c>
      <c r="G1866" s="11" t="n">
        <v>280.6345936</v>
      </c>
      <c r="H1866" s="13">
        <f>F1866*1000</f>
        <v/>
      </c>
      <c r="I1866" s="14">
        <f>G1866-273.15</f>
        <v/>
      </c>
      <c r="K1866" s="15" t="n">
        <v>2006</v>
      </c>
      <c r="L1866" s="15" t="n">
        <v>3</v>
      </c>
      <c r="M1866" s="15" t="n">
        <v>2</v>
      </c>
      <c r="N1866" s="16" t="n">
        <v>0</v>
      </c>
      <c r="O1866" s="11" t="n">
        <v>284.2857929</v>
      </c>
      <c r="P1866" s="13">
        <f>N1866*86400</f>
        <v/>
      </c>
      <c r="Q1866" s="14">
        <f>O1866-273.15</f>
        <v/>
      </c>
    </row>
    <row r="1867">
      <c r="A1867" s="9" t="n">
        <v>38754</v>
      </c>
      <c r="B1867" s="7">
        <f>YEAR(A1867)</f>
        <v/>
      </c>
      <c r="C1867" s="7">
        <f>MONTH(A1867)</f>
        <v/>
      </c>
      <c r="D1867" s="10" t="n">
        <v>0</v>
      </c>
      <c r="E1867" s="11" t="n">
        <v>7.18573076</v>
      </c>
      <c r="F1867" s="12" t="n">
        <v>0</v>
      </c>
      <c r="G1867" s="11" t="n">
        <v>281.4231872</v>
      </c>
      <c r="H1867" s="13">
        <f>F1867*1000</f>
        <v/>
      </c>
      <c r="I1867" s="14">
        <f>G1867-273.15</f>
        <v/>
      </c>
      <c r="K1867" s="15" t="n">
        <v>2006</v>
      </c>
      <c r="L1867" s="15" t="n">
        <v>3</v>
      </c>
      <c r="M1867" s="15" t="n">
        <v>3</v>
      </c>
      <c r="N1867" s="16" t="n">
        <v>2.323528476e-06</v>
      </c>
      <c r="O1867" s="11" t="n">
        <v>283.7045257</v>
      </c>
      <c r="P1867" s="13">
        <f>N1867*86400</f>
        <v/>
      </c>
      <c r="Q1867" s="14">
        <f>O1867-273.15</f>
        <v/>
      </c>
    </row>
    <row r="1868">
      <c r="A1868" s="9" t="n">
        <v>38755</v>
      </c>
      <c r="B1868" s="7">
        <f>YEAR(A1868)</f>
        <v/>
      </c>
      <c r="C1868" s="7">
        <f>MONTH(A1868)</f>
        <v/>
      </c>
      <c r="D1868" s="10" t="n">
        <v>0</v>
      </c>
      <c r="E1868" s="11" t="n">
        <v>7.19195921</v>
      </c>
      <c r="F1868" s="12" t="n">
        <v>8.548730384e-05</v>
      </c>
      <c r="G1868" s="11" t="n">
        <v>280.9734244</v>
      </c>
      <c r="H1868" s="13">
        <f>F1868*1000</f>
        <v/>
      </c>
      <c r="I1868" s="14">
        <f>G1868-273.15</f>
        <v/>
      </c>
      <c r="K1868" s="15" t="n">
        <v>2006</v>
      </c>
      <c r="L1868" s="15" t="n">
        <v>3</v>
      </c>
      <c r="M1868" s="15" t="n">
        <v>4</v>
      </c>
      <c r="N1868" s="16" t="n">
        <v>1.335021906e-05</v>
      </c>
      <c r="O1868" s="11" t="n">
        <v>285.3491238</v>
      </c>
      <c r="P1868" s="13">
        <f>N1868*86400</f>
        <v/>
      </c>
      <c r="Q1868" s="14">
        <f>O1868-273.15</f>
        <v/>
      </c>
    </row>
    <row r="1869">
      <c r="A1869" s="9" t="n">
        <v>38756</v>
      </c>
      <c r="B1869" s="7">
        <f>YEAR(A1869)</f>
        <v/>
      </c>
      <c r="C1869" s="7">
        <f>MONTH(A1869)</f>
        <v/>
      </c>
      <c r="D1869" s="10" t="n">
        <v>0</v>
      </c>
      <c r="E1869" s="11" t="n">
        <v>7.40606016</v>
      </c>
      <c r="F1869" s="12" t="n">
        <v>0</v>
      </c>
      <c r="G1869" s="11" t="n">
        <v>281.7223946</v>
      </c>
      <c r="H1869" s="13">
        <f>F1869*1000</f>
        <v/>
      </c>
      <c r="I1869" s="14">
        <f>G1869-273.15</f>
        <v/>
      </c>
      <c r="K1869" s="15" t="n">
        <v>2006</v>
      </c>
      <c r="L1869" s="15" t="n">
        <v>3</v>
      </c>
      <c r="M1869" s="15" t="n">
        <v>5</v>
      </c>
      <c r="N1869" s="16" t="n">
        <v>1.503099217e-05</v>
      </c>
      <c r="O1869" s="11" t="n">
        <v>283.2315781</v>
      </c>
      <c r="P1869" s="13">
        <f>N1869*86400</f>
        <v/>
      </c>
      <c r="Q1869" s="14">
        <f>O1869-273.15</f>
        <v/>
      </c>
    </row>
    <row r="1870">
      <c r="A1870" s="9" t="n">
        <v>38757</v>
      </c>
      <c r="B1870" s="7">
        <f>YEAR(A1870)</f>
        <v/>
      </c>
      <c r="C1870" s="7">
        <f>MONTH(A1870)</f>
        <v/>
      </c>
      <c r="D1870" s="10" t="n">
        <v>0</v>
      </c>
      <c r="E1870" s="11" t="n">
        <v>4.830386968</v>
      </c>
      <c r="F1870" s="12" t="n">
        <v>0</v>
      </c>
      <c r="G1870" s="11" t="n">
        <v>279.254841</v>
      </c>
      <c r="H1870" s="13">
        <f>F1870*1000</f>
        <v/>
      </c>
      <c r="I1870" s="14">
        <f>G1870-273.15</f>
        <v/>
      </c>
      <c r="K1870" s="15" t="n">
        <v>2006</v>
      </c>
      <c r="L1870" s="15" t="n">
        <v>3</v>
      </c>
      <c r="M1870" s="15" t="n">
        <v>6</v>
      </c>
      <c r="N1870" s="16" t="n">
        <v>8.361259533e-06</v>
      </c>
      <c r="O1870" s="11" t="n">
        <v>284.226843</v>
      </c>
      <c r="P1870" s="13">
        <f>N1870*86400</f>
        <v/>
      </c>
      <c r="Q1870" s="14">
        <f>O1870-273.15</f>
        <v/>
      </c>
    </row>
    <row r="1871">
      <c r="A1871" s="9" t="n">
        <v>38758</v>
      </c>
      <c r="B1871" s="7">
        <f>YEAR(A1871)</f>
        <v/>
      </c>
      <c r="C1871" s="7">
        <f>MONTH(A1871)</f>
        <v/>
      </c>
      <c r="D1871" s="10" t="n">
        <v>0</v>
      </c>
      <c r="E1871" s="11" t="n">
        <v>1.540293708</v>
      </c>
      <c r="F1871" s="12" t="n">
        <v>0</v>
      </c>
      <c r="G1871" s="11" t="n">
        <v>276.7158615</v>
      </c>
      <c r="H1871" s="13">
        <f>F1871*1000</f>
        <v/>
      </c>
      <c r="I1871" s="14">
        <f>G1871-273.15</f>
        <v/>
      </c>
      <c r="K1871" s="15" t="n">
        <v>2006</v>
      </c>
      <c r="L1871" s="15" t="n">
        <v>3</v>
      </c>
      <c r="M1871" s="15" t="n">
        <v>7</v>
      </c>
      <c r="N1871" s="16" t="n">
        <v>0</v>
      </c>
      <c r="O1871" s="11" t="n">
        <v>283.636178</v>
      </c>
      <c r="P1871" s="13">
        <f>N1871*86400</f>
        <v/>
      </c>
      <c r="Q1871" s="14">
        <f>O1871-273.15</f>
        <v/>
      </c>
    </row>
    <row r="1872">
      <c r="A1872" s="9" t="n">
        <v>38759</v>
      </c>
      <c r="B1872" s="7">
        <f>YEAR(A1872)</f>
        <v/>
      </c>
      <c r="C1872" s="7">
        <f>MONTH(A1872)</f>
        <v/>
      </c>
      <c r="D1872" s="10" t="n">
        <v>0</v>
      </c>
      <c r="E1872" s="11" t="n">
        <v>3.187796253</v>
      </c>
      <c r="F1872" s="12" t="n">
        <v>0</v>
      </c>
      <c r="G1872" s="11" t="n">
        <v>278.0258302</v>
      </c>
      <c r="H1872" s="13">
        <f>F1872*1000</f>
        <v/>
      </c>
      <c r="I1872" s="14">
        <f>G1872-273.15</f>
        <v/>
      </c>
      <c r="K1872" s="15" t="n">
        <v>2006</v>
      </c>
      <c r="L1872" s="15" t="n">
        <v>3</v>
      </c>
      <c r="M1872" s="15" t="n">
        <v>8</v>
      </c>
      <c r="N1872" s="16" t="n">
        <v>0</v>
      </c>
      <c r="O1872" s="11" t="n">
        <v>284.3719455</v>
      </c>
      <c r="P1872" s="13">
        <f>N1872*86400</f>
        <v/>
      </c>
      <c r="Q1872" s="14">
        <f>O1872-273.15</f>
        <v/>
      </c>
    </row>
    <row r="1873">
      <c r="A1873" s="9" t="n">
        <v>38760</v>
      </c>
      <c r="B1873" s="7">
        <f>YEAR(A1873)</f>
        <v/>
      </c>
      <c r="C1873" s="7">
        <f>MONTH(A1873)</f>
        <v/>
      </c>
      <c r="D1873" s="10" t="n">
        <v>0</v>
      </c>
      <c r="E1873" s="11" t="n">
        <v>4.41060835</v>
      </c>
      <c r="F1873" s="12" t="n">
        <v>0</v>
      </c>
      <c r="G1873" s="11" t="n">
        <v>279.9910419</v>
      </c>
      <c r="H1873" s="13">
        <f>F1873*1000</f>
        <v/>
      </c>
      <c r="I1873" s="14">
        <f>G1873-273.15</f>
        <v/>
      </c>
      <c r="K1873" s="15" t="n">
        <v>2006</v>
      </c>
      <c r="L1873" s="15" t="n">
        <v>3</v>
      </c>
      <c r="M1873" s="15" t="n">
        <v>9</v>
      </c>
      <c r="N1873" s="16" t="n">
        <v>0</v>
      </c>
      <c r="O1873" s="11" t="n">
        <v>282.458673</v>
      </c>
      <c r="P1873" s="13">
        <f>N1873*86400</f>
        <v/>
      </c>
      <c r="Q1873" s="14">
        <f>O1873-273.15</f>
        <v/>
      </c>
    </row>
    <row r="1874">
      <c r="A1874" s="9" t="n">
        <v>38761</v>
      </c>
      <c r="B1874" s="7">
        <f>YEAR(A1874)</f>
        <v/>
      </c>
      <c r="C1874" s="7">
        <f>MONTH(A1874)</f>
        <v/>
      </c>
      <c r="D1874" s="10" t="n">
        <v>0</v>
      </c>
      <c r="E1874" s="11" t="n">
        <v>5.983464157</v>
      </c>
      <c r="F1874" s="12" t="n">
        <v>7.474375634e-05</v>
      </c>
      <c r="G1874" s="11" t="n">
        <v>281.7704513</v>
      </c>
      <c r="H1874" s="13">
        <f>F1874*1000</f>
        <v/>
      </c>
      <c r="I1874" s="14">
        <f>G1874-273.15</f>
        <v/>
      </c>
      <c r="K1874" s="15" t="n">
        <v>2006</v>
      </c>
      <c r="L1874" s="15" t="n">
        <v>3</v>
      </c>
      <c r="M1874" s="15" t="n">
        <v>10</v>
      </c>
      <c r="N1874" s="16" t="n">
        <v>2.636398543e-06</v>
      </c>
      <c r="O1874" s="11" t="n">
        <v>282.4719601</v>
      </c>
      <c r="P1874" s="13">
        <f>N1874*86400</f>
        <v/>
      </c>
      <c r="Q1874" s="14">
        <f>O1874-273.15</f>
        <v/>
      </c>
    </row>
    <row r="1875">
      <c r="A1875" s="9" t="n">
        <v>38762</v>
      </c>
      <c r="B1875" s="7">
        <f>YEAR(A1875)</f>
        <v/>
      </c>
      <c r="C1875" s="7">
        <f>MONTH(A1875)</f>
        <v/>
      </c>
      <c r="D1875" s="10" t="n">
        <v>0</v>
      </c>
      <c r="E1875" s="11" t="n">
        <v>4.738040239</v>
      </c>
      <c r="F1875" s="12" t="n">
        <v>0</v>
      </c>
      <c r="G1875" s="11" t="n">
        <v>279.9272635</v>
      </c>
      <c r="H1875" s="13">
        <f>F1875*1000</f>
        <v/>
      </c>
      <c r="I1875" s="14">
        <f>G1875-273.15</f>
        <v/>
      </c>
      <c r="K1875" s="15" t="n">
        <v>2006</v>
      </c>
      <c r="L1875" s="15" t="n">
        <v>3</v>
      </c>
      <c r="M1875" s="15" t="n">
        <v>11</v>
      </c>
      <c r="N1875" s="16" t="n">
        <v>0.0001243759585</v>
      </c>
      <c r="O1875" s="11" t="n">
        <v>283.85246</v>
      </c>
      <c r="P1875" s="13">
        <f>N1875*86400</f>
        <v/>
      </c>
      <c r="Q1875" s="14">
        <f>O1875-273.15</f>
        <v/>
      </c>
    </row>
    <row r="1876">
      <c r="A1876" s="9" t="n">
        <v>38763</v>
      </c>
      <c r="B1876" s="7">
        <f>YEAR(A1876)</f>
        <v/>
      </c>
      <c r="C1876" s="7">
        <f>MONTH(A1876)</f>
        <v/>
      </c>
      <c r="D1876" s="10" t="n">
        <v>0</v>
      </c>
      <c r="E1876" s="11" t="n">
        <v>4.514729623</v>
      </c>
      <c r="F1876" s="12" t="n">
        <v>0</v>
      </c>
      <c r="G1876" s="11" t="n">
        <v>279.4929719</v>
      </c>
      <c r="H1876" s="13">
        <f>F1876*1000</f>
        <v/>
      </c>
      <c r="I1876" s="14">
        <f>G1876-273.15</f>
        <v/>
      </c>
      <c r="K1876" s="15" t="n">
        <v>2006</v>
      </c>
      <c r="L1876" s="15" t="n">
        <v>3</v>
      </c>
      <c r="M1876" s="15" t="n">
        <v>12</v>
      </c>
      <c r="N1876" s="16" t="n">
        <v>0</v>
      </c>
      <c r="O1876" s="11" t="n">
        <v>284.4420674</v>
      </c>
      <c r="P1876" s="13">
        <f>N1876*86400</f>
        <v/>
      </c>
      <c r="Q1876" s="14">
        <f>O1876-273.15</f>
        <v/>
      </c>
    </row>
    <row r="1877">
      <c r="A1877" s="9" t="n">
        <v>38764</v>
      </c>
      <c r="B1877" s="7">
        <f>YEAR(A1877)</f>
        <v/>
      </c>
      <c r="C1877" s="7">
        <f>MONTH(A1877)</f>
        <v/>
      </c>
      <c r="D1877" s="10" t="n">
        <v>0</v>
      </c>
      <c r="E1877" s="11" t="n">
        <v>5.187101002</v>
      </c>
      <c r="F1877" s="12" t="n">
        <v>0</v>
      </c>
      <c r="G1877" s="11" t="n">
        <v>279.5071112</v>
      </c>
      <c r="H1877" s="13">
        <f>F1877*1000</f>
        <v/>
      </c>
      <c r="I1877" s="14">
        <f>G1877-273.15</f>
        <v/>
      </c>
      <c r="K1877" s="15" t="n">
        <v>2006</v>
      </c>
      <c r="L1877" s="15" t="n">
        <v>3</v>
      </c>
      <c r="M1877" s="15" t="n">
        <v>13</v>
      </c>
      <c r="N1877" s="16" t="n">
        <v>0</v>
      </c>
      <c r="O1877" s="11" t="n">
        <v>284.0181686</v>
      </c>
      <c r="P1877" s="13">
        <f>N1877*86400</f>
        <v/>
      </c>
      <c r="Q1877" s="14">
        <f>O1877-273.15</f>
        <v/>
      </c>
    </row>
    <row r="1878">
      <c r="A1878" s="9" t="n">
        <v>38765</v>
      </c>
      <c r="B1878" s="7">
        <f>YEAR(A1878)</f>
        <v/>
      </c>
      <c r="C1878" s="7">
        <f>MONTH(A1878)</f>
        <v/>
      </c>
      <c r="D1878" s="10" t="n">
        <v>0</v>
      </c>
      <c r="E1878" s="11" t="n">
        <v>6.536491821</v>
      </c>
      <c r="F1878" s="12" t="n">
        <v>0</v>
      </c>
      <c r="G1878" s="11" t="n">
        <v>281.3385981</v>
      </c>
      <c r="H1878" s="13">
        <f>F1878*1000</f>
        <v/>
      </c>
      <c r="I1878" s="14">
        <f>G1878-273.15</f>
        <v/>
      </c>
      <c r="K1878" s="15" t="n">
        <v>2006</v>
      </c>
      <c r="L1878" s="15" t="n">
        <v>3</v>
      </c>
      <c r="M1878" s="15" t="n">
        <v>14</v>
      </c>
      <c r="N1878" s="16" t="n">
        <v>0</v>
      </c>
      <c r="O1878" s="11" t="n">
        <v>282.9006317</v>
      </c>
      <c r="P1878" s="13">
        <f>N1878*86400</f>
        <v/>
      </c>
      <c r="Q1878" s="14">
        <f>O1878-273.15</f>
        <v/>
      </c>
    </row>
    <row r="1879">
      <c r="A1879" s="9" t="n">
        <v>38766</v>
      </c>
      <c r="B1879" s="7">
        <f>YEAR(A1879)</f>
        <v/>
      </c>
      <c r="C1879" s="7">
        <f>MONTH(A1879)</f>
        <v/>
      </c>
      <c r="D1879" s="10" t="n">
        <v>4.342141414</v>
      </c>
      <c r="E1879" s="11" t="n">
        <v>4.848230437</v>
      </c>
      <c r="F1879" s="12" t="n">
        <v>0.0003153982503</v>
      </c>
      <c r="G1879" s="11" t="n">
        <v>280.7605838</v>
      </c>
      <c r="H1879" s="13">
        <f>F1879*1000</f>
        <v/>
      </c>
      <c r="I1879" s="14">
        <f>G1879-273.15</f>
        <v/>
      </c>
      <c r="K1879" s="15" t="n">
        <v>2006</v>
      </c>
      <c r="L1879" s="15" t="n">
        <v>3</v>
      </c>
      <c r="M1879" s="15" t="n">
        <v>15</v>
      </c>
      <c r="N1879" s="16" t="n">
        <v>1.564171323e-05</v>
      </c>
      <c r="O1879" s="11" t="n">
        <v>284.2737337</v>
      </c>
      <c r="P1879" s="13">
        <f>N1879*86400</f>
        <v/>
      </c>
      <c r="Q1879" s="14">
        <f>O1879-273.15</f>
        <v/>
      </c>
    </row>
    <row r="1880">
      <c r="A1880" s="9" t="n">
        <v>38767</v>
      </c>
      <c r="B1880" s="7">
        <f>YEAR(A1880)</f>
        <v/>
      </c>
      <c r="C1880" s="7">
        <f>MONTH(A1880)</f>
        <v/>
      </c>
      <c r="D1880" s="10" t="n">
        <v>21.21542734</v>
      </c>
      <c r="E1880" s="11" t="n">
        <v>8.480721792000001</v>
      </c>
      <c r="F1880" s="12" t="n">
        <v>0.005859883634</v>
      </c>
      <c r="G1880" s="11" t="n">
        <v>284.1126402</v>
      </c>
      <c r="H1880" s="13">
        <f>F1880*1000</f>
        <v/>
      </c>
      <c r="I1880" s="14">
        <f>G1880-273.15</f>
        <v/>
      </c>
      <c r="K1880" s="15" t="n">
        <v>2006</v>
      </c>
      <c r="L1880" s="15" t="n">
        <v>3</v>
      </c>
      <c r="M1880" s="15" t="n">
        <v>16</v>
      </c>
      <c r="N1880" s="16" t="n">
        <v>0</v>
      </c>
      <c r="O1880" s="11" t="n">
        <v>286.4427856</v>
      </c>
      <c r="P1880" s="13">
        <f>N1880*86400</f>
        <v/>
      </c>
      <c r="Q1880" s="14">
        <f>O1880-273.15</f>
        <v/>
      </c>
    </row>
    <row r="1881">
      <c r="A1881" s="9" t="n">
        <v>38768</v>
      </c>
      <c r="B1881" s="7">
        <f>YEAR(A1881)</f>
        <v/>
      </c>
      <c r="C1881" s="7">
        <f>MONTH(A1881)</f>
        <v/>
      </c>
      <c r="D1881" s="10" t="n">
        <v>8.244293142</v>
      </c>
      <c r="E1881" s="11" t="n">
        <v>6.6716712</v>
      </c>
      <c r="F1881" s="12" t="n">
        <v>0.0004326721285</v>
      </c>
      <c r="G1881" s="11" t="n">
        <v>282.9494534</v>
      </c>
      <c r="H1881" s="13">
        <f>F1881*1000</f>
        <v/>
      </c>
      <c r="I1881" s="14">
        <f>G1881-273.15</f>
        <v/>
      </c>
      <c r="K1881" s="15" t="n">
        <v>2006</v>
      </c>
      <c r="L1881" s="15" t="n">
        <v>3</v>
      </c>
      <c r="M1881" s="15" t="n">
        <v>17</v>
      </c>
      <c r="N1881" s="16" t="n">
        <v>0</v>
      </c>
      <c r="O1881" s="11" t="n">
        <v>285.307388</v>
      </c>
      <c r="P1881" s="13">
        <f>N1881*86400</f>
        <v/>
      </c>
      <c r="Q1881" s="14">
        <f>O1881-273.15</f>
        <v/>
      </c>
    </row>
    <row r="1882">
      <c r="A1882" s="9" t="n">
        <v>38769</v>
      </c>
      <c r="B1882" s="7">
        <f>YEAR(A1882)</f>
        <v/>
      </c>
      <c r="C1882" s="7">
        <f>MONTH(A1882)</f>
        <v/>
      </c>
      <c r="D1882" s="10" t="n">
        <v>1.92124419</v>
      </c>
      <c r="E1882" s="11" t="n">
        <v>5.922730372</v>
      </c>
      <c r="F1882" s="12" t="n">
        <v>0.0004708915624</v>
      </c>
      <c r="G1882" s="11" t="n">
        <v>281.439883</v>
      </c>
      <c r="H1882" s="13">
        <f>F1882*1000</f>
        <v/>
      </c>
      <c r="I1882" s="14">
        <f>G1882-273.15</f>
        <v/>
      </c>
      <c r="K1882" s="15" t="n">
        <v>2006</v>
      </c>
      <c r="L1882" s="15" t="n">
        <v>3</v>
      </c>
      <c r="M1882" s="15" t="n">
        <v>18</v>
      </c>
      <c r="N1882" s="16" t="n">
        <v>0</v>
      </c>
      <c r="O1882" s="11" t="n">
        <v>285.4779451</v>
      </c>
      <c r="P1882" s="13">
        <f>N1882*86400</f>
        <v/>
      </c>
      <c r="Q1882" s="14">
        <f>O1882-273.15</f>
        <v/>
      </c>
    </row>
    <row r="1883">
      <c r="A1883" s="9" t="n">
        <v>38770</v>
      </c>
      <c r="B1883" s="7">
        <f>YEAR(A1883)</f>
        <v/>
      </c>
      <c r="C1883" s="7">
        <f>MONTH(A1883)</f>
        <v/>
      </c>
      <c r="D1883" s="10" t="n">
        <v>0</v>
      </c>
      <c r="E1883" s="11" t="n">
        <v>6.765466614</v>
      </c>
      <c r="F1883" s="12" t="n">
        <v>0</v>
      </c>
      <c r="G1883" s="11" t="n">
        <v>281.6214166</v>
      </c>
      <c r="H1883" s="13">
        <f>F1883*1000</f>
        <v/>
      </c>
      <c r="I1883" s="14">
        <f>G1883-273.15</f>
        <v/>
      </c>
      <c r="K1883" s="15" t="n">
        <v>2006</v>
      </c>
      <c r="L1883" s="15" t="n">
        <v>3</v>
      </c>
      <c r="M1883" s="15" t="n">
        <v>19</v>
      </c>
      <c r="N1883" s="16" t="n">
        <v>0</v>
      </c>
      <c r="O1883" s="11" t="n">
        <v>286.3567576</v>
      </c>
      <c r="P1883" s="13">
        <f>N1883*86400</f>
        <v/>
      </c>
      <c r="Q1883" s="14">
        <f>O1883-273.15</f>
        <v/>
      </c>
    </row>
    <row r="1884">
      <c r="A1884" s="9" t="n">
        <v>38771</v>
      </c>
      <c r="B1884" s="7">
        <f>YEAR(A1884)</f>
        <v/>
      </c>
      <c r="C1884" s="7">
        <f>MONTH(A1884)</f>
        <v/>
      </c>
      <c r="D1884" s="10" t="n">
        <v>0</v>
      </c>
      <c r="E1884" s="11" t="n">
        <v>8.862593236</v>
      </c>
      <c r="F1884" s="12" t="n">
        <v>0</v>
      </c>
      <c r="G1884" s="11" t="n">
        <v>283.5488459</v>
      </c>
      <c r="H1884" s="13">
        <f>F1884*1000</f>
        <v/>
      </c>
      <c r="I1884" s="14">
        <f>G1884-273.15</f>
        <v/>
      </c>
      <c r="K1884" s="15" t="n">
        <v>2006</v>
      </c>
      <c r="L1884" s="15" t="n">
        <v>3</v>
      </c>
      <c r="M1884" s="15" t="n">
        <v>20</v>
      </c>
      <c r="N1884" s="16" t="n">
        <v>0</v>
      </c>
      <c r="O1884" s="11" t="n">
        <v>287.0840513</v>
      </c>
      <c r="P1884" s="13">
        <f>N1884*86400</f>
        <v/>
      </c>
      <c r="Q1884" s="14">
        <f>O1884-273.15</f>
        <v/>
      </c>
    </row>
    <row r="1885">
      <c r="A1885" s="9" t="n">
        <v>38772</v>
      </c>
      <c r="B1885" s="7">
        <f>YEAR(A1885)</f>
        <v/>
      </c>
      <c r="C1885" s="7">
        <f>MONTH(A1885)</f>
        <v/>
      </c>
      <c r="D1885" s="10" t="n">
        <v>2.652382425</v>
      </c>
      <c r="E1885" s="11" t="n">
        <v>9.31902867</v>
      </c>
      <c r="F1885" s="12" t="n">
        <v>0.01066327222</v>
      </c>
      <c r="G1885" s="11" t="n">
        <v>283.1662936</v>
      </c>
      <c r="H1885" s="13">
        <f>F1885*1000</f>
        <v/>
      </c>
      <c r="I1885" s="14">
        <f>G1885-273.15</f>
        <v/>
      </c>
      <c r="K1885" s="15" t="n">
        <v>2006</v>
      </c>
      <c r="L1885" s="15" t="n">
        <v>3</v>
      </c>
      <c r="M1885" s="15" t="n">
        <v>21</v>
      </c>
      <c r="N1885" s="16" t="n">
        <v>0</v>
      </c>
      <c r="O1885" s="11" t="n">
        <v>285.930581</v>
      </c>
      <c r="P1885" s="13">
        <f>N1885*86400</f>
        <v/>
      </c>
      <c r="Q1885" s="14">
        <f>O1885-273.15</f>
        <v/>
      </c>
    </row>
    <row r="1886">
      <c r="A1886" s="9" t="n">
        <v>38773</v>
      </c>
      <c r="B1886" s="7">
        <f>YEAR(A1886)</f>
        <v/>
      </c>
      <c r="C1886" s="7">
        <f>MONTH(A1886)</f>
        <v/>
      </c>
      <c r="D1886" s="10" t="n">
        <v>0</v>
      </c>
      <c r="E1886" s="11" t="n">
        <v>9.823844252000001</v>
      </c>
      <c r="F1886" s="12" t="n">
        <v>0</v>
      </c>
      <c r="G1886" s="11" t="n">
        <v>284.1599941</v>
      </c>
      <c r="H1886" s="13">
        <f>F1886*1000</f>
        <v/>
      </c>
      <c r="I1886" s="14">
        <f>G1886-273.15</f>
        <v/>
      </c>
      <c r="K1886" s="15" t="n">
        <v>2006</v>
      </c>
      <c r="L1886" s="15" t="n">
        <v>3</v>
      </c>
      <c r="M1886" s="15" t="n">
        <v>22</v>
      </c>
      <c r="N1886" s="16" t="n">
        <v>1.621658507e-05</v>
      </c>
      <c r="O1886" s="11" t="n">
        <v>284.792054</v>
      </c>
      <c r="P1886" s="13">
        <f>N1886*86400</f>
        <v/>
      </c>
      <c r="Q1886" s="14">
        <f>O1886-273.15</f>
        <v/>
      </c>
    </row>
    <row r="1887">
      <c r="A1887" s="9" t="n">
        <v>38774</v>
      </c>
      <c r="B1887" s="7">
        <f>YEAR(A1887)</f>
        <v/>
      </c>
      <c r="C1887" s="7">
        <f>MONTH(A1887)</f>
        <v/>
      </c>
      <c r="D1887" s="10" t="n">
        <v>0</v>
      </c>
      <c r="E1887" s="11" t="n">
        <v>10.98745396</v>
      </c>
      <c r="F1887" s="12" t="n">
        <v>0</v>
      </c>
      <c r="G1887" s="11" t="n">
        <v>286.1903746</v>
      </c>
      <c r="H1887" s="13">
        <f>F1887*1000</f>
        <v/>
      </c>
      <c r="I1887" s="14">
        <f>G1887-273.15</f>
        <v/>
      </c>
      <c r="K1887" s="15" t="n">
        <v>2006</v>
      </c>
      <c r="L1887" s="15" t="n">
        <v>3</v>
      </c>
      <c r="M1887" s="15" t="n">
        <v>23</v>
      </c>
      <c r="N1887" s="16" t="n">
        <v>1.65387306e-06</v>
      </c>
      <c r="O1887" s="11" t="n">
        <v>285.7276346</v>
      </c>
      <c r="P1887" s="13">
        <f>N1887*86400</f>
        <v/>
      </c>
      <c r="Q1887" s="14">
        <f>O1887-273.15</f>
        <v/>
      </c>
    </row>
    <row r="1888">
      <c r="A1888" s="9" t="n">
        <v>38775</v>
      </c>
      <c r="B1888" s="7">
        <f>YEAR(A1888)</f>
        <v/>
      </c>
      <c r="C1888" s="7">
        <f>MONTH(A1888)</f>
        <v/>
      </c>
      <c r="D1888" s="10" t="n">
        <v>0</v>
      </c>
      <c r="E1888" s="11" t="n">
        <v>10.01261355</v>
      </c>
      <c r="F1888" s="12" t="n">
        <v>0</v>
      </c>
      <c r="G1888" s="11" t="n">
        <v>285.1476376</v>
      </c>
      <c r="H1888" s="13">
        <f>F1888*1000</f>
        <v/>
      </c>
      <c r="I1888" s="14">
        <f>G1888-273.15</f>
        <v/>
      </c>
      <c r="K1888" s="15" t="n">
        <v>2006</v>
      </c>
      <c r="L1888" s="15" t="n">
        <v>3</v>
      </c>
      <c r="M1888" s="15" t="n">
        <v>24</v>
      </c>
      <c r="N1888" s="16" t="n">
        <v>0</v>
      </c>
      <c r="O1888" s="11" t="n">
        <v>286.7574971</v>
      </c>
      <c r="P1888" s="13">
        <f>N1888*86400</f>
        <v/>
      </c>
      <c r="Q1888" s="14">
        <f>O1888-273.15</f>
        <v/>
      </c>
    </row>
    <row r="1889">
      <c r="A1889" s="9" t="n">
        <v>38776</v>
      </c>
      <c r="B1889" s="7">
        <f>YEAR(A1889)</f>
        <v/>
      </c>
      <c r="C1889" s="7">
        <f>MONTH(A1889)</f>
        <v/>
      </c>
      <c r="D1889" s="10" t="n">
        <v>0</v>
      </c>
      <c r="E1889" s="11" t="n">
        <v>8.860898385</v>
      </c>
      <c r="F1889" s="12" t="n">
        <v>0</v>
      </c>
      <c r="G1889" s="11" t="n">
        <v>283.799583</v>
      </c>
      <c r="H1889" s="13">
        <f>F1889*1000</f>
        <v/>
      </c>
      <c r="I1889" s="14">
        <f>G1889-273.15</f>
        <v/>
      </c>
      <c r="K1889" s="15" t="n">
        <v>2006</v>
      </c>
      <c r="L1889" s="15" t="n">
        <v>3</v>
      </c>
      <c r="M1889" s="15" t="n">
        <v>25</v>
      </c>
      <c r="N1889" s="16" t="n">
        <v>0</v>
      </c>
      <c r="O1889" s="11" t="n">
        <v>286.9127472</v>
      </c>
      <c r="P1889" s="13">
        <f>N1889*86400</f>
        <v/>
      </c>
      <c r="Q1889" s="14">
        <f>O1889-273.15</f>
        <v/>
      </c>
    </row>
    <row r="1890">
      <c r="A1890" s="9" t="n">
        <v>38777</v>
      </c>
      <c r="B1890" s="7">
        <f>YEAR(A1890)</f>
        <v/>
      </c>
      <c r="C1890" s="7">
        <f>MONTH(A1890)</f>
        <v/>
      </c>
      <c r="D1890" s="10" t="n">
        <v>0.7571828401</v>
      </c>
      <c r="E1890" s="11" t="n">
        <v>9.775537625</v>
      </c>
      <c r="F1890" s="12" t="n">
        <v>0.001155672902</v>
      </c>
      <c r="G1890" s="11" t="n">
        <v>284.0584422</v>
      </c>
      <c r="H1890" s="13">
        <f>F1890*1000</f>
        <v/>
      </c>
      <c r="I1890" s="14">
        <f>G1890-273.15</f>
        <v/>
      </c>
      <c r="K1890" s="15" t="n">
        <v>2006</v>
      </c>
      <c r="L1890" s="15" t="n">
        <v>3</v>
      </c>
      <c r="M1890" s="15" t="n">
        <v>26</v>
      </c>
      <c r="N1890" s="16" t="n">
        <v>0</v>
      </c>
      <c r="O1890" s="11" t="n">
        <v>287.3769996</v>
      </c>
      <c r="P1890" s="13">
        <f>N1890*86400</f>
        <v/>
      </c>
      <c r="Q1890" s="14">
        <f>O1890-273.15</f>
        <v/>
      </c>
    </row>
    <row r="1891">
      <c r="A1891" s="9" t="n">
        <v>38778</v>
      </c>
      <c r="B1891" s="7">
        <f>YEAR(A1891)</f>
        <v/>
      </c>
      <c r="C1891" s="7">
        <f>MONTH(A1891)</f>
        <v/>
      </c>
      <c r="D1891" s="10" t="n">
        <v>0</v>
      </c>
      <c r="E1891" s="11" t="n">
        <v>7.598675375</v>
      </c>
      <c r="F1891" s="12" t="n">
        <v>0</v>
      </c>
      <c r="G1891" s="11" t="n">
        <v>282.6766635</v>
      </c>
      <c r="H1891" s="13">
        <f>F1891*1000</f>
        <v/>
      </c>
      <c r="I1891" s="14">
        <f>G1891-273.15</f>
        <v/>
      </c>
      <c r="K1891" s="15" t="n">
        <v>2006</v>
      </c>
      <c r="L1891" s="15" t="n">
        <v>3</v>
      </c>
      <c r="M1891" s="15" t="n">
        <v>27</v>
      </c>
      <c r="N1891" s="16" t="n">
        <v>0</v>
      </c>
      <c r="O1891" s="11" t="n">
        <v>289.765848</v>
      </c>
      <c r="P1891" s="13">
        <f>N1891*86400</f>
        <v/>
      </c>
      <c r="Q1891" s="14">
        <f>O1891-273.15</f>
        <v/>
      </c>
    </row>
    <row r="1892">
      <c r="A1892" s="9" t="n">
        <v>38779</v>
      </c>
      <c r="B1892" s="7">
        <f>YEAR(A1892)</f>
        <v/>
      </c>
      <c r="C1892" s="7">
        <f>MONTH(A1892)</f>
        <v/>
      </c>
      <c r="D1892" s="10" t="n">
        <v>0</v>
      </c>
      <c r="E1892" s="11" t="n">
        <v>9.993303619000001</v>
      </c>
      <c r="F1892" s="12" t="n">
        <v>0</v>
      </c>
      <c r="G1892" s="11" t="n">
        <v>283.748764</v>
      </c>
      <c r="H1892" s="13">
        <f>F1892*1000</f>
        <v/>
      </c>
      <c r="I1892" s="14">
        <f>G1892-273.15</f>
        <v/>
      </c>
      <c r="K1892" s="15" t="n">
        <v>2006</v>
      </c>
      <c r="L1892" s="15" t="n">
        <v>3</v>
      </c>
      <c r="M1892" s="15" t="n">
        <v>28</v>
      </c>
      <c r="N1892" s="16" t="n">
        <v>0</v>
      </c>
      <c r="O1892" s="11" t="n">
        <v>290.6613931</v>
      </c>
      <c r="P1892" s="13">
        <f>N1892*86400</f>
        <v/>
      </c>
      <c r="Q1892" s="14">
        <f>O1892-273.15</f>
        <v/>
      </c>
    </row>
    <row r="1893">
      <c r="A1893" s="9" t="n">
        <v>38780</v>
      </c>
      <c r="B1893" s="7">
        <f>YEAR(A1893)</f>
        <v/>
      </c>
      <c r="C1893" s="7">
        <f>MONTH(A1893)</f>
        <v/>
      </c>
      <c r="D1893" s="10" t="n">
        <v>0</v>
      </c>
      <c r="E1893" s="11" t="n">
        <v>11.19802988</v>
      </c>
      <c r="F1893" s="12" t="n">
        <v>0</v>
      </c>
      <c r="G1893" s="11" t="n">
        <v>284.7361504</v>
      </c>
      <c r="H1893" s="13">
        <f>F1893*1000</f>
        <v/>
      </c>
      <c r="I1893" s="14">
        <f>G1893-273.15</f>
        <v/>
      </c>
      <c r="K1893" s="15" t="n">
        <v>2006</v>
      </c>
      <c r="L1893" s="15" t="n">
        <v>3</v>
      </c>
      <c r="M1893" s="15" t="n">
        <v>29</v>
      </c>
      <c r="N1893" s="16" t="n">
        <v>0</v>
      </c>
      <c r="O1893" s="11" t="n">
        <v>288.6903392</v>
      </c>
      <c r="P1893" s="13">
        <f>N1893*86400</f>
        <v/>
      </c>
      <c r="Q1893" s="14">
        <f>O1893-273.15</f>
        <v/>
      </c>
    </row>
    <row r="1894">
      <c r="A1894" s="9" t="n">
        <v>38781</v>
      </c>
      <c r="B1894" s="7">
        <f>YEAR(A1894)</f>
        <v/>
      </c>
      <c r="C1894" s="7">
        <f>MONTH(A1894)</f>
        <v/>
      </c>
      <c r="D1894" s="10" t="n">
        <v>0</v>
      </c>
      <c r="E1894" s="11" t="n">
        <v>9.146966015</v>
      </c>
      <c r="F1894" s="12" t="n">
        <v>4.862604098e-05</v>
      </c>
      <c r="G1894" s="11" t="n">
        <v>283.120083</v>
      </c>
      <c r="H1894" s="13">
        <f>F1894*1000</f>
        <v/>
      </c>
      <c r="I1894" s="14">
        <f>G1894-273.15</f>
        <v/>
      </c>
      <c r="K1894" s="15" t="n">
        <v>2006</v>
      </c>
      <c r="L1894" s="15" t="n">
        <v>3</v>
      </c>
      <c r="M1894" s="15" t="n">
        <v>30</v>
      </c>
      <c r="N1894" s="16" t="n">
        <v>3.206205937e-06</v>
      </c>
      <c r="O1894" s="11" t="n">
        <v>289.9565917</v>
      </c>
      <c r="P1894" s="13">
        <f>N1894*86400</f>
        <v/>
      </c>
      <c r="Q1894" s="14">
        <f>O1894-273.15</f>
        <v/>
      </c>
    </row>
    <row r="1895">
      <c r="A1895" s="9" t="n">
        <v>38782</v>
      </c>
      <c r="B1895" s="7">
        <f>YEAR(A1895)</f>
        <v/>
      </c>
      <c r="C1895" s="7">
        <f>MONTH(A1895)</f>
        <v/>
      </c>
      <c r="D1895" s="10" t="n">
        <v>3.200363469</v>
      </c>
      <c r="E1895" s="11" t="n">
        <v>9.163755567999999</v>
      </c>
      <c r="F1895" s="12" t="n">
        <v>0.005722476733</v>
      </c>
      <c r="G1895" s="11" t="n">
        <v>283.025125</v>
      </c>
      <c r="H1895" s="13">
        <f>F1895*1000</f>
        <v/>
      </c>
      <c r="I1895" s="14">
        <f>G1895-273.15</f>
        <v/>
      </c>
      <c r="K1895" s="15" t="n">
        <v>2006</v>
      </c>
      <c r="L1895" s="15" t="n">
        <v>4</v>
      </c>
      <c r="M1895" s="15" t="n">
        <v>1</v>
      </c>
      <c r="N1895" s="16" t="n">
        <v>0</v>
      </c>
      <c r="O1895" s="11" t="n">
        <v>289.3509775</v>
      </c>
      <c r="P1895" s="13">
        <f>N1895*86400</f>
        <v/>
      </c>
      <c r="Q1895" s="14">
        <f>O1895-273.15</f>
        <v/>
      </c>
    </row>
    <row r="1896">
      <c r="A1896" s="9" t="n">
        <v>38783</v>
      </c>
      <c r="B1896" s="7">
        <f>YEAR(A1896)</f>
        <v/>
      </c>
      <c r="C1896" s="7">
        <f>MONTH(A1896)</f>
        <v/>
      </c>
      <c r="D1896" s="10" t="n">
        <v>0</v>
      </c>
      <c r="E1896" s="11" t="n">
        <v>7.869854404</v>
      </c>
      <c r="F1896" s="12" t="n">
        <v>0</v>
      </c>
      <c r="G1896" s="11" t="n">
        <v>282.2661999</v>
      </c>
      <c r="H1896" s="13">
        <f>F1896*1000</f>
        <v/>
      </c>
      <c r="I1896" s="14">
        <f>G1896-273.15</f>
        <v/>
      </c>
      <c r="K1896" s="15" t="n">
        <v>2006</v>
      </c>
      <c r="L1896" s="15" t="n">
        <v>4</v>
      </c>
      <c r="M1896" s="15" t="n">
        <v>2</v>
      </c>
      <c r="N1896" s="16" t="n">
        <v>5.447515384e-06</v>
      </c>
      <c r="O1896" s="11" t="n">
        <v>287.6638406</v>
      </c>
      <c r="P1896" s="13">
        <f>N1896*86400</f>
        <v/>
      </c>
      <c r="Q1896" s="14">
        <f>O1896-273.15</f>
        <v/>
      </c>
    </row>
    <row r="1897">
      <c r="A1897" s="9" t="n">
        <v>38784</v>
      </c>
      <c r="B1897" s="7">
        <f>YEAR(A1897)</f>
        <v/>
      </c>
      <c r="C1897" s="7">
        <f>MONTH(A1897)</f>
        <v/>
      </c>
      <c r="D1897" s="10" t="n">
        <v>0</v>
      </c>
      <c r="E1897" s="11" t="n">
        <v>9.895543229999999</v>
      </c>
      <c r="F1897" s="12" t="n">
        <v>0.001027506445</v>
      </c>
      <c r="G1897" s="11" t="n">
        <v>284.2959712</v>
      </c>
      <c r="H1897" s="13">
        <f>F1897*1000</f>
        <v/>
      </c>
      <c r="I1897" s="14">
        <f>G1897-273.15</f>
        <v/>
      </c>
      <c r="K1897" s="15" t="n">
        <v>2006</v>
      </c>
      <c r="L1897" s="15" t="n">
        <v>4</v>
      </c>
      <c r="M1897" s="15" t="n">
        <v>3</v>
      </c>
      <c r="N1897" s="16" t="n">
        <v>3.21347644e-06</v>
      </c>
      <c r="O1897" s="11" t="n">
        <v>287.3439764</v>
      </c>
      <c r="P1897" s="13">
        <f>N1897*86400</f>
        <v/>
      </c>
      <c r="Q1897" s="14">
        <f>O1897-273.15</f>
        <v/>
      </c>
    </row>
    <row r="1898">
      <c r="A1898" s="9" t="n">
        <v>38785</v>
      </c>
      <c r="B1898" s="7">
        <f>YEAR(A1898)</f>
        <v/>
      </c>
      <c r="C1898" s="7">
        <f>MONTH(A1898)</f>
        <v/>
      </c>
      <c r="D1898" s="10" t="n">
        <v>0</v>
      </c>
      <c r="E1898" s="11" t="n">
        <v>11.50611998</v>
      </c>
      <c r="F1898" s="12" t="n">
        <v>0.002033752378</v>
      </c>
      <c r="G1898" s="11" t="n">
        <v>285.6479176</v>
      </c>
      <c r="H1898" s="13">
        <f>F1898*1000</f>
        <v/>
      </c>
      <c r="I1898" s="14">
        <f>G1898-273.15</f>
        <v/>
      </c>
      <c r="K1898" s="15" t="n">
        <v>2006</v>
      </c>
      <c r="L1898" s="15" t="n">
        <v>4</v>
      </c>
      <c r="M1898" s="15" t="n">
        <v>4</v>
      </c>
      <c r="N1898" s="16" t="n">
        <v>6.06610328e-07</v>
      </c>
      <c r="O1898" s="11" t="n">
        <v>287.1355529</v>
      </c>
      <c r="P1898" s="13">
        <f>N1898*86400</f>
        <v/>
      </c>
      <c r="Q1898" s="14">
        <f>O1898-273.15</f>
        <v/>
      </c>
    </row>
    <row r="1899">
      <c r="A1899" s="9" t="n">
        <v>38786</v>
      </c>
      <c r="B1899" s="7">
        <f>YEAR(A1899)</f>
        <v/>
      </c>
      <c r="C1899" s="7">
        <f>MONTH(A1899)</f>
        <v/>
      </c>
      <c r="D1899" s="10" t="n">
        <v>0</v>
      </c>
      <c r="E1899" s="11" t="n">
        <v>10.82102199</v>
      </c>
      <c r="F1899" s="12" t="n">
        <v>0</v>
      </c>
      <c r="G1899" s="11" t="n">
        <v>285.6957535</v>
      </c>
      <c r="H1899" s="13">
        <f>F1899*1000</f>
        <v/>
      </c>
      <c r="I1899" s="14">
        <f>G1899-273.15</f>
        <v/>
      </c>
      <c r="K1899" s="15" t="n">
        <v>2006</v>
      </c>
      <c r="L1899" s="15" t="n">
        <v>4</v>
      </c>
      <c r="M1899" s="15" t="n">
        <v>5</v>
      </c>
      <c r="N1899" s="16" t="n">
        <v>0</v>
      </c>
      <c r="O1899" s="11" t="n">
        <v>285.8634862</v>
      </c>
      <c r="P1899" s="13">
        <f>N1899*86400</f>
        <v/>
      </c>
      <c r="Q1899" s="14">
        <f>O1899-273.15</f>
        <v/>
      </c>
    </row>
    <row r="1900">
      <c r="A1900" s="9" t="n">
        <v>38787</v>
      </c>
      <c r="B1900" s="7">
        <f>YEAR(A1900)</f>
        <v/>
      </c>
      <c r="C1900" s="7">
        <f>MONTH(A1900)</f>
        <v/>
      </c>
      <c r="D1900" s="10" t="n">
        <v>0</v>
      </c>
      <c r="E1900" s="11" t="n">
        <v>9.446234149</v>
      </c>
      <c r="F1900" s="12" t="n">
        <v>0.0003431877715</v>
      </c>
      <c r="G1900" s="11" t="n">
        <v>284.6134605</v>
      </c>
      <c r="H1900" s="13">
        <f>F1900*1000</f>
        <v/>
      </c>
      <c r="I1900" s="14">
        <f>G1900-273.15</f>
        <v/>
      </c>
      <c r="K1900" s="15" t="n">
        <v>2006</v>
      </c>
      <c r="L1900" s="15" t="n">
        <v>4</v>
      </c>
      <c r="M1900" s="15" t="n">
        <v>6</v>
      </c>
      <c r="N1900" s="16" t="n">
        <v>5.489430608e-06</v>
      </c>
      <c r="O1900" s="11" t="n">
        <v>285.9608648</v>
      </c>
      <c r="P1900" s="13">
        <f>N1900*86400</f>
        <v/>
      </c>
      <c r="Q1900" s="14">
        <f>O1900-273.15</f>
        <v/>
      </c>
    </row>
    <row r="1901">
      <c r="A1901" s="9" t="n">
        <v>38788</v>
      </c>
      <c r="B1901" s="7">
        <f>YEAR(A1901)</f>
        <v/>
      </c>
      <c r="C1901" s="7">
        <f>MONTH(A1901)</f>
        <v/>
      </c>
      <c r="D1901" s="10" t="n">
        <v>3.157339201</v>
      </c>
      <c r="E1901" s="11" t="n">
        <v>10.09847665</v>
      </c>
      <c r="F1901" s="12" t="n">
        <v>0.001918775785</v>
      </c>
      <c r="G1901" s="11" t="n">
        <v>284.517584</v>
      </c>
      <c r="H1901" s="13">
        <f>F1901*1000</f>
        <v/>
      </c>
      <c r="I1901" s="14">
        <f>G1901-273.15</f>
        <v/>
      </c>
      <c r="K1901" s="15" t="n">
        <v>2006</v>
      </c>
      <c r="L1901" s="15" t="n">
        <v>4</v>
      </c>
      <c r="M1901" s="15" t="n">
        <v>7</v>
      </c>
      <c r="N1901" s="16" t="n">
        <v>1.573467014e-05</v>
      </c>
      <c r="O1901" s="11" t="n">
        <v>287.0226632</v>
      </c>
      <c r="P1901" s="13">
        <f>N1901*86400</f>
        <v/>
      </c>
      <c r="Q1901" s="14">
        <f>O1901-273.15</f>
        <v/>
      </c>
    </row>
    <row r="1902">
      <c r="A1902" s="9" t="n">
        <v>38789</v>
      </c>
      <c r="B1902" s="7">
        <f>YEAR(A1902)</f>
        <v/>
      </c>
      <c r="C1902" s="7">
        <f>MONTH(A1902)</f>
        <v/>
      </c>
      <c r="D1902" s="10" t="n">
        <v>0</v>
      </c>
      <c r="E1902" s="11" t="n">
        <v>10.00069625</v>
      </c>
      <c r="F1902" s="12" t="n">
        <v>7.855209827e-08</v>
      </c>
      <c r="G1902" s="11" t="n">
        <v>285.3930483</v>
      </c>
      <c r="H1902" s="13">
        <f>F1902*1000</f>
        <v/>
      </c>
      <c r="I1902" s="14">
        <f>G1902-273.15</f>
        <v/>
      </c>
      <c r="K1902" s="15" t="n">
        <v>2006</v>
      </c>
      <c r="L1902" s="15" t="n">
        <v>4</v>
      </c>
      <c r="M1902" s="15" t="n">
        <v>8</v>
      </c>
      <c r="N1902" s="16" t="n">
        <v>0</v>
      </c>
      <c r="O1902" s="11" t="n">
        <v>285.0555269</v>
      </c>
      <c r="P1902" s="13">
        <f>N1902*86400</f>
        <v/>
      </c>
      <c r="Q1902" s="14">
        <f>O1902-273.15</f>
        <v/>
      </c>
    </row>
    <row r="1903">
      <c r="A1903" s="9" t="n">
        <v>38790</v>
      </c>
      <c r="B1903" s="7">
        <f>YEAR(A1903)</f>
        <v/>
      </c>
      <c r="C1903" s="7">
        <f>MONTH(A1903)</f>
        <v/>
      </c>
      <c r="D1903" s="10" t="n">
        <v>0</v>
      </c>
      <c r="E1903" s="11" t="n">
        <v>10.66551404</v>
      </c>
      <c r="F1903" s="12" t="n">
        <v>0.0001294498964</v>
      </c>
      <c r="G1903" s="11" t="n">
        <v>285.826219</v>
      </c>
      <c r="H1903" s="13">
        <f>F1903*1000</f>
        <v/>
      </c>
      <c r="I1903" s="14">
        <f>G1903-273.15</f>
        <v/>
      </c>
      <c r="K1903" s="15" t="n">
        <v>2006</v>
      </c>
      <c r="L1903" s="15" t="n">
        <v>4</v>
      </c>
      <c r="M1903" s="15" t="n">
        <v>9</v>
      </c>
      <c r="N1903" s="16" t="n">
        <v>0</v>
      </c>
      <c r="O1903" s="11" t="n">
        <v>287.8003739</v>
      </c>
      <c r="P1903" s="13">
        <f>N1903*86400</f>
        <v/>
      </c>
      <c r="Q1903" s="14">
        <f>O1903-273.15</f>
        <v/>
      </c>
    </row>
    <row r="1904">
      <c r="A1904" s="9" t="n">
        <v>38791</v>
      </c>
      <c r="B1904" s="7">
        <f>YEAR(A1904)</f>
        <v/>
      </c>
      <c r="C1904" s="7">
        <f>MONTH(A1904)</f>
        <v/>
      </c>
      <c r="D1904" s="10" t="n">
        <v>0</v>
      </c>
      <c r="E1904" s="11" t="n">
        <v>11.69944705</v>
      </c>
      <c r="F1904" s="12" t="n">
        <v>0.001663257358</v>
      </c>
      <c r="G1904" s="11" t="n">
        <v>287.2208556</v>
      </c>
      <c r="H1904" s="13">
        <f>F1904*1000</f>
        <v/>
      </c>
      <c r="I1904" s="14">
        <f>G1904-273.15</f>
        <v/>
      </c>
      <c r="K1904" s="15" t="n">
        <v>2006</v>
      </c>
      <c r="L1904" s="15" t="n">
        <v>4</v>
      </c>
      <c r="M1904" s="15" t="n">
        <v>10</v>
      </c>
      <c r="N1904" s="16" t="n">
        <v>0</v>
      </c>
      <c r="O1904" s="11" t="n">
        <v>287.9359634</v>
      </c>
      <c r="P1904" s="13">
        <f>N1904*86400</f>
        <v/>
      </c>
      <c r="Q1904" s="14">
        <f>O1904-273.15</f>
        <v/>
      </c>
    </row>
    <row r="1905">
      <c r="A1905" s="9" t="n">
        <v>38792</v>
      </c>
      <c r="B1905" s="7">
        <f>YEAR(A1905)</f>
        <v/>
      </c>
      <c r="C1905" s="7">
        <f>MONTH(A1905)</f>
        <v/>
      </c>
      <c r="D1905" s="10" t="n">
        <v>0</v>
      </c>
      <c r="E1905" s="11" t="n">
        <v>10.49495426</v>
      </c>
      <c r="F1905" s="12" t="n">
        <v>0.0004143595308</v>
      </c>
      <c r="G1905" s="11" t="n">
        <v>286.7656407</v>
      </c>
      <c r="H1905" s="13">
        <f>F1905*1000</f>
        <v/>
      </c>
      <c r="I1905" s="14">
        <f>G1905-273.15</f>
        <v/>
      </c>
      <c r="K1905" s="15" t="n">
        <v>2006</v>
      </c>
      <c r="L1905" s="15" t="n">
        <v>4</v>
      </c>
      <c r="M1905" s="15" t="n">
        <v>11</v>
      </c>
      <c r="N1905" s="16" t="n">
        <v>0</v>
      </c>
      <c r="O1905" s="11" t="n">
        <v>288.3020802</v>
      </c>
      <c r="P1905" s="13">
        <f>N1905*86400</f>
        <v/>
      </c>
      <c r="Q1905" s="14">
        <f>O1905-273.15</f>
        <v/>
      </c>
    </row>
    <row r="1906">
      <c r="A1906" s="9" t="n">
        <v>38793</v>
      </c>
      <c r="B1906" s="7">
        <f>YEAR(A1906)</f>
        <v/>
      </c>
      <c r="C1906" s="7">
        <f>MONTH(A1906)</f>
        <v/>
      </c>
      <c r="D1906" s="10" t="n">
        <v>0</v>
      </c>
      <c r="E1906" s="11" t="n">
        <v>12.44596713</v>
      </c>
      <c r="F1906" s="12" t="n">
        <v>0</v>
      </c>
      <c r="G1906" s="11" t="n">
        <v>287.0405064</v>
      </c>
      <c r="H1906" s="13">
        <f>F1906*1000</f>
        <v/>
      </c>
      <c r="I1906" s="14">
        <f>G1906-273.15</f>
        <v/>
      </c>
      <c r="K1906" s="15" t="n">
        <v>2006</v>
      </c>
      <c r="L1906" s="15" t="n">
        <v>4</v>
      </c>
      <c r="M1906" s="15" t="n">
        <v>12</v>
      </c>
      <c r="N1906" s="16" t="n">
        <v>8.137104163e-06</v>
      </c>
      <c r="O1906" s="11" t="n">
        <v>287.357399</v>
      </c>
      <c r="P1906" s="13">
        <f>N1906*86400</f>
        <v/>
      </c>
      <c r="Q1906" s="14">
        <f>O1906-273.15</f>
        <v/>
      </c>
    </row>
    <row r="1907">
      <c r="A1907" s="9" t="n">
        <v>38794</v>
      </c>
      <c r="B1907" s="7">
        <f>YEAR(A1907)</f>
        <v/>
      </c>
      <c r="C1907" s="7">
        <f>MONTH(A1907)</f>
        <v/>
      </c>
      <c r="D1907" s="10" t="n">
        <v>0</v>
      </c>
      <c r="E1907" s="11" t="n">
        <v>10.85280607</v>
      </c>
      <c r="F1907" s="12" t="n">
        <v>0</v>
      </c>
      <c r="G1907" s="11" t="n">
        <v>285.8638115</v>
      </c>
      <c r="H1907" s="13">
        <f>F1907*1000</f>
        <v/>
      </c>
      <c r="I1907" s="14">
        <f>G1907-273.15</f>
        <v/>
      </c>
      <c r="K1907" s="15" t="n">
        <v>2006</v>
      </c>
      <c r="L1907" s="15" t="n">
        <v>4</v>
      </c>
      <c r="M1907" s="15" t="n">
        <v>13</v>
      </c>
      <c r="N1907" s="16" t="n">
        <v>1.616249394e-05</v>
      </c>
      <c r="O1907" s="11" t="n">
        <v>287.6817447</v>
      </c>
      <c r="P1907" s="13">
        <f>N1907*86400</f>
        <v/>
      </c>
      <c r="Q1907" s="14">
        <f>O1907-273.15</f>
        <v/>
      </c>
    </row>
    <row r="1908">
      <c r="A1908" s="9" t="n">
        <v>38795</v>
      </c>
      <c r="B1908" s="7">
        <f>YEAR(A1908)</f>
        <v/>
      </c>
      <c r="C1908" s="7">
        <f>MONTH(A1908)</f>
        <v/>
      </c>
      <c r="D1908" s="10" t="n">
        <v>0</v>
      </c>
      <c r="E1908" s="11" t="n">
        <v>10.10911625</v>
      </c>
      <c r="F1908" s="12" t="n">
        <v>0</v>
      </c>
      <c r="G1908" s="11" t="n">
        <v>284.6642516</v>
      </c>
      <c r="H1908" s="13">
        <f>F1908*1000</f>
        <v/>
      </c>
      <c r="I1908" s="14">
        <f>G1908-273.15</f>
        <v/>
      </c>
      <c r="K1908" s="15" t="n">
        <v>2006</v>
      </c>
      <c r="L1908" s="15" t="n">
        <v>4</v>
      </c>
      <c r="M1908" s="15" t="n">
        <v>14</v>
      </c>
      <c r="N1908" s="16" t="n">
        <v>6.916139633e-07</v>
      </c>
      <c r="O1908" s="11" t="n">
        <v>289.079369</v>
      </c>
      <c r="P1908" s="13">
        <f>N1908*86400</f>
        <v/>
      </c>
      <c r="Q1908" s="14">
        <f>O1908-273.15</f>
        <v/>
      </c>
    </row>
    <row r="1909">
      <c r="A1909" s="9" t="n">
        <v>38796</v>
      </c>
      <c r="B1909" s="7">
        <f>YEAR(A1909)</f>
        <v/>
      </c>
      <c r="C1909" s="7">
        <f>MONTH(A1909)</f>
        <v/>
      </c>
      <c r="D1909" s="10" t="n">
        <v>0</v>
      </c>
      <c r="E1909" s="11" t="n">
        <v>10.97193931</v>
      </c>
      <c r="F1909" s="12" t="n">
        <v>0</v>
      </c>
      <c r="G1909" s="11" t="n">
        <v>285.9503598</v>
      </c>
      <c r="H1909" s="13">
        <f>F1909*1000</f>
        <v/>
      </c>
      <c r="I1909" s="14">
        <f>G1909-273.15</f>
        <v/>
      </c>
      <c r="K1909" s="15" t="n">
        <v>2006</v>
      </c>
      <c r="L1909" s="15" t="n">
        <v>4</v>
      </c>
      <c r="M1909" s="15" t="n">
        <v>15</v>
      </c>
      <c r="N1909" s="16" t="n">
        <v>8.147741126e-06</v>
      </c>
      <c r="O1909" s="11" t="n">
        <v>287.231003</v>
      </c>
      <c r="P1909" s="13">
        <f>N1909*86400</f>
        <v/>
      </c>
      <c r="Q1909" s="14">
        <f>O1909-273.15</f>
        <v/>
      </c>
    </row>
    <row r="1910">
      <c r="A1910" s="9" t="n">
        <v>38797</v>
      </c>
      <c r="B1910" s="7">
        <f>YEAR(A1910)</f>
        <v/>
      </c>
      <c r="C1910" s="7">
        <f>MONTH(A1910)</f>
        <v/>
      </c>
      <c r="D1910" s="10" t="n">
        <v>0</v>
      </c>
      <c r="E1910" s="11" t="n">
        <v>10.84893069</v>
      </c>
      <c r="F1910" s="12" t="n">
        <v>0</v>
      </c>
      <c r="G1910" s="11" t="n">
        <v>285.4623985</v>
      </c>
      <c r="H1910" s="13">
        <f>F1910*1000</f>
        <v/>
      </c>
      <c r="I1910" s="14">
        <f>G1910-273.15</f>
        <v/>
      </c>
      <c r="K1910" s="15" t="n">
        <v>2006</v>
      </c>
      <c r="L1910" s="15" t="n">
        <v>4</v>
      </c>
      <c r="M1910" s="15" t="n">
        <v>16</v>
      </c>
      <c r="N1910" s="16" t="n">
        <v>0</v>
      </c>
      <c r="O1910" s="11" t="n">
        <v>289.3093482</v>
      </c>
      <c r="P1910" s="13">
        <f>N1910*86400</f>
        <v/>
      </c>
      <c r="Q1910" s="14">
        <f>O1910-273.15</f>
        <v/>
      </c>
    </row>
    <row r="1911">
      <c r="A1911" s="9" t="n">
        <v>38798</v>
      </c>
      <c r="B1911" s="7">
        <f>YEAR(A1911)</f>
        <v/>
      </c>
      <c r="C1911" s="7">
        <f>MONTH(A1911)</f>
        <v/>
      </c>
      <c r="D1911" s="10" t="n">
        <v>0</v>
      </c>
      <c r="E1911" s="11" t="n">
        <v>13.52631471</v>
      </c>
      <c r="F1911" s="12" t="n">
        <v>0</v>
      </c>
      <c r="G1911" s="11" t="n">
        <v>288.1260276</v>
      </c>
      <c r="H1911" s="13">
        <f>F1911*1000</f>
        <v/>
      </c>
      <c r="I1911" s="14">
        <f>G1911-273.15</f>
        <v/>
      </c>
      <c r="K1911" s="15" t="n">
        <v>2006</v>
      </c>
      <c r="L1911" s="15" t="n">
        <v>4</v>
      </c>
      <c r="M1911" s="15" t="n">
        <v>17</v>
      </c>
      <c r="N1911" s="16" t="n">
        <v>2.617625612e-05</v>
      </c>
      <c r="O1911" s="11" t="n">
        <v>289.0954781</v>
      </c>
      <c r="P1911" s="13">
        <f>N1911*86400</f>
        <v/>
      </c>
      <c r="Q1911" s="14">
        <f>O1911-273.15</f>
        <v/>
      </c>
    </row>
    <row r="1912">
      <c r="A1912" s="9" t="n">
        <v>38799</v>
      </c>
      <c r="B1912" s="7">
        <f>YEAR(A1912)</f>
        <v/>
      </c>
      <c r="C1912" s="7">
        <f>MONTH(A1912)</f>
        <v/>
      </c>
      <c r="D1912" s="10" t="n">
        <v>0</v>
      </c>
      <c r="E1912" s="11" t="n">
        <v>11.38549575</v>
      </c>
      <c r="F1912" s="12" t="n">
        <v>0</v>
      </c>
      <c r="G1912" s="11" t="n">
        <v>286.6508968</v>
      </c>
      <c r="H1912" s="13">
        <f>F1912*1000</f>
        <v/>
      </c>
      <c r="I1912" s="14">
        <f>G1912-273.15</f>
        <v/>
      </c>
      <c r="K1912" s="15" t="n">
        <v>2006</v>
      </c>
      <c r="L1912" s="15" t="n">
        <v>4</v>
      </c>
      <c r="M1912" s="15" t="n">
        <v>18</v>
      </c>
      <c r="N1912" s="16" t="n">
        <v>0</v>
      </c>
      <c r="O1912" s="11" t="n">
        <v>289.913891</v>
      </c>
      <c r="P1912" s="13">
        <f>N1912*86400</f>
        <v/>
      </c>
      <c r="Q1912" s="14">
        <f>O1912-273.15</f>
        <v/>
      </c>
    </row>
    <row r="1913">
      <c r="A1913" s="9" t="n">
        <v>38800</v>
      </c>
      <c r="B1913" s="7">
        <f>YEAR(A1913)</f>
        <v/>
      </c>
      <c r="C1913" s="7">
        <f>MONTH(A1913)</f>
        <v/>
      </c>
      <c r="D1913" s="10" t="n">
        <v>0</v>
      </c>
      <c r="E1913" s="11" t="n">
        <v>12.8033408</v>
      </c>
      <c r="F1913" s="12" t="n">
        <v>0</v>
      </c>
      <c r="G1913" s="11" t="n">
        <v>287.9233937</v>
      </c>
      <c r="H1913" s="13">
        <f>F1913*1000</f>
        <v/>
      </c>
      <c r="I1913" s="14">
        <f>G1913-273.15</f>
        <v/>
      </c>
      <c r="K1913" s="15" t="n">
        <v>2006</v>
      </c>
      <c r="L1913" s="15" t="n">
        <v>4</v>
      </c>
      <c r="M1913" s="15" t="n">
        <v>19</v>
      </c>
      <c r="N1913" s="16" t="n">
        <v>0</v>
      </c>
      <c r="O1913" s="11" t="n">
        <v>289.226089</v>
      </c>
      <c r="P1913" s="13">
        <f>N1913*86400</f>
        <v/>
      </c>
      <c r="Q1913" s="14">
        <f>O1913-273.15</f>
        <v/>
      </c>
    </row>
    <row r="1914">
      <c r="A1914" s="9" t="n">
        <v>38801</v>
      </c>
      <c r="B1914" s="7">
        <f>YEAR(A1914)</f>
        <v/>
      </c>
      <c r="C1914" s="7">
        <f>MONTH(A1914)</f>
        <v/>
      </c>
      <c r="D1914" s="10" t="n">
        <v>0</v>
      </c>
      <c r="E1914" s="11" t="n">
        <v>14.5194832</v>
      </c>
      <c r="F1914" s="12" t="n">
        <v>0</v>
      </c>
      <c r="G1914" s="11" t="n">
        <v>289.4063047</v>
      </c>
      <c r="H1914" s="13">
        <f>F1914*1000</f>
        <v/>
      </c>
      <c r="I1914" s="14">
        <f>G1914-273.15</f>
        <v/>
      </c>
      <c r="K1914" s="15" t="n">
        <v>2006</v>
      </c>
      <c r="L1914" s="15" t="n">
        <v>4</v>
      </c>
      <c r="M1914" s="15" t="n">
        <v>20</v>
      </c>
      <c r="N1914" s="16" t="n">
        <v>0</v>
      </c>
      <c r="O1914" s="11" t="n">
        <v>287.9653257</v>
      </c>
      <c r="P1914" s="13">
        <f>N1914*86400</f>
        <v/>
      </c>
      <c r="Q1914" s="14">
        <f>O1914-273.15</f>
        <v/>
      </c>
    </row>
    <row r="1915">
      <c r="A1915" s="9" t="n">
        <v>38802</v>
      </c>
      <c r="B1915" s="7">
        <f>YEAR(A1915)</f>
        <v/>
      </c>
      <c r="C1915" s="7">
        <f>MONTH(A1915)</f>
        <v/>
      </c>
      <c r="D1915" s="10" t="n">
        <v>0</v>
      </c>
      <c r="E1915" s="11" t="n">
        <v>13.07147308</v>
      </c>
      <c r="F1915" s="12" t="n">
        <v>0</v>
      </c>
      <c r="G1915" s="11" t="n">
        <v>288.0154762</v>
      </c>
      <c r="H1915" s="13">
        <f>F1915*1000</f>
        <v/>
      </c>
      <c r="I1915" s="14">
        <f>G1915-273.15</f>
        <v/>
      </c>
      <c r="K1915" s="15" t="n">
        <v>2006</v>
      </c>
      <c r="L1915" s="15" t="n">
        <v>4</v>
      </c>
      <c r="M1915" s="15" t="n">
        <v>21</v>
      </c>
      <c r="N1915" s="16" t="n">
        <v>0</v>
      </c>
      <c r="O1915" s="11" t="n">
        <v>289.0801036</v>
      </c>
      <c r="P1915" s="13">
        <f>N1915*86400</f>
        <v/>
      </c>
      <c r="Q1915" s="14">
        <f>O1915-273.15</f>
        <v/>
      </c>
    </row>
    <row r="1916">
      <c r="A1916" s="9" t="n">
        <v>38803</v>
      </c>
      <c r="B1916" s="7">
        <f>YEAR(A1916)</f>
        <v/>
      </c>
      <c r="C1916" s="7">
        <f>MONTH(A1916)</f>
        <v/>
      </c>
      <c r="D1916" s="10" t="n">
        <v>0</v>
      </c>
      <c r="E1916" s="11" t="n">
        <v>13.37011579</v>
      </c>
      <c r="F1916" s="12" t="n">
        <v>0</v>
      </c>
      <c r="G1916" s="11" t="n">
        <v>287.2830636</v>
      </c>
      <c r="H1916" s="13">
        <f>F1916*1000</f>
        <v/>
      </c>
      <c r="I1916" s="14">
        <f>G1916-273.15</f>
        <v/>
      </c>
      <c r="K1916" s="15" t="n">
        <v>2006</v>
      </c>
      <c r="L1916" s="15" t="n">
        <v>4</v>
      </c>
      <c r="M1916" s="15" t="n">
        <v>22</v>
      </c>
      <c r="N1916" s="16" t="n">
        <v>0</v>
      </c>
      <c r="O1916" s="11" t="n">
        <v>288.3353428</v>
      </c>
      <c r="P1916" s="13">
        <f>N1916*86400</f>
        <v/>
      </c>
      <c r="Q1916" s="14">
        <f>O1916-273.15</f>
        <v/>
      </c>
    </row>
    <row r="1917">
      <c r="A1917" s="9" t="n">
        <v>38804</v>
      </c>
      <c r="B1917" s="7">
        <f>YEAR(A1917)</f>
        <v/>
      </c>
      <c r="C1917" s="7">
        <f>MONTH(A1917)</f>
        <v/>
      </c>
      <c r="D1917" s="10" t="n">
        <v>0</v>
      </c>
      <c r="E1917" s="11" t="n">
        <v>15.73579722</v>
      </c>
      <c r="F1917" s="12" t="n">
        <v>0.0008188097577</v>
      </c>
      <c r="G1917" s="11" t="n">
        <v>290.1218085</v>
      </c>
      <c r="H1917" s="13">
        <f>F1917*1000</f>
        <v/>
      </c>
      <c r="I1917" s="14">
        <f>G1917-273.15</f>
        <v/>
      </c>
      <c r="K1917" s="15" t="n">
        <v>2006</v>
      </c>
      <c r="L1917" s="15" t="n">
        <v>4</v>
      </c>
      <c r="M1917" s="15" t="n">
        <v>23</v>
      </c>
      <c r="N1917" s="16" t="n">
        <v>0</v>
      </c>
      <c r="O1917" s="11" t="n">
        <v>289.3603345</v>
      </c>
      <c r="P1917" s="13">
        <f>N1917*86400</f>
        <v/>
      </c>
      <c r="Q1917" s="14">
        <f>O1917-273.15</f>
        <v/>
      </c>
    </row>
    <row r="1918">
      <c r="A1918" s="9" t="n">
        <v>38805</v>
      </c>
      <c r="B1918" s="7">
        <f>YEAR(A1918)</f>
        <v/>
      </c>
      <c r="C1918" s="7">
        <f>MONTH(A1918)</f>
        <v/>
      </c>
      <c r="D1918" s="10" t="n">
        <v>0</v>
      </c>
      <c r="E1918" s="11" t="n">
        <v>12.52772808</v>
      </c>
      <c r="F1918" s="12" t="n">
        <v>0.0001136645201</v>
      </c>
      <c r="G1918" s="11" t="n">
        <v>288.707892</v>
      </c>
      <c r="H1918" s="13">
        <f>F1918*1000</f>
        <v/>
      </c>
      <c r="I1918" s="14">
        <f>G1918-273.15</f>
        <v/>
      </c>
      <c r="K1918" s="15" t="n">
        <v>2006</v>
      </c>
      <c r="L1918" s="15" t="n">
        <v>4</v>
      </c>
      <c r="M1918" s="15" t="n">
        <v>24</v>
      </c>
      <c r="N1918" s="16" t="n">
        <v>9.006114443e-07</v>
      </c>
      <c r="O1918" s="11" t="n">
        <v>288.2109416</v>
      </c>
      <c r="P1918" s="13">
        <f>N1918*86400</f>
        <v/>
      </c>
      <c r="Q1918" s="14">
        <f>O1918-273.15</f>
        <v/>
      </c>
    </row>
    <row r="1919">
      <c r="A1919" s="9" t="n">
        <v>38806</v>
      </c>
      <c r="B1919" s="7">
        <f>YEAR(A1919)</f>
        <v/>
      </c>
      <c r="C1919" s="7">
        <f>MONTH(A1919)</f>
        <v/>
      </c>
      <c r="D1919" s="10" t="n">
        <v>0</v>
      </c>
      <c r="E1919" s="11" t="n">
        <v>12.16164741</v>
      </c>
      <c r="F1919" s="12" t="n">
        <v>6.540812835e-05</v>
      </c>
      <c r="G1919" s="11" t="n">
        <v>287.9096043</v>
      </c>
      <c r="H1919" s="13">
        <f>F1919*1000</f>
        <v/>
      </c>
      <c r="I1919" s="14">
        <f>G1919-273.15</f>
        <v/>
      </c>
      <c r="K1919" s="15" t="n">
        <v>2006</v>
      </c>
      <c r="L1919" s="15" t="n">
        <v>4</v>
      </c>
      <c r="M1919" s="15" t="n">
        <v>25</v>
      </c>
      <c r="N1919" s="16" t="n">
        <v>5.134712099e-05</v>
      </c>
      <c r="O1919" s="11" t="n">
        <v>290.3829433</v>
      </c>
      <c r="P1919" s="13">
        <f>N1919*86400</f>
        <v/>
      </c>
      <c r="Q1919" s="14">
        <f>O1919-273.15</f>
        <v/>
      </c>
    </row>
    <row r="1920">
      <c r="A1920" s="9" t="n">
        <v>38807</v>
      </c>
      <c r="B1920" s="7">
        <f>YEAR(A1920)</f>
        <v/>
      </c>
      <c r="C1920" s="7">
        <f>MONTH(A1920)</f>
        <v/>
      </c>
      <c r="D1920" s="10" t="n">
        <v>0</v>
      </c>
      <c r="E1920" s="11" t="n">
        <v>12.41678385</v>
      </c>
      <c r="F1920" s="12" t="n">
        <v>7.814084525e-05</v>
      </c>
      <c r="G1920" s="11" t="n">
        <v>288.7362754</v>
      </c>
      <c r="H1920" s="13">
        <f>F1920*1000</f>
        <v/>
      </c>
      <c r="I1920" s="14">
        <f>G1920-273.15</f>
        <v/>
      </c>
      <c r="K1920" s="15" t="n">
        <v>2006</v>
      </c>
      <c r="L1920" s="15" t="n">
        <v>4</v>
      </c>
      <c r="M1920" s="15" t="n">
        <v>26</v>
      </c>
      <c r="N1920" s="16" t="n">
        <v>1.289805449e-05</v>
      </c>
      <c r="O1920" s="11" t="n">
        <v>287.6734644</v>
      </c>
      <c r="P1920" s="13">
        <f>N1920*86400</f>
        <v/>
      </c>
      <c r="Q1920" s="14">
        <f>O1920-273.15</f>
        <v/>
      </c>
    </row>
    <row r="1921">
      <c r="A1921" s="9" t="n">
        <v>38808</v>
      </c>
      <c r="B1921" s="7">
        <f>YEAR(A1921)</f>
        <v/>
      </c>
      <c r="C1921" s="7">
        <f>MONTH(A1921)</f>
        <v/>
      </c>
      <c r="D1921" s="10" t="n">
        <v>0</v>
      </c>
      <c r="E1921" s="11" t="n">
        <v>12.56662871</v>
      </c>
      <c r="F1921" s="12" t="n">
        <v>0.001326535977</v>
      </c>
      <c r="G1921" s="11" t="n">
        <v>288.1376635</v>
      </c>
      <c r="H1921" s="13">
        <f>F1921*1000</f>
        <v/>
      </c>
      <c r="I1921" s="14">
        <f>G1921-273.15</f>
        <v/>
      </c>
      <c r="K1921" s="15" t="n">
        <v>2006</v>
      </c>
      <c r="L1921" s="15" t="n">
        <v>4</v>
      </c>
      <c r="M1921" s="15" t="n">
        <v>27</v>
      </c>
      <c r="N1921" s="16" t="n">
        <v>5.407951973e-06</v>
      </c>
      <c r="O1921" s="11" t="n">
        <v>289.4891927</v>
      </c>
      <c r="P1921" s="13">
        <f>N1921*86400</f>
        <v/>
      </c>
      <c r="Q1921" s="14">
        <f>O1921-273.15</f>
        <v/>
      </c>
    </row>
    <row r="1922">
      <c r="A1922" s="9" t="n">
        <v>38809</v>
      </c>
      <c r="B1922" s="7">
        <f>YEAR(A1922)</f>
        <v/>
      </c>
      <c r="C1922" s="7">
        <f>MONTH(A1922)</f>
        <v/>
      </c>
      <c r="D1922" s="10" t="n">
        <v>4.950713486</v>
      </c>
      <c r="E1922" s="11" t="n">
        <v>12.93449467</v>
      </c>
      <c r="F1922" s="12" t="n">
        <v>0.005208654559</v>
      </c>
      <c r="G1922" s="11" t="n">
        <v>287.9950977</v>
      </c>
      <c r="H1922" s="13">
        <f>F1922*1000</f>
        <v/>
      </c>
      <c r="I1922" s="14">
        <f>G1922-273.15</f>
        <v/>
      </c>
      <c r="K1922" s="15" t="n">
        <v>2006</v>
      </c>
      <c r="L1922" s="15" t="n">
        <v>4</v>
      </c>
      <c r="M1922" s="15" t="n">
        <v>28</v>
      </c>
      <c r="N1922" s="16" t="n">
        <v>0</v>
      </c>
      <c r="O1922" s="11" t="n">
        <v>290.6317605</v>
      </c>
      <c r="P1922" s="13">
        <f>N1922*86400</f>
        <v/>
      </c>
      <c r="Q1922" s="14">
        <f>O1922-273.15</f>
        <v/>
      </c>
    </row>
    <row r="1923">
      <c r="A1923" s="9" t="n">
        <v>38810</v>
      </c>
      <c r="B1923" s="7">
        <f>YEAR(A1923)</f>
        <v/>
      </c>
      <c r="C1923" s="7">
        <f>MONTH(A1923)</f>
        <v/>
      </c>
      <c r="D1923" s="10" t="n">
        <v>6.804922466</v>
      </c>
      <c r="E1923" s="11" t="n">
        <v>13.96351125</v>
      </c>
      <c r="F1923" s="12" t="n">
        <v>0.006456541163</v>
      </c>
      <c r="G1923" s="11" t="n">
        <v>289.1375655</v>
      </c>
      <c r="H1923" s="13">
        <f>F1923*1000</f>
        <v/>
      </c>
      <c r="I1923" s="14">
        <f>G1923-273.15</f>
        <v/>
      </c>
      <c r="K1923" s="15" t="n">
        <v>2006</v>
      </c>
      <c r="L1923" s="15" t="n">
        <v>4</v>
      </c>
      <c r="M1923" s="15" t="n">
        <v>29</v>
      </c>
      <c r="N1923" s="16" t="n">
        <v>0</v>
      </c>
      <c r="O1923" s="11" t="n">
        <v>288.7019442</v>
      </c>
      <c r="P1923" s="13">
        <f>N1923*86400</f>
        <v/>
      </c>
      <c r="Q1923" s="14">
        <f>O1923-273.15</f>
        <v/>
      </c>
    </row>
    <row r="1924">
      <c r="A1924" s="9" t="n">
        <v>38811</v>
      </c>
      <c r="B1924" s="7">
        <f>YEAR(A1924)</f>
        <v/>
      </c>
      <c r="C1924" s="7">
        <f>MONTH(A1924)</f>
        <v/>
      </c>
      <c r="D1924" s="10" t="n">
        <v>3.098904729</v>
      </c>
      <c r="E1924" s="11" t="n">
        <v>12.01516515</v>
      </c>
      <c r="F1924" s="12" t="n">
        <v>0.001210807104</v>
      </c>
      <c r="G1924" s="11" t="n">
        <v>287.1138129</v>
      </c>
      <c r="H1924" s="13">
        <f>F1924*1000</f>
        <v/>
      </c>
      <c r="I1924" s="14">
        <f>G1924-273.15</f>
        <v/>
      </c>
      <c r="K1924" s="15" t="n">
        <v>2006</v>
      </c>
      <c r="L1924" s="15" t="n">
        <v>4</v>
      </c>
      <c r="M1924" s="15" t="n">
        <v>30</v>
      </c>
      <c r="N1924" s="16" t="n">
        <v>0</v>
      </c>
      <c r="O1924" s="11" t="n">
        <v>291.2691537</v>
      </c>
      <c r="P1924" s="13">
        <f>N1924*86400</f>
        <v/>
      </c>
      <c r="Q1924" s="14">
        <f>O1924-273.15</f>
        <v/>
      </c>
    </row>
    <row r="1925">
      <c r="A1925" s="9" t="n">
        <v>38812</v>
      </c>
      <c r="B1925" s="7">
        <f>YEAR(A1925)</f>
        <v/>
      </c>
      <c r="C1925" s="7">
        <f>MONTH(A1925)</f>
        <v/>
      </c>
      <c r="D1925" s="10" t="n">
        <v>0</v>
      </c>
      <c r="E1925" s="11" t="n">
        <v>12.94638054</v>
      </c>
      <c r="F1925" s="12" t="n">
        <v>0</v>
      </c>
      <c r="G1925" s="11" t="n">
        <v>288.5684912</v>
      </c>
      <c r="H1925" s="13">
        <f>F1925*1000</f>
        <v/>
      </c>
      <c r="I1925" s="14">
        <f>G1925-273.15</f>
        <v/>
      </c>
      <c r="K1925" s="15" t="n">
        <v>2006</v>
      </c>
      <c r="L1925" s="15" t="n">
        <v>5</v>
      </c>
      <c r="M1925" s="15" t="n">
        <v>1</v>
      </c>
      <c r="N1925" s="16" t="n">
        <v>5.208995121e-07</v>
      </c>
      <c r="O1925" s="11" t="n">
        <v>289.6611955</v>
      </c>
      <c r="P1925" s="13">
        <f>N1925*86400</f>
        <v/>
      </c>
      <c r="Q1925" s="14">
        <f>O1925-273.15</f>
        <v/>
      </c>
    </row>
    <row r="1926">
      <c r="A1926" s="9" t="n">
        <v>38813</v>
      </c>
      <c r="B1926" s="7">
        <f>YEAR(A1926)</f>
        <v/>
      </c>
      <c r="C1926" s="7">
        <f>MONTH(A1926)</f>
        <v/>
      </c>
      <c r="D1926" s="10" t="n">
        <v>0</v>
      </c>
      <c r="E1926" s="11" t="n">
        <v>12.76692993</v>
      </c>
      <c r="F1926" s="12" t="n">
        <v>0</v>
      </c>
      <c r="G1926" s="11" t="n">
        <v>288.851926</v>
      </c>
      <c r="H1926" s="13">
        <f>F1926*1000</f>
        <v/>
      </c>
      <c r="I1926" s="14">
        <f>G1926-273.15</f>
        <v/>
      </c>
      <c r="K1926" s="15" t="n">
        <v>2006</v>
      </c>
      <c r="L1926" s="15" t="n">
        <v>5</v>
      </c>
      <c r="M1926" s="15" t="n">
        <v>2</v>
      </c>
      <c r="N1926" s="16" t="n">
        <v>3.282356187e-05</v>
      </c>
      <c r="O1926" s="11" t="n">
        <v>288.1263318</v>
      </c>
      <c r="P1926" s="13">
        <f>N1926*86400</f>
        <v/>
      </c>
      <c r="Q1926" s="14">
        <f>O1926-273.15</f>
        <v/>
      </c>
    </row>
    <row r="1927">
      <c r="A1927" s="9" t="n">
        <v>38814</v>
      </c>
      <c r="B1927" s="7">
        <f>YEAR(A1927)</f>
        <v/>
      </c>
      <c r="C1927" s="7">
        <f>MONTH(A1927)</f>
        <v/>
      </c>
      <c r="D1927" s="10" t="n">
        <v>0</v>
      </c>
      <c r="E1927" s="11" t="n">
        <v>10.96348463</v>
      </c>
      <c r="F1927" s="12" t="n">
        <v>0</v>
      </c>
      <c r="G1927" s="11" t="n">
        <v>287.1344598</v>
      </c>
      <c r="H1927" s="13">
        <f>F1927*1000</f>
        <v/>
      </c>
      <c r="I1927" s="14">
        <f>G1927-273.15</f>
        <v/>
      </c>
      <c r="K1927" s="15" t="n">
        <v>2006</v>
      </c>
      <c r="L1927" s="15" t="n">
        <v>5</v>
      </c>
      <c r="M1927" s="15" t="n">
        <v>3</v>
      </c>
      <c r="N1927" s="16" t="n">
        <v>1.135559641e-05</v>
      </c>
      <c r="O1927" s="11" t="n">
        <v>287.2548559</v>
      </c>
      <c r="P1927" s="13">
        <f>N1927*86400</f>
        <v/>
      </c>
      <c r="Q1927" s="14">
        <f>O1927-273.15</f>
        <v/>
      </c>
    </row>
    <row r="1928">
      <c r="A1928" s="9" t="n">
        <v>38815</v>
      </c>
      <c r="B1928" s="7">
        <f>YEAR(A1928)</f>
        <v/>
      </c>
      <c r="C1928" s="7">
        <f>MONTH(A1928)</f>
        <v/>
      </c>
      <c r="D1928" s="10" t="n">
        <v>0</v>
      </c>
      <c r="E1928" s="11" t="n">
        <v>12.78134435</v>
      </c>
      <c r="F1928" s="12" t="n">
        <v>0</v>
      </c>
      <c r="G1928" s="11" t="n">
        <v>288.4839678</v>
      </c>
      <c r="H1928" s="13">
        <f>F1928*1000</f>
        <v/>
      </c>
      <c r="I1928" s="14">
        <f>G1928-273.15</f>
        <v/>
      </c>
      <c r="K1928" s="15" t="n">
        <v>2006</v>
      </c>
      <c r="L1928" s="15" t="n">
        <v>5</v>
      </c>
      <c r="M1928" s="15" t="n">
        <v>4</v>
      </c>
      <c r="N1928" s="16" t="n">
        <v>0</v>
      </c>
      <c r="O1928" s="11" t="n">
        <v>287.0915041</v>
      </c>
      <c r="P1928" s="13">
        <f>N1928*86400</f>
        <v/>
      </c>
      <c r="Q1928" s="14">
        <f>O1928-273.15</f>
        <v/>
      </c>
    </row>
    <row r="1929">
      <c r="A1929" s="9" t="n">
        <v>38816</v>
      </c>
      <c r="B1929" s="7">
        <f>YEAR(A1929)</f>
        <v/>
      </c>
      <c r="C1929" s="7">
        <f>MONTH(A1929)</f>
        <v/>
      </c>
      <c r="D1929" s="10" t="n">
        <v>0.4840533253</v>
      </c>
      <c r="E1929" s="11" t="n">
        <v>10.28616278</v>
      </c>
      <c r="F1929" s="12" t="n">
        <v>0</v>
      </c>
      <c r="G1929" s="11" t="n">
        <v>285.7691527</v>
      </c>
      <c r="H1929" s="13">
        <f>F1929*1000</f>
        <v/>
      </c>
      <c r="I1929" s="14">
        <f>G1929-273.15</f>
        <v/>
      </c>
      <c r="K1929" s="15" t="n">
        <v>2006</v>
      </c>
      <c r="L1929" s="15" t="n">
        <v>5</v>
      </c>
      <c r="M1929" s="15" t="n">
        <v>5</v>
      </c>
      <c r="N1929" s="16" t="n">
        <v>0</v>
      </c>
      <c r="O1929" s="11" t="n">
        <v>288.1593043</v>
      </c>
      <c r="P1929" s="13">
        <f>N1929*86400</f>
        <v/>
      </c>
      <c r="Q1929" s="14">
        <f>O1929-273.15</f>
        <v/>
      </c>
    </row>
    <row r="1930">
      <c r="A1930" s="9" t="n">
        <v>38817</v>
      </c>
      <c r="B1930" s="7">
        <f>YEAR(A1930)</f>
        <v/>
      </c>
      <c r="C1930" s="7">
        <f>MONTH(A1930)</f>
        <v/>
      </c>
      <c r="D1930" s="10" t="n">
        <v>0</v>
      </c>
      <c r="E1930" s="11" t="n">
        <v>8.782725928</v>
      </c>
      <c r="F1930" s="12" t="n">
        <v>0</v>
      </c>
      <c r="G1930" s="11" t="n">
        <v>284.0238737</v>
      </c>
      <c r="H1930" s="13">
        <f>F1930*1000</f>
        <v/>
      </c>
      <c r="I1930" s="14">
        <f>G1930-273.15</f>
        <v/>
      </c>
      <c r="K1930" s="15" t="n">
        <v>2006</v>
      </c>
      <c r="L1930" s="15" t="n">
        <v>5</v>
      </c>
      <c r="M1930" s="15" t="n">
        <v>6</v>
      </c>
      <c r="N1930" s="16" t="n">
        <v>0</v>
      </c>
      <c r="O1930" s="11" t="n">
        <v>289.8157914</v>
      </c>
      <c r="P1930" s="13">
        <f>N1930*86400</f>
        <v/>
      </c>
      <c r="Q1930" s="14">
        <f>O1930-273.15</f>
        <v/>
      </c>
    </row>
    <row r="1931">
      <c r="A1931" s="9" t="n">
        <v>38818</v>
      </c>
      <c r="B1931" s="7">
        <f>YEAR(A1931)</f>
        <v/>
      </c>
      <c r="C1931" s="7">
        <f>MONTH(A1931)</f>
        <v/>
      </c>
      <c r="D1931" s="10" t="n">
        <v>0</v>
      </c>
      <c r="E1931" s="11" t="n">
        <v>7.237982032</v>
      </c>
      <c r="F1931" s="12" t="n">
        <v>0</v>
      </c>
      <c r="G1931" s="11" t="n">
        <v>283.0536205</v>
      </c>
      <c r="H1931" s="13">
        <f>F1931*1000</f>
        <v/>
      </c>
      <c r="I1931" s="14">
        <f>G1931-273.15</f>
        <v/>
      </c>
      <c r="K1931" s="15" t="n">
        <v>2006</v>
      </c>
      <c r="L1931" s="15" t="n">
        <v>5</v>
      </c>
      <c r="M1931" s="15" t="n">
        <v>7</v>
      </c>
      <c r="N1931" s="16" t="n">
        <v>0</v>
      </c>
      <c r="O1931" s="11" t="n">
        <v>291.3716458</v>
      </c>
      <c r="P1931" s="13">
        <f>N1931*86400</f>
        <v/>
      </c>
      <c r="Q1931" s="14">
        <f>O1931-273.15</f>
        <v/>
      </c>
    </row>
    <row r="1932">
      <c r="A1932" s="9" t="n">
        <v>38819</v>
      </c>
      <c r="B1932" s="7">
        <f>YEAR(A1932)</f>
        <v/>
      </c>
      <c r="C1932" s="7">
        <f>MONTH(A1932)</f>
        <v/>
      </c>
      <c r="D1932" s="10" t="n">
        <v>0</v>
      </c>
      <c r="E1932" s="11" t="n">
        <v>8.460832514</v>
      </c>
      <c r="F1932" s="12" t="n">
        <v>1.711216662e-05</v>
      </c>
      <c r="G1932" s="11" t="n">
        <v>284.0832062</v>
      </c>
      <c r="H1932" s="13">
        <f>F1932*1000</f>
        <v/>
      </c>
      <c r="I1932" s="14">
        <f>G1932-273.15</f>
        <v/>
      </c>
      <c r="K1932" s="15" t="n">
        <v>2006</v>
      </c>
      <c r="L1932" s="15" t="n">
        <v>5</v>
      </c>
      <c r="M1932" s="15" t="n">
        <v>8</v>
      </c>
      <c r="N1932" s="16" t="n">
        <v>0</v>
      </c>
      <c r="O1932" s="11" t="n">
        <v>292.7636064</v>
      </c>
      <c r="P1932" s="13">
        <f>N1932*86400</f>
        <v/>
      </c>
      <c r="Q1932" s="14">
        <f>O1932-273.15</f>
        <v/>
      </c>
    </row>
    <row r="1933">
      <c r="A1933" s="9" t="n">
        <v>38820</v>
      </c>
      <c r="B1933" s="7">
        <f>YEAR(A1933)</f>
        <v/>
      </c>
      <c r="C1933" s="7">
        <f>MONTH(A1933)</f>
        <v/>
      </c>
      <c r="D1933" s="10" t="n">
        <v>0</v>
      </c>
      <c r="E1933" s="11" t="n">
        <v>10.10122372</v>
      </c>
      <c r="F1933" s="12" t="n">
        <v>0</v>
      </c>
      <c r="G1933" s="11" t="n">
        <v>286.2215418</v>
      </c>
      <c r="H1933" s="13">
        <f>F1933*1000</f>
        <v/>
      </c>
      <c r="I1933" s="14">
        <f>G1933-273.15</f>
        <v/>
      </c>
      <c r="K1933" s="15" t="n">
        <v>2006</v>
      </c>
      <c r="L1933" s="15" t="n">
        <v>5</v>
      </c>
      <c r="M1933" s="15" t="n">
        <v>9</v>
      </c>
      <c r="N1933" s="16" t="n">
        <v>0</v>
      </c>
      <c r="O1933" s="11" t="n">
        <v>292.9000492</v>
      </c>
      <c r="P1933" s="13">
        <f>N1933*86400</f>
        <v/>
      </c>
      <c r="Q1933" s="14">
        <f>O1933-273.15</f>
        <v/>
      </c>
    </row>
    <row r="1934">
      <c r="A1934" s="9" t="n">
        <v>38821</v>
      </c>
      <c r="B1934" s="7">
        <f>YEAR(A1934)</f>
        <v/>
      </c>
      <c r="C1934" s="7">
        <f>MONTH(A1934)</f>
        <v/>
      </c>
      <c r="D1934" s="10" t="n">
        <v>0</v>
      </c>
      <c r="E1934" s="11" t="n">
        <v>8.387815056999999</v>
      </c>
      <c r="F1934" s="12" t="n">
        <v>0</v>
      </c>
      <c r="G1934" s="11" t="n">
        <v>285.3386678</v>
      </c>
      <c r="H1934" s="13">
        <f>F1934*1000</f>
        <v/>
      </c>
      <c r="I1934" s="14">
        <f>G1934-273.15</f>
        <v/>
      </c>
      <c r="K1934" s="15" t="n">
        <v>2006</v>
      </c>
      <c r="L1934" s="15" t="n">
        <v>5</v>
      </c>
      <c r="M1934" s="15" t="n">
        <v>10</v>
      </c>
      <c r="N1934" s="16" t="n">
        <v>0</v>
      </c>
      <c r="O1934" s="11" t="n">
        <v>292.6269378</v>
      </c>
      <c r="P1934" s="13">
        <f>N1934*86400</f>
        <v/>
      </c>
      <c r="Q1934" s="14">
        <f>O1934-273.15</f>
        <v/>
      </c>
    </row>
    <row r="1935">
      <c r="A1935" s="9" t="n">
        <v>38822</v>
      </c>
      <c r="B1935" s="7">
        <f>YEAR(A1935)</f>
        <v/>
      </c>
      <c r="C1935" s="7">
        <f>MONTH(A1935)</f>
        <v/>
      </c>
      <c r="D1935" s="10" t="n">
        <v>0</v>
      </c>
      <c r="E1935" s="11" t="n">
        <v>9.753417735999999</v>
      </c>
      <c r="F1935" s="12" t="n">
        <v>0</v>
      </c>
      <c r="G1935" s="11" t="n">
        <v>286.3299343</v>
      </c>
      <c r="H1935" s="13">
        <f>F1935*1000</f>
        <v/>
      </c>
      <c r="I1935" s="14">
        <f>G1935-273.15</f>
        <v/>
      </c>
      <c r="K1935" s="15" t="n">
        <v>2006</v>
      </c>
      <c r="L1935" s="15" t="n">
        <v>5</v>
      </c>
      <c r="M1935" s="15" t="n">
        <v>11</v>
      </c>
      <c r="N1935" s="16" t="n">
        <v>0</v>
      </c>
      <c r="O1935" s="11" t="n">
        <v>293.0401056</v>
      </c>
      <c r="P1935" s="13">
        <f>N1935*86400</f>
        <v/>
      </c>
      <c r="Q1935" s="14">
        <f>O1935-273.15</f>
        <v/>
      </c>
    </row>
    <row r="1936">
      <c r="A1936" s="9" t="n">
        <v>38823</v>
      </c>
      <c r="B1936" s="7">
        <f>YEAR(A1936)</f>
        <v/>
      </c>
      <c r="C1936" s="7">
        <f>MONTH(A1936)</f>
        <v/>
      </c>
      <c r="D1936" s="10" t="n">
        <v>0</v>
      </c>
      <c r="E1936" s="11" t="n">
        <v>11.49595184</v>
      </c>
      <c r="F1936" s="12" t="n">
        <v>0</v>
      </c>
      <c r="G1936" s="11" t="n">
        <v>287.6914378</v>
      </c>
      <c r="H1936" s="13">
        <f>F1936*1000</f>
        <v/>
      </c>
      <c r="I1936" s="14">
        <f>G1936-273.15</f>
        <v/>
      </c>
      <c r="K1936" s="15" t="n">
        <v>2006</v>
      </c>
      <c r="L1936" s="15" t="n">
        <v>5</v>
      </c>
      <c r="M1936" s="15" t="n">
        <v>12</v>
      </c>
      <c r="N1936" s="16" t="n">
        <v>0</v>
      </c>
      <c r="O1936" s="11" t="n">
        <v>292.7110391</v>
      </c>
      <c r="P1936" s="13">
        <f>N1936*86400</f>
        <v/>
      </c>
      <c r="Q1936" s="14">
        <f>O1936-273.15</f>
        <v/>
      </c>
    </row>
    <row r="1937">
      <c r="A1937" s="9" t="n">
        <v>38824</v>
      </c>
      <c r="B1937" s="7">
        <f>YEAR(A1937)</f>
        <v/>
      </c>
      <c r="C1937" s="7">
        <f>MONTH(A1937)</f>
        <v/>
      </c>
      <c r="D1937" s="10" t="n">
        <v>6.731257302</v>
      </c>
      <c r="E1937" s="11" t="n">
        <v>11.80900454</v>
      </c>
      <c r="F1937" s="12" t="n">
        <v>0.002473730916</v>
      </c>
      <c r="G1937" s="11" t="n">
        <v>288.4841121</v>
      </c>
      <c r="H1937" s="13">
        <f>F1937*1000</f>
        <v/>
      </c>
      <c r="I1937" s="14">
        <f>G1937-273.15</f>
        <v/>
      </c>
      <c r="K1937" s="15" t="n">
        <v>2006</v>
      </c>
      <c r="L1937" s="15" t="n">
        <v>5</v>
      </c>
      <c r="M1937" s="15" t="n">
        <v>13</v>
      </c>
      <c r="N1937" s="16" t="n">
        <v>7.192318867e-05</v>
      </c>
      <c r="O1937" s="11" t="n">
        <v>291.6141965</v>
      </c>
      <c r="P1937" s="13">
        <f>N1937*86400</f>
        <v/>
      </c>
      <c r="Q1937" s="14">
        <f>O1937-273.15</f>
        <v/>
      </c>
    </row>
    <row r="1938">
      <c r="A1938" s="9" t="n">
        <v>38825</v>
      </c>
      <c r="B1938" s="7">
        <f>YEAR(A1938)</f>
        <v/>
      </c>
      <c r="C1938" s="7">
        <f>MONTH(A1938)</f>
        <v/>
      </c>
      <c r="D1938" s="10" t="n">
        <v>0</v>
      </c>
      <c r="E1938" s="11" t="n">
        <v>13.11582455</v>
      </c>
      <c r="F1938" s="12" t="n">
        <v>0.0003531258646</v>
      </c>
      <c r="G1938" s="11" t="n">
        <v>289.5402165</v>
      </c>
      <c r="H1938" s="13">
        <f>F1938*1000</f>
        <v/>
      </c>
      <c r="I1938" s="14">
        <f>G1938-273.15</f>
        <v/>
      </c>
      <c r="K1938" s="15" t="n">
        <v>2006</v>
      </c>
      <c r="L1938" s="15" t="n">
        <v>5</v>
      </c>
      <c r="M1938" s="15" t="n">
        <v>14</v>
      </c>
      <c r="N1938" s="16" t="n">
        <v>0</v>
      </c>
      <c r="O1938" s="11" t="n">
        <v>291.6540777</v>
      </c>
      <c r="P1938" s="13">
        <f>N1938*86400</f>
        <v/>
      </c>
      <c r="Q1938" s="14">
        <f>O1938-273.15</f>
        <v/>
      </c>
    </row>
    <row r="1939">
      <c r="A1939" s="9" t="n">
        <v>38826</v>
      </c>
      <c r="B1939" s="7">
        <f>YEAR(A1939)</f>
        <v/>
      </c>
      <c r="C1939" s="7">
        <f>MONTH(A1939)</f>
        <v/>
      </c>
      <c r="D1939" s="10" t="n">
        <v>0</v>
      </c>
      <c r="E1939" s="11" t="n">
        <v>12.78713705</v>
      </c>
      <c r="F1939" s="12" t="n">
        <v>0</v>
      </c>
      <c r="G1939" s="11" t="n">
        <v>289.2090502</v>
      </c>
      <c r="H1939" s="13">
        <f>F1939*1000</f>
        <v/>
      </c>
      <c r="I1939" s="14">
        <f>G1939-273.15</f>
        <v/>
      </c>
      <c r="K1939" s="15" t="n">
        <v>2006</v>
      </c>
      <c r="L1939" s="15" t="n">
        <v>5</v>
      </c>
      <c r="M1939" s="15" t="n">
        <v>15</v>
      </c>
      <c r="N1939" s="16" t="n">
        <v>4.561884975e-06</v>
      </c>
      <c r="O1939" s="11" t="n">
        <v>292.0447256</v>
      </c>
      <c r="P1939" s="13">
        <f>N1939*86400</f>
        <v/>
      </c>
      <c r="Q1939" s="14">
        <f>O1939-273.15</f>
        <v/>
      </c>
    </row>
    <row r="1940">
      <c r="A1940" s="9" t="n">
        <v>38827</v>
      </c>
      <c r="B1940" s="7">
        <f>YEAR(A1940)</f>
        <v/>
      </c>
      <c r="C1940" s="7">
        <f>MONTH(A1940)</f>
        <v/>
      </c>
      <c r="D1940" s="10" t="n">
        <v>0</v>
      </c>
      <c r="E1940" s="11" t="n">
        <v>14.04506991</v>
      </c>
      <c r="F1940" s="12" t="n">
        <v>0</v>
      </c>
      <c r="G1940" s="11" t="n">
        <v>289.8292599</v>
      </c>
      <c r="H1940" s="13">
        <f>F1940*1000</f>
        <v/>
      </c>
      <c r="I1940" s="14">
        <f>G1940-273.15</f>
        <v/>
      </c>
      <c r="K1940" s="15" t="n">
        <v>2006</v>
      </c>
      <c r="L1940" s="15" t="n">
        <v>5</v>
      </c>
      <c r="M1940" s="15" t="n">
        <v>16</v>
      </c>
      <c r="N1940" s="16" t="n">
        <v>0</v>
      </c>
      <c r="O1940" s="11" t="n">
        <v>290.9756247</v>
      </c>
      <c r="P1940" s="13">
        <f>N1940*86400</f>
        <v/>
      </c>
      <c r="Q1940" s="14">
        <f>O1940-273.15</f>
        <v/>
      </c>
    </row>
    <row r="1941">
      <c r="A1941" s="9" t="n">
        <v>38828</v>
      </c>
      <c r="B1941" s="7">
        <f>YEAR(A1941)</f>
        <v/>
      </c>
      <c r="C1941" s="7">
        <f>MONTH(A1941)</f>
        <v/>
      </c>
      <c r="D1941" s="10" t="n">
        <v>0</v>
      </c>
      <c r="E1941" s="11" t="n">
        <v>16.31356497</v>
      </c>
      <c r="F1941" s="12" t="n">
        <v>0</v>
      </c>
      <c r="G1941" s="11" t="n">
        <v>291.4370875</v>
      </c>
      <c r="H1941" s="13">
        <f>F1941*1000</f>
        <v/>
      </c>
      <c r="I1941" s="14">
        <f>G1941-273.15</f>
        <v/>
      </c>
      <c r="K1941" s="15" t="n">
        <v>2006</v>
      </c>
      <c r="L1941" s="15" t="n">
        <v>5</v>
      </c>
      <c r="M1941" s="15" t="n">
        <v>17</v>
      </c>
      <c r="N1941" s="16" t="n">
        <v>0</v>
      </c>
      <c r="O1941" s="11" t="n">
        <v>291.8681864</v>
      </c>
      <c r="P1941" s="13">
        <f>N1941*86400</f>
        <v/>
      </c>
      <c r="Q1941" s="14">
        <f>O1941-273.15</f>
        <v/>
      </c>
    </row>
    <row r="1942">
      <c r="A1942" s="9" t="n">
        <v>38829</v>
      </c>
      <c r="B1942" s="7">
        <f>YEAR(A1942)</f>
        <v/>
      </c>
      <c r="C1942" s="7">
        <f>MONTH(A1942)</f>
        <v/>
      </c>
      <c r="D1942" s="10" t="n">
        <v>0</v>
      </c>
      <c r="E1942" s="11" t="n">
        <v>14.99255492</v>
      </c>
      <c r="F1942" s="12" t="n">
        <v>0</v>
      </c>
      <c r="G1942" s="11" t="n">
        <v>290.7581187</v>
      </c>
      <c r="H1942" s="13">
        <f>F1942*1000</f>
        <v/>
      </c>
      <c r="I1942" s="14">
        <f>G1942-273.15</f>
        <v/>
      </c>
      <c r="K1942" s="15" t="n">
        <v>2006</v>
      </c>
      <c r="L1942" s="15" t="n">
        <v>5</v>
      </c>
      <c r="M1942" s="15" t="n">
        <v>18</v>
      </c>
      <c r="N1942" s="16" t="n">
        <v>0</v>
      </c>
      <c r="O1942" s="11" t="n">
        <v>290.5503579</v>
      </c>
      <c r="P1942" s="13">
        <f>N1942*86400</f>
        <v/>
      </c>
      <c r="Q1942" s="14">
        <f>O1942-273.15</f>
        <v/>
      </c>
    </row>
    <row r="1943">
      <c r="A1943" s="9" t="n">
        <v>38830</v>
      </c>
      <c r="B1943" s="7">
        <f>YEAR(A1943)</f>
        <v/>
      </c>
      <c r="C1943" s="7">
        <f>MONTH(A1943)</f>
        <v/>
      </c>
      <c r="D1943" s="10" t="n">
        <v>0</v>
      </c>
      <c r="E1943" s="11" t="n">
        <v>11.8663859</v>
      </c>
      <c r="F1943" s="12" t="n">
        <v>0.00030289222</v>
      </c>
      <c r="G1943" s="11" t="n">
        <v>288.3029359</v>
      </c>
      <c r="H1943" s="13">
        <f>F1943*1000</f>
        <v/>
      </c>
      <c r="I1943" s="14">
        <f>G1943-273.15</f>
        <v/>
      </c>
      <c r="K1943" s="15" t="n">
        <v>2006</v>
      </c>
      <c r="L1943" s="15" t="n">
        <v>5</v>
      </c>
      <c r="M1943" s="15" t="n">
        <v>19</v>
      </c>
      <c r="N1943" s="16" t="n">
        <v>0</v>
      </c>
      <c r="O1943" s="11" t="n">
        <v>292.008789</v>
      </c>
      <c r="P1943" s="13">
        <f>N1943*86400</f>
        <v/>
      </c>
      <c r="Q1943" s="14">
        <f>O1943-273.15</f>
        <v/>
      </c>
    </row>
    <row r="1944">
      <c r="A1944" s="9" t="n">
        <v>38831</v>
      </c>
      <c r="B1944" s="7">
        <f>YEAR(A1944)</f>
        <v/>
      </c>
      <c r="C1944" s="7">
        <f>MONTH(A1944)</f>
        <v/>
      </c>
      <c r="D1944" s="10" t="n">
        <v>0</v>
      </c>
      <c r="E1944" s="11" t="n">
        <v>11.57729401</v>
      </c>
      <c r="F1944" s="12" t="n">
        <v>0</v>
      </c>
      <c r="G1944" s="11" t="n">
        <v>287.6483468</v>
      </c>
      <c r="H1944" s="13">
        <f>F1944*1000</f>
        <v/>
      </c>
      <c r="I1944" s="14">
        <f>G1944-273.15</f>
        <v/>
      </c>
      <c r="K1944" s="15" t="n">
        <v>2006</v>
      </c>
      <c r="L1944" s="15" t="n">
        <v>5</v>
      </c>
      <c r="M1944" s="15" t="n">
        <v>20</v>
      </c>
      <c r="N1944" s="16" t="n">
        <v>0</v>
      </c>
      <c r="O1944" s="11" t="n">
        <v>290.879867</v>
      </c>
      <c r="P1944" s="13">
        <f>N1944*86400</f>
        <v/>
      </c>
      <c r="Q1944" s="14">
        <f>O1944-273.15</f>
        <v/>
      </c>
    </row>
    <row r="1945">
      <c r="A1945" s="9" t="n">
        <v>38832</v>
      </c>
      <c r="B1945" s="7">
        <f>YEAR(A1945)</f>
        <v/>
      </c>
      <c r="C1945" s="7">
        <f>MONTH(A1945)</f>
        <v/>
      </c>
      <c r="D1945" s="10" t="n">
        <v>0</v>
      </c>
      <c r="E1945" s="11" t="n">
        <v>10.80113823</v>
      </c>
      <c r="F1945" s="12" t="n">
        <v>0</v>
      </c>
      <c r="G1945" s="11" t="n">
        <v>286.4527669</v>
      </c>
      <c r="H1945" s="13">
        <f>F1945*1000</f>
        <v/>
      </c>
      <c r="I1945" s="14">
        <f>G1945-273.15</f>
        <v/>
      </c>
      <c r="K1945" s="15" t="n">
        <v>2006</v>
      </c>
      <c r="L1945" s="15" t="n">
        <v>5</v>
      </c>
      <c r="M1945" s="15" t="n">
        <v>21</v>
      </c>
      <c r="N1945" s="16" t="n">
        <v>2.538518571e-06</v>
      </c>
      <c r="O1945" s="11" t="n">
        <v>291.8184007</v>
      </c>
      <c r="P1945" s="13">
        <f>N1945*86400</f>
        <v/>
      </c>
      <c r="Q1945" s="14">
        <f>O1945-273.15</f>
        <v/>
      </c>
    </row>
    <row r="1946">
      <c r="A1946" s="9" t="n">
        <v>38833</v>
      </c>
      <c r="B1946" s="7">
        <f>YEAR(A1946)</f>
        <v/>
      </c>
      <c r="C1946" s="7">
        <f>MONTH(A1946)</f>
        <v/>
      </c>
      <c r="D1946" s="10" t="n">
        <v>0</v>
      </c>
      <c r="E1946" s="11" t="n">
        <v>14.17445245</v>
      </c>
      <c r="F1946" s="12" t="n">
        <v>0</v>
      </c>
      <c r="G1946" s="11" t="n">
        <v>288.9499023</v>
      </c>
      <c r="H1946" s="13">
        <f>F1946*1000</f>
        <v/>
      </c>
      <c r="I1946" s="14">
        <f>G1946-273.15</f>
        <v/>
      </c>
      <c r="K1946" s="15" t="n">
        <v>2006</v>
      </c>
      <c r="L1946" s="15" t="n">
        <v>5</v>
      </c>
      <c r="M1946" s="15" t="n">
        <v>22</v>
      </c>
      <c r="N1946" s="16" t="n">
        <v>0</v>
      </c>
      <c r="O1946" s="11" t="n">
        <v>288.6191871</v>
      </c>
      <c r="P1946" s="13">
        <f>N1946*86400</f>
        <v/>
      </c>
      <c r="Q1946" s="14">
        <f>O1946-273.15</f>
        <v/>
      </c>
    </row>
    <row r="1947">
      <c r="A1947" s="9" t="n">
        <v>38834</v>
      </c>
      <c r="B1947" s="7">
        <f>YEAR(A1947)</f>
        <v/>
      </c>
      <c r="C1947" s="7">
        <f>MONTH(A1947)</f>
        <v/>
      </c>
      <c r="D1947" s="10" t="n">
        <v>0</v>
      </c>
      <c r="E1947" s="11" t="n">
        <v>15.99830156</v>
      </c>
      <c r="F1947" s="12" t="n">
        <v>0</v>
      </c>
      <c r="G1947" s="11" t="n">
        <v>291.2516074</v>
      </c>
      <c r="H1947" s="13">
        <f>F1947*1000</f>
        <v/>
      </c>
      <c r="I1947" s="14">
        <f>G1947-273.15</f>
        <v/>
      </c>
      <c r="K1947" s="15" t="n">
        <v>2006</v>
      </c>
      <c r="L1947" s="15" t="n">
        <v>5</v>
      </c>
      <c r="M1947" s="15" t="n">
        <v>23</v>
      </c>
      <c r="N1947" s="16" t="n">
        <v>0</v>
      </c>
      <c r="O1947" s="11" t="n">
        <v>287.8527413</v>
      </c>
      <c r="P1947" s="13">
        <f>N1947*86400</f>
        <v/>
      </c>
      <c r="Q1947" s="14">
        <f>O1947-273.15</f>
        <v/>
      </c>
    </row>
    <row r="1948">
      <c r="A1948" s="9" t="n">
        <v>38835</v>
      </c>
      <c r="B1948" s="7">
        <f>YEAR(A1948)</f>
        <v/>
      </c>
      <c r="C1948" s="7">
        <f>MONTH(A1948)</f>
        <v/>
      </c>
      <c r="D1948" s="10" t="n">
        <v>0</v>
      </c>
      <c r="E1948" s="11" t="n">
        <v>17.50287111</v>
      </c>
      <c r="F1948" s="12" t="n">
        <v>0</v>
      </c>
      <c r="G1948" s="11" t="n">
        <v>292.1101808</v>
      </c>
      <c r="H1948" s="13">
        <f>F1948*1000</f>
        <v/>
      </c>
      <c r="I1948" s="14">
        <f>G1948-273.15</f>
        <v/>
      </c>
      <c r="K1948" s="15" t="n">
        <v>2006</v>
      </c>
      <c r="L1948" s="15" t="n">
        <v>5</v>
      </c>
      <c r="M1948" s="15" t="n">
        <v>24</v>
      </c>
      <c r="N1948" s="16" t="n">
        <v>0</v>
      </c>
      <c r="O1948" s="11" t="n">
        <v>288.1420204</v>
      </c>
      <c r="P1948" s="13">
        <f>N1948*86400</f>
        <v/>
      </c>
      <c r="Q1948" s="14">
        <f>O1948-273.15</f>
        <v/>
      </c>
    </row>
    <row r="1949">
      <c r="A1949" s="9" t="n">
        <v>38836</v>
      </c>
      <c r="B1949" s="7">
        <f>YEAR(A1949)</f>
        <v/>
      </c>
      <c r="C1949" s="7">
        <f>MONTH(A1949)</f>
        <v/>
      </c>
      <c r="D1949" s="10" t="n">
        <v>3.722198463</v>
      </c>
      <c r="E1949" s="11" t="n">
        <v>17.31400877</v>
      </c>
      <c r="F1949" s="12" t="n">
        <v>0.002563315912</v>
      </c>
      <c r="G1949" s="11" t="n">
        <v>291.2896887</v>
      </c>
      <c r="H1949" s="13">
        <f>F1949*1000</f>
        <v/>
      </c>
      <c r="I1949" s="14">
        <f>G1949-273.15</f>
        <v/>
      </c>
      <c r="K1949" s="15" t="n">
        <v>2006</v>
      </c>
      <c r="L1949" s="15" t="n">
        <v>5</v>
      </c>
      <c r="M1949" s="15" t="n">
        <v>25</v>
      </c>
      <c r="N1949" s="16" t="n">
        <v>1.487898027e-05</v>
      </c>
      <c r="O1949" s="11" t="n">
        <v>289.1362273</v>
      </c>
      <c r="P1949" s="13">
        <f>N1949*86400</f>
        <v/>
      </c>
      <c r="Q1949" s="14">
        <f>O1949-273.15</f>
        <v/>
      </c>
    </row>
    <row r="1950">
      <c r="A1950" s="9" t="n">
        <v>38837</v>
      </c>
      <c r="B1950" s="7">
        <f>YEAR(A1950)</f>
        <v/>
      </c>
      <c r="C1950" s="7">
        <f>MONTH(A1950)</f>
        <v/>
      </c>
      <c r="D1950" s="10" t="n">
        <v>0</v>
      </c>
      <c r="E1950" s="11" t="n">
        <v>16.52832273</v>
      </c>
      <c r="F1950" s="12" t="n">
        <v>0</v>
      </c>
      <c r="G1950" s="11" t="n">
        <v>291.0233858</v>
      </c>
      <c r="H1950" s="13">
        <f>F1950*1000</f>
        <v/>
      </c>
      <c r="I1950" s="14">
        <f>G1950-273.15</f>
        <v/>
      </c>
      <c r="K1950" s="15" t="n">
        <v>2006</v>
      </c>
      <c r="L1950" s="15" t="n">
        <v>5</v>
      </c>
      <c r="M1950" s="15" t="n">
        <v>26</v>
      </c>
      <c r="N1950" s="16" t="n">
        <v>1.700648421e-05</v>
      </c>
      <c r="O1950" s="11" t="n">
        <v>290.3043836</v>
      </c>
      <c r="P1950" s="13">
        <f>N1950*86400</f>
        <v/>
      </c>
      <c r="Q1950" s="14">
        <f>O1950-273.15</f>
        <v/>
      </c>
    </row>
    <row r="1951">
      <c r="A1951" s="9" t="n">
        <v>38838</v>
      </c>
      <c r="B1951" s="7">
        <f>YEAR(A1951)</f>
        <v/>
      </c>
      <c r="C1951" s="7">
        <f>MONTH(A1951)</f>
        <v/>
      </c>
      <c r="D1951" s="10" t="n">
        <v>0</v>
      </c>
      <c r="E1951" s="11" t="n">
        <v>16.35038551</v>
      </c>
      <c r="F1951" s="12" t="n">
        <v>0.0001518489206</v>
      </c>
      <c r="G1951" s="11" t="n">
        <v>291.8185764</v>
      </c>
      <c r="H1951" s="13">
        <f>F1951*1000</f>
        <v/>
      </c>
      <c r="I1951" s="14">
        <f>G1951-273.15</f>
        <v/>
      </c>
      <c r="K1951" s="15" t="n">
        <v>2006</v>
      </c>
      <c r="L1951" s="15" t="n">
        <v>5</v>
      </c>
      <c r="M1951" s="15" t="n">
        <v>27</v>
      </c>
      <c r="N1951" s="16" t="n">
        <v>6.027257433e-05</v>
      </c>
      <c r="O1951" s="11" t="n">
        <v>289.5827808</v>
      </c>
      <c r="P1951" s="13">
        <f>N1951*86400</f>
        <v/>
      </c>
      <c r="Q1951" s="14">
        <f>O1951-273.15</f>
        <v/>
      </c>
    </row>
    <row r="1952">
      <c r="A1952" s="9" t="n">
        <v>38839</v>
      </c>
      <c r="B1952" s="7">
        <f>YEAR(A1952)</f>
        <v/>
      </c>
      <c r="C1952" s="7">
        <f>MONTH(A1952)</f>
        <v/>
      </c>
      <c r="D1952" s="10" t="n">
        <v>0</v>
      </c>
      <c r="E1952" s="11" t="n">
        <v>15.87567763</v>
      </c>
      <c r="F1952" s="12" t="n">
        <v>0</v>
      </c>
      <c r="G1952" s="11" t="n">
        <v>290.4055867</v>
      </c>
      <c r="H1952" s="13">
        <f>F1952*1000</f>
        <v/>
      </c>
      <c r="I1952" s="14">
        <f>G1952-273.15</f>
        <v/>
      </c>
      <c r="K1952" s="15" t="n">
        <v>2006</v>
      </c>
      <c r="L1952" s="15" t="n">
        <v>5</v>
      </c>
      <c r="M1952" s="15" t="n">
        <v>28</v>
      </c>
      <c r="N1952" s="16" t="n">
        <v>7.174881077e-06</v>
      </c>
      <c r="O1952" s="11" t="n">
        <v>291.2604465</v>
      </c>
      <c r="P1952" s="13">
        <f>N1952*86400</f>
        <v/>
      </c>
      <c r="Q1952" s="14">
        <f>O1952-273.15</f>
        <v/>
      </c>
    </row>
    <row r="1953">
      <c r="A1953" s="9" t="n">
        <v>38840</v>
      </c>
      <c r="B1953" s="7">
        <f>YEAR(A1953)</f>
        <v/>
      </c>
      <c r="C1953" s="7">
        <f>MONTH(A1953)</f>
        <v/>
      </c>
      <c r="D1953" s="10" t="n">
        <v>0</v>
      </c>
      <c r="E1953" s="11" t="n">
        <v>16.49107951</v>
      </c>
      <c r="F1953" s="12" t="n">
        <v>0</v>
      </c>
      <c r="G1953" s="11" t="n">
        <v>291.2095569</v>
      </c>
      <c r="H1953" s="13">
        <f>F1953*1000</f>
        <v/>
      </c>
      <c r="I1953" s="14">
        <f>G1953-273.15</f>
        <v/>
      </c>
      <c r="K1953" s="15" t="n">
        <v>2006</v>
      </c>
      <c r="L1953" s="15" t="n">
        <v>5</v>
      </c>
      <c r="M1953" s="15" t="n">
        <v>29</v>
      </c>
      <c r="N1953" s="16" t="n">
        <v>9.686464599999999e-05</v>
      </c>
      <c r="O1953" s="11" t="n">
        <v>289.1246786</v>
      </c>
      <c r="P1953" s="13">
        <f>N1953*86400</f>
        <v/>
      </c>
      <c r="Q1953" s="14">
        <f>O1953-273.15</f>
        <v/>
      </c>
    </row>
    <row r="1954">
      <c r="A1954" s="9" t="n">
        <v>38841</v>
      </c>
      <c r="B1954" s="7">
        <f>YEAR(A1954)</f>
        <v/>
      </c>
      <c r="C1954" s="7">
        <f>MONTH(A1954)</f>
        <v/>
      </c>
      <c r="D1954" s="10" t="n">
        <v>1.618526036</v>
      </c>
      <c r="E1954" s="11" t="n">
        <v>15.67627105</v>
      </c>
      <c r="F1954" s="12" t="n">
        <v>0.0001660832799</v>
      </c>
      <c r="G1954" s="11" t="n">
        <v>289.8160319</v>
      </c>
      <c r="H1954" s="13">
        <f>F1954*1000</f>
        <v/>
      </c>
      <c r="I1954" s="14">
        <f>G1954-273.15</f>
        <v/>
      </c>
      <c r="K1954" s="15" t="n">
        <v>2006</v>
      </c>
      <c r="L1954" s="15" t="n">
        <v>5</v>
      </c>
      <c r="M1954" s="15" t="n">
        <v>30</v>
      </c>
      <c r="N1954" s="16" t="n">
        <v>8.092258657000001e-05</v>
      </c>
      <c r="O1954" s="11" t="n">
        <v>291.4595267</v>
      </c>
      <c r="P1954" s="13">
        <f>N1954*86400</f>
        <v/>
      </c>
      <c r="Q1954" s="14">
        <f>O1954-273.15</f>
        <v/>
      </c>
    </row>
    <row r="1955">
      <c r="A1955" s="9" t="n">
        <v>38842</v>
      </c>
      <c r="B1955" s="7">
        <f>YEAR(A1955)</f>
        <v/>
      </c>
      <c r="C1955" s="7">
        <f>MONTH(A1955)</f>
        <v/>
      </c>
      <c r="D1955" s="10" t="n">
        <v>0.2366739608</v>
      </c>
      <c r="E1955" s="11" t="n">
        <v>13.60976879</v>
      </c>
      <c r="F1955" s="12" t="n">
        <v>0.005106585422</v>
      </c>
      <c r="G1955" s="11" t="n">
        <v>288.9556543</v>
      </c>
      <c r="H1955" s="13">
        <f>F1955*1000</f>
        <v/>
      </c>
      <c r="I1955" s="14">
        <f>G1955-273.15</f>
        <v/>
      </c>
      <c r="K1955" s="15" t="n">
        <v>2006</v>
      </c>
      <c r="L1955" s="15" t="n">
        <v>6</v>
      </c>
      <c r="M1955" s="15" t="n">
        <v>1</v>
      </c>
      <c r="N1955" s="16" t="n">
        <v>0.0001377298664</v>
      </c>
      <c r="O1955" s="11" t="n">
        <v>292.0878164</v>
      </c>
      <c r="P1955" s="13">
        <f>N1955*86400</f>
        <v/>
      </c>
      <c r="Q1955" s="14">
        <f>O1955-273.15</f>
        <v/>
      </c>
    </row>
    <row r="1956">
      <c r="A1956" s="9" t="n">
        <v>38843</v>
      </c>
      <c r="B1956" s="7">
        <f>YEAR(A1956)</f>
        <v/>
      </c>
      <c r="C1956" s="7">
        <f>MONTH(A1956)</f>
        <v/>
      </c>
      <c r="D1956" s="10" t="n">
        <v>0</v>
      </c>
      <c r="E1956" s="11" t="n">
        <v>15.15024237</v>
      </c>
      <c r="F1956" s="12" t="n">
        <v>7.661508851e-05</v>
      </c>
      <c r="G1956" s="11" t="n">
        <v>291.1252997</v>
      </c>
      <c r="H1956" s="13">
        <f>F1956*1000</f>
        <v/>
      </c>
      <c r="I1956" s="14">
        <f>G1956-273.15</f>
        <v/>
      </c>
      <c r="K1956" s="15" t="n">
        <v>2006</v>
      </c>
      <c r="L1956" s="15" t="n">
        <v>6</v>
      </c>
      <c r="M1956" s="15" t="n">
        <v>2</v>
      </c>
      <c r="N1956" s="16" t="n">
        <v>0.0003311689631</v>
      </c>
      <c r="O1956" s="11" t="n">
        <v>292.1442251</v>
      </c>
      <c r="P1956" s="13">
        <f>N1956*86400</f>
        <v/>
      </c>
      <c r="Q1956" s="14">
        <f>O1956-273.15</f>
        <v/>
      </c>
    </row>
    <row r="1957">
      <c r="A1957" s="9" t="n">
        <v>38844</v>
      </c>
      <c r="B1957" s="7">
        <f>YEAR(A1957)</f>
        <v/>
      </c>
      <c r="C1957" s="7">
        <f>MONTH(A1957)</f>
        <v/>
      </c>
      <c r="D1957" s="10" t="n">
        <v>0</v>
      </c>
      <c r="E1957" s="11" t="n">
        <v>13.18010459</v>
      </c>
      <c r="F1957" s="12" t="n">
        <v>9.665096213e-05</v>
      </c>
      <c r="G1957" s="11" t="n">
        <v>289.8254607</v>
      </c>
      <c r="H1957" s="13">
        <f>F1957*1000</f>
        <v/>
      </c>
      <c r="I1957" s="14">
        <f>G1957-273.15</f>
        <v/>
      </c>
      <c r="K1957" s="15" t="n">
        <v>2006</v>
      </c>
      <c r="L1957" s="15" t="n">
        <v>6</v>
      </c>
      <c r="M1957" s="15" t="n">
        <v>3</v>
      </c>
      <c r="N1957" s="16" t="n">
        <v>5.47313378e-05</v>
      </c>
      <c r="O1957" s="11" t="n">
        <v>293.033288</v>
      </c>
      <c r="P1957" s="13">
        <f>N1957*86400</f>
        <v/>
      </c>
      <c r="Q1957" s="14">
        <f>O1957-273.15</f>
        <v/>
      </c>
    </row>
    <row r="1958">
      <c r="A1958" s="9" t="n">
        <v>38845</v>
      </c>
      <c r="B1958" s="7">
        <f>YEAR(A1958)</f>
        <v/>
      </c>
      <c r="C1958" s="7">
        <f>MONTH(A1958)</f>
        <v/>
      </c>
      <c r="D1958" s="10" t="n">
        <v>0</v>
      </c>
      <c r="E1958" s="11" t="n">
        <v>16.5289733</v>
      </c>
      <c r="F1958" s="12" t="n">
        <v>0</v>
      </c>
      <c r="G1958" s="11" t="n">
        <v>292.3246905</v>
      </c>
      <c r="H1958" s="13">
        <f>F1958*1000</f>
        <v/>
      </c>
      <c r="I1958" s="14">
        <f>G1958-273.15</f>
        <v/>
      </c>
      <c r="K1958" s="15" t="n">
        <v>2006</v>
      </c>
      <c r="L1958" s="15" t="n">
        <v>6</v>
      </c>
      <c r="M1958" s="15" t="n">
        <v>4</v>
      </c>
      <c r="N1958" s="16" t="n">
        <v>3.536840668e-06</v>
      </c>
      <c r="O1958" s="11" t="n">
        <v>292.662972</v>
      </c>
      <c r="P1958" s="13">
        <f>N1958*86400</f>
        <v/>
      </c>
      <c r="Q1958" s="14">
        <f>O1958-273.15</f>
        <v/>
      </c>
    </row>
    <row r="1959">
      <c r="A1959" s="9" t="n">
        <v>38846</v>
      </c>
      <c r="B1959" s="7">
        <f>YEAR(A1959)</f>
        <v/>
      </c>
      <c r="C1959" s="7">
        <f>MONTH(A1959)</f>
        <v/>
      </c>
      <c r="D1959" s="10" t="n">
        <v>0</v>
      </c>
      <c r="E1959" s="11" t="n">
        <v>16.18929413</v>
      </c>
      <c r="F1959" s="12" t="n">
        <v>0</v>
      </c>
      <c r="G1959" s="11" t="n">
        <v>291.4281702</v>
      </c>
      <c r="H1959" s="13">
        <f>F1959*1000</f>
        <v/>
      </c>
      <c r="I1959" s="14">
        <f>G1959-273.15</f>
        <v/>
      </c>
      <c r="K1959" s="15" t="n">
        <v>2006</v>
      </c>
      <c r="L1959" s="15" t="n">
        <v>6</v>
      </c>
      <c r="M1959" s="15" t="n">
        <v>5</v>
      </c>
      <c r="N1959" s="16" t="n">
        <v>0</v>
      </c>
      <c r="O1959" s="11" t="n">
        <v>293.0475746</v>
      </c>
      <c r="P1959" s="13">
        <f>N1959*86400</f>
        <v/>
      </c>
      <c r="Q1959" s="14">
        <f>O1959-273.15</f>
        <v/>
      </c>
    </row>
    <row r="1960">
      <c r="A1960" s="9" t="n">
        <v>38847</v>
      </c>
      <c r="B1960" s="7">
        <f>YEAR(A1960)</f>
        <v/>
      </c>
      <c r="C1960" s="7">
        <f>MONTH(A1960)</f>
        <v/>
      </c>
      <c r="D1960" s="10" t="n">
        <v>0</v>
      </c>
      <c r="E1960" s="11" t="n">
        <v>15.69912388</v>
      </c>
      <c r="F1960" s="12" t="n">
        <v>0.004277598885</v>
      </c>
      <c r="G1960" s="11" t="n">
        <v>291.1614212</v>
      </c>
      <c r="H1960" s="13">
        <f>F1960*1000</f>
        <v/>
      </c>
      <c r="I1960" s="14">
        <f>G1960-273.15</f>
        <v/>
      </c>
      <c r="K1960" s="15" t="n">
        <v>2006</v>
      </c>
      <c r="L1960" s="15" t="n">
        <v>6</v>
      </c>
      <c r="M1960" s="15" t="n">
        <v>6</v>
      </c>
      <c r="N1960" s="16" t="n">
        <v>0</v>
      </c>
      <c r="O1960" s="11" t="n">
        <v>293.9897065</v>
      </c>
      <c r="P1960" s="13">
        <f>N1960*86400</f>
        <v/>
      </c>
      <c r="Q1960" s="14">
        <f>O1960-273.15</f>
        <v/>
      </c>
    </row>
    <row r="1961">
      <c r="A1961" s="9" t="n">
        <v>38848</v>
      </c>
      <c r="B1961" s="7">
        <f>YEAR(A1961)</f>
        <v/>
      </c>
      <c r="C1961" s="7">
        <f>MONTH(A1961)</f>
        <v/>
      </c>
      <c r="D1961" s="10" t="n">
        <v>0</v>
      </c>
      <c r="E1961" s="11" t="n">
        <v>17.26671623</v>
      </c>
      <c r="F1961" s="12" t="n">
        <v>2.307789353e-05</v>
      </c>
      <c r="G1961" s="11" t="n">
        <v>292.4322564</v>
      </c>
      <c r="H1961" s="13">
        <f>F1961*1000</f>
        <v/>
      </c>
      <c r="I1961" s="14">
        <f>G1961-273.15</f>
        <v/>
      </c>
      <c r="K1961" s="15" t="n">
        <v>2006</v>
      </c>
      <c r="L1961" s="15" t="n">
        <v>6</v>
      </c>
      <c r="M1961" s="15" t="n">
        <v>7</v>
      </c>
      <c r="N1961" s="16" t="n">
        <v>0</v>
      </c>
      <c r="O1961" s="11" t="n">
        <v>292.5327715</v>
      </c>
      <c r="P1961" s="13">
        <f>N1961*86400</f>
        <v/>
      </c>
      <c r="Q1961" s="14">
        <f>O1961-273.15</f>
        <v/>
      </c>
    </row>
    <row r="1962">
      <c r="A1962" s="9" t="n">
        <v>38849</v>
      </c>
      <c r="B1962" s="7">
        <f>YEAR(A1962)</f>
        <v/>
      </c>
      <c r="C1962" s="7">
        <f>MONTH(A1962)</f>
        <v/>
      </c>
      <c r="D1962" s="10" t="n">
        <v>0.618246508</v>
      </c>
      <c r="E1962" s="11" t="n">
        <v>14.96220258</v>
      </c>
      <c r="F1962" s="12" t="n">
        <v>0.003645085703</v>
      </c>
      <c r="G1962" s="11" t="n">
        <v>290.668002</v>
      </c>
      <c r="H1962" s="13">
        <f>F1962*1000</f>
        <v/>
      </c>
      <c r="I1962" s="14">
        <f>G1962-273.15</f>
        <v/>
      </c>
      <c r="K1962" s="15" t="n">
        <v>2006</v>
      </c>
      <c r="L1962" s="15" t="n">
        <v>6</v>
      </c>
      <c r="M1962" s="15" t="n">
        <v>8</v>
      </c>
      <c r="N1962" s="16" t="n">
        <v>0</v>
      </c>
      <c r="O1962" s="11" t="n">
        <v>291.8189336</v>
      </c>
      <c r="P1962" s="13">
        <f>N1962*86400</f>
        <v/>
      </c>
      <c r="Q1962" s="14">
        <f>O1962-273.15</f>
        <v/>
      </c>
    </row>
    <row r="1963">
      <c r="A1963" s="9" t="n">
        <v>38850</v>
      </c>
      <c r="B1963" s="7">
        <f>YEAR(A1963)</f>
        <v/>
      </c>
      <c r="C1963" s="7">
        <f>MONTH(A1963)</f>
        <v/>
      </c>
      <c r="D1963" s="10" t="n">
        <v>0</v>
      </c>
      <c r="E1963" s="11" t="n">
        <v>13.6951717</v>
      </c>
      <c r="F1963" s="12" t="n">
        <v>0.0002277455705</v>
      </c>
      <c r="G1963" s="11" t="n">
        <v>290.167753</v>
      </c>
      <c r="H1963" s="13">
        <f>F1963*1000</f>
        <v/>
      </c>
      <c r="I1963" s="14">
        <f>G1963-273.15</f>
        <v/>
      </c>
      <c r="K1963" s="15" t="n">
        <v>2006</v>
      </c>
      <c r="L1963" s="15" t="n">
        <v>6</v>
      </c>
      <c r="M1963" s="15" t="n">
        <v>9</v>
      </c>
      <c r="N1963" s="16" t="n">
        <v>2.511794594e-05</v>
      </c>
      <c r="O1963" s="11" t="n">
        <v>289.073511</v>
      </c>
      <c r="P1963" s="13">
        <f>N1963*86400</f>
        <v/>
      </c>
      <c r="Q1963" s="14">
        <f>O1963-273.15</f>
        <v/>
      </c>
    </row>
    <row r="1964">
      <c r="A1964" s="9" t="n">
        <v>38851</v>
      </c>
      <c r="B1964" s="7">
        <f>YEAR(A1964)</f>
        <v/>
      </c>
      <c r="C1964" s="7">
        <f>MONTH(A1964)</f>
        <v/>
      </c>
      <c r="D1964" s="10" t="n">
        <v>0</v>
      </c>
      <c r="E1964" s="11" t="n">
        <v>13.68873823</v>
      </c>
      <c r="F1964" s="12" t="n">
        <v>0.0001551027554</v>
      </c>
      <c r="G1964" s="11" t="n">
        <v>289.7766596</v>
      </c>
      <c r="H1964" s="13">
        <f>F1964*1000</f>
        <v/>
      </c>
      <c r="I1964" s="14">
        <f>G1964-273.15</f>
        <v/>
      </c>
      <c r="K1964" s="15" t="n">
        <v>2006</v>
      </c>
      <c r="L1964" s="15" t="n">
        <v>6</v>
      </c>
      <c r="M1964" s="15" t="n">
        <v>10</v>
      </c>
      <c r="N1964" s="16" t="n">
        <v>5.715935185e-06</v>
      </c>
      <c r="O1964" s="11" t="n">
        <v>289.0191182</v>
      </c>
      <c r="P1964" s="13">
        <f>N1964*86400</f>
        <v/>
      </c>
      <c r="Q1964" s="14">
        <f>O1964-273.15</f>
        <v/>
      </c>
    </row>
    <row r="1965">
      <c r="A1965" s="9" t="n">
        <v>38852</v>
      </c>
      <c r="B1965" s="7">
        <f>YEAR(A1965)</f>
        <v/>
      </c>
      <c r="C1965" s="7">
        <f>MONTH(A1965)</f>
        <v/>
      </c>
      <c r="D1965" s="10" t="n">
        <v>0</v>
      </c>
      <c r="E1965" s="11" t="n">
        <v>12.92870871</v>
      </c>
      <c r="F1965" s="12" t="n">
        <v>0.0006138653291</v>
      </c>
      <c r="G1965" s="11" t="n">
        <v>288.8869625</v>
      </c>
      <c r="H1965" s="13">
        <f>F1965*1000</f>
        <v/>
      </c>
      <c r="I1965" s="14">
        <f>G1965-273.15</f>
        <v/>
      </c>
      <c r="K1965" s="15" t="n">
        <v>2006</v>
      </c>
      <c r="L1965" s="15" t="n">
        <v>6</v>
      </c>
      <c r="M1965" s="15" t="n">
        <v>11</v>
      </c>
      <c r="N1965" s="16" t="n">
        <v>3.971547482e-06</v>
      </c>
      <c r="O1965" s="11" t="n">
        <v>290.8605484</v>
      </c>
      <c r="P1965" s="13">
        <f>N1965*86400</f>
        <v/>
      </c>
      <c r="Q1965" s="14">
        <f>O1965-273.15</f>
        <v/>
      </c>
    </row>
    <row r="1966">
      <c r="A1966" s="9" t="n">
        <v>38853</v>
      </c>
      <c r="B1966" s="7">
        <f>YEAR(A1966)</f>
        <v/>
      </c>
      <c r="C1966" s="7">
        <f>MONTH(A1966)</f>
        <v/>
      </c>
      <c r="D1966" s="10" t="n">
        <v>6.237683426</v>
      </c>
      <c r="E1966" s="11" t="n">
        <v>11.88897902</v>
      </c>
      <c r="F1966" s="12" t="n">
        <v>0.001046491112</v>
      </c>
      <c r="G1966" s="11" t="n">
        <v>286.916947</v>
      </c>
      <c r="H1966" s="13">
        <f>F1966*1000</f>
        <v/>
      </c>
      <c r="I1966" s="14">
        <f>G1966-273.15</f>
        <v/>
      </c>
      <c r="K1966" s="15" t="n">
        <v>2006</v>
      </c>
      <c r="L1966" s="15" t="n">
        <v>6</v>
      </c>
      <c r="M1966" s="15" t="n">
        <v>12</v>
      </c>
      <c r="N1966" s="16" t="n">
        <v>0.0001650893746</v>
      </c>
      <c r="O1966" s="11" t="n">
        <v>291.7831708</v>
      </c>
      <c r="P1966" s="13">
        <f>N1966*86400</f>
        <v/>
      </c>
      <c r="Q1966" s="14">
        <f>O1966-273.15</f>
        <v/>
      </c>
    </row>
    <row r="1967">
      <c r="A1967" s="9" t="n">
        <v>38854</v>
      </c>
      <c r="B1967" s="7">
        <f>YEAR(A1967)</f>
        <v/>
      </c>
      <c r="C1967" s="7">
        <f>MONTH(A1967)</f>
        <v/>
      </c>
      <c r="D1967" s="10" t="n">
        <v>5.271155526</v>
      </c>
      <c r="E1967" s="11" t="n">
        <v>14.25912178</v>
      </c>
      <c r="F1967" s="12" t="n">
        <v>0.00486817543</v>
      </c>
      <c r="G1967" s="11" t="n">
        <v>289.3457359</v>
      </c>
      <c r="H1967" s="13">
        <f>F1967*1000</f>
        <v/>
      </c>
      <c r="I1967" s="14">
        <f>G1967-273.15</f>
        <v/>
      </c>
      <c r="K1967" s="15" t="n">
        <v>2006</v>
      </c>
      <c r="L1967" s="15" t="n">
        <v>6</v>
      </c>
      <c r="M1967" s="15" t="n">
        <v>13</v>
      </c>
      <c r="N1967" s="16" t="n">
        <v>0.000324444188</v>
      </c>
      <c r="O1967" s="11" t="n">
        <v>291.4570382</v>
      </c>
      <c r="P1967" s="13">
        <f>N1967*86400</f>
        <v/>
      </c>
      <c r="Q1967" s="14">
        <f>O1967-273.15</f>
        <v/>
      </c>
    </row>
    <row r="1968">
      <c r="A1968" s="9" t="n">
        <v>38855</v>
      </c>
      <c r="B1968" s="7">
        <f>YEAR(A1968)</f>
        <v/>
      </c>
      <c r="C1968" s="7">
        <f>MONTH(A1968)</f>
        <v/>
      </c>
      <c r="D1968" s="10" t="n">
        <v>10.6359074</v>
      </c>
      <c r="E1968" s="11" t="n">
        <v>16.12093876</v>
      </c>
      <c r="F1968" s="12" t="n">
        <v>0.009603745601</v>
      </c>
      <c r="G1968" s="11" t="n">
        <v>291.2583768</v>
      </c>
      <c r="H1968" s="13">
        <f>F1968*1000</f>
        <v/>
      </c>
      <c r="I1968" s="14">
        <f>G1968-273.15</f>
        <v/>
      </c>
      <c r="K1968" s="15" t="n">
        <v>2006</v>
      </c>
      <c r="L1968" s="15" t="n">
        <v>6</v>
      </c>
      <c r="M1968" s="15" t="n">
        <v>14</v>
      </c>
      <c r="N1968" s="16" t="n">
        <v>8.864746583e-05</v>
      </c>
      <c r="O1968" s="11" t="n">
        <v>293.7777373</v>
      </c>
      <c r="P1968" s="13">
        <f>N1968*86400</f>
        <v/>
      </c>
      <c r="Q1968" s="14">
        <f>O1968-273.15</f>
        <v/>
      </c>
    </row>
    <row r="1969">
      <c r="A1969" s="9" t="n">
        <v>38856</v>
      </c>
      <c r="B1969" s="7">
        <f>YEAR(A1969)</f>
        <v/>
      </c>
      <c r="C1969" s="7">
        <f>MONTH(A1969)</f>
        <v/>
      </c>
      <c r="D1969" s="10" t="n">
        <v>12.69599505</v>
      </c>
      <c r="E1969" s="11" t="n">
        <v>14.03491524</v>
      </c>
      <c r="F1969" s="12" t="n">
        <v>0.001584062175</v>
      </c>
      <c r="G1969" s="11" t="n">
        <v>290.0591887</v>
      </c>
      <c r="H1969" s="13">
        <f>F1969*1000</f>
        <v/>
      </c>
      <c r="I1969" s="14">
        <f>G1969-273.15</f>
        <v/>
      </c>
      <c r="K1969" s="15" t="n">
        <v>2006</v>
      </c>
      <c r="L1969" s="15" t="n">
        <v>6</v>
      </c>
      <c r="M1969" s="15" t="n">
        <v>15</v>
      </c>
      <c r="N1969" s="16" t="n">
        <v>6.497530392e-05</v>
      </c>
      <c r="O1969" s="11" t="n">
        <v>292.2535884</v>
      </c>
      <c r="P1969" s="13">
        <f>N1969*86400</f>
        <v/>
      </c>
      <c r="Q1969" s="14">
        <f>O1969-273.15</f>
        <v/>
      </c>
    </row>
    <row r="1970">
      <c r="A1970" s="9" t="n">
        <v>38857</v>
      </c>
      <c r="B1970" s="7">
        <f>YEAR(A1970)</f>
        <v/>
      </c>
      <c r="C1970" s="7">
        <f>MONTH(A1970)</f>
        <v/>
      </c>
      <c r="D1970" s="10" t="n">
        <v>1.414601452</v>
      </c>
      <c r="E1970" s="11" t="n">
        <v>13.67958125</v>
      </c>
      <c r="F1970" s="12" t="n">
        <v>0.000964722259</v>
      </c>
      <c r="G1970" s="11" t="n">
        <v>288.8922426</v>
      </c>
      <c r="H1970" s="13">
        <f>F1970*1000</f>
        <v/>
      </c>
      <c r="I1970" s="14">
        <f>G1970-273.15</f>
        <v/>
      </c>
      <c r="K1970" s="15" t="n">
        <v>2006</v>
      </c>
      <c r="L1970" s="15" t="n">
        <v>6</v>
      </c>
      <c r="M1970" s="15" t="n">
        <v>16</v>
      </c>
      <c r="N1970" s="16" t="n">
        <v>1.832643034e-07</v>
      </c>
      <c r="O1970" s="11" t="n">
        <v>292.6701745</v>
      </c>
      <c r="P1970" s="13">
        <f>N1970*86400</f>
        <v/>
      </c>
      <c r="Q1970" s="14">
        <f>O1970-273.15</f>
        <v/>
      </c>
    </row>
    <row r="1971">
      <c r="A1971" s="9" t="n">
        <v>38858</v>
      </c>
      <c r="B1971" s="7">
        <f>YEAR(A1971)</f>
        <v/>
      </c>
      <c r="C1971" s="7">
        <f>MONTH(A1971)</f>
        <v/>
      </c>
      <c r="D1971" s="10" t="n">
        <v>0</v>
      </c>
      <c r="E1971" s="11" t="n">
        <v>13.37198399</v>
      </c>
      <c r="F1971" s="12" t="n">
        <v>0.002389189543</v>
      </c>
      <c r="G1971" s="11" t="n">
        <v>288.5240104</v>
      </c>
      <c r="H1971" s="13">
        <f>F1971*1000</f>
        <v/>
      </c>
      <c r="I1971" s="14">
        <f>G1971-273.15</f>
        <v/>
      </c>
      <c r="K1971" s="15" t="n">
        <v>2006</v>
      </c>
      <c r="L1971" s="15" t="n">
        <v>6</v>
      </c>
      <c r="M1971" s="15" t="n">
        <v>17</v>
      </c>
      <c r="N1971" s="16" t="n">
        <v>5.042019466e-06</v>
      </c>
      <c r="O1971" s="11" t="n">
        <v>291.3967179</v>
      </c>
      <c r="P1971" s="13">
        <f>N1971*86400</f>
        <v/>
      </c>
      <c r="Q1971" s="14">
        <f>O1971-273.15</f>
        <v/>
      </c>
    </row>
    <row r="1972">
      <c r="A1972" s="9" t="n">
        <v>38859</v>
      </c>
      <c r="B1972" s="7">
        <f>YEAR(A1972)</f>
        <v/>
      </c>
      <c r="C1972" s="7">
        <f>MONTH(A1972)</f>
        <v/>
      </c>
      <c r="D1972" s="10" t="n">
        <v>0</v>
      </c>
      <c r="E1972" s="11" t="n">
        <v>15.57852594</v>
      </c>
      <c r="F1972" s="12" t="n">
        <v>0.006530255628</v>
      </c>
      <c r="G1972" s="11" t="n">
        <v>290.4351244</v>
      </c>
      <c r="H1972" s="13">
        <f>F1972*1000</f>
        <v/>
      </c>
      <c r="I1972" s="14">
        <f>G1972-273.15</f>
        <v/>
      </c>
      <c r="K1972" s="15" t="n">
        <v>2006</v>
      </c>
      <c r="L1972" s="15" t="n">
        <v>6</v>
      </c>
      <c r="M1972" s="15" t="n">
        <v>18</v>
      </c>
      <c r="N1972" s="16" t="n">
        <v>3.13169115e-07</v>
      </c>
      <c r="O1972" s="11" t="n">
        <v>290.4003559</v>
      </c>
      <c r="P1972" s="13">
        <f>N1972*86400</f>
        <v/>
      </c>
      <c r="Q1972" s="14">
        <f>O1972-273.15</f>
        <v/>
      </c>
    </row>
    <row r="1973">
      <c r="A1973" s="9" t="n">
        <v>38860</v>
      </c>
      <c r="B1973" s="7">
        <f>YEAR(A1973)</f>
        <v/>
      </c>
      <c r="C1973" s="7">
        <f>MONTH(A1973)</f>
        <v/>
      </c>
      <c r="D1973" s="10" t="n">
        <v>5.410690581</v>
      </c>
      <c r="E1973" s="11" t="n">
        <v>18.77606348</v>
      </c>
      <c r="F1973" s="12" t="n">
        <v>0.006296841033</v>
      </c>
      <c r="G1973" s="11" t="n">
        <v>293.1741277</v>
      </c>
      <c r="H1973" s="13">
        <f>F1973*1000</f>
        <v/>
      </c>
      <c r="I1973" s="14">
        <f>G1973-273.15</f>
        <v/>
      </c>
      <c r="K1973" s="15" t="n">
        <v>2006</v>
      </c>
      <c r="L1973" s="15" t="n">
        <v>6</v>
      </c>
      <c r="M1973" s="15" t="n">
        <v>19</v>
      </c>
      <c r="N1973" s="16" t="n">
        <v>4.574175768e-07</v>
      </c>
      <c r="O1973" s="11" t="n">
        <v>291.4220134</v>
      </c>
      <c r="P1973" s="13">
        <f>N1973*86400</f>
        <v/>
      </c>
      <c r="Q1973" s="14">
        <f>O1973-273.15</f>
        <v/>
      </c>
    </row>
    <row r="1974">
      <c r="A1974" s="9" t="n">
        <v>38861</v>
      </c>
      <c r="B1974" s="7">
        <f>YEAR(A1974)</f>
        <v/>
      </c>
      <c r="C1974" s="7">
        <f>MONTH(A1974)</f>
        <v/>
      </c>
      <c r="D1974" s="10" t="n">
        <v>17.80452157</v>
      </c>
      <c r="E1974" s="11" t="n">
        <v>17.8044935</v>
      </c>
      <c r="F1974" s="12" t="n">
        <v>0.009981629198999999</v>
      </c>
      <c r="G1974" s="11" t="n">
        <v>292.9584908</v>
      </c>
      <c r="H1974" s="13">
        <f>F1974*1000</f>
        <v/>
      </c>
      <c r="I1974" s="14">
        <f>G1974-273.15</f>
        <v/>
      </c>
      <c r="K1974" s="15" t="n">
        <v>2006</v>
      </c>
      <c r="L1974" s="15" t="n">
        <v>6</v>
      </c>
      <c r="M1974" s="15" t="n">
        <v>20</v>
      </c>
      <c r="N1974" s="16" t="n">
        <v>0</v>
      </c>
      <c r="O1974" s="11" t="n">
        <v>291.5786553</v>
      </c>
      <c r="P1974" s="13">
        <f>N1974*86400</f>
        <v/>
      </c>
      <c r="Q1974" s="14">
        <f>O1974-273.15</f>
        <v/>
      </c>
    </row>
    <row r="1975">
      <c r="A1975" s="9" t="n">
        <v>38862</v>
      </c>
      <c r="B1975" s="7">
        <f>YEAR(A1975)</f>
        <v/>
      </c>
      <c r="C1975" s="7">
        <f>MONTH(A1975)</f>
        <v/>
      </c>
      <c r="D1975" s="10" t="n">
        <v>0</v>
      </c>
      <c r="E1975" s="11" t="n">
        <v>15.805502</v>
      </c>
      <c r="F1975" s="12" t="n">
        <v>0.0001449357075</v>
      </c>
      <c r="G1975" s="11" t="n">
        <v>291.5797681</v>
      </c>
      <c r="H1975" s="13">
        <f>F1975*1000</f>
        <v/>
      </c>
      <c r="I1975" s="14">
        <f>G1975-273.15</f>
        <v/>
      </c>
      <c r="K1975" s="15" t="n">
        <v>2006</v>
      </c>
      <c r="L1975" s="15" t="n">
        <v>6</v>
      </c>
      <c r="M1975" s="15" t="n">
        <v>21</v>
      </c>
      <c r="N1975" s="16" t="n">
        <v>2.418266239e-06</v>
      </c>
      <c r="O1975" s="11" t="n">
        <v>289.2906848</v>
      </c>
      <c r="P1975" s="13">
        <f>N1975*86400</f>
        <v/>
      </c>
      <c r="Q1975" s="14">
        <f>O1975-273.15</f>
        <v/>
      </c>
    </row>
    <row r="1976">
      <c r="A1976" s="9" t="n">
        <v>38863</v>
      </c>
      <c r="B1976" s="7">
        <f>YEAR(A1976)</f>
        <v/>
      </c>
      <c r="C1976" s="7">
        <f>MONTH(A1976)</f>
        <v/>
      </c>
      <c r="D1976" s="10" t="n">
        <v>0</v>
      </c>
      <c r="E1976" s="11" t="n">
        <v>15.8190835</v>
      </c>
      <c r="F1976" s="12" t="n">
        <v>0</v>
      </c>
      <c r="G1976" s="11" t="n">
        <v>292.8809051</v>
      </c>
      <c r="H1976" s="13">
        <f>F1976*1000</f>
        <v/>
      </c>
      <c r="I1976" s="14">
        <f>G1976-273.15</f>
        <v/>
      </c>
      <c r="K1976" s="15" t="n">
        <v>2006</v>
      </c>
      <c r="L1976" s="15" t="n">
        <v>6</v>
      </c>
      <c r="M1976" s="15" t="n">
        <v>22</v>
      </c>
      <c r="N1976" s="16" t="n">
        <v>0</v>
      </c>
      <c r="O1976" s="11" t="n">
        <v>290.8720803</v>
      </c>
      <c r="P1976" s="13">
        <f>N1976*86400</f>
        <v/>
      </c>
      <c r="Q1976" s="14">
        <f>O1976-273.15</f>
        <v/>
      </c>
    </row>
    <row r="1977">
      <c r="A1977" s="9" t="n">
        <v>38864</v>
      </c>
      <c r="B1977" s="7">
        <f>YEAR(A1977)</f>
        <v/>
      </c>
      <c r="C1977" s="7">
        <f>MONTH(A1977)</f>
        <v/>
      </c>
      <c r="D1977" s="10" t="n">
        <v>0</v>
      </c>
      <c r="E1977" s="11" t="n">
        <v>20.0195292</v>
      </c>
      <c r="F1977" s="12" t="n">
        <v>0</v>
      </c>
      <c r="G1977" s="11" t="n">
        <v>295.8599883</v>
      </c>
      <c r="H1977" s="13">
        <f>F1977*1000</f>
        <v/>
      </c>
      <c r="I1977" s="14">
        <f>G1977-273.15</f>
        <v/>
      </c>
      <c r="K1977" s="15" t="n">
        <v>2006</v>
      </c>
      <c r="L1977" s="15" t="n">
        <v>6</v>
      </c>
      <c r="M1977" s="15" t="n">
        <v>23</v>
      </c>
      <c r="N1977" s="16" t="n">
        <v>1.058520611e-05</v>
      </c>
      <c r="O1977" s="11" t="n">
        <v>291.9086084</v>
      </c>
      <c r="P1977" s="13">
        <f>N1977*86400</f>
        <v/>
      </c>
      <c r="Q1977" s="14">
        <f>O1977-273.15</f>
        <v/>
      </c>
    </row>
    <row r="1978">
      <c r="A1978" s="9" t="n">
        <v>38865</v>
      </c>
      <c r="B1978" s="7">
        <f>YEAR(A1978)</f>
        <v/>
      </c>
      <c r="C1978" s="7">
        <f>MONTH(A1978)</f>
        <v/>
      </c>
      <c r="D1978" s="10" t="n">
        <v>0</v>
      </c>
      <c r="E1978" s="11" t="n">
        <v>18.21305956</v>
      </c>
      <c r="F1978" s="12" t="n">
        <v>0</v>
      </c>
      <c r="G1978" s="11" t="n">
        <v>294.555665</v>
      </c>
      <c r="H1978" s="13">
        <f>F1978*1000</f>
        <v/>
      </c>
      <c r="I1978" s="14">
        <f>G1978-273.15</f>
        <v/>
      </c>
      <c r="K1978" s="15" t="n">
        <v>2006</v>
      </c>
      <c r="L1978" s="15" t="n">
        <v>6</v>
      </c>
      <c r="M1978" s="15" t="n">
        <v>24</v>
      </c>
      <c r="N1978" s="16" t="n">
        <v>3.955086251e-07</v>
      </c>
      <c r="O1978" s="11" t="n">
        <v>290.697307</v>
      </c>
      <c r="P1978" s="13">
        <f>N1978*86400</f>
        <v/>
      </c>
      <c r="Q1978" s="14">
        <f>O1978-273.15</f>
        <v/>
      </c>
    </row>
    <row r="1979">
      <c r="A1979" s="9" t="n">
        <v>38866</v>
      </c>
      <c r="B1979" s="7">
        <f>YEAR(A1979)</f>
        <v/>
      </c>
      <c r="C1979" s="7">
        <f>MONTH(A1979)</f>
        <v/>
      </c>
      <c r="D1979" s="10" t="n">
        <v>0</v>
      </c>
      <c r="E1979" s="11" t="n">
        <v>20.11640662</v>
      </c>
      <c r="F1979" s="12" t="n">
        <v>0</v>
      </c>
      <c r="G1979" s="11" t="n">
        <v>294.1203583</v>
      </c>
      <c r="H1979" s="13">
        <f>F1979*1000</f>
        <v/>
      </c>
      <c r="I1979" s="14">
        <f>G1979-273.15</f>
        <v/>
      </c>
      <c r="K1979" s="15" t="n">
        <v>2006</v>
      </c>
      <c r="L1979" s="15" t="n">
        <v>6</v>
      </c>
      <c r="M1979" s="15" t="n">
        <v>25</v>
      </c>
      <c r="N1979" s="16" t="n">
        <v>1.385990267e-05</v>
      </c>
      <c r="O1979" s="11" t="n">
        <v>292.4383883</v>
      </c>
      <c r="P1979" s="13">
        <f>N1979*86400</f>
        <v/>
      </c>
      <c r="Q1979" s="14">
        <f>O1979-273.15</f>
        <v/>
      </c>
    </row>
    <row r="1980">
      <c r="A1980" s="9" t="n">
        <v>38867</v>
      </c>
      <c r="B1980" s="7">
        <f>YEAR(A1980)</f>
        <v/>
      </c>
      <c r="C1980" s="7">
        <f>MONTH(A1980)</f>
        <v/>
      </c>
      <c r="D1980" s="10" t="n">
        <v>0</v>
      </c>
      <c r="E1980" s="11" t="n">
        <v>17.28861571</v>
      </c>
      <c r="F1980" s="12" t="n">
        <v>0.003655409617</v>
      </c>
      <c r="G1980" s="11" t="n">
        <v>291.9061328</v>
      </c>
      <c r="H1980" s="13">
        <f>F1980*1000</f>
        <v/>
      </c>
      <c r="I1980" s="14">
        <f>G1980-273.15</f>
        <v/>
      </c>
      <c r="K1980" s="15" t="n">
        <v>2006</v>
      </c>
      <c r="L1980" s="15" t="n">
        <v>6</v>
      </c>
      <c r="M1980" s="15" t="n">
        <v>26</v>
      </c>
      <c r="N1980" s="16" t="n">
        <v>0</v>
      </c>
      <c r="O1980" s="11" t="n">
        <v>290.7394327</v>
      </c>
      <c r="P1980" s="13">
        <f>N1980*86400</f>
        <v/>
      </c>
      <c r="Q1980" s="14">
        <f>O1980-273.15</f>
        <v/>
      </c>
    </row>
    <row r="1981">
      <c r="A1981" s="9" t="n">
        <v>38868</v>
      </c>
      <c r="B1981" s="7">
        <f>YEAR(A1981)</f>
        <v/>
      </c>
      <c r="C1981" s="7">
        <f>MONTH(A1981)</f>
        <v/>
      </c>
      <c r="D1981" s="10" t="n">
        <v>4.56881707</v>
      </c>
      <c r="E1981" s="11" t="n">
        <v>17.24518928</v>
      </c>
      <c r="F1981" s="12" t="n">
        <v>0.02075845066</v>
      </c>
      <c r="G1981" s="11" t="n">
        <v>291.4425963</v>
      </c>
      <c r="H1981" s="13">
        <f>F1981*1000</f>
        <v/>
      </c>
      <c r="I1981" s="14">
        <f>G1981-273.15</f>
        <v/>
      </c>
      <c r="K1981" s="15" t="n">
        <v>2006</v>
      </c>
      <c r="L1981" s="15" t="n">
        <v>6</v>
      </c>
      <c r="M1981" s="15" t="n">
        <v>27</v>
      </c>
      <c r="N1981" s="16" t="n">
        <v>0</v>
      </c>
      <c r="O1981" s="11" t="n">
        <v>291.8161976</v>
      </c>
      <c r="P1981" s="13">
        <f>N1981*86400</f>
        <v/>
      </c>
      <c r="Q1981" s="14">
        <f>O1981-273.15</f>
        <v/>
      </c>
    </row>
    <row r="1982">
      <c r="A1982" s="9" t="n">
        <v>38869</v>
      </c>
      <c r="B1982" s="7">
        <f>YEAR(A1982)</f>
        <v/>
      </c>
      <c r="C1982" s="7">
        <f>MONTH(A1982)</f>
        <v/>
      </c>
      <c r="D1982" s="10" t="n">
        <v>0</v>
      </c>
      <c r="E1982" s="11" t="n">
        <v>16.86332528</v>
      </c>
      <c r="F1982" s="12" t="n">
        <v>0.0007117740806</v>
      </c>
      <c r="G1982" s="11" t="n">
        <v>290.9307147</v>
      </c>
      <c r="H1982" s="13">
        <f>F1982*1000</f>
        <v/>
      </c>
      <c r="I1982" s="14">
        <f>G1982-273.15</f>
        <v/>
      </c>
      <c r="K1982" s="15" t="n">
        <v>2006</v>
      </c>
      <c r="L1982" s="15" t="n">
        <v>6</v>
      </c>
      <c r="M1982" s="15" t="n">
        <v>28</v>
      </c>
      <c r="N1982" s="16" t="n">
        <v>0</v>
      </c>
      <c r="O1982" s="11" t="n">
        <v>291.7291954</v>
      </c>
      <c r="P1982" s="13">
        <f>N1982*86400</f>
        <v/>
      </c>
      <c r="Q1982" s="14">
        <f>O1982-273.15</f>
        <v/>
      </c>
    </row>
    <row r="1983">
      <c r="A1983" s="9" t="n">
        <v>38870</v>
      </c>
      <c r="B1983" s="7">
        <f>YEAR(A1983)</f>
        <v/>
      </c>
      <c r="C1983" s="7">
        <f>MONTH(A1983)</f>
        <v/>
      </c>
      <c r="D1983" s="10" t="n">
        <v>0</v>
      </c>
      <c r="E1983" s="11" t="n">
        <v>18.68615317</v>
      </c>
      <c r="F1983" s="12" t="n">
        <v>0.000620664597</v>
      </c>
      <c r="G1983" s="11" t="n">
        <v>293.3120159</v>
      </c>
      <c r="H1983" s="13">
        <f>F1983*1000</f>
        <v/>
      </c>
      <c r="I1983" s="14">
        <f>G1983-273.15</f>
        <v/>
      </c>
      <c r="K1983" s="15" t="n">
        <v>2006</v>
      </c>
      <c r="L1983" s="15" t="n">
        <v>6</v>
      </c>
      <c r="M1983" s="15" t="n">
        <v>29</v>
      </c>
      <c r="N1983" s="16" t="n">
        <v>0</v>
      </c>
      <c r="O1983" s="11" t="n">
        <v>291.1451209</v>
      </c>
      <c r="P1983" s="13">
        <f>N1983*86400</f>
        <v/>
      </c>
      <c r="Q1983" s="14">
        <f>O1983-273.15</f>
        <v/>
      </c>
    </row>
    <row r="1984">
      <c r="A1984" s="9" t="n">
        <v>38871</v>
      </c>
      <c r="B1984" s="7">
        <f>YEAR(A1984)</f>
        <v/>
      </c>
      <c r="C1984" s="7">
        <f>MONTH(A1984)</f>
        <v/>
      </c>
      <c r="D1984" s="10" t="n">
        <v>4.454733075</v>
      </c>
      <c r="E1984" s="11" t="n">
        <v>19.33466962</v>
      </c>
      <c r="F1984" s="12" t="n">
        <v>0.006556378419</v>
      </c>
      <c r="G1984" s="11" t="n">
        <v>293.1571219</v>
      </c>
      <c r="H1984" s="13">
        <f>F1984*1000</f>
        <v/>
      </c>
      <c r="I1984" s="14">
        <f>G1984-273.15</f>
        <v/>
      </c>
      <c r="K1984" s="15" t="n">
        <v>2006</v>
      </c>
      <c r="L1984" s="15" t="n">
        <v>6</v>
      </c>
      <c r="M1984" s="15" t="n">
        <v>30</v>
      </c>
      <c r="N1984" s="16" t="n">
        <v>0</v>
      </c>
      <c r="O1984" s="11" t="n">
        <v>291.1891498</v>
      </c>
      <c r="P1984" s="13">
        <f>N1984*86400</f>
        <v/>
      </c>
      <c r="Q1984" s="14">
        <f>O1984-273.15</f>
        <v/>
      </c>
    </row>
    <row r="1985">
      <c r="A1985" s="9" t="n">
        <v>38872</v>
      </c>
      <c r="B1985" s="7">
        <f>YEAR(A1985)</f>
        <v/>
      </c>
      <c r="C1985" s="7">
        <f>MONTH(A1985)</f>
        <v/>
      </c>
      <c r="D1985" s="10" t="n">
        <v>5.835282373</v>
      </c>
      <c r="E1985" s="11" t="n">
        <v>18.58009378</v>
      </c>
      <c r="F1985" s="12" t="n">
        <v>0.006647982652</v>
      </c>
      <c r="G1985" s="11" t="n">
        <v>292.7692679</v>
      </c>
      <c r="H1985" s="13">
        <f>F1985*1000</f>
        <v/>
      </c>
      <c r="I1985" s="14">
        <f>G1985-273.15</f>
        <v/>
      </c>
      <c r="K1985" s="15" t="n">
        <v>2006</v>
      </c>
      <c r="L1985" s="15" t="n">
        <v>7</v>
      </c>
      <c r="M1985" s="15" t="n">
        <v>1</v>
      </c>
      <c r="N1985" s="16" t="n">
        <v>1.143955163e-05</v>
      </c>
      <c r="O1985" s="11" t="n">
        <v>293.5286853</v>
      </c>
      <c r="P1985" s="13">
        <f>N1985*86400</f>
        <v/>
      </c>
      <c r="Q1985" s="14">
        <f>O1985-273.15</f>
        <v/>
      </c>
    </row>
    <row r="1986">
      <c r="A1986" s="9" t="n">
        <v>38873</v>
      </c>
      <c r="B1986" s="7">
        <f>YEAR(A1986)</f>
        <v/>
      </c>
      <c r="C1986" s="7">
        <f>MONTH(A1986)</f>
        <v/>
      </c>
      <c r="D1986" s="10" t="n">
        <v>0</v>
      </c>
      <c r="E1986" s="11" t="n">
        <v>19.28647314</v>
      </c>
      <c r="F1986" s="12" t="n">
        <v>0.008259362741</v>
      </c>
      <c r="G1986" s="11" t="n">
        <v>293.9675016</v>
      </c>
      <c r="H1986" s="13">
        <f>F1986*1000</f>
        <v/>
      </c>
      <c r="I1986" s="14">
        <f>G1986-273.15</f>
        <v/>
      </c>
      <c r="K1986" s="15" t="n">
        <v>2006</v>
      </c>
      <c r="L1986" s="15" t="n">
        <v>7</v>
      </c>
      <c r="M1986" s="15" t="n">
        <v>2</v>
      </c>
      <c r="N1986" s="16" t="n">
        <v>1.927286036e-05</v>
      </c>
      <c r="O1986" s="11" t="n">
        <v>292.4662799</v>
      </c>
      <c r="P1986" s="13">
        <f>N1986*86400</f>
        <v/>
      </c>
      <c r="Q1986" s="14">
        <f>O1986-273.15</f>
        <v/>
      </c>
    </row>
    <row r="1987">
      <c r="A1987" s="9" t="n">
        <v>38874</v>
      </c>
      <c r="B1987" s="7">
        <f>YEAR(A1987)</f>
        <v/>
      </c>
      <c r="C1987" s="7">
        <f>MONTH(A1987)</f>
        <v/>
      </c>
      <c r="D1987" s="10" t="n">
        <v>20.59131984</v>
      </c>
      <c r="E1987" s="11" t="n">
        <v>19.14432726</v>
      </c>
      <c r="F1987" s="12" t="n">
        <v>0.02861580882</v>
      </c>
      <c r="G1987" s="11" t="n">
        <v>292.8391403</v>
      </c>
      <c r="H1987" s="13">
        <f>F1987*1000</f>
        <v/>
      </c>
      <c r="I1987" s="14">
        <f>G1987-273.15</f>
        <v/>
      </c>
      <c r="K1987" s="15" t="n">
        <v>2006</v>
      </c>
      <c r="L1987" s="15" t="n">
        <v>7</v>
      </c>
      <c r="M1987" s="15" t="n">
        <v>3</v>
      </c>
      <c r="N1987" s="16" t="n">
        <v>0.0002201668746</v>
      </c>
      <c r="O1987" s="11" t="n">
        <v>292.240084</v>
      </c>
      <c r="P1987" s="13">
        <f>N1987*86400</f>
        <v/>
      </c>
      <c r="Q1987" s="14">
        <f>O1987-273.15</f>
        <v/>
      </c>
    </row>
    <row r="1988">
      <c r="A1988" s="9" t="n">
        <v>38875</v>
      </c>
      <c r="B1988" s="7">
        <f>YEAR(A1988)</f>
        <v/>
      </c>
      <c r="C1988" s="7">
        <f>MONTH(A1988)</f>
        <v/>
      </c>
      <c r="D1988" s="10" t="n">
        <v>0</v>
      </c>
      <c r="E1988" s="11" t="n">
        <v>19.10325371</v>
      </c>
      <c r="F1988" s="12" t="n">
        <v>0.002080914014</v>
      </c>
      <c r="G1988" s="11" t="n">
        <v>292.2842046</v>
      </c>
      <c r="H1988" s="13">
        <f>F1988*1000</f>
        <v/>
      </c>
      <c r="I1988" s="14">
        <f>G1988-273.15</f>
        <v/>
      </c>
      <c r="K1988" s="15" t="n">
        <v>2006</v>
      </c>
      <c r="L1988" s="15" t="n">
        <v>7</v>
      </c>
      <c r="M1988" s="15" t="n">
        <v>4</v>
      </c>
      <c r="N1988" s="16" t="n">
        <v>0.0002437676007</v>
      </c>
      <c r="O1988" s="11" t="n">
        <v>291.9124856</v>
      </c>
      <c r="P1988" s="13">
        <f>N1988*86400</f>
        <v/>
      </c>
      <c r="Q1988" s="14">
        <f>O1988-273.15</f>
        <v/>
      </c>
    </row>
    <row r="1989">
      <c r="A1989" s="9" t="n">
        <v>38876</v>
      </c>
      <c r="B1989" s="7">
        <f>YEAR(A1989)</f>
        <v/>
      </c>
      <c r="C1989" s="7">
        <f>MONTH(A1989)</f>
        <v/>
      </c>
      <c r="D1989" s="10" t="n">
        <v>4.568818369</v>
      </c>
      <c r="E1989" s="11" t="n">
        <v>19.72491576</v>
      </c>
      <c r="F1989" s="12" t="n">
        <v>0.005868950863</v>
      </c>
      <c r="G1989" s="11" t="n">
        <v>292.9363508</v>
      </c>
      <c r="H1989" s="13">
        <f>F1989*1000</f>
        <v/>
      </c>
      <c r="I1989" s="14">
        <f>G1989-273.15</f>
        <v/>
      </c>
      <c r="K1989" s="15" t="n">
        <v>2006</v>
      </c>
      <c r="L1989" s="15" t="n">
        <v>7</v>
      </c>
      <c r="M1989" s="15" t="n">
        <v>5</v>
      </c>
      <c r="N1989" s="16" t="n">
        <v>6.928961445e-05</v>
      </c>
      <c r="O1989" s="11" t="n">
        <v>291.4940071</v>
      </c>
      <c r="P1989" s="13">
        <f>N1989*86400</f>
        <v/>
      </c>
      <c r="Q1989" s="14">
        <f>O1989-273.15</f>
        <v/>
      </c>
    </row>
    <row r="1990">
      <c r="A1990" s="9" t="n">
        <v>38877</v>
      </c>
      <c r="B1990" s="7">
        <f>YEAR(A1990)</f>
        <v/>
      </c>
      <c r="C1990" s="7">
        <f>MONTH(A1990)</f>
        <v/>
      </c>
      <c r="D1990" s="10" t="n">
        <v>23.88412776</v>
      </c>
      <c r="E1990" s="11" t="n">
        <v>19.35969638</v>
      </c>
      <c r="F1990" s="12" t="n">
        <v>0.004199947113</v>
      </c>
      <c r="G1990" s="11" t="n">
        <v>293.1597172</v>
      </c>
      <c r="H1990" s="13">
        <f>F1990*1000</f>
        <v/>
      </c>
      <c r="I1990" s="14">
        <f>G1990-273.15</f>
        <v/>
      </c>
      <c r="K1990" s="15" t="n">
        <v>2006</v>
      </c>
      <c r="L1990" s="15" t="n">
        <v>7</v>
      </c>
      <c r="M1990" s="15" t="n">
        <v>6</v>
      </c>
      <c r="N1990" s="16" t="n">
        <v>6.816594615e-05</v>
      </c>
      <c r="O1990" s="11" t="n">
        <v>293.1455737</v>
      </c>
      <c r="P1990" s="13">
        <f>N1990*86400</f>
        <v/>
      </c>
      <c r="Q1990" s="14">
        <f>O1990-273.15</f>
        <v/>
      </c>
    </row>
    <row r="1991">
      <c r="A1991" s="9" t="n">
        <v>38878</v>
      </c>
      <c r="B1991" s="7">
        <f>YEAR(A1991)</f>
        <v/>
      </c>
      <c r="C1991" s="7">
        <f>MONTH(A1991)</f>
        <v/>
      </c>
      <c r="D1991" s="10" t="n">
        <v>38.25509403</v>
      </c>
      <c r="E1991" s="11" t="n">
        <v>18.48874216</v>
      </c>
      <c r="F1991" s="12" t="n">
        <v>0.01162215573</v>
      </c>
      <c r="G1991" s="11" t="n">
        <v>293.3575798</v>
      </c>
      <c r="H1991" s="13">
        <f>F1991*1000</f>
        <v/>
      </c>
      <c r="I1991" s="14">
        <f>G1991-273.15</f>
        <v/>
      </c>
      <c r="K1991" s="15" t="n">
        <v>2006</v>
      </c>
      <c r="L1991" s="15" t="n">
        <v>7</v>
      </c>
      <c r="M1991" s="15" t="n">
        <v>7</v>
      </c>
      <c r="N1991" s="16" t="n">
        <v>9.991013892e-05</v>
      </c>
      <c r="O1991" s="11" t="n">
        <v>292.4993251</v>
      </c>
      <c r="P1991" s="13">
        <f>N1991*86400</f>
        <v/>
      </c>
      <c r="Q1991" s="14">
        <f>O1991-273.15</f>
        <v/>
      </c>
    </row>
    <row r="1992">
      <c r="A1992" s="9" t="n">
        <v>38879</v>
      </c>
      <c r="B1992" s="7">
        <f>YEAR(A1992)</f>
        <v/>
      </c>
      <c r="C1992" s="7">
        <f>MONTH(A1992)</f>
        <v/>
      </c>
      <c r="D1992" s="10" t="n">
        <v>8.343422071000001</v>
      </c>
      <c r="E1992" s="11" t="n">
        <v>21.09373985</v>
      </c>
      <c r="F1992" s="12" t="n">
        <v>0.002365522034</v>
      </c>
      <c r="G1992" s="11" t="n">
        <v>295.5763944</v>
      </c>
      <c r="H1992" s="13">
        <f>F1992*1000</f>
        <v/>
      </c>
      <c r="I1992" s="14">
        <f>G1992-273.15</f>
        <v/>
      </c>
      <c r="K1992" s="15" t="n">
        <v>2006</v>
      </c>
      <c r="L1992" s="15" t="n">
        <v>7</v>
      </c>
      <c r="M1992" s="15" t="n">
        <v>8</v>
      </c>
      <c r="N1992" s="16" t="n">
        <v>1.72224803e-05</v>
      </c>
      <c r="O1992" s="11" t="n">
        <v>293.8058372</v>
      </c>
      <c r="P1992" s="13">
        <f>N1992*86400</f>
        <v/>
      </c>
      <c r="Q1992" s="14">
        <f>O1992-273.15</f>
        <v/>
      </c>
    </row>
    <row r="1993">
      <c r="A1993" s="9" t="n">
        <v>38880</v>
      </c>
      <c r="B1993" s="7">
        <f>YEAR(A1993)</f>
        <v/>
      </c>
      <c r="C1993" s="7">
        <f>MONTH(A1993)</f>
        <v/>
      </c>
      <c r="D1993" s="10" t="n">
        <v>1.172918436</v>
      </c>
      <c r="E1993" s="11" t="n">
        <v>19.70106388</v>
      </c>
      <c r="F1993" s="12" t="n">
        <v>0.003299154079</v>
      </c>
      <c r="G1993" s="11" t="n">
        <v>294.4841294</v>
      </c>
      <c r="H1993" s="13">
        <f>F1993*1000</f>
        <v/>
      </c>
      <c r="I1993" s="14">
        <f>G1993-273.15</f>
        <v/>
      </c>
      <c r="K1993" s="15" t="n">
        <v>2006</v>
      </c>
      <c r="L1993" s="15" t="n">
        <v>7</v>
      </c>
      <c r="M1993" s="15" t="n">
        <v>9</v>
      </c>
      <c r="N1993" s="16" t="n">
        <v>4.376903008e-05</v>
      </c>
      <c r="O1993" s="11" t="n">
        <v>293.6728372</v>
      </c>
      <c r="P1993" s="13">
        <f>N1993*86400</f>
        <v/>
      </c>
      <c r="Q1993" s="14">
        <f>O1993-273.15</f>
        <v/>
      </c>
    </row>
    <row r="1994">
      <c r="A1994" s="9" t="n">
        <v>38881</v>
      </c>
      <c r="B1994" s="7">
        <f>YEAR(A1994)</f>
        <v/>
      </c>
      <c r="C1994" s="7">
        <f>MONTH(A1994)</f>
        <v/>
      </c>
      <c r="D1994" s="10" t="n">
        <v>0.03612640399</v>
      </c>
      <c r="E1994" s="11" t="n">
        <v>20.66264733</v>
      </c>
      <c r="F1994" s="12" t="n">
        <v>0.00332799639</v>
      </c>
      <c r="G1994" s="11" t="n">
        <v>294.8761681</v>
      </c>
      <c r="H1994" s="13">
        <f>F1994*1000</f>
        <v/>
      </c>
      <c r="I1994" s="14">
        <f>G1994-273.15</f>
        <v/>
      </c>
      <c r="K1994" s="15" t="n">
        <v>2006</v>
      </c>
      <c r="L1994" s="15" t="n">
        <v>7</v>
      </c>
      <c r="M1994" s="15" t="n">
        <v>10</v>
      </c>
      <c r="N1994" s="16" t="n">
        <v>3.246849636e-06</v>
      </c>
      <c r="O1994" s="11" t="n">
        <v>291.528253</v>
      </c>
      <c r="P1994" s="13">
        <f>N1994*86400</f>
        <v/>
      </c>
      <c r="Q1994" s="14">
        <f>O1994-273.15</f>
        <v/>
      </c>
    </row>
    <row r="1995">
      <c r="A1995" s="9" t="n">
        <v>38882</v>
      </c>
      <c r="B1995" s="7">
        <f>YEAR(A1995)</f>
        <v/>
      </c>
      <c r="C1995" s="7">
        <f>MONTH(A1995)</f>
        <v/>
      </c>
      <c r="D1995" s="10" t="n">
        <v>21.44505989</v>
      </c>
      <c r="E1995" s="11" t="n">
        <v>18.52493038</v>
      </c>
      <c r="F1995" s="12" t="n">
        <v>0.01415085464</v>
      </c>
      <c r="G1995" s="11" t="n">
        <v>293.6818295</v>
      </c>
      <c r="H1995" s="13">
        <f>F1995*1000</f>
        <v/>
      </c>
      <c r="I1995" s="14">
        <f>G1995-273.15</f>
        <v/>
      </c>
      <c r="K1995" s="15" t="n">
        <v>2006</v>
      </c>
      <c r="L1995" s="15" t="n">
        <v>7</v>
      </c>
      <c r="M1995" s="15" t="n">
        <v>11</v>
      </c>
      <c r="N1995" s="16" t="n">
        <v>2.067653978e-07</v>
      </c>
      <c r="O1995" s="11" t="n">
        <v>291.3590999</v>
      </c>
      <c r="P1995" s="13">
        <f>N1995*86400</f>
        <v/>
      </c>
      <c r="Q1995" s="14">
        <f>O1995-273.15</f>
        <v/>
      </c>
    </row>
    <row r="1996">
      <c r="A1996" s="9" t="n">
        <v>38883</v>
      </c>
      <c r="B1996" s="7">
        <f>YEAR(A1996)</f>
        <v/>
      </c>
      <c r="C1996" s="7">
        <f>MONTH(A1996)</f>
        <v/>
      </c>
      <c r="D1996" s="10" t="n">
        <v>1.637190834</v>
      </c>
      <c r="E1996" s="11" t="n">
        <v>21.21405692</v>
      </c>
      <c r="F1996" s="12" t="n">
        <v>0.007508017454</v>
      </c>
      <c r="G1996" s="11" t="n">
        <v>295.9922809</v>
      </c>
      <c r="H1996" s="13">
        <f>F1996*1000</f>
        <v/>
      </c>
      <c r="I1996" s="14">
        <f>G1996-273.15</f>
        <v/>
      </c>
      <c r="K1996" s="15" t="n">
        <v>2006</v>
      </c>
      <c r="L1996" s="15" t="n">
        <v>7</v>
      </c>
      <c r="M1996" s="15" t="n">
        <v>12</v>
      </c>
      <c r="N1996" s="16" t="n">
        <v>8.824644987999999e-06</v>
      </c>
      <c r="O1996" s="11" t="n">
        <v>289.5724506</v>
      </c>
      <c r="P1996" s="13">
        <f>N1996*86400</f>
        <v/>
      </c>
      <c r="Q1996" s="14">
        <f>O1996-273.15</f>
        <v/>
      </c>
    </row>
    <row r="1997">
      <c r="A1997" s="9" t="n">
        <v>38884</v>
      </c>
      <c r="B1997" s="7">
        <f>YEAR(A1997)</f>
        <v/>
      </c>
      <c r="C1997" s="7">
        <f>MONTH(A1997)</f>
        <v/>
      </c>
      <c r="D1997" s="10" t="n">
        <v>2.545444691</v>
      </c>
      <c r="E1997" s="11" t="n">
        <v>19.52027504</v>
      </c>
      <c r="F1997" s="12" t="n">
        <v>0.0143493712</v>
      </c>
      <c r="G1997" s="11" t="n">
        <v>294.4720601</v>
      </c>
      <c r="H1997" s="13">
        <f>F1997*1000</f>
        <v/>
      </c>
      <c r="I1997" s="14">
        <f>G1997-273.15</f>
        <v/>
      </c>
      <c r="K1997" s="15" t="n">
        <v>2006</v>
      </c>
      <c r="L1997" s="15" t="n">
        <v>7</v>
      </c>
      <c r="M1997" s="15" t="n">
        <v>13</v>
      </c>
      <c r="N1997" s="16" t="n">
        <v>2.003855466e-05</v>
      </c>
      <c r="O1997" s="11" t="n">
        <v>290.6268494</v>
      </c>
      <c r="P1997" s="13">
        <f>N1997*86400</f>
        <v/>
      </c>
      <c r="Q1997" s="14">
        <f>O1997-273.15</f>
        <v/>
      </c>
    </row>
    <row r="1998">
      <c r="A1998" s="9" t="n">
        <v>38885</v>
      </c>
      <c r="B1998" s="7">
        <f>YEAR(A1998)</f>
        <v/>
      </c>
      <c r="C1998" s="7">
        <f>MONTH(A1998)</f>
        <v/>
      </c>
      <c r="D1998" s="10" t="n">
        <v>17.37383027</v>
      </c>
      <c r="E1998" s="11" t="n">
        <v>19.34811393</v>
      </c>
      <c r="F1998" s="12" t="n">
        <v>0.01815078784</v>
      </c>
      <c r="G1998" s="11" t="n">
        <v>294.8222193</v>
      </c>
      <c r="H1998" s="13">
        <f>F1998*1000</f>
        <v/>
      </c>
      <c r="I1998" s="14">
        <f>G1998-273.15</f>
        <v/>
      </c>
      <c r="K1998" s="15" t="n">
        <v>2006</v>
      </c>
      <c r="L1998" s="15" t="n">
        <v>7</v>
      </c>
      <c r="M1998" s="15" t="n">
        <v>14</v>
      </c>
      <c r="N1998" s="16" t="n">
        <v>3.002529849e-05</v>
      </c>
      <c r="O1998" s="11" t="n">
        <v>290.8425188</v>
      </c>
      <c r="P1998" s="13">
        <f>N1998*86400</f>
        <v/>
      </c>
      <c r="Q1998" s="14">
        <f>O1998-273.15</f>
        <v/>
      </c>
    </row>
    <row r="1999">
      <c r="A1999" s="9" t="n">
        <v>38886</v>
      </c>
      <c r="B1999" s="7">
        <f>YEAR(A1999)</f>
        <v/>
      </c>
      <c r="C1999" s="7">
        <f>MONTH(A1999)</f>
        <v/>
      </c>
      <c r="D1999" s="10" t="n">
        <v>0</v>
      </c>
      <c r="E1999" s="11" t="n">
        <v>16.65922728</v>
      </c>
      <c r="F1999" s="12" t="n">
        <v>0.001607467141</v>
      </c>
      <c r="G1999" s="11" t="n">
        <v>292.1231603</v>
      </c>
      <c r="H1999" s="13">
        <f>F1999*1000</f>
        <v/>
      </c>
      <c r="I1999" s="14">
        <f>G1999-273.15</f>
        <v/>
      </c>
      <c r="K1999" s="15" t="n">
        <v>2006</v>
      </c>
      <c r="L1999" s="15" t="n">
        <v>7</v>
      </c>
      <c r="M1999" s="15" t="n">
        <v>15</v>
      </c>
      <c r="N1999" s="16" t="n">
        <v>0.0002313327302</v>
      </c>
      <c r="O1999" s="11" t="n">
        <v>288.1889771</v>
      </c>
      <c r="P1999" s="13">
        <f>N1999*86400</f>
        <v/>
      </c>
      <c r="Q1999" s="14">
        <f>O1999-273.15</f>
        <v/>
      </c>
    </row>
    <row r="2000">
      <c r="A2000" s="9" t="n">
        <v>38887</v>
      </c>
      <c r="B2000" s="7">
        <f>YEAR(A2000)</f>
        <v/>
      </c>
      <c r="C2000" s="7">
        <f>MONTH(A2000)</f>
        <v/>
      </c>
      <c r="D2000" s="10" t="n">
        <v>1.514326041</v>
      </c>
      <c r="E2000" s="11" t="n">
        <v>15.0272713</v>
      </c>
      <c r="F2000" s="12" t="n">
        <v>0.001390064899</v>
      </c>
      <c r="G2000" s="11" t="n">
        <v>291.3251844</v>
      </c>
      <c r="H2000" s="13">
        <f>F2000*1000</f>
        <v/>
      </c>
      <c r="I2000" s="14">
        <f>G2000-273.15</f>
        <v/>
      </c>
      <c r="K2000" s="15" t="n">
        <v>2006</v>
      </c>
      <c r="L2000" s="15" t="n">
        <v>7</v>
      </c>
      <c r="M2000" s="15" t="n">
        <v>16</v>
      </c>
      <c r="N2000" s="16" t="n">
        <v>6.111219273e-06</v>
      </c>
      <c r="O2000" s="11" t="n">
        <v>288.6990949</v>
      </c>
      <c r="P2000" s="13">
        <f>N2000*86400</f>
        <v/>
      </c>
      <c r="Q2000" s="14">
        <f>O2000-273.15</f>
        <v/>
      </c>
    </row>
    <row r="2001">
      <c r="A2001" s="9" t="n">
        <v>38888</v>
      </c>
      <c r="B2001" s="7">
        <f>YEAR(A2001)</f>
        <v/>
      </c>
      <c r="C2001" s="7">
        <f>MONTH(A2001)</f>
        <v/>
      </c>
      <c r="D2001" s="10" t="n">
        <v>13.98707799</v>
      </c>
      <c r="E2001" s="11" t="n">
        <v>15.36210107</v>
      </c>
      <c r="F2001" s="12" t="n">
        <v>0.003571679375</v>
      </c>
      <c r="G2001" s="11" t="n">
        <v>290.243827</v>
      </c>
      <c r="H2001" s="13">
        <f>F2001*1000</f>
        <v/>
      </c>
      <c r="I2001" s="14">
        <f>G2001-273.15</f>
        <v/>
      </c>
      <c r="K2001" s="15" t="n">
        <v>2006</v>
      </c>
      <c r="L2001" s="15" t="n">
        <v>7</v>
      </c>
      <c r="M2001" s="15" t="n">
        <v>17</v>
      </c>
      <c r="N2001" s="16" t="n">
        <v>3.72381609e-08</v>
      </c>
      <c r="O2001" s="11" t="n">
        <v>289.6742493</v>
      </c>
      <c r="P2001" s="13">
        <f>N2001*86400</f>
        <v/>
      </c>
      <c r="Q2001" s="14">
        <f>O2001-273.15</f>
        <v/>
      </c>
    </row>
    <row r="2002">
      <c r="A2002" s="9" t="n">
        <v>38889</v>
      </c>
      <c r="B2002" s="7">
        <f>YEAR(A2002)</f>
        <v/>
      </c>
      <c r="C2002" s="7">
        <f>MONTH(A2002)</f>
        <v/>
      </c>
      <c r="D2002" s="10" t="n">
        <v>27.55790021</v>
      </c>
      <c r="E2002" s="11" t="n">
        <v>14.57467617</v>
      </c>
      <c r="F2002" s="12" t="n">
        <v>0.001313754183</v>
      </c>
      <c r="G2002" s="11" t="n">
        <v>289.804699</v>
      </c>
      <c r="H2002" s="13">
        <f>F2002*1000</f>
        <v/>
      </c>
      <c r="I2002" s="14">
        <f>G2002-273.15</f>
        <v/>
      </c>
      <c r="K2002" s="15" t="n">
        <v>2006</v>
      </c>
      <c r="L2002" s="15" t="n">
        <v>7</v>
      </c>
      <c r="M2002" s="15" t="n">
        <v>18</v>
      </c>
      <c r="N2002" s="16" t="n">
        <v>3.080689101e-05</v>
      </c>
      <c r="O2002" s="11" t="n">
        <v>290.6568829</v>
      </c>
      <c r="P2002" s="13">
        <f>N2002*86400</f>
        <v/>
      </c>
      <c r="Q2002" s="14">
        <f>O2002-273.15</f>
        <v/>
      </c>
    </row>
    <row r="2003">
      <c r="A2003" s="9" t="n">
        <v>38890</v>
      </c>
      <c r="B2003" s="7">
        <f>YEAR(A2003)</f>
        <v/>
      </c>
      <c r="C2003" s="7">
        <f>MONTH(A2003)</f>
        <v/>
      </c>
      <c r="D2003" s="10" t="n">
        <v>25.10677186</v>
      </c>
      <c r="E2003" s="11" t="n">
        <v>15.06136935</v>
      </c>
      <c r="F2003" s="12" t="n">
        <v>0.004208242757</v>
      </c>
      <c r="G2003" s="11" t="n">
        <v>289.571951</v>
      </c>
      <c r="H2003" s="13">
        <f>F2003*1000</f>
        <v/>
      </c>
      <c r="I2003" s="14">
        <f>G2003-273.15</f>
        <v/>
      </c>
      <c r="K2003" s="15" t="n">
        <v>2006</v>
      </c>
      <c r="L2003" s="15" t="n">
        <v>7</v>
      </c>
      <c r="M2003" s="15" t="n">
        <v>19</v>
      </c>
      <c r="N2003" s="16" t="n">
        <v>4.898853896e-06</v>
      </c>
      <c r="O2003" s="11" t="n">
        <v>290.778124</v>
      </c>
      <c r="P2003" s="13">
        <f>N2003*86400</f>
        <v/>
      </c>
      <c r="Q2003" s="14">
        <f>O2003-273.15</f>
        <v/>
      </c>
    </row>
    <row r="2004">
      <c r="A2004" s="9" t="n">
        <v>38891</v>
      </c>
      <c r="B2004" s="7">
        <f>YEAR(A2004)</f>
        <v/>
      </c>
      <c r="C2004" s="7">
        <f>MONTH(A2004)</f>
        <v/>
      </c>
      <c r="D2004" s="10" t="n">
        <v>0</v>
      </c>
      <c r="E2004" s="11" t="n">
        <v>13.80786224</v>
      </c>
      <c r="F2004" s="12" t="n">
        <v>0</v>
      </c>
      <c r="G2004" s="11" t="n">
        <v>288.8363486</v>
      </c>
      <c r="H2004" s="13">
        <f>F2004*1000</f>
        <v/>
      </c>
      <c r="I2004" s="14">
        <f>G2004-273.15</f>
        <v/>
      </c>
      <c r="K2004" s="15" t="n">
        <v>2006</v>
      </c>
      <c r="L2004" s="15" t="n">
        <v>7</v>
      </c>
      <c r="M2004" s="15" t="n">
        <v>20</v>
      </c>
      <c r="N2004" s="16" t="n">
        <v>1.201657155e-06</v>
      </c>
      <c r="O2004" s="11" t="n">
        <v>290.969439</v>
      </c>
      <c r="P2004" s="13">
        <f>N2004*86400</f>
        <v/>
      </c>
      <c r="Q2004" s="14">
        <f>O2004-273.15</f>
        <v/>
      </c>
    </row>
    <row r="2005">
      <c r="A2005" s="9" t="n">
        <v>38892</v>
      </c>
      <c r="B2005" s="7">
        <f>YEAR(A2005)</f>
        <v/>
      </c>
      <c r="C2005" s="7">
        <f>MONTH(A2005)</f>
        <v/>
      </c>
      <c r="D2005" s="10" t="n">
        <v>16.1329169</v>
      </c>
      <c r="E2005" s="11" t="n">
        <v>15.07708212</v>
      </c>
      <c r="F2005" s="12" t="n">
        <v>0.01434092897</v>
      </c>
      <c r="G2005" s="11" t="n">
        <v>290.4108146</v>
      </c>
      <c r="H2005" s="13">
        <f>F2005*1000</f>
        <v/>
      </c>
      <c r="I2005" s="14">
        <f>G2005-273.15</f>
        <v/>
      </c>
      <c r="K2005" s="15" t="n">
        <v>2006</v>
      </c>
      <c r="L2005" s="15" t="n">
        <v>7</v>
      </c>
      <c r="M2005" s="15" t="n">
        <v>21</v>
      </c>
      <c r="N2005" s="16" t="n">
        <v>0</v>
      </c>
      <c r="O2005" s="11" t="n">
        <v>292.0006994</v>
      </c>
      <c r="P2005" s="13">
        <f>N2005*86400</f>
        <v/>
      </c>
      <c r="Q2005" s="14">
        <f>O2005-273.15</f>
        <v/>
      </c>
    </row>
    <row r="2006">
      <c r="A2006" s="9" t="n">
        <v>38893</v>
      </c>
      <c r="B2006" s="7">
        <f>YEAR(A2006)</f>
        <v/>
      </c>
      <c r="C2006" s="7">
        <f>MONTH(A2006)</f>
        <v/>
      </c>
      <c r="D2006" s="10" t="n">
        <v>4.296592197</v>
      </c>
      <c r="E2006" s="11" t="n">
        <v>15.36725148</v>
      </c>
      <c r="F2006" s="12" t="n">
        <v>0.006775076573</v>
      </c>
      <c r="G2006" s="11" t="n">
        <v>290.1480595</v>
      </c>
      <c r="H2006" s="13">
        <f>F2006*1000</f>
        <v/>
      </c>
      <c r="I2006" s="14">
        <f>G2006-273.15</f>
        <v/>
      </c>
      <c r="K2006" s="15" t="n">
        <v>2006</v>
      </c>
      <c r="L2006" s="15" t="n">
        <v>7</v>
      </c>
      <c r="M2006" s="15" t="n">
        <v>22</v>
      </c>
      <c r="N2006" s="16" t="n">
        <v>6.797629915000001e-05</v>
      </c>
      <c r="O2006" s="11" t="n">
        <v>291.8920353</v>
      </c>
      <c r="P2006" s="13">
        <f>N2006*86400</f>
        <v/>
      </c>
      <c r="Q2006" s="14">
        <f>O2006-273.15</f>
        <v/>
      </c>
    </row>
    <row r="2007">
      <c r="A2007" s="9" t="n">
        <v>38894</v>
      </c>
      <c r="B2007" s="7">
        <f>YEAR(A2007)</f>
        <v/>
      </c>
      <c r="C2007" s="7">
        <f>MONTH(A2007)</f>
        <v/>
      </c>
      <c r="D2007" s="10" t="n">
        <v>8.325550986</v>
      </c>
      <c r="E2007" s="11" t="n">
        <v>14.88610017</v>
      </c>
      <c r="F2007" s="12" t="n">
        <v>0.01485277654</v>
      </c>
      <c r="G2007" s="11" t="n">
        <v>290.6633731</v>
      </c>
      <c r="H2007" s="13">
        <f>F2007*1000</f>
        <v/>
      </c>
      <c r="I2007" s="14">
        <f>G2007-273.15</f>
        <v/>
      </c>
      <c r="K2007" s="15" t="n">
        <v>2006</v>
      </c>
      <c r="L2007" s="15" t="n">
        <v>7</v>
      </c>
      <c r="M2007" s="15" t="n">
        <v>23</v>
      </c>
      <c r="N2007" s="16" t="n">
        <v>3.716975799e-05</v>
      </c>
      <c r="O2007" s="11" t="n">
        <v>289.9973978</v>
      </c>
      <c r="P2007" s="13">
        <f>N2007*86400</f>
        <v/>
      </c>
      <c r="Q2007" s="14">
        <f>O2007-273.15</f>
        <v/>
      </c>
    </row>
    <row r="2008">
      <c r="A2008" s="9" t="n">
        <v>38895</v>
      </c>
      <c r="B2008" s="7">
        <f>YEAR(A2008)</f>
        <v/>
      </c>
      <c r="C2008" s="7">
        <f>MONTH(A2008)</f>
        <v/>
      </c>
      <c r="D2008" s="10" t="n">
        <v>41.63779776</v>
      </c>
      <c r="E2008" s="11" t="n">
        <v>14.37540374</v>
      </c>
      <c r="F2008" s="12" t="n">
        <v>0.05193625773</v>
      </c>
      <c r="G2008" s="11" t="n">
        <v>290.6205584</v>
      </c>
      <c r="H2008" s="13">
        <f>F2008*1000</f>
        <v/>
      </c>
      <c r="I2008" s="14">
        <f>G2008-273.15</f>
        <v/>
      </c>
      <c r="K2008" s="15" t="n">
        <v>2006</v>
      </c>
      <c r="L2008" s="15" t="n">
        <v>7</v>
      </c>
      <c r="M2008" s="15" t="n">
        <v>24</v>
      </c>
      <c r="N2008" s="16" t="n">
        <v>0.0004027527879</v>
      </c>
      <c r="O2008" s="11" t="n">
        <v>289.6944599</v>
      </c>
      <c r="P2008" s="13">
        <f>N2008*86400</f>
        <v/>
      </c>
      <c r="Q2008" s="14">
        <f>O2008-273.15</f>
        <v/>
      </c>
    </row>
    <row r="2009">
      <c r="A2009" s="9" t="n">
        <v>38896</v>
      </c>
      <c r="B2009" s="7">
        <f>YEAR(A2009)</f>
        <v/>
      </c>
      <c r="C2009" s="7">
        <f>MONTH(A2009)</f>
        <v/>
      </c>
      <c r="D2009" s="10" t="n">
        <v>3.413747771</v>
      </c>
      <c r="E2009" s="11" t="n">
        <v>14.59728641</v>
      </c>
      <c r="F2009" s="12" t="n">
        <v>0.01230803932</v>
      </c>
      <c r="G2009" s="11" t="n">
        <v>290.4591162</v>
      </c>
      <c r="H2009" s="13">
        <f>F2009*1000</f>
        <v/>
      </c>
      <c r="I2009" s="14">
        <f>G2009-273.15</f>
        <v/>
      </c>
      <c r="K2009" s="15" t="n">
        <v>2006</v>
      </c>
      <c r="L2009" s="15" t="n">
        <v>7</v>
      </c>
      <c r="M2009" s="15" t="n">
        <v>25</v>
      </c>
      <c r="N2009" s="16" t="n">
        <v>1.816518984e-05</v>
      </c>
      <c r="O2009" s="11" t="n">
        <v>290.991028</v>
      </c>
      <c r="P2009" s="13">
        <f>N2009*86400</f>
        <v/>
      </c>
      <c r="Q2009" s="14">
        <f>O2009-273.15</f>
        <v/>
      </c>
    </row>
    <row r="2010">
      <c r="A2010" s="9" t="n">
        <v>38897</v>
      </c>
      <c r="B2010" s="7">
        <f>YEAR(A2010)</f>
        <v/>
      </c>
      <c r="C2010" s="7">
        <f>MONTH(A2010)</f>
        <v/>
      </c>
      <c r="D2010" s="10" t="n">
        <v>11.89457617</v>
      </c>
      <c r="E2010" s="11" t="n">
        <v>18.27661057</v>
      </c>
      <c r="F2010" s="12" t="n">
        <v>0.01681350841</v>
      </c>
      <c r="G2010" s="11" t="n">
        <v>292.6641168</v>
      </c>
      <c r="H2010" s="13">
        <f>F2010*1000</f>
        <v/>
      </c>
      <c r="I2010" s="14">
        <f>G2010-273.15</f>
        <v/>
      </c>
      <c r="K2010" s="15" t="n">
        <v>2006</v>
      </c>
      <c r="L2010" s="15" t="n">
        <v>7</v>
      </c>
      <c r="M2010" s="15" t="n">
        <v>26</v>
      </c>
      <c r="N2010" s="16" t="n">
        <v>0.0001139494356</v>
      </c>
      <c r="O2010" s="11" t="n">
        <v>290.9284515</v>
      </c>
      <c r="P2010" s="13">
        <f>N2010*86400</f>
        <v/>
      </c>
      <c r="Q2010" s="14">
        <f>O2010-273.15</f>
        <v/>
      </c>
    </row>
    <row r="2011">
      <c r="A2011" s="9" t="n">
        <v>38898</v>
      </c>
      <c r="B2011" s="7">
        <f>YEAR(A2011)</f>
        <v/>
      </c>
      <c r="C2011" s="7">
        <f>MONTH(A2011)</f>
        <v/>
      </c>
      <c r="D2011" s="10" t="n">
        <v>36.02748295</v>
      </c>
      <c r="E2011" s="11" t="n">
        <v>19.30469852</v>
      </c>
      <c r="F2011" s="12" t="n">
        <v>0.03227460898</v>
      </c>
      <c r="G2011" s="11" t="n">
        <v>293.240496</v>
      </c>
      <c r="H2011" s="13">
        <f>F2011*1000</f>
        <v/>
      </c>
      <c r="I2011" s="14">
        <f>G2011-273.15</f>
        <v/>
      </c>
      <c r="K2011" s="15" t="n">
        <v>2006</v>
      </c>
      <c r="L2011" s="15" t="n">
        <v>7</v>
      </c>
      <c r="M2011" s="15" t="n">
        <v>27</v>
      </c>
      <c r="N2011" s="16" t="n">
        <v>0.0001979768909</v>
      </c>
      <c r="O2011" s="11" t="n">
        <v>292.024656</v>
      </c>
      <c r="P2011" s="13">
        <f>N2011*86400</f>
        <v/>
      </c>
      <c r="Q2011" s="14">
        <f>O2011-273.15</f>
        <v/>
      </c>
    </row>
    <row r="2012">
      <c r="A2012" s="9" t="n">
        <v>38899</v>
      </c>
      <c r="B2012" s="7">
        <f>YEAR(A2012)</f>
        <v/>
      </c>
      <c r="C2012" s="7">
        <f>MONTH(A2012)</f>
        <v/>
      </c>
      <c r="D2012" s="10" t="n">
        <v>0</v>
      </c>
      <c r="E2012" s="11" t="n">
        <v>19.08399715</v>
      </c>
      <c r="F2012" s="12" t="n">
        <v>0</v>
      </c>
      <c r="G2012" s="11" t="n">
        <v>293.2104733</v>
      </c>
      <c r="H2012" s="13">
        <f>F2012*1000</f>
        <v/>
      </c>
      <c r="I2012" s="14">
        <f>G2012-273.15</f>
        <v/>
      </c>
      <c r="K2012" s="15" t="n">
        <v>2006</v>
      </c>
      <c r="L2012" s="15" t="n">
        <v>7</v>
      </c>
      <c r="M2012" s="15" t="n">
        <v>28</v>
      </c>
      <c r="N2012" s="16" t="n">
        <v>4.120844618e-05</v>
      </c>
      <c r="O2012" s="11" t="n">
        <v>292.6059317</v>
      </c>
      <c r="P2012" s="13">
        <f>N2012*86400</f>
        <v/>
      </c>
      <c r="Q2012" s="14">
        <f>O2012-273.15</f>
        <v/>
      </c>
    </row>
    <row r="2013">
      <c r="A2013" s="9" t="n">
        <v>38900</v>
      </c>
      <c r="B2013" s="7">
        <f>YEAR(A2013)</f>
        <v/>
      </c>
      <c r="C2013" s="7">
        <f>MONTH(A2013)</f>
        <v/>
      </c>
      <c r="D2013" s="10" t="n">
        <v>0</v>
      </c>
      <c r="E2013" s="11" t="n">
        <v>20.03328252</v>
      </c>
      <c r="F2013" s="12" t="n">
        <v>0.0001252094239</v>
      </c>
      <c r="G2013" s="11" t="n">
        <v>294.7939918</v>
      </c>
      <c r="H2013" s="13">
        <f>F2013*1000</f>
        <v/>
      </c>
      <c r="I2013" s="14">
        <f>G2013-273.15</f>
        <v/>
      </c>
      <c r="K2013" s="15" t="n">
        <v>2006</v>
      </c>
      <c r="L2013" s="15" t="n">
        <v>7</v>
      </c>
      <c r="M2013" s="15" t="n">
        <v>29</v>
      </c>
      <c r="N2013" s="16" t="n">
        <v>8.825858601e-05</v>
      </c>
      <c r="O2013" s="11" t="n">
        <v>291.9978982</v>
      </c>
      <c r="P2013" s="13">
        <f>N2013*86400</f>
        <v/>
      </c>
      <c r="Q2013" s="14">
        <f>O2013-273.15</f>
        <v/>
      </c>
    </row>
    <row r="2014">
      <c r="A2014" s="9" t="n">
        <v>38901</v>
      </c>
      <c r="B2014" s="7">
        <f>YEAR(A2014)</f>
        <v/>
      </c>
      <c r="C2014" s="7">
        <f>MONTH(A2014)</f>
        <v/>
      </c>
      <c r="D2014" s="10" t="n">
        <v>4.609975956</v>
      </c>
      <c r="E2014" s="11" t="n">
        <v>18.68871798</v>
      </c>
      <c r="F2014" s="12" t="n">
        <v>0.002524539333</v>
      </c>
      <c r="G2014" s="11" t="n">
        <v>293.2822691</v>
      </c>
      <c r="H2014" s="13">
        <f>F2014*1000</f>
        <v/>
      </c>
      <c r="I2014" s="14">
        <f>G2014-273.15</f>
        <v/>
      </c>
      <c r="K2014" s="15" t="n">
        <v>2006</v>
      </c>
      <c r="L2014" s="15" t="n">
        <v>7</v>
      </c>
      <c r="M2014" s="15" t="n">
        <v>30</v>
      </c>
      <c r="N2014" s="16" t="n">
        <v>0.0001641153974</v>
      </c>
      <c r="O2014" s="11" t="n">
        <v>291.955042</v>
      </c>
      <c r="P2014" s="13">
        <f>N2014*86400</f>
        <v/>
      </c>
      <c r="Q2014" s="14">
        <f>O2014-273.15</f>
        <v/>
      </c>
    </row>
    <row r="2015">
      <c r="A2015" s="9" t="n">
        <v>38902</v>
      </c>
      <c r="B2015" s="7">
        <f>YEAR(A2015)</f>
        <v/>
      </c>
      <c r="C2015" s="7">
        <f>MONTH(A2015)</f>
        <v/>
      </c>
      <c r="D2015" s="10" t="n">
        <v>4.604046232</v>
      </c>
      <c r="E2015" s="11" t="n">
        <v>17.88705456</v>
      </c>
      <c r="F2015" s="12" t="n">
        <v>0.005812599446</v>
      </c>
      <c r="G2015" s="11" t="n">
        <v>292.1316907</v>
      </c>
      <c r="H2015" s="13">
        <f>F2015*1000</f>
        <v/>
      </c>
      <c r="I2015" s="14">
        <f>G2015-273.15</f>
        <v/>
      </c>
      <c r="K2015" s="15" t="n">
        <v>2006</v>
      </c>
      <c r="L2015" s="15" t="n">
        <v>8</v>
      </c>
      <c r="M2015" s="15" t="n">
        <v>1</v>
      </c>
      <c r="N2015" s="16" t="n">
        <v>0.0001900699071</v>
      </c>
      <c r="O2015" s="11" t="n">
        <v>289.8188716</v>
      </c>
      <c r="P2015" s="13">
        <f>N2015*86400</f>
        <v/>
      </c>
      <c r="Q2015" s="14">
        <f>O2015-273.15</f>
        <v/>
      </c>
    </row>
    <row r="2016">
      <c r="A2016" s="9" t="n">
        <v>38903</v>
      </c>
      <c r="B2016" s="7">
        <f>YEAR(A2016)</f>
        <v/>
      </c>
      <c r="C2016" s="7">
        <f>MONTH(A2016)</f>
        <v/>
      </c>
      <c r="D2016" s="10" t="n">
        <v>0.4375237893</v>
      </c>
      <c r="E2016" s="11" t="n">
        <v>15.9843931</v>
      </c>
      <c r="F2016" s="12" t="n">
        <v>0.001241358533</v>
      </c>
      <c r="G2016" s="11" t="n">
        <v>289.3559059</v>
      </c>
      <c r="H2016" s="13">
        <f>F2016*1000</f>
        <v/>
      </c>
      <c r="I2016" s="14">
        <f>G2016-273.15</f>
        <v/>
      </c>
      <c r="K2016" s="15" t="n">
        <v>2006</v>
      </c>
      <c r="L2016" s="15" t="n">
        <v>8</v>
      </c>
      <c r="M2016" s="15" t="n">
        <v>2</v>
      </c>
      <c r="N2016" s="16" t="n">
        <v>0.0001376589556</v>
      </c>
      <c r="O2016" s="11" t="n">
        <v>291.9656504</v>
      </c>
      <c r="P2016" s="13">
        <f>N2016*86400</f>
        <v/>
      </c>
      <c r="Q2016" s="14">
        <f>O2016-273.15</f>
        <v/>
      </c>
    </row>
    <row r="2017">
      <c r="A2017" s="9" t="n">
        <v>38904</v>
      </c>
      <c r="B2017" s="7">
        <f>YEAR(A2017)</f>
        <v/>
      </c>
      <c r="C2017" s="7">
        <f>MONTH(A2017)</f>
        <v/>
      </c>
      <c r="D2017" s="10" t="n">
        <v>0</v>
      </c>
      <c r="E2017" s="11" t="n">
        <v>14.01211085</v>
      </c>
      <c r="F2017" s="12" t="n">
        <v>0</v>
      </c>
      <c r="G2017" s="11" t="n">
        <v>288.6141423</v>
      </c>
      <c r="H2017" s="13">
        <f>F2017*1000</f>
        <v/>
      </c>
      <c r="I2017" s="14">
        <f>G2017-273.15</f>
        <v/>
      </c>
      <c r="K2017" s="15" t="n">
        <v>2006</v>
      </c>
      <c r="L2017" s="15" t="n">
        <v>8</v>
      </c>
      <c r="M2017" s="15" t="n">
        <v>3</v>
      </c>
      <c r="N2017" s="16" t="n">
        <v>1.802556098e-05</v>
      </c>
      <c r="O2017" s="11" t="n">
        <v>291.6143982</v>
      </c>
      <c r="P2017" s="13">
        <f>N2017*86400</f>
        <v/>
      </c>
      <c r="Q2017" s="14">
        <f>O2017-273.15</f>
        <v/>
      </c>
    </row>
    <row r="2018">
      <c r="A2018" s="9" t="n">
        <v>38905</v>
      </c>
      <c r="B2018" s="7">
        <f>YEAR(A2018)</f>
        <v/>
      </c>
      <c r="C2018" s="7">
        <f>MONTH(A2018)</f>
        <v/>
      </c>
      <c r="D2018" s="10" t="n">
        <v>0</v>
      </c>
      <c r="E2018" s="11" t="n">
        <v>15.21411875</v>
      </c>
      <c r="F2018" s="12" t="n">
        <v>0.0004246697651</v>
      </c>
      <c r="G2018" s="11" t="n">
        <v>289.9204683</v>
      </c>
      <c r="H2018" s="13">
        <f>F2018*1000</f>
        <v/>
      </c>
      <c r="I2018" s="14">
        <f>G2018-273.15</f>
        <v/>
      </c>
      <c r="K2018" s="15" t="n">
        <v>2006</v>
      </c>
      <c r="L2018" s="15" t="n">
        <v>8</v>
      </c>
      <c r="M2018" s="15" t="n">
        <v>4</v>
      </c>
      <c r="N2018" s="16" t="n">
        <v>2.510755905e-07</v>
      </c>
      <c r="O2018" s="11" t="n">
        <v>289.7223142</v>
      </c>
      <c r="P2018" s="13">
        <f>N2018*86400</f>
        <v/>
      </c>
      <c r="Q2018" s="14">
        <f>O2018-273.15</f>
        <v/>
      </c>
    </row>
    <row r="2019">
      <c r="A2019" s="9" t="n">
        <v>38906</v>
      </c>
      <c r="B2019" s="7">
        <f>YEAR(A2019)</f>
        <v/>
      </c>
      <c r="C2019" s="7">
        <f>MONTH(A2019)</f>
        <v/>
      </c>
      <c r="D2019" s="10" t="n">
        <v>3.474913185</v>
      </c>
      <c r="E2019" s="11" t="n">
        <v>19.58232586</v>
      </c>
      <c r="F2019" s="12" t="n">
        <v>0.008590133341999999</v>
      </c>
      <c r="G2019" s="11" t="n">
        <v>293.8893236</v>
      </c>
      <c r="H2019" s="13">
        <f>F2019*1000</f>
        <v/>
      </c>
      <c r="I2019" s="14">
        <f>G2019-273.15</f>
        <v/>
      </c>
      <c r="K2019" s="15" t="n">
        <v>2006</v>
      </c>
      <c r="L2019" s="15" t="n">
        <v>8</v>
      </c>
      <c r="M2019" s="15" t="n">
        <v>5</v>
      </c>
      <c r="N2019" s="16" t="n">
        <v>1.551197561e-05</v>
      </c>
      <c r="O2019" s="11" t="n">
        <v>287.4450223</v>
      </c>
      <c r="P2019" s="13">
        <f>N2019*86400</f>
        <v/>
      </c>
      <c r="Q2019" s="14">
        <f>O2019-273.15</f>
        <v/>
      </c>
    </row>
    <row r="2020">
      <c r="A2020" s="9" t="n">
        <v>38907</v>
      </c>
      <c r="B2020" s="7">
        <f>YEAR(A2020)</f>
        <v/>
      </c>
      <c r="C2020" s="7">
        <f>MONTH(A2020)</f>
        <v/>
      </c>
      <c r="D2020" s="10" t="n">
        <v>6.48019345</v>
      </c>
      <c r="E2020" s="11" t="n">
        <v>19.14086575</v>
      </c>
      <c r="F2020" s="12" t="n">
        <v>0.02746893873</v>
      </c>
      <c r="G2020" s="11" t="n">
        <v>294.2719259</v>
      </c>
      <c r="H2020" s="13">
        <f>F2020*1000</f>
        <v/>
      </c>
      <c r="I2020" s="14">
        <f>G2020-273.15</f>
        <v/>
      </c>
      <c r="K2020" s="15" t="n">
        <v>2006</v>
      </c>
      <c r="L2020" s="15" t="n">
        <v>8</v>
      </c>
      <c r="M2020" s="15" t="n">
        <v>6</v>
      </c>
      <c r="N2020" s="16" t="n">
        <v>0.0002381088583</v>
      </c>
      <c r="O2020" s="11" t="n">
        <v>286.7400551</v>
      </c>
      <c r="P2020" s="13">
        <f>N2020*86400</f>
        <v/>
      </c>
      <c r="Q2020" s="14">
        <f>O2020-273.15</f>
        <v/>
      </c>
    </row>
    <row r="2021">
      <c r="A2021" s="9" t="n">
        <v>38908</v>
      </c>
      <c r="B2021" s="7">
        <f>YEAR(A2021)</f>
        <v/>
      </c>
      <c r="C2021" s="7">
        <f>MONTH(A2021)</f>
        <v/>
      </c>
      <c r="D2021" s="10" t="n">
        <v>18.78281093</v>
      </c>
      <c r="E2021" s="11" t="n">
        <v>18.34494997</v>
      </c>
      <c r="F2021" s="12" t="n">
        <v>0.03243478927</v>
      </c>
      <c r="G2021" s="11" t="n">
        <v>293.4433368</v>
      </c>
      <c r="H2021" s="13">
        <f>F2021*1000</f>
        <v/>
      </c>
      <c r="I2021" s="14">
        <f>G2021-273.15</f>
        <v/>
      </c>
      <c r="K2021" s="15" t="n">
        <v>2006</v>
      </c>
      <c r="L2021" s="15" t="n">
        <v>8</v>
      </c>
      <c r="M2021" s="15" t="n">
        <v>7</v>
      </c>
      <c r="N2021" s="16" t="n">
        <v>0.0001473523959</v>
      </c>
      <c r="O2021" s="11" t="n">
        <v>289.1615751</v>
      </c>
      <c r="P2021" s="13">
        <f>N2021*86400</f>
        <v/>
      </c>
      <c r="Q2021" s="14">
        <f>O2021-273.15</f>
        <v/>
      </c>
    </row>
    <row r="2022">
      <c r="A2022" s="9" t="n">
        <v>38909</v>
      </c>
      <c r="B2022" s="7">
        <f>YEAR(A2022)</f>
        <v/>
      </c>
      <c r="C2022" s="7">
        <f>MONTH(A2022)</f>
        <v/>
      </c>
      <c r="D2022" s="10" t="n">
        <v>7.77927819</v>
      </c>
      <c r="E2022" s="11" t="n">
        <v>17.68106786</v>
      </c>
      <c r="F2022" s="12" t="n">
        <v>0.02719926495</v>
      </c>
      <c r="G2022" s="11" t="n">
        <v>291.6681047</v>
      </c>
      <c r="H2022" s="13">
        <f>F2022*1000</f>
        <v/>
      </c>
      <c r="I2022" s="14">
        <f>G2022-273.15</f>
        <v/>
      </c>
      <c r="K2022" s="15" t="n">
        <v>2006</v>
      </c>
      <c r="L2022" s="15" t="n">
        <v>8</v>
      </c>
      <c r="M2022" s="15" t="n">
        <v>8</v>
      </c>
      <c r="N2022" s="16" t="n">
        <v>8.131297246999999e-06</v>
      </c>
      <c r="O2022" s="11" t="n">
        <v>291.3859662</v>
      </c>
      <c r="P2022" s="13">
        <f>N2022*86400</f>
        <v/>
      </c>
      <c r="Q2022" s="14">
        <f>O2022-273.15</f>
        <v/>
      </c>
    </row>
    <row r="2023">
      <c r="A2023" s="9" t="n">
        <v>38910</v>
      </c>
      <c r="B2023" s="7">
        <f>YEAR(A2023)</f>
        <v/>
      </c>
      <c r="C2023" s="7">
        <f>MONTH(A2023)</f>
        <v/>
      </c>
      <c r="D2023" s="10" t="n">
        <v>0</v>
      </c>
      <c r="E2023" s="11" t="n">
        <v>19.4110097</v>
      </c>
      <c r="F2023" s="12" t="n">
        <v>0.001154700433</v>
      </c>
      <c r="G2023" s="11" t="n">
        <v>293.5673507</v>
      </c>
      <c r="H2023" s="13">
        <f>F2023*1000</f>
        <v/>
      </c>
      <c r="I2023" s="14">
        <f>G2023-273.15</f>
        <v/>
      </c>
      <c r="K2023" s="15" t="n">
        <v>2006</v>
      </c>
      <c r="L2023" s="15" t="n">
        <v>8</v>
      </c>
      <c r="M2023" s="15" t="n">
        <v>9</v>
      </c>
      <c r="N2023" s="16" t="n">
        <v>7.878869337e-06</v>
      </c>
      <c r="O2023" s="11" t="n">
        <v>292.3667438</v>
      </c>
      <c r="P2023" s="13">
        <f>N2023*86400</f>
        <v/>
      </c>
      <c r="Q2023" s="14">
        <f>O2023-273.15</f>
        <v/>
      </c>
    </row>
    <row r="2024">
      <c r="A2024" s="9" t="n">
        <v>38911</v>
      </c>
      <c r="B2024" s="7">
        <f>YEAR(A2024)</f>
        <v/>
      </c>
      <c r="C2024" s="7">
        <f>MONTH(A2024)</f>
        <v/>
      </c>
      <c r="D2024" s="10" t="n">
        <v>22.84698738</v>
      </c>
      <c r="E2024" s="11" t="n">
        <v>18.8346621</v>
      </c>
      <c r="F2024" s="12" t="n">
        <v>0.01176560402</v>
      </c>
      <c r="G2024" s="11" t="n">
        <v>293.0111179</v>
      </c>
      <c r="H2024" s="13">
        <f>F2024*1000</f>
        <v/>
      </c>
      <c r="I2024" s="14">
        <f>G2024-273.15</f>
        <v/>
      </c>
      <c r="K2024" s="15" t="n">
        <v>2006</v>
      </c>
      <c r="L2024" s="15" t="n">
        <v>8</v>
      </c>
      <c r="M2024" s="15" t="n">
        <v>10</v>
      </c>
      <c r="N2024" s="16" t="n">
        <v>9.103190856e-05</v>
      </c>
      <c r="O2024" s="11" t="n">
        <v>291.5728603</v>
      </c>
      <c r="P2024" s="13">
        <f>N2024*86400</f>
        <v/>
      </c>
      <c r="Q2024" s="14">
        <f>O2024-273.15</f>
        <v/>
      </c>
    </row>
    <row r="2025">
      <c r="A2025" s="9" t="n">
        <v>38912</v>
      </c>
      <c r="B2025" s="7">
        <f>YEAR(A2025)</f>
        <v/>
      </c>
      <c r="C2025" s="7">
        <f>MONTH(A2025)</f>
        <v/>
      </c>
      <c r="D2025" s="10" t="n">
        <v>0</v>
      </c>
      <c r="E2025" s="11" t="n">
        <v>18.50286063</v>
      </c>
      <c r="F2025" s="12" t="n">
        <v>0.003224039595</v>
      </c>
      <c r="G2025" s="11" t="n">
        <v>292.1259732</v>
      </c>
      <c r="H2025" s="13">
        <f>F2025*1000</f>
        <v/>
      </c>
      <c r="I2025" s="14">
        <f>G2025-273.15</f>
        <v/>
      </c>
      <c r="K2025" s="15" t="n">
        <v>2006</v>
      </c>
      <c r="L2025" s="15" t="n">
        <v>8</v>
      </c>
      <c r="M2025" s="15" t="n">
        <v>11</v>
      </c>
      <c r="N2025" s="16" t="n">
        <v>0.0003318878578</v>
      </c>
      <c r="O2025" s="11" t="n">
        <v>290.2529289</v>
      </c>
      <c r="P2025" s="13">
        <f>N2025*86400</f>
        <v/>
      </c>
      <c r="Q2025" s="14">
        <f>O2025-273.15</f>
        <v/>
      </c>
    </row>
    <row r="2026">
      <c r="A2026" s="9" t="n">
        <v>38913</v>
      </c>
      <c r="B2026" s="7">
        <f>YEAR(A2026)</f>
        <v/>
      </c>
      <c r="C2026" s="7">
        <f>MONTH(A2026)</f>
        <v/>
      </c>
      <c r="D2026" s="10" t="n">
        <v>6.470680738</v>
      </c>
      <c r="E2026" s="11" t="n">
        <v>18.60982591</v>
      </c>
      <c r="F2026" s="12" t="n">
        <v>0.01069013175</v>
      </c>
      <c r="G2026" s="11" t="n">
        <v>291.9779821</v>
      </c>
      <c r="H2026" s="13">
        <f>F2026*1000</f>
        <v/>
      </c>
      <c r="I2026" s="14">
        <f>G2026-273.15</f>
        <v/>
      </c>
      <c r="K2026" s="15" t="n">
        <v>2006</v>
      </c>
      <c r="L2026" s="15" t="n">
        <v>8</v>
      </c>
      <c r="M2026" s="15" t="n">
        <v>12</v>
      </c>
      <c r="N2026" s="16" t="n">
        <v>0.0001708932133</v>
      </c>
      <c r="O2026" s="11" t="n">
        <v>290.0412896</v>
      </c>
      <c r="P2026" s="13">
        <f>N2026*86400</f>
        <v/>
      </c>
      <c r="Q2026" s="14">
        <f>O2026-273.15</f>
        <v/>
      </c>
    </row>
    <row r="2027">
      <c r="A2027" s="9" t="n">
        <v>38914</v>
      </c>
      <c r="B2027" s="7">
        <f>YEAR(A2027)</f>
        <v/>
      </c>
      <c r="C2027" s="7">
        <f>MONTH(A2027)</f>
        <v/>
      </c>
      <c r="D2027" s="10" t="n">
        <v>0</v>
      </c>
      <c r="E2027" s="11" t="n">
        <v>19.5278717</v>
      </c>
      <c r="F2027" s="12" t="n">
        <v>0.003382023389</v>
      </c>
      <c r="G2027" s="11" t="n">
        <v>292.7507311</v>
      </c>
      <c r="H2027" s="13">
        <f>F2027*1000</f>
        <v/>
      </c>
      <c r="I2027" s="14">
        <f>G2027-273.15</f>
        <v/>
      </c>
      <c r="K2027" s="15" t="n">
        <v>2006</v>
      </c>
      <c r="L2027" s="15" t="n">
        <v>8</v>
      </c>
      <c r="M2027" s="15" t="n">
        <v>13</v>
      </c>
      <c r="N2027" s="16" t="n">
        <v>0.0002130489822</v>
      </c>
      <c r="O2027" s="11" t="n">
        <v>289.9948292</v>
      </c>
      <c r="P2027" s="13">
        <f>N2027*86400</f>
        <v/>
      </c>
      <c r="Q2027" s="14">
        <f>O2027-273.15</f>
        <v/>
      </c>
    </row>
    <row r="2028">
      <c r="A2028" s="9" t="n">
        <v>38915</v>
      </c>
      <c r="B2028" s="7">
        <f>YEAR(A2028)</f>
        <v/>
      </c>
      <c r="C2028" s="7">
        <f>MONTH(A2028)</f>
        <v/>
      </c>
      <c r="D2028" s="10" t="n">
        <v>19.78402109</v>
      </c>
      <c r="E2028" s="11" t="n">
        <v>20.33286459</v>
      </c>
      <c r="F2028" s="12" t="n">
        <v>0.004254001152</v>
      </c>
      <c r="G2028" s="11" t="n">
        <v>294.2628736</v>
      </c>
      <c r="H2028" s="13">
        <f>F2028*1000</f>
        <v/>
      </c>
      <c r="I2028" s="14">
        <f>G2028-273.15</f>
        <v/>
      </c>
      <c r="K2028" s="15" t="n">
        <v>2006</v>
      </c>
      <c r="L2028" s="15" t="n">
        <v>8</v>
      </c>
      <c r="M2028" s="15" t="n">
        <v>14</v>
      </c>
      <c r="N2028" s="16" t="n">
        <v>0.0001413235085</v>
      </c>
      <c r="O2028" s="11" t="n">
        <v>289.3207439</v>
      </c>
      <c r="P2028" s="13">
        <f>N2028*86400</f>
        <v/>
      </c>
      <c r="Q2028" s="14">
        <f>O2028-273.15</f>
        <v/>
      </c>
    </row>
    <row r="2029">
      <c r="A2029" s="9" t="n">
        <v>38916</v>
      </c>
      <c r="B2029" s="7">
        <f>YEAR(A2029)</f>
        <v/>
      </c>
      <c r="C2029" s="7">
        <f>MONTH(A2029)</f>
        <v/>
      </c>
      <c r="D2029" s="10" t="n">
        <v>29.86281294</v>
      </c>
      <c r="E2029" s="11" t="n">
        <v>19.43695896</v>
      </c>
      <c r="F2029" s="12" t="n">
        <v>0.0143677788</v>
      </c>
      <c r="G2029" s="11" t="n">
        <v>294.4593265</v>
      </c>
      <c r="H2029" s="13">
        <f>F2029*1000</f>
        <v/>
      </c>
      <c r="I2029" s="14">
        <f>G2029-273.15</f>
        <v/>
      </c>
      <c r="K2029" s="15" t="n">
        <v>2006</v>
      </c>
      <c r="L2029" s="15" t="n">
        <v>8</v>
      </c>
      <c r="M2029" s="15" t="n">
        <v>15</v>
      </c>
      <c r="N2029" s="16" t="n">
        <v>0</v>
      </c>
      <c r="O2029" s="11" t="n">
        <v>289.9463058</v>
      </c>
      <c r="P2029" s="13">
        <f>N2029*86400</f>
        <v/>
      </c>
      <c r="Q2029" s="14">
        <f>O2029-273.15</f>
        <v/>
      </c>
    </row>
    <row r="2030">
      <c r="A2030" s="9" t="n">
        <v>38917</v>
      </c>
      <c r="B2030" s="7">
        <f>YEAR(A2030)</f>
        <v/>
      </c>
      <c r="C2030" s="7">
        <f>MONTH(A2030)</f>
        <v/>
      </c>
      <c r="D2030" s="10" t="n">
        <v>25.42170274</v>
      </c>
      <c r="E2030" s="11" t="n">
        <v>16.66569117</v>
      </c>
      <c r="F2030" s="12" t="n">
        <v>0.01340732947</v>
      </c>
      <c r="G2030" s="11" t="n">
        <v>292.4068859</v>
      </c>
      <c r="H2030" s="13">
        <f>F2030*1000</f>
        <v/>
      </c>
      <c r="I2030" s="14">
        <f>G2030-273.15</f>
        <v/>
      </c>
      <c r="K2030" s="15" t="n">
        <v>2006</v>
      </c>
      <c r="L2030" s="15" t="n">
        <v>8</v>
      </c>
      <c r="M2030" s="15" t="n">
        <v>16</v>
      </c>
      <c r="N2030" s="16" t="n">
        <v>0.0001542102312</v>
      </c>
      <c r="O2030" s="11" t="n">
        <v>286.2463148</v>
      </c>
      <c r="P2030" s="13">
        <f>N2030*86400</f>
        <v/>
      </c>
      <c r="Q2030" s="14">
        <f>O2030-273.15</f>
        <v/>
      </c>
    </row>
    <row r="2031">
      <c r="A2031" s="9" t="n">
        <v>38918</v>
      </c>
      <c r="B2031" s="7">
        <f>YEAR(A2031)</f>
        <v/>
      </c>
      <c r="C2031" s="7">
        <f>MONTH(A2031)</f>
        <v/>
      </c>
      <c r="D2031" s="10" t="n">
        <v>34.14781856</v>
      </c>
      <c r="E2031" s="11" t="n">
        <v>15.40853751</v>
      </c>
      <c r="F2031" s="12" t="n">
        <v>0.03230277799</v>
      </c>
      <c r="G2031" s="11" t="n">
        <v>289.5782173</v>
      </c>
      <c r="H2031" s="13">
        <f>F2031*1000</f>
        <v/>
      </c>
      <c r="I2031" s="14">
        <f>G2031-273.15</f>
        <v/>
      </c>
      <c r="K2031" s="15" t="n">
        <v>2006</v>
      </c>
      <c r="L2031" s="15" t="n">
        <v>8</v>
      </c>
      <c r="M2031" s="15" t="n">
        <v>17</v>
      </c>
      <c r="N2031" s="16" t="n">
        <v>3.204336833e-05</v>
      </c>
      <c r="O2031" s="11" t="n">
        <v>287.6959947</v>
      </c>
      <c r="P2031" s="13">
        <f>N2031*86400</f>
        <v/>
      </c>
      <c r="Q2031" s="14">
        <f>O2031-273.15</f>
        <v/>
      </c>
    </row>
    <row r="2032">
      <c r="A2032" s="9" t="n">
        <v>38919</v>
      </c>
      <c r="B2032" s="7">
        <f>YEAR(A2032)</f>
        <v/>
      </c>
      <c r="C2032" s="7">
        <f>MONTH(A2032)</f>
        <v/>
      </c>
      <c r="D2032" s="10" t="n">
        <v>0</v>
      </c>
      <c r="E2032" s="11" t="n">
        <v>12.93162018</v>
      </c>
      <c r="F2032" s="12" t="n">
        <v>0.0004804400914</v>
      </c>
      <c r="G2032" s="11" t="n">
        <v>287.2915332</v>
      </c>
      <c r="H2032" s="13">
        <f>F2032*1000</f>
        <v/>
      </c>
      <c r="I2032" s="14">
        <f>G2032-273.15</f>
        <v/>
      </c>
      <c r="K2032" s="15" t="n">
        <v>2006</v>
      </c>
      <c r="L2032" s="15" t="n">
        <v>8</v>
      </c>
      <c r="M2032" s="15" t="n">
        <v>18</v>
      </c>
      <c r="N2032" s="16" t="n">
        <v>1.146853926e-05</v>
      </c>
      <c r="O2032" s="11" t="n">
        <v>290.5023586</v>
      </c>
      <c r="P2032" s="13">
        <f>N2032*86400</f>
        <v/>
      </c>
      <c r="Q2032" s="14">
        <f>O2032-273.15</f>
        <v/>
      </c>
    </row>
    <row r="2033">
      <c r="A2033" s="9" t="n">
        <v>38920</v>
      </c>
      <c r="B2033" s="7">
        <f>YEAR(A2033)</f>
        <v/>
      </c>
      <c r="C2033" s="7">
        <f>MONTH(A2033)</f>
        <v/>
      </c>
      <c r="D2033" s="10" t="n">
        <v>1.760633382</v>
      </c>
      <c r="E2033" s="11" t="n">
        <v>12.96242773</v>
      </c>
      <c r="F2033" s="12" t="n">
        <v>0.001034126144</v>
      </c>
      <c r="G2033" s="11" t="n">
        <v>288.2154202</v>
      </c>
      <c r="H2033" s="13">
        <f>F2033*1000</f>
        <v/>
      </c>
      <c r="I2033" s="14">
        <f>G2033-273.15</f>
        <v/>
      </c>
      <c r="K2033" s="15" t="n">
        <v>2006</v>
      </c>
      <c r="L2033" s="15" t="n">
        <v>8</v>
      </c>
      <c r="M2033" s="15" t="n">
        <v>19</v>
      </c>
      <c r="N2033" s="16" t="n">
        <v>1.601667369e-06</v>
      </c>
      <c r="O2033" s="11" t="n">
        <v>287.9234107</v>
      </c>
      <c r="P2033" s="13">
        <f>N2033*86400</f>
        <v/>
      </c>
      <c r="Q2033" s="14">
        <f>O2033-273.15</f>
        <v/>
      </c>
    </row>
    <row r="2034">
      <c r="A2034" s="9" t="n">
        <v>38921</v>
      </c>
      <c r="B2034" s="7">
        <f>YEAR(A2034)</f>
        <v/>
      </c>
      <c r="C2034" s="7">
        <f>MONTH(A2034)</f>
        <v/>
      </c>
      <c r="D2034" s="10" t="n">
        <v>1.352016853</v>
      </c>
      <c r="E2034" s="11" t="n">
        <v>13.33941071</v>
      </c>
      <c r="F2034" s="12" t="n">
        <v>0.005951610137</v>
      </c>
      <c r="G2034" s="11" t="n">
        <v>290.2079504</v>
      </c>
      <c r="H2034" s="13">
        <f>F2034*1000</f>
        <v/>
      </c>
      <c r="I2034" s="14">
        <f>G2034-273.15</f>
        <v/>
      </c>
      <c r="K2034" s="15" t="n">
        <v>2006</v>
      </c>
      <c r="L2034" s="15" t="n">
        <v>8</v>
      </c>
      <c r="M2034" s="15" t="n">
        <v>20</v>
      </c>
      <c r="N2034" s="16" t="n">
        <v>1.052158818e-05</v>
      </c>
      <c r="O2034" s="11" t="n">
        <v>287.8092094</v>
      </c>
      <c r="P2034" s="13">
        <f>N2034*86400</f>
        <v/>
      </c>
      <c r="Q2034" s="14">
        <f>O2034-273.15</f>
        <v/>
      </c>
    </row>
    <row r="2035">
      <c r="A2035" s="9" t="n">
        <v>38922</v>
      </c>
      <c r="B2035" s="7">
        <f>YEAR(A2035)</f>
        <v/>
      </c>
      <c r="C2035" s="7">
        <f>MONTH(A2035)</f>
        <v/>
      </c>
      <c r="D2035" s="10" t="n">
        <v>10.72325868</v>
      </c>
      <c r="E2035" s="11" t="n">
        <v>11.95107227</v>
      </c>
      <c r="F2035" s="12" t="n">
        <v>0.02200468822</v>
      </c>
      <c r="G2035" s="11" t="n">
        <v>287.9779486</v>
      </c>
      <c r="H2035" s="13">
        <f>F2035*1000</f>
        <v/>
      </c>
      <c r="I2035" s="14">
        <f>G2035-273.15</f>
        <v/>
      </c>
      <c r="K2035" s="15" t="n">
        <v>2006</v>
      </c>
      <c r="L2035" s="15" t="n">
        <v>8</v>
      </c>
      <c r="M2035" s="15" t="n">
        <v>21</v>
      </c>
      <c r="N2035" s="16" t="n">
        <v>0.0002236819545</v>
      </c>
      <c r="O2035" s="11" t="n">
        <v>286.9455305</v>
      </c>
      <c r="P2035" s="13">
        <f>N2035*86400</f>
        <v/>
      </c>
      <c r="Q2035" s="14">
        <f>O2035-273.15</f>
        <v/>
      </c>
    </row>
    <row r="2036">
      <c r="A2036" s="9" t="n">
        <v>38923</v>
      </c>
      <c r="B2036" s="7">
        <f>YEAR(A2036)</f>
        <v/>
      </c>
      <c r="C2036" s="7">
        <f>MONTH(A2036)</f>
        <v/>
      </c>
      <c r="D2036" s="10" t="n">
        <v>0.6489427288</v>
      </c>
      <c r="E2036" s="11" t="n">
        <v>14.79351809</v>
      </c>
      <c r="F2036" s="12" t="n">
        <v>0.002659933047</v>
      </c>
      <c r="G2036" s="11" t="n">
        <v>290.5739527</v>
      </c>
      <c r="H2036" s="13">
        <f>F2036*1000</f>
        <v/>
      </c>
      <c r="I2036" s="14">
        <f>G2036-273.15</f>
        <v/>
      </c>
      <c r="K2036" s="15" t="n">
        <v>2006</v>
      </c>
      <c r="L2036" s="15" t="n">
        <v>8</v>
      </c>
      <c r="M2036" s="15" t="n">
        <v>22</v>
      </c>
      <c r="N2036" s="16" t="n">
        <v>0.0003678778014</v>
      </c>
      <c r="O2036" s="11" t="n">
        <v>286.0276749</v>
      </c>
      <c r="P2036" s="13">
        <f>N2036*86400</f>
        <v/>
      </c>
      <c r="Q2036" s="14">
        <f>O2036-273.15</f>
        <v/>
      </c>
    </row>
    <row r="2037">
      <c r="A2037" s="9" t="n">
        <v>38924</v>
      </c>
      <c r="B2037" s="7">
        <f>YEAR(A2037)</f>
        <v/>
      </c>
      <c r="C2037" s="7">
        <f>MONTH(A2037)</f>
        <v/>
      </c>
      <c r="D2037" s="10" t="n">
        <v>22.86220718</v>
      </c>
      <c r="E2037" s="11" t="n">
        <v>12.61318463</v>
      </c>
      <c r="F2037" s="12" t="n">
        <v>0.02177047797</v>
      </c>
      <c r="G2037" s="11" t="n">
        <v>290.1922741</v>
      </c>
      <c r="H2037" s="13">
        <f>F2037*1000</f>
        <v/>
      </c>
      <c r="I2037" s="14">
        <f>G2037-273.15</f>
        <v/>
      </c>
      <c r="K2037" s="15" t="n">
        <v>2006</v>
      </c>
      <c r="L2037" s="15" t="n">
        <v>8</v>
      </c>
      <c r="M2037" s="15" t="n">
        <v>23</v>
      </c>
      <c r="N2037" s="16" t="n">
        <v>8.682064844e-05</v>
      </c>
      <c r="O2037" s="11" t="n">
        <v>286.4628143</v>
      </c>
      <c r="P2037" s="13">
        <f>N2037*86400</f>
        <v/>
      </c>
      <c r="Q2037" s="14">
        <f>O2037-273.15</f>
        <v/>
      </c>
    </row>
    <row r="2038">
      <c r="A2038" s="9" t="n">
        <v>38925</v>
      </c>
      <c r="B2038" s="7">
        <f>YEAR(A2038)</f>
        <v/>
      </c>
      <c r="C2038" s="7">
        <f>MONTH(A2038)</f>
        <v/>
      </c>
      <c r="D2038" s="10" t="n">
        <v>3.443068102</v>
      </c>
      <c r="E2038" s="11" t="n">
        <v>12.74750354</v>
      </c>
      <c r="F2038" s="12" t="n">
        <v>0.009905492743</v>
      </c>
      <c r="G2038" s="11" t="n">
        <v>289.7115535</v>
      </c>
      <c r="H2038" s="13">
        <f>F2038*1000</f>
        <v/>
      </c>
      <c r="I2038" s="14">
        <f>G2038-273.15</f>
        <v/>
      </c>
      <c r="K2038" s="15" t="n">
        <v>2006</v>
      </c>
      <c r="L2038" s="15" t="n">
        <v>8</v>
      </c>
      <c r="M2038" s="15" t="n">
        <v>24</v>
      </c>
      <c r="N2038" s="16" t="n">
        <v>6.833630652000001e-05</v>
      </c>
      <c r="O2038" s="11" t="n">
        <v>287.848995</v>
      </c>
      <c r="P2038" s="13">
        <f>N2038*86400</f>
        <v/>
      </c>
      <c r="Q2038" s="14">
        <f>O2038-273.15</f>
        <v/>
      </c>
    </row>
    <row r="2039">
      <c r="A2039" s="9" t="n">
        <v>38926</v>
      </c>
      <c r="B2039" s="7">
        <f>YEAR(A2039)</f>
        <v/>
      </c>
      <c r="C2039" s="7">
        <f>MONTH(A2039)</f>
        <v/>
      </c>
      <c r="D2039" s="10" t="n">
        <v>8.383733693</v>
      </c>
      <c r="E2039" s="11" t="n">
        <v>13.33418653</v>
      </c>
      <c r="F2039" s="12" t="n">
        <v>0.008872384483</v>
      </c>
      <c r="G2039" s="11" t="n">
        <v>289.203932</v>
      </c>
      <c r="H2039" s="13">
        <f>F2039*1000</f>
        <v/>
      </c>
      <c r="I2039" s="14">
        <f>G2039-273.15</f>
        <v/>
      </c>
      <c r="K2039" s="15" t="n">
        <v>2006</v>
      </c>
      <c r="L2039" s="15" t="n">
        <v>8</v>
      </c>
      <c r="M2039" s="15" t="n">
        <v>25</v>
      </c>
      <c r="N2039" s="16" t="n">
        <v>6.401328822e-05</v>
      </c>
      <c r="O2039" s="11" t="n">
        <v>288.0829093</v>
      </c>
      <c r="P2039" s="13">
        <f>N2039*86400</f>
        <v/>
      </c>
      <c r="Q2039" s="14">
        <f>O2039-273.15</f>
        <v/>
      </c>
    </row>
    <row r="2040">
      <c r="A2040" s="9" t="n">
        <v>38927</v>
      </c>
      <c r="B2040" s="7">
        <f>YEAR(A2040)</f>
        <v/>
      </c>
      <c r="C2040" s="7">
        <f>MONTH(A2040)</f>
        <v/>
      </c>
      <c r="D2040" s="10" t="n">
        <v>0.3259669264</v>
      </c>
      <c r="E2040" s="11" t="n">
        <v>11.59511736</v>
      </c>
      <c r="F2040" s="12" t="n">
        <v>0.001839527417</v>
      </c>
      <c r="G2040" s="11" t="n">
        <v>287.3051283</v>
      </c>
      <c r="H2040" s="13">
        <f>F2040*1000</f>
        <v/>
      </c>
      <c r="I2040" s="14">
        <f>G2040-273.15</f>
        <v/>
      </c>
      <c r="K2040" s="15" t="n">
        <v>2006</v>
      </c>
      <c r="L2040" s="15" t="n">
        <v>8</v>
      </c>
      <c r="M2040" s="15" t="n">
        <v>26</v>
      </c>
      <c r="N2040" s="16" t="n">
        <v>6.294443589e-05</v>
      </c>
      <c r="O2040" s="11" t="n">
        <v>288.6967651</v>
      </c>
      <c r="P2040" s="13">
        <f>N2040*86400</f>
        <v/>
      </c>
      <c r="Q2040" s="14">
        <f>O2040-273.15</f>
        <v/>
      </c>
    </row>
    <row r="2041">
      <c r="A2041" s="9" t="n">
        <v>38928</v>
      </c>
      <c r="B2041" s="7">
        <f>YEAR(A2041)</f>
        <v/>
      </c>
      <c r="C2041" s="7">
        <f>MONTH(A2041)</f>
        <v/>
      </c>
      <c r="D2041" s="10" t="n">
        <v>0.3528009225</v>
      </c>
      <c r="E2041" s="11" t="n">
        <v>13.57817863</v>
      </c>
      <c r="F2041" s="12" t="n">
        <v>0.00349144127</v>
      </c>
      <c r="G2041" s="11" t="n">
        <v>288.8636337</v>
      </c>
      <c r="H2041" s="13">
        <f>F2041*1000</f>
        <v/>
      </c>
      <c r="I2041" s="14">
        <f>G2041-273.15</f>
        <v/>
      </c>
      <c r="K2041" s="15" t="n">
        <v>2006</v>
      </c>
      <c r="L2041" s="15" t="n">
        <v>8</v>
      </c>
      <c r="M2041" s="15" t="n">
        <v>27</v>
      </c>
      <c r="N2041" s="16" t="n">
        <v>1.08255259e-05</v>
      </c>
      <c r="O2041" s="11" t="n">
        <v>287.3915473</v>
      </c>
      <c r="P2041" s="13">
        <f>N2041*86400</f>
        <v/>
      </c>
      <c r="Q2041" s="14">
        <f>O2041-273.15</f>
        <v/>
      </c>
    </row>
    <row r="2042">
      <c r="A2042" s="9" t="n">
        <v>38929</v>
      </c>
      <c r="B2042" s="7">
        <f>YEAR(A2042)</f>
        <v/>
      </c>
      <c r="C2042" s="7">
        <f>MONTH(A2042)</f>
        <v/>
      </c>
      <c r="D2042" s="10" t="n">
        <v>0.4541256853</v>
      </c>
      <c r="E2042" s="11" t="n">
        <v>15.68763053</v>
      </c>
      <c r="F2042" s="12" t="n">
        <v>0.001844440571</v>
      </c>
      <c r="G2042" s="11" t="n">
        <v>291.3837363</v>
      </c>
      <c r="H2042" s="13">
        <f>F2042*1000</f>
        <v/>
      </c>
      <c r="I2042" s="14">
        <f>G2042-273.15</f>
        <v/>
      </c>
      <c r="K2042" s="15" t="n">
        <v>2006</v>
      </c>
      <c r="L2042" s="15" t="n">
        <v>8</v>
      </c>
      <c r="M2042" s="15" t="n">
        <v>28</v>
      </c>
      <c r="N2042" s="16" t="n">
        <v>0</v>
      </c>
      <c r="O2042" s="11" t="n">
        <v>285.2055447</v>
      </c>
      <c r="P2042" s="13">
        <f>N2042*86400</f>
        <v/>
      </c>
      <c r="Q2042" s="14">
        <f>O2042-273.15</f>
        <v/>
      </c>
    </row>
    <row r="2043">
      <c r="A2043" s="9" t="n">
        <v>38930</v>
      </c>
      <c r="B2043" s="7">
        <f>YEAR(A2043)</f>
        <v/>
      </c>
      <c r="C2043" s="7">
        <f>MONTH(A2043)</f>
        <v/>
      </c>
      <c r="D2043" s="10" t="n">
        <v>0</v>
      </c>
      <c r="E2043" s="11" t="n">
        <v>14.5776194</v>
      </c>
      <c r="F2043" s="12" t="n">
        <v>0</v>
      </c>
      <c r="G2043" s="11" t="n">
        <v>290.4949737</v>
      </c>
      <c r="H2043" s="13">
        <f>F2043*1000</f>
        <v/>
      </c>
      <c r="I2043" s="14">
        <f>G2043-273.15</f>
        <v/>
      </c>
      <c r="K2043" s="15" t="n">
        <v>2006</v>
      </c>
      <c r="L2043" s="15" t="n">
        <v>8</v>
      </c>
      <c r="M2043" s="15" t="n">
        <v>29</v>
      </c>
      <c r="N2043" s="16" t="n">
        <v>1.372177127e-05</v>
      </c>
      <c r="O2043" s="11" t="n">
        <v>288.6231344</v>
      </c>
      <c r="P2043" s="13">
        <f>N2043*86400</f>
        <v/>
      </c>
      <c r="Q2043" s="14">
        <f>O2043-273.15</f>
        <v/>
      </c>
    </row>
    <row r="2044">
      <c r="A2044" s="9" t="n">
        <v>38931</v>
      </c>
      <c r="B2044" s="7">
        <f>YEAR(A2044)</f>
        <v/>
      </c>
      <c r="C2044" s="7">
        <f>MONTH(A2044)</f>
        <v/>
      </c>
      <c r="D2044" s="10" t="n">
        <v>2.747901992</v>
      </c>
      <c r="E2044" s="11" t="n">
        <v>10.58297487</v>
      </c>
      <c r="F2044" s="12" t="n">
        <v>0.001823073096</v>
      </c>
      <c r="G2044" s="11" t="n">
        <v>286.5995959</v>
      </c>
      <c r="H2044" s="13">
        <f>F2044*1000</f>
        <v/>
      </c>
      <c r="I2044" s="14">
        <f>G2044-273.15</f>
        <v/>
      </c>
      <c r="K2044" s="15" t="n">
        <v>2006</v>
      </c>
      <c r="L2044" s="15" t="n">
        <v>8</v>
      </c>
      <c r="M2044" s="15" t="n">
        <v>30</v>
      </c>
      <c r="N2044" s="16" t="n">
        <v>2.570368367e-05</v>
      </c>
      <c r="O2044" s="11" t="n">
        <v>288.0831149</v>
      </c>
      <c r="P2044" s="13">
        <f>N2044*86400</f>
        <v/>
      </c>
      <c r="Q2044" s="14">
        <f>O2044-273.15</f>
        <v/>
      </c>
    </row>
    <row r="2045">
      <c r="A2045" s="9" t="n">
        <v>38932</v>
      </c>
      <c r="B2045" s="7">
        <f>YEAR(A2045)</f>
        <v/>
      </c>
      <c r="C2045" s="7">
        <f>MONTH(A2045)</f>
        <v/>
      </c>
      <c r="D2045" s="10" t="n">
        <v>0.7562882891</v>
      </c>
      <c r="E2045" s="11" t="n">
        <v>11.57162426</v>
      </c>
      <c r="F2045" s="12" t="n">
        <v>0.001031469359</v>
      </c>
      <c r="G2045" s="11" t="n">
        <v>287.4927446</v>
      </c>
      <c r="H2045" s="13">
        <f>F2045*1000</f>
        <v/>
      </c>
      <c r="I2045" s="14">
        <f>G2045-273.15</f>
        <v/>
      </c>
      <c r="K2045" s="15" t="n">
        <v>2006</v>
      </c>
      <c r="L2045" s="15" t="n">
        <v>9</v>
      </c>
      <c r="M2045" s="15" t="n">
        <v>1</v>
      </c>
      <c r="N2045" s="16" t="n">
        <v>3.434811742e-05</v>
      </c>
      <c r="O2045" s="11" t="n">
        <v>288.4013403</v>
      </c>
      <c r="P2045" s="13">
        <f>N2045*86400</f>
        <v/>
      </c>
      <c r="Q2045" s="14">
        <f>O2045-273.15</f>
        <v/>
      </c>
    </row>
    <row r="2046">
      <c r="A2046" s="9" t="n">
        <v>38933</v>
      </c>
      <c r="B2046" s="7">
        <f>YEAR(A2046)</f>
        <v/>
      </c>
      <c r="C2046" s="7">
        <f>MONTH(A2046)</f>
        <v/>
      </c>
      <c r="D2046" s="10" t="n">
        <v>3.599267256</v>
      </c>
      <c r="E2046" s="11" t="n">
        <v>12.76713747</v>
      </c>
      <c r="F2046" s="12" t="n">
        <v>0.004760077865</v>
      </c>
      <c r="G2046" s="11" t="n">
        <v>288.3902513</v>
      </c>
      <c r="H2046" s="13">
        <f>F2046*1000</f>
        <v/>
      </c>
      <c r="I2046" s="14">
        <f>G2046-273.15</f>
        <v/>
      </c>
      <c r="K2046" s="15" t="n">
        <v>2006</v>
      </c>
      <c r="L2046" s="15" t="n">
        <v>9</v>
      </c>
      <c r="M2046" s="15" t="n">
        <v>2</v>
      </c>
      <c r="N2046" s="16" t="n">
        <v>5.162443561e-05</v>
      </c>
      <c r="O2046" s="11" t="n">
        <v>290.5403496</v>
      </c>
      <c r="P2046" s="13">
        <f>N2046*86400</f>
        <v/>
      </c>
      <c r="Q2046" s="14">
        <f>O2046-273.15</f>
        <v/>
      </c>
    </row>
    <row r="2047">
      <c r="A2047" s="9" t="n">
        <v>38934</v>
      </c>
      <c r="B2047" s="7">
        <f>YEAR(A2047)</f>
        <v/>
      </c>
      <c r="C2047" s="7">
        <f>MONTH(A2047)</f>
        <v/>
      </c>
      <c r="D2047" s="10" t="n">
        <v>0</v>
      </c>
      <c r="E2047" s="11" t="n">
        <v>13.82512239</v>
      </c>
      <c r="F2047" s="12" t="n">
        <v>0.008889747543999999</v>
      </c>
      <c r="G2047" s="11" t="n">
        <v>289.1206459</v>
      </c>
      <c r="H2047" s="13">
        <f>F2047*1000</f>
        <v/>
      </c>
      <c r="I2047" s="14">
        <f>G2047-273.15</f>
        <v/>
      </c>
      <c r="K2047" s="15" t="n">
        <v>2006</v>
      </c>
      <c r="L2047" s="15" t="n">
        <v>9</v>
      </c>
      <c r="M2047" s="15" t="n">
        <v>3</v>
      </c>
      <c r="N2047" s="16" t="n">
        <v>9.828598241e-07</v>
      </c>
      <c r="O2047" s="11" t="n">
        <v>288.7492178</v>
      </c>
      <c r="P2047" s="13">
        <f>N2047*86400</f>
        <v/>
      </c>
      <c r="Q2047" s="14">
        <f>O2047-273.15</f>
        <v/>
      </c>
    </row>
    <row r="2048">
      <c r="A2048" s="9" t="n">
        <v>38935</v>
      </c>
      <c r="B2048" s="7">
        <f>YEAR(A2048)</f>
        <v/>
      </c>
      <c r="C2048" s="7">
        <f>MONTH(A2048)</f>
        <v/>
      </c>
      <c r="D2048" s="10" t="n">
        <v>0</v>
      </c>
      <c r="E2048" s="11" t="n">
        <v>15.09215027</v>
      </c>
      <c r="F2048" s="12" t="n">
        <v>0.03026006312</v>
      </c>
      <c r="G2048" s="11" t="n">
        <v>290.4148322</v>
      </c>
      <c r="H2048" s="13">
        <f>F2048*1000</f>
        <v/>
      </c>
      <c r="I2048" s="14">
        <f>G2048-273.15</f>
        <v/>
      </c>
      <c r="K2048" s="15" t="n">
        <v>2006</v>
      </c>
      <c r="L2048" s="15" t="n">
        <v>9</v>
      </c>
      <c r="M2048" s="15" t="n">
        <v>4</v>
      </c>
      <c r="N2048" s="16" t="n">
        <v>3.005448994e-05</v>
      </c>
      <c r="O2048" s="11" t="n">
        <v>289.615939</v>
      </c>
      <c r="P2048" s="13">
        <f>N2048*86400</f>
        <v/>
      </c>
      <c r="Q2048" s="14">
        <f>O2048-273.15</f>
        <v/>
      </c>
    </row>
    <row r="2049">
      <c r="A2049" s="9" t="n">
        <v>38936</v>
      </c>
      <c r="B2049" s="7">
        <f>YEAR(A2049)</f>
        <v/>
      </c>
      <c r="C2049" s="7">
        <f>MONTH(A2049)</f>
        <v/>
      </c>
      <c r="D2049" s="10" t="n">
        <v>3.562113137</v>
      </c>
      <c r="E2049" s="11" t="n">
        <v>13.87545824</v>
      </c>
      <c r="F2049" s="12" t="n">
        <v>0.02505405382</v>
      </c>
      <c r="G2049" s="11" t="n">
        <v>289.5825711</v>
      </c>
      <c r="H2049" s="13">
        <f>F2049*1000</f>
        <v/>
      </c>
      <c r="I2049" s="14">
        <f>G2049-273.15</f>
        <v/>
      </c>
      <c r="K2049" s="15" t="n">
        <v>2006</v>
      </c>
      <c r="L2049" s="15" t="n">
        <v>9</v>
      </c>
      <c r="M2049" s="15" t="n">
        <v>5</v>
      </c>
      <c r="N2049" s="16" t="n">
        <v>0</v>
      </c>
      <c r="O2049" s="11" t="n">
        <v>287.4058177</v>
      </c>
      <c r="P2049" s="13">
        <f>N2049*86400</f>
        <v/>
      </c>
      <c r="Q2049" s="14">
        <f>O2049-273.15</f>
        <v/>
      </c>
    </row>
    <row r="2050">
      <c r="A2050" s="9" t="n">
        <v>38937</v>
      </c>
      <c r="B2050" s="7">
        <f>YEAR(A2050)</f>
        <v/>
      </c>
      <c r="C2050" s="7">
        <f>MONTH(A2050)</f>
        <v/>
      </c>
      <c r="D2050" s="10" t="n">
        <v>2.250362579</v>
      </c>
      <c r="E2050" s="11" t="n">
        <v>13.45091896</v>
      </c>
      <c r="F2050" s="12" t="n">
        <v>0.009808301314</v>
      </c>
      <c r="G2050" s="11" t="n">
        <v>288.7855097</v>
      </c>
      <c r="H2050" s="13">
        <f>F2050*1000</f>
        <v/>
      </c>
      <c r="I2050" s="14">
        <f>G2050-273.15</f>
        <v/>
      </c>
      <c r="K2050" s="15" t="n">
        <v>2006</v>
      </c>
      <c r="L2050" s="15" t="n">
        <v>9</v>
      </c>
      <c r="M2050" s="15" t="n">
        <v>6</v>
      </c>
      <c r="N2050" s="16" t="n">
        <v>6.592002721000001e-05</v>
      </c>
      <c r="O2050" s="11" t="n">
        <v>288.0019236</v>
      </c>
      <c r="P2050" s="13">
        <f>N2050*86400</f>
        <v/>
      </c>
      <c r="Q2050" s="14">
        <f>O2050-273.15</f>
        <v/>
      </c>
    </row>
    <row r="2051">
      <c r="A2051" s="9" t="n">
        <v>38938</v>
      </c>
      <c r="B2051" s="7">
        <f>YEAR(A2051)</f>
        <v/>
      </c>
      <c r="C2051" s="7">
        <f>MONTH(A2051)</f>
        <v/>
      </c>
      <c r="D2051" s="10" t="n">
        <v>49.12150708</v>
      </c>
      <c r="E2051" s="11" t="n">
        <v>15.01634912</v>
      </c>
      <c r="F2051" s="12" t="n">
        <v>0.01514744256</v>
      </c>
      <c r="G2051" s="11" t="n">
        <v>290.7943651</v>
      </c>
      <c r="H2051" s="13">
        <f>F2051*1000</f>
        <v/>
      </c>
      <c r="I2051" s="14">
        <f>G2051-273.15</f>
        <v/>
      </c>
      <c r="K2051" s="15" t="n">
        <v>2006</v>
      </c>
      <c r="L2051" s="15" t="n">
        <v>9</v>
      </c>
      <c r="M2051" s="15" t="n">
        <v>7</v>
      </c>
      <c r="N2051" s="16" t="n">
        <v>0.0003036886568</v>
      </c>
      <c r="O2051" s="11" t="n">
        <v>287.7697486</v>
      </c>
      <c r="P2051" s="13">
        <f>N2051*86400</f>
        <v/>
      </c>
      <c r="Q2051" s="14">
        <f>O2051-273.15</f>
        <v/>
      </c>
    </row>
    <row r="2052">
      <c r="A2052" s="9" t="n">
        <v>38939</v>
      </c>
      <c r="B2052" s="7">
        <f>YEAR(A2052)</f>
        <v/>
      </c>
      <c r="C2052" s="7">
        <f>MONTH(A2052)</f>
        <v/>
      </c>
      <c r="D2052" s="10" t="n">
        <v>1.906123502</v>
      </c>
      <c r="E2052" s="11" t="n">
        <v>12.32217175</v>
      </c>
      <c r="F2052" s="12" t="n">
        <v>0</v>
      </c>
      <c r="G2052" s="11" t="n">
        <v>289.4810114</v>
      </c>
      <c r="H2052" s="13">
        <f>F2052*1000</f>
        <v/>
      </c>
      <c r="I2052" s="14">
        <f>G2052-273.15</f>
        <v/>
      </c>
      <c r="K2052" s="15" t="n">
        <v>2006</v>
      </c>
      <c r="L2052" s="15" t="n">
        <v>9</v>
      </c>
      <c r="M2052" s="15" t="n">
        <v>8</v>
      </c>
      <c r="N2052" s="16" t="n">
        <v>8.829501715e-05</v>
      </c>
      <c r="O2052" s="11" t="n">
        <v>288.0942602</v>
      </c>
      <c r="P2052" s="13">
        <f>N2052*86400</f>
        <v/>
      </c>
      <c r="Q2052" s="14">
        <f>O2052-273.15</f>
        <v/>
      </c>
    </row>
    <row r="2053">
      <c r="A2053" s="9" t="n">
        <v>38940</v>
      </c>
      <c r="B2053" s="7">
        <f>YEAR(A2053)</f>
        <v/>
      </c>
      <c r="C2053" s="7">
        <f>MONTH(A2053)</f>
        <v/>
      </c>
      <c r="D2053" s="10" t="n">
        <v>2.868824724</v>
      </c>
      <c r="E2053" s="11" t="n">
        <v>13.50368525</v>
      </c>
      <c r="F2053" s="12" t="n">
        <v>0</v>
      </c>
      <c r="G2053" s="11" t="n">
        <v>291.1043237</v>
      </c>
      <c r="H2053" s="13">
        <f>F2053*1000</f>
        <v/>
      </c>
      <c r="I2053" s="14">
        <f>G2053-273.15</f>
        <v/>
      </c>
      <c r="K2053" s="15" t="n">
        <v>2006</v>
      </c>
      <c r="L2053" s="15" t="n">
        <v>9</v>
      </c>
      <c r="M2053" s="15" t="n">
        <v>9</v>
      </c>
      <c r="N2053" s="16" t="n">
        <v>0.0001403780499</v>
      </c>
      <c r="O2053" s="11" t="n">
        <v>288.6856589</v>
      </c>
      <c r="P2053" s="13">
        <f>N2053*86400</f>
        <v/>
      </c>
      <c r="Q2053" s="14">
        <f>O2053-273.15</f>
        <v/>
      </c>
    </row>
    <row r="2054">
      <c r="A2054" s="9" t="n">
        <v>38941</v>
      </c>
      <c r="B2054" s="7">
        <f>YEAR(A2054)</f>
        <v/>
      </c>
      <c r="C2054" s="7">
        <f>MONTH(A2054)</f>
        <v/>
      </c>
      <c r="D2054" s="10" t="n">
        <v>0</v>
      </c>
      <c r="E2054" s="11" t="n">
        <v>14.35799515</v>
      </c>
      <c r="F2054" s="12" t="n">
        <v>2.324739935e-05</v>
      </c>
      <c r="G2054" s="11" t="n">
        <v>290.8857554</v>
      </c>
      <c r="H2054" s="13">
        <f>F2054*1000</f>
        <v/>
      </c>
      <c r="I2054" s="14">
        <f>G2054-273.15</f>
        <v/>
      </c>
      <c r="K2054" s="15" t="n">
        <v>2006</v>
      </c>
      <c r="L2054" s="15" t="n">
        <v>9</v>
      </c>
      <c r="M2054" s="15" t="n">
        <v>10</v>
      </c>
      <c r="N2054" s="16" t="n">
        <v>1.283572672e-06</v>
      </c>
      <c r="O2054" s="11" t="n">
        <v>288.0746216</v>
      </c>
      <c r="P2054" s="13">
        <f>N2054*86400</f>
        <v/>
      </c>
      <c r="Q2054" s="14">
        <f>O2054-273.15</f>
        <v/>
      </c>
    </row>
    <row r="2055">
      <c r="A2055" s="9" t="n">
        <v>38942</v>
      </c>
      <c r="B2055" s="7">
        <f>YEAR(A2055)</f>
        <v/>
      </c>
      <c r="C2055" s="7">
        <f>MONTH(A2055)</f>
        <v/>
      </c>
      <c r="D2055" s="10" t="n">
        <v>0</v>
      </c>
      <c r="E2055" s="11" t="n">
        <v>15.55438447</v>
      </c>
      <c r="F2055" s="12" t="n">
        <v>0</v>
      </c>
      <c r="G2055" s="11" t="n">
        <v>291.7162781</v>
      </c>
      <c r="H2055" s="13">
        <f>F2055*1000</f>
        <v/>
      </c>
      <c r="I2055" s="14">
        <f>G2055-273.15</f>
        <v/>
      </c>
      <c r="K2055" s="15" t="n">
        <v>2006</v>
      </c>
      <c r="L2055" s="15" t="n">
        <v>9</v>
      </c>
      <c r="M2055" s="15" t="n">
        <v>11</v>
      </c>
      <c r="N2055" s="16" t="n">
        <v>1.497189114e-05</v>
      </c>
      <c r="O2055" s="11" t="n">
        <v>287.0673336</v>
      </c>
      <c r="P2055" s="13">
        <f>N2055*86400</f>
        <v/>
      </c>
      <c r="Q2055" s="14">
        <f>O2055-273.15</f>
        <v/>
      </c>
    </row>
    <row r="2056">
      <c r="A2056" s="9" t="n">
        <v>38943</v>
      </c>
      <c r="B2056" s="7">
        <f>YEAR(A2056)</f>
        <v/>
      </c>
      <c r="C2056" s="7">
        <f>MONTH(A2056)</f>
        <v/>
      </c>
      <c r="D2056" s="10" t="n">
        <v>0</v>
      </c>
      <c r="E2056" s="11" t="n">
        <v>12.22872694</v>
      </c>
      <c r="F2056" s="12" t="n">
        <v>0</v>
      </c>
      <c r="G2056" s="11" t="n">
        <v>288.2770999</v>
      </c>
      <c r="H2056" s="13">
        <f>F2056*1000</f>
        <v/>
      </c>
      <c r="I2056" s="14">
        <f>G2056-273.15</f>
        <v/>
      </c>
      <c r="K2056" s="15" t="n">
        <v>2006</v>
      </c>
      <c r="L2056" s="15" t="n">
        <v>9</v>
      </c>
      <c r="M2056" s="15" t="n">
        <v>12</v>
      </c>
      <c r="N2056" s="16" t="n">
        <v>6.778574036e-06</v>
      </c>
      <c r="O2056" s="11" t="n">
        <v>287.6950364</v>
      </c>
      <c r="P2056" s="13">
        <f>N2056*86400</f>
        <v/>
      </c>
      <c r="Q2056" s="14">
        <f>O2056-273.15</f>
        <v/>
      </c>
    </row>
    <row r="2057">
      <c r="A2057" s="9" t="n">
        <v>38944</v>
      </c>
      <c r="B2057" s="7">
        <f>YEAR(A2057)</f>
        <v/>
      </c>
      <c r="C2057" s="7">
        <f>MONTH(A2057)</f>
        <v/>
      </c>
      <c r="D2057" s="10" t="n">
        <v>0</v>
      </c>
      <c r="E2057" s="11" t="n">
        <v>13.76483777</v>
      </c>
      <c r="F2057" s="12" t="n">
        <v>4.978176376e-05</v>
      </c>
      <c r="G2057" s="11" t="n">
        <v>289.8689683</v>
      </c>
      <c r="H2057" s="13">
        <f>F2057*1000</f>
        <v/>
      </c>
      <c r="I2057" s="14">
        <f>G2057-273.15</f>
        <v/>
      </c>
      <c r="K2057" s="15" t="n">
        <v>2006</v>
      </c>
      <c r="L2057" s="15" t="n">
        <v>9</v>
      </c>
      <c r="M2057" s="15" t="n">
        <v>13</v>
      </c>
      <c r="N2057" s="16" t="n">
        <v>9.609464195e-06</v>
      </c>
      <c r="O2057" s="11" t="n">
        <v>287.781114</v>
      </c>
      <c r="P2057" s="13">
        <f>N2057*86400</f>
        <v/>
      </c>
      <c r="Q2057" s="14">
        <f>O2057-273.15</f>
        <v/>
      </c>
    </row>
    <row r="2058">
      <c r="A2058" s="9" t="n">
        <v>38945</v>
      </c>
      <c r="B2058" s="7">
        <f>YEAR(A2058)</f>
        <v/>
      </c>
      <c r="C2058" s="7">
        <f>MONTH(A2058)</f>
        <v/>
      </c>
      <c r="D2058" s="10" t="n">
        <v>0</v>
      </c>
      <c r="E2058" s="11" t="n">
        <v>15.08259979</v>
      </c>
      <c r="F2058" s="12" t="n">
        <v>0</v>
      </c>
      <c r="G2058" s="11" t="n">
        <v>290.4189128</v>
      </c>
      <c r="H2058" s="13">
        <f>F2058*1000</f>
        <v/>
      </c>
      <c r="I2058" s="14">
        <f>G2058-273.15</f>
        <v/>
      </c>
      <c r="K2058" s="15" t="n">
        <v>2006</v>
      </c>
      <c r="L2058" s="15" t="n">
        <v>9</v>
      </c>
      <c r="M2058" s="15" t="n">
        <v>14</v>
      </c>
      <c r="N2058" s="16" t="n">
        <v>6.090645796e-05</v>
      </c>
      <c r="O2058" s="11" t="n">
        <v>288.2772288</v>
      </c>
      <c r="P2058" s="13">
        <f>N2058*86400</f>
        <v/>
      </c>
      <c r="Q2058" s="14">
        <f>O2058-273.15</f>
        <v/>
      </c>
    </row>
    <row r="2059">
      <c r="A2059" s="9" t="n">
        <v>38946</v>
      </c>
      <c r="B2059" s="7">
        <f>YEAR(A2059)</f>
        <v/>
      </c>
      <c r="C2059" s="7">
        <f>MONTH(A2059)</f>
        <v/>
      </c>
      <c r="D2059" s="10" t="n">
        <v>19.42191166</v>
      </c>
      <c r="E2059" s="11" t="n">
        <v>13.43431256</v>
      </c>
      <c r="F2059" s="12" t="n">
        <v>0.01112593199</v>
      </c>
      <c r="G2059" s="11" t="n">
        <v>288.5588084</v>
      </c>
      <c r="H2059" s="13">
        <f>F2059*1000</f>
        <v/>
      </c>
      <c r="I2059" s="14">
        <f>G2059-273.15</f>
        <v/>
      </c>
      <c r="K2059" s="15" t="n">
        <v>2006</v>
      </c>
      <c r="L2059" s="15" t="n">
        <v>9</v>
      </c>
      <c r="M2059" s="15" t="n">
        <v>15</v>
      </c>
      <c r="N2059" s="16" t="n">
        <v>0.0001422476964</v>
      </c>
      <c r="O2059" s="11" t="n">
        <v>286.3006695</v>
      </c>
      <c r="P2059" s="13">
        <f>N2059*86400</f>
        <v/>
      </c>
      <c r="Q2059" s="14">
        <f>O2059-273.15</f>
        <v/>
      </c>
    </row>
    <row r="2060">
      <c r="A2060" s="9" t="n">
        <v>38947</v>
      </c>
      <c r="B2060" s="7">
        <f>YEAR(A2060)</f>
        <v/>
      </c>
      <c r="C2060" s="7">
        <f>MONTH(A2060)</f>
        <v/>
      </c>
      <c r="D2060" s="10" t="n">
        <v>15.0659789</v>
      </c>
      <c r="E2060" s="11" t="n">
        <v>12.17402141</v>
      </c>
      <c r="F2060" s="12" t="n">
        <v>0.01002356894</v>
      </c>
      <c r="G2060" s="11" t="n">
        <v>287.3926894</v>
      </c>
      <c r="H2060" s="13">
        <f>F2060*1000</f>
        <v/>
      </c>
      <c r="I2060" s="14">
        <f>G2060-273.15</f>
        <v/>
      </c>
      <c r="K2060" s="15" t="n">
        <v>2006</v>
      </c>
      <c r="L2060" s="15" t="n">
        <v>9</v>
      </c>
      <c r="M2060" s="15" t="n">
        <v>16</v>
      </c>
      <c r="N2060" s="16" t="n">
        <v>3.864629996e-07</v>
      </c>
      <c r="O2060" s="11" t="n">
        <v>286.0687131</v>
      </c>
      <c r="P2060" s="13">
        <f>N2060*86400</f>
        <v/>
      </c>
      <c r="Q2060" s="14">
        <f>O2060-273.15</f>
        <v/>
      </c>
    </row>
    <row r="2061">
      <c r="A2061" s="9" t="n">
        <v>38948</v>
      </c>
      <c r="B2061" s="7">
        <f>YEAR(A2061)</f>
        <v/>
      </c>
      <c r="C2061" s="7">
        <f>MONTH(A2061)</f>
        <v/>
      </c>
      <c r="D2061" s="10" t="n">
        <v>23.75561036</v>
      </c>
      <c r="E2061" s="11" t="n">
        <v>10.92275031</v>
      </c>
      <c r="F2061" s="12" t="n">
        <v>0.01113452404</v>
      </c>
      <c r="G2061" s="11" t="n">
        <v>286.1911641</v>
      </c>
      <c r="H2061" s="13">
        <f>F2061*1000</f>
        <v/>
      </c>
      <c r="I2061" s="14">
        <f>G2061-273.15</f>
        <v/>
      </c>
      <c r="K2061" s="15" t="n">
        <v>2006</v>
      </c>
      <c r="L2061" s="15" t="n">
        <v>9</v>
      </c>
      <c r="M2061" s="15" t="n">
        <v>17</v>
      </c>
      <c r="N2061" s="16" t="n">
        <v>4.253807906e-05</v>
      </c>
      <c r="O2061" s="11" t="n">
        <v>285.0318098</v>
      </c>
      <c r="P2061" s="13">
        <f>N2061*86400</f>
        <v/>
      </c>
      <c r="Q2061" s="14">
        <f>O2061-273.15</f>
        <v/>
      </c>
    </row>
    <row r="2062">
      <c r="A2062" s="9" t="n">
        <v>38949</v>
      </c>
      <c r="B2062" s="7">
        <f>YEAR(A2062)</f>
        <v/>
      </c>
      <c r="C2062" s="7">
        <f>MONTH(A2062)</f>
        <v/>
      </c>
      <c r="D2062" s="10" t="n">
        <v>30.17312595</v>
      </c>
      <c r="E2062" s="11" t="n">
        <v>13.00785563</v>
      </c>
      <c r="F2062" s="12" t="n">
        <v>0.03179732555</v>
      </c>
      <c r="G2062" s="11" t="n">
        <v>288.1333422</v>
      </c>
      <c r="H2062" s="13">
        <f>F2062*1000</f>
        <v/>
      </c>
      <c r="I2062" s="14">
        <f>G2062-273.15</f>
        <v/>
      </c>
      <c r="K2062" s="15" t="n">
        <v>2006</v>
      </c>
      <c r="L2062" s="15" t="n">
        <v>9</v>
      </c>
      <c r="M2062" s="15" t="n">
        <v>18</v>
      </c>
      <c r="N2062" s="16" t="n">
        <v>7.845014915e-07</v>
      </c>
      <c r="O2062" s="11" t="n">
        <v>285.9854763</v>
      </c>
      <c r="P2062" s="13">
        <f>N2062*86400</f>
        <v/>
      </c>
      <c r="Q2062" s="14">
        <f>O2062-273.15</f>
        <v/>
      </c>
    </row>
    <row r="2063">
      <c r="A2063" s="9" t="n">
        <v>38950</v>
      </c>
      <c r="B2063" s="7">
        <f>YEAR(A2063)</f>
        <v/>
      </c>
      <c r="C2063" s="7">
        <f>MONTH(A2063)</f>
        <v/>
      </c>
      <c r="D2063" s="10" t="n">
        <v>9.103699242999999</v>
      </c>
      <c r="E2063" s="11" t="n">
        <v>13.04228532</v>
      </c>
      <c r="F2063" s="12" t="n">
        <v>0.01489686892</v>
      </c>
      <c r="G2063" s="11" t="n">
        <v>288.4039471</v>
      </c>
      <c r="H2063" s="13">
        <f>F2063*1000</f>
        <v/>
      </c>
      <c r="I2063" s="14">
        <f>G2063-273.15</f>
        <v/>
      </c>
      <c r="K2063" s="15" t="n">
        <v>2006</v>
      </c>
      <c r="L2063" s="15" t="n">
        <v>9</v>
      </c>
      <c r="M2063" s="15" t="n">
        <v>19</v>
      </c>
      <c r="N2063" s="16" t="n">
        <v>7.461645719e-07</v>
      </c>
      <c r="O2063" s="11" t="n">
        <v>284.8358697</v>
      </c>
      <c r="P2063" s="13">
        <f>N2063*86400</f>
        <v/>
      </c>
      <c r="Q2063" s="14">
        <f>O2063-273.15</f>
        <v/>
      </c>
    </row>
    <row r="2064">
      <c r="A2064" s="9" t="n">
        <v>38951</v>
      </c>
      <c r="B2064" s="7">
        <f>YEAR(A2064)</f>
        <v/>
      </c>
      <c r="C2064" s="7">
        <f>MONTH(A2064)</f>
        <v/>
      </c>
      <c r="D2064" s="10" t="n">
        <v>21.43169892</v>
      </c>
      <c r="E2064" s="11" t="n">
        <v>13.94122508</v>
      </c>
      <c r="F2064" s="12" t="n">
        <v>0.0205395094</v>
      </c>
      <c r="G2064" s="11" t="n">
        <v>287.3845251</v>
      </c>
      <c r="H2064" s="13">
        <f>F2064*1000</f>
        <v/>
      </c>
      <c r="I2064" s="14">
        <f>G2064-273.15</f>
        <v/>
      </c>
      <c r="K2064" s="15" t="n">
        <v>2006</v>
      </c>
      <c r="L2064" s="15" t="n">
        <v>9</v>
      </c>
      <c r="M2064" s="15" t="n">
        <v>20</v>
      </c>
      <c r="N2064" s="16" t="n">
        <v>1.431249038e-05</v>
      </c>
      <c r="O2064" s="11" t="n">
        <v>284.2476646</v>
      </c>
      <c r="P2064" s="13">
        <f>N2064*86400</f>
        <v/>
      </c>
      <c r="Q2064" s="14">
        <f>O2064-273.15</f>
        <v/>
      </c>
    </row>
    <row r="2065">
      <c r="A2065" s="9" t="n">
        <v>38952</v>
      </c>
      <c r="B2065" s="7">
        <f>YEAR(A2065)</f>
        <v/>
      </c>
      <c r="C2065" s="7">
        <f>MONTH(A2065)</f>
        <v/>
      </c>
      <c r="D2065" s="10" t="n">
        <v>1.439776477</v>
      </c>
      <c r="E2065" s="11" t="n">
        <v>12.74322269</v>
      </c>
      <c r="F2065" s="12" t="n">
        <v>0.001661061786</v>
      </c>
      <c r="G2065" s="11" t="n">
        <v>287.1668136</v>
      </c>
      <c r="H2065" s="13">
        <f>F2065*1000</f>
        <v/>
      </c>
      <c r="I2065" s="14">
        <f>G2065-273.15</f>
        <v/>
      </c>
      <c r="K2065" s="15" t="n">
        <v>2006</v>
      </c>
      <c r="L2065" s="15" t="n">
        <v>9</v>
      </c>
      <c r="M2065" s="15" t="n">
        <v>21</v>
      </c>
      <c r="N2065" s="16" t="n">
        <v>0</v>
      </c>
      <c r="O2065" s="11" t="n">
        <v>285.7294948</v>
      </c>
      <c r="P2065" s="13">
        <f>N2065*86400</f>
        <v/>
      </c>
      <c r="Q2065" s="14">
        <f>O2065-273.15</f>
        <v/>
      </c>
    </row>
    <row r="2066">
      <c r="A2066" s="9" t="n">
        <v>38953</v>
      </c>
      <c r="B2066" s="7">
        <f>YEAR(A2066)</f>
        <v/>
      </c>
      <c r="C2066" s="7">
        <f>MONTH(A2066)</f>
        <v/>
      </c>
      <c r="D2066" s="10" t="n">
        <v>0</v>
      </c>
      <c r="E2066" s="11" t="n">
        <v>12.1632494</v>
      </c>
      <c r="F2066" s="12" t="n">
        <v>0</v>
      </c>
      <c r="G2066" s="11" t="n">
        <v>285.8730993</v>
      </c>
      <c r="H2066" s="13">
        <f>F2066*1000</f>
        <v/>
      </c>
      <c r="I2066" s="14">
        <f>G2066-273.15</f>
        <v/>
      </c>
      <c r="K2066" s="15" t="n">
        <v>2006</v>
      </c>
      <c r="L2066" s="15" t="n">
        <v>9</v>
      </c>
      <c r="M2066" s="15" t="n">
        <v>22</v>
      </c>
      <c r="N2066" s="16" t="n">
        <v>0</v>
      </c>
      <c r="O2066" s="11" t="n">
        <v>287.7931245</v>
      </c>
      <c r="P2066" s="13">
        <f>N2066*86400</f>
        <v/>
      </c>
      <c r="Q2066" s="14">
        <f>O2066-273.15</f>
        <v/>
      </c>
    </row>
    <row r="2067">
      <c r="A2067" s="9" t="n">
        <v>38954</v>
      </c>
      <c r="B2067" s="7">
        <f>YEAR(A2067)</f>
        <v/>
      </c>
      <c r="C2067" s="7">
        <f>MONTH(A2067)</f>
        <v/>
      </c>
      <c r="D2067" s="10" t="n">
        <v>0</v>
      </c>
      <c r="E2067" s="11" t="n">
        <v>11.36507623</v>
      </c>
      <c r="F2067" s="12" t="n">
        <v>0</v>
      </c>
      <c r="G2067" s="11" t="n">
        <v>285.2385117</v>
      </c>
      <c r="H2067" s="13">
        <f>F2067*1000</f>
        <v/>
      </c>
      <c r="I2067" s="14">
        <f>G2067-273.15</f>
        <v/>
      </c>
      <c r="K2067" s="15" t="n">
        <v>2006</v>
      </c>
      <c r="L2067" s="15" t="n">
        <v>9</v>
      </c>
      <c r="M2067" s="15" t="n">
        <v>23</v>
      </c>
      <c r="N2067" s="16" t="n">
        <v>0</v>
      </c>
      <c r="O2067" s="11" t="n">
        <v>285.9486494</v>
      </c>
      <c r="P2067" s="13">
        <f>N2067*86400</f>
        <v/>
      </c>
      <c r="Q2067" s="14">
        <f>O2067-273.15</f>
        <v/>
      </c>
    </row>
    <row r="2068">
      <c r="A2068" s="9" t="n">
        <v>38955</v>
      </c>
      <c r="B2068" s="7">
        <f>YEAR(A2068)</f>
        <v/>
      </c>
      <c r="C2068" s="7">
        <f>MONTH(A2068)</f>
        <v/>
      </c>
      <c r="D2068" s="10" t="n">
        <v>0</v>
      </c>
      <c r="E2068" s="11" t="n">
        <v>12.96201246</v>
      </c>
      <c r="F2068" s="12" t="n">
        <v>0</v>
      </c>
      <c r="G2068" s="11" t="n">
        <v>288.159565</v>
      </c>
      <c r="H2068" s="13">
        <f>F2068*1000</f>
        <v/>
      </c>
      <c r="I2068" s="14">
        <f>G2068-273.15</f>
        <v/>
      </c>
      <c r="K2068" s="15" t="n">
        <v>2006</v>
      </c>
      <c r="L2068" s="15" t="n">
        <v>9</v>
      </c>
      <c r="M2068" s="15" t="n">
        <v>24</v>
      </c>
      <c r="N2068" s="16" t="n">
        <v>0</v>
      </c>
      <c r="O2068" s="11" t="n">
        <v>286.4153832</v>
      </c>
      <c r="P2068" s="13">
        <f>N2068*86400</f>
        <v/>
      </c>
      <c r="Q2068" s="14">
        <f>O2068-273.15</f>
        <v/>
      </c>
    </row>
    <row r="2069">
      <c r="A2069" s="9" t="n">
        <v>38956</v>
      </c>
      <c r="B2069" s="7">
        <f>YEAR(A2069)</f>
        <v/>
      </c>
      <c r="C2069" s="7">
        <f>MONTH(A2069)</f>
        <v/>
      </c>
      <c r="D2069" s="10" t="n">
        <v>0</v>
      </c>
      <c r="E2069" s="11" t="n">
        <v>11.78271371</v>
      </c>
      <c r="F2069" s="12" t="n">
        <v>0</v>
      </c>
      <c r="G2069" s="11" t="n">
        <v>287.3566071</v>
      </c>
      <c r="H2069" s="13">
        <f>F2069*1000</f>
        <v/>
      </c>
      <c r="I2069" s="14">
        <f>G2069-273.15</f>
        <v/>
      </c>
      <c r="K2069" s="15" t="n">
        <v>2006</v>
      </c>
      <c r="L2069" s="15" t="n">
        <v>9</v>
      </c>
      <c r="M2069" s="15" t="n">
        <v>25</v>
      </c>
      <c r="N2069" s="16" t="n">
        <v>0</v>
      </c>
      <c r="O2069" s="11" t="n">
        <v>286.2941418</v>
      </c>
      <c r="P2069" s="13">
        <f>N2069*86400</f>
        <v/>
      </c>
      <c r="Q2069" s="14">
        <f>O2069-273.15</f>
        <v/>
      </c>
    </row>
    <row r="2070">
      <c r="A2070" s="9" t="n">
        <v>38957</v>
      </c>
      <c r="B2070" s="7">
        <f>YEAR(A2070)</f>
        <v/>
      </c>
      <c r="C2070" s="7">
        <f>MONTH(A2070)</f>
        <v/>
      </c>
      <c r="D2070" s="10" t="n">
        <v>26.64500141</v>
      </c>
      <c r="E2070" s="11" t="n">
        <v>10.99895581</v>
      </c>
      <c r="F2070" s="12" t="n">
        <v>0.01268526131</v>
      </c>
      <c r="G2070" s="11" t="n">
        <v>287.3815165</v>
      </c>
      <c r="H2070" s="13">
        <f>F2070*1000</f>
        <v/>
      </c>
      <c r="I2070" s="14">
        <f>G2070-273.15</f>
        <v/>
      </c>
      <c r="K2070" s="15" t="n">
        <v>2006</v>
      </c>
      <c r="L2070" s="15" t="n">
        <v>9</v>
      </c>
      <c r="M2070" s="15" t="n">
        <v>26</v>
      </c>
      <c r="N2070" s="16" t="n">
        <v>3.4691043e-05</v>
      </c>
      <c r="O2070" s="11" t="n">
        <v>285.804709</v>
      </c>
      <c r="P2070" s="13">
        <f>N2070*86400</f>
        <v/>
      </c>
      <c r="Q2070" s="14">
        <f>O2070-273.15</f>
        <v/>
      </c>
    </row>
    <row r="2071">
      <c r="A2071" s="9" t="n">
        <v>38958</v>
      </c>
      <c r="B2071" s="7">
        <f>YEAR(A2071)</f>
        <v/>
      </c>
      <c r="C2071" s="7">
        <f>MONTH(A2071)</f>
        <v/>
      </c>
      <c r="D2071" s="10" t="n">
        <v>7.718399338</v>
      </c>
      <c r="E2071" s="11" t="n">
        <v>12.34917684</v>
      </c>
      <c r="F2071" s="12" t="n">
        <v>0.0129050739</v>
      </c>
      <c r="G2071" s="11" t="n">
        <v>287.6362892</v>
      </c>
      <c r="H2071" s="13">
        <f>F2071*1000</f>
        <v/>
      </c>
      <c r="I2071" s="14">
        <f>G2071-273.15</f>
        <v/>
      </c>
      <c r="K2071" s="15" t="n">
        <v>2006</v>
      </c>
      <c r="L2071" s="15" t="n">
        <v>9</v>
      </c>
      <c r="M2071" s="15" t="n">
        <v>27</v>
      </c>
      <c r="N2071" s="16" t="n">
        <v>0</v>
      </c>
      <c r="O2071" s="11" t="n">
        <v>285.4882413</v>
      </c>
      <c r="P2071" s="13">
        <f>N2071*86400</f>
        <v/>
      </c>
      <c r="Q2071" s="14">
        <f>O2071-273.15</f>
        <v/>
      </c>
    </row>
    <row r="2072">
      <c r="A2072" s="9" t="n">
        <v>38959</v>
      </c>
      <c r="B2072" s="7">
        <f>YEAR(A2072)</f>
        <v/>
      </c>
      <c r="C2072" s="7">
        <f>MONTH(A2072)</f>
        <v/>
      </c>
      <c r="D2072" s="10" t="n">
        <v>0</v>
      </c>
      <c r="E2072" s="11" t="n">
        <v>13.79647479</v>
      </c>
      <c r="F2072" s="12" t="n">
        <v>0.0008882202026</v>
      </c>
      <c r="G2072" s="11" t="n">
        <v>289.1691907</v>
      </c>
      <c r="H2072" s="13">
        <f>F2072*1000</f>
        <v/>
      </c>
      <c r="I2072" s="14">
        <f>G2072-273.15</f>
        <v/>
      </c>
      <c r="K2072" s="15" t="n">
        <v>2006</v>
      </c>
      <c r="L2072" s="15" t="n">
        <v>9</v>
      </c>
      <c r="M2072" s="15" t="n">
        <v>28</v>
      </c>
      <c r="N2072" s="16" t="n">
        <v>4.713830905e-05</v>
      </c>
      <c r="O2072" s="11" t="n">
        <v>287.4553355</v>
      </c>
      <c r="P2072" s="13">
        <f>N2072*86400</f>
        <v/>
      </c>
      <c r="Q2072" s="14">
        <f>O2072-273.15</f>
        <v/>
      </c>
    </row>
    <row r="2073">
      <c r="A2073" s="9" t="n">
        <v>38960</v>
      </c>
      <c r="B2073" s="7">
        <f>YEAR(A2073)</f>
        <v/>
      </c>
      <c r="C2073" s="7">
        <f>MONTH(A2073)</f>
        <v/>
      </c>
      <c r="D2073" s="10" t="n">
        <v>0</v>
      </c>
      <c r="E2073" s="11" t="n">
        <v>14.06048858</v>
      </c>
      <c r="F2073" s="12" t="n">
        <v>0</v>
      </c>
      <c r="G2073" s="11" t="n">
        <v>289.0473631</v>
      </c>
      <c r="H2073" s="13">
        <f>F2073*1000</f>
        <v/>
      </c>
      <c r="I2073" s="14">
        <f>G2073-273.15</f>
        <v/>
      </c>
      <c r="K2073" s="15" t="n">
        <v>2006</v>
      </c>
      <c r="L2073" s="15" t="n">
        <v>9</v>
      </c>
      <c r="M2073" s="15" t="n">
        <v>29</v>
      </c>
      <c r="N2073" s="16" t="n">
        <v>5.421709772e-06</v>
      </c>
      <c r="O2073" s="11" t="n">
        <v>286.1807569</v>
      </c>
      <c r="P2073" s="13">
        <f>N2073*86400</f>
        <v/>
      </c>
      <c r="Q2073" s="14">
        <f>O2073-273.15</f>
        <v/>
      </c>
    </row>
    <row r="2074">
      <c r="A2074" s="9" t="n">
        <v>38961</v>
      </c>
      <c r="B2074" s="7">
        <f>YEAR(A2074)</f>
        <v/>
      </c>
      <c r="C2074" s="7">
        <f>MONTH(A2074)</f>
        <v/>
      </c>
      <c r="D2074" s="10" t="n">
        <v>0</v>
      </c>
      <c r="E2074" s="11" t="n">
        <v>14.48592333</v>
      </c>
      <c r="F2074" s="12" t="n">
        <v>0</v>
      </c>
      <c r="G2074" s="11" t="n">
        <v>289.2680327</v>
      </c>
      <c r="H2074" s="13">
        <f>F2074*1000</f>
        <v/>
      </c>
      <c r="I2074" s="14">
        <f>G2074-273.15</f>
        <v/>
      </c>
      <c r="K2074" s="15" t="n">
        <v>2006</v>
      </c>
      <c r="L2074" s="15" t="n">
        <v>9</v>
      </c>
      <c r="M2074" s="15" t="n">
        <v>30</v>
      </c>
      <c r="N2074" s="16" t="n">
        <v>1.063122071e-05</v>
      </c>
      <c r="O2074" s="11" t="n">
        <v>285.6735273</v>
      </c>
      <c r="P2074" s="13">
        <f>N2074*86400</f>
        <v/>
      </c>
      <c r="Q2074" s="14">
        <f>O2074-273.15</f>
        <v/>
      </c>
    </row>
    <row r="2075">
      <c r="A2075" s="9" t="n">
        <v>38962</v>
      </c>
      <c r="B2075" s="7">
        <f>YEAR(A2075)</f>
        <v/>
      </c>
      <c r="C2075" s="7">
        <f>MONTH(A2075)</f>
        <v/>
      </c>
      <c r="D2075" s="10" t="n">
        <v>6.171344111</v>
      </c>
      <c r="E2075" s="11" t="n">
        <v>14.73577566</v>
      </c>
      <c r="F2075" s="12" t="n">
        <v>0.0002602532339</v>
      </c>
      <c r="G2075" s="11" t="n">
        <v>288.5744059</v>
      </c>
      <c r="H2075" s="13">
        <f>F2075*1000</f>
        <v/>
      </c>
      <c r="I2075" s="14">
        <f>G2075-273.15</f>
        <v/>
      </c>
      <c r="K2075" s="15" t="n">
        <v>2006</v>
      </c>
      <c r="L2075" s="15" t="n">
        <v>10</v>
      </c>
      <c r="M2075" s="15" t="n">
        <v>1</v>
      </c>
      <c r="N2075" s="16" t="n">
        <v>1.759385179e-05</v>
      </c>
      <c r="O2075" s="11" t="n">
        <v>284.1757814</v>
      </c>
      <c r="P2075" s="13">
        <f>N2075*86400</f>
        <v/>
      </c>
      <c r="Q2075" s="14">
        <f>O2075-273.15</f>
        <v/>
      </c>
    </row>
    <row r="2076">
      <c r="A2076" s="9" t="n">
        <v>38963</v>
      </c>
      <c r="B2076" s="7">
        <f>YEAR(A2076)</f>
        <v/>
      </c>
      <c r="C2076" s="7">
        <f>MONTH(A2076)</f>
        <v/>
      </c>
      <c r="D2076" s="10" t="n">
        <v>0</v>
      </c>
      <c r="E2076" s="11" t="n">
        <v>13.61075131</v>
      </c>
      <c r="F2076" s="12" t="n">
        <v>0</v>
      </c>
      <c r="G2076" s="11" t="n">
        <v>288.6168163</v>
      </c>
      <c r="H2076" s="13">
        <f>F2076*1000</f>
        <v/>
      </c>
      <c r="I2076" s="14">
        <f>G2076-273.15</f>
        <v/>
      </c>
      <c r="K2076" s="15" t="n">
        <v>2006</v>
      </c>
      <c r="L2076" s="15" t="n">
        <v>10</v>
      </c>
      <c r="M2076" s="15" t="n">
        <v>2</v>
      </c>
      <c r="N2076" s="16" t="n">
        <v>0.0001340459448</v>
      </c>
      <c r="O2076" s="11" t="n">
        <v>282.0333261</v>
      </c>
      <c r="P2076" s="13">
        <f>N2076*86400</f>
        <v/>
      </c>
      <c r="Q2076" s="14">
        <f>O2076-273.15</f>
        <v/>
      </c>
    </row>
    <row r="2077">
      <c r="A2077" s="9" t="n">
        <v>38964</v>
      </c>
      <c r="B2077" s="7">
        <f>YEAR(A2077)</f>
        <v/>
      </c>
      <c r="C2077" s="7">
        <f>MONTH(A2077)</f>
        <v/>
      </c>
      <c r="D2077" s="10" t="n">
        <v>0</v>
      </c>
      <c r="E2077" s="11" t="n">
        <v>13.47533349</v>
      </c>
      <c r="F2077" s="12" t="n">
        <v>0</v>
      </c>
      <c r="G2077" s="11" t="n">
        <v>288.0556567</v>
      </c>
      <c r="H2077" s="13">
        <f>F2077*1000</f>
        <v/>
      </c>
      <c r="I2077" s="14">
        <f>G2077-273.15</f>
        <v/>
      </c>
      <c r="K2077" s="15" t="n">
        <v>2006</v>
      </c>
      <c r="L2077" s="15" t="n">
        <v>10</v>
      </c>
      <c r="M2077" s="15" t="n">
        <v>3</v>
      </c>
      <c r="N2077" s="16" t="n">
        <v>8.442374984999999e-06</v>
      </c>
      <c r="O2077" s="11" t="n">
        <v>281.6638406</v>
      </c>
      <c r="P2077" s="13">
        <f>N2077*86400</f>
        <v/>
      </c>
      <c r="Q2077" s="14">
        <f>O2077-273.15</f>
        <v/>
      </c>
    </row>
    <row r="2078">
      <c r="A2078" s="9" t="n">
        <v>38965</v>
      </c>
      <c r="B2078" s="7">
        <f>YEAR(A2078)</f>
        <v/>
      </c>
      <c r="C2078" s="7">
        <f>MONTH(A2078)</f>
        <v/>
      </c>
      <c r="D2078" s="10" t="n">
        <v>0</v>
      </c>
      <c r="E2078" s="11" t="n">
        <v>12.9075433</v>
      </c>
      <c r="F2078" s="12" t="n">
        <v>0</v>
      </c>
      <c r="G2078" s="11" t="n">
        <v>287.8557019</v>
      </c>
      <c r="H2078" s="13">
        <f>F2078*1000</f>
        <v/>
      </c>
      <c r="I2078" s="14">
        <f>G2078-273.15</f>
        <v/>
      </c>
      <c r="K2078" s="15" t="n">
        <v>2006</v>
      </c>
      <c r="L2078" s="15" t="n">
        <v>10</v>
      </c>
      <c r="M2078" s="15" t="n">
        <v>4</v>
      </c>
      <c r="N2078" s="16" t="n">
        <v>0</v>
      </c>
      <c r="O2078" s="11" t="n">
        <v>281.9399937</v>
      </c>
      <c r="P2078" s="13">
        <f>N2078*86400</f>
        <v/>
      </c>
      <c r="Q2078" s="14">
        <f>O2078-273.15</f>
        <v/>
      </c>
    </row>
    <row r="2079">
      <c r="A2079" s="9" t="n">
        <v>38966</v>
      </c>
      <c r="B2079" s="7">
        <f>YEAR(A2079)</f>
        <v/>
      </c>
      <c r="C2079" s="7">
        <f>MONTH(A2079)</f>
        <v/>
      </c>
      <c r="D2079" s="10" t="n">
        <v>0</v>
      </c>
      <c r="E2079" s="11" t="n">
        <v>10.88114749</v>
      </c>
      <c r="F2079" s="12" t="n">
        <v>0</v>
      </c>
      <c r="G2079" s="11" t="n">
        <v>284.4587244</v>
      </c>
      <c r="H2079" s="13">
        <f>F2079*1000</f>
        <v/>
      </c>
      <c r="I2079" s="14">
        <f>G2079-273.15</f>
        <v/>
      </c>
      <c r="K2079" s="15" t="n">
        <v>2006</v>
      </c>
      <c r="L2079" s="15" t="n">
        <v>10</v>
      </c>
      <c r="M2079" s="15" t="n">
        <v>5</v>
      </c>
      <c r="N2079" s="16" t="n">
        <v>0</v>
      </c>
      <c r="O2079" s="11" t="n">
        <v>281.7556089</v>
      </c>
      <c r="P2079" s="13">
        <f>N2079*86400</f>
        <v/>
      </c>
      <c r="Q2079" s="14">
        <f>O2079-273.15</f>
        <v/>
      </c>
    </row>
    <row r="2080">
      <c r="A2080" s="9" t="n">
        <v>38967</v>
      </c>
      <c r="B2080" s="7">
        <f>YEAR(A2080)</f>
        <v/>
      </c>
      <c r="C2080" s="7">
        <f>MONTH(A2080)</f>
        <v/>
      </c>
      <c r="D2080" s="10" t="n">
        <v>0</v>
      </c>
      <c r="E2080" s="11" t="n">
        <v>10.63271239</v>
      </c>
      <c r="F2080" s="12" t="n">
        <v>0</v>
      </c>
      <c r="G2080" s="11" t="n">
        <v>283.6938291</v>
      </c>
      <c r="H2080" s="13">
        <f>F2080*1000</f>
        <v/>
      </c>
      <c r="I2080" s="14">
        <f>G2080-273.15</f>
        <v/>
      </c>
      <c r="K2080" s="15" t="n">
        <v>2006</v>
      </c>
      <c r="L2080" s="15" t="n">
        <v>10</v>
      </c>
      <c r="M2080" s="15" t="n">
        <v>6</v>
      </c>
      <c r="N2080" s="16" t="n">
        <v>1.079799717e-07</v>
      </c>
      <c r="O2080" s="11" t="n">
        <v>282.9017508</v>
      </c>
      <c r="P2080" s="13">
        <f>N2080*86400</f>
        <v/>
      </c>
      <c r="Q2080" s="14">
        <f>O2080-273.15</f>
        <v/>
      </c>
    </row>
    <row r="2081">
      <c r="A2081" s="9" t="n">
        <v>38968</v>
      </c>
      <c r="B2081" s="7">
        <f>YEAR(A2081)</f>
        <v/>
      </c>
      <c r="C2081" s="7">
        <f>MONTH(A2081)</f>
        <v/>
      </c>
      <c r="D2081" s="10" t="n">
        <v>0</v>
      </c>
      <c r="E2081" s="11" t="n">
        <v>9.537063740000001</v>
      </c>
      <c r="F2081" s="12" t="n">
        <v>0</v>
      </c>
      <c r="G2081" s="11" t="n">
        <v>282.6948771</v>
      </c>
      <c r="H2081" s="13">
        <f>F2081*1000</f>
        <v/>
      </c>
      <c r="I2081" s="14">
        <f>G2081-273.15</f>
        <v/>
      </c>
      <c r="K2081" s="15" t="n">
        <v>2006</v>
      </c>
      <c r="L2081" s="15" t="n">
        <v>10</v>
      </c>
      <c r="M2081" s="15" t="n">
        <v>7</v>
      </c>
      <c r="N2081" s="16" t="n">
        <v>0</v>
      </c>
      <c r="O2081" s="11" t="n">
        <v>283.5583808</v>
      </c>
      <c r="P2081" s="13">
        <f>N2081*86400</f>
        <v/>
      </c>
      <c r="Q2081" s="14">
        <f>O2081-273.15</f>
        <v/>
      </c>
    </row>
    <row r="2082">
      <c r="A2082" s="9" t="n">
        <v>38969</v>
      </c>
      <c r="B2082" s="7">
        <f>YEAR(A2082)</f>
        <v/>
      </c>
      <c r="C2082" s="7">
        <f>MONTH(A2082)</f>
        <v/>
      </c>
      <c r="D2082" s="10" t="n">
        <v>0</v>
      </c>
      <c r="E2082" s="11" t="n">
        <v>12.5039971</v>
      </c>
      <c r="F2082" s="12" t="n">
        <v>0</v>
      </c>
      <c r="G2082" s="11" t="n">
        <v>284.1055708</v>
      </c>
      <c r="H2082" s="13">
        <f>F2082*1000</f>
        <v/>
      </c>
      <c r="I2082" s="14">
        <f>G2082-273.15</f>
        <v/>
      </c>
      <c r="K2082" s="15" t="n">
        <v>2006</v>
      </c>
      <c r="L2082" s="15" t="n">
        <v>10</v>
      </c>
      <c r="M2082" s="15" t="n">
        <v>8</v>
      </c>
      <c r="N2082" s="16" t="n">
        <v>2.592586342e-07</v>
      </c>
      <c r="O2082" s="11" t="n">
        <v>285.4869622</v>
      </c>
      <c r="P2082" s="13">
        <f>N2082*86400</f>
        <v/>
      </c>
      <c r="Q2082" s="14">
        <f>O2082-273.15</f>
        <v/>
      </c>
    </row>
    <row r="2083">
      <c r="A2083" s="9" t="n">
        <v>38970</v>
      </c>
      <c r="B2083" s="7">
        <f>YEAR(A2083)</f>
        <v/>
      </c>
      <c r="C2083" s="7">
        <f>MONTH(A2083)</f>
        <v/>
      </c>
      <c r="D2083" s="10" t="n">
        <v>0</v>
      </c>
      <c r="E2083" s="11" t="n">
        <v>9.605438103999999</v>
      </c>
      <c r="F2083" s="12" t="n">
        <v>0</v>
      </c>
      <c r="G2083" s="11" t="n">
        <v>283.0828562</v>
      </c>
      <c r="H2083" s="13">
        <f>F2083*1000</f>
        <v/>
      </c>
      <c r="I2083" s="14">
        <f>G2083-273.15</f>
        <v/>
      </c>
      <c r="K2083" s="15" t="n">
        <v>2006</v>
      </c>
      <c r="L2083" s="15" t="n">
        <v>10</v>
      </c>
      <c r="M2083" s="15" t="n">
        <v>9</v>
      </c>
      <c r="N2083" s="16" t="n">
        <v>0</v>
      </c>
      <c r="O2083" s="11" t="n">
        <v>284.7310189</v>
      </c>
      <c r="P2083" s="13">
        <f>N2083*86400</f>
        <v/>
      </c>
      <c r="Q2083" s="14">
        <f>O2083-273.15</f>
        <v/>
      </c>
    </row>
    <row r="2084">
      <c r="A2084" s="9" t="n">
        <v>38971</v>
      </c>
      <c r="B2084" s="7">
        <f>YEAR(A2084)</f>
        <v/>
      </c>
      <c r="C2084" s="7">
        <f>MONTH(A2084)</f>
        <v/>
      </c>
      <c r="D2084" s="10" t="n">
        <v>0</v>
      </c>
      <c r="E2084" s="11" t="n">
        <v>8.035439454</v>
      </c>
      <c r="F2084" s="12" t="n">
        <v>0</v>
      </c>
      <c r="G2084" s="11" t="n">
        <v>282.1932369</v>
      </c>
      <c r="H2084" s="13">
        <f>F2084*1000</f>
        <v/>
      </c>
      <c r="I2084" s="14">
        <f>G2084-273.15</f>
        <v/>
      </c>
      <c r="K2084" s="15" t="n">
        <v>2006</v>
      </c>
      <c r="L2084" s="15" t="n">
        <v>10</v>
      </c>
      <c r="M2084" s="15" t="n">
        <v>10</v>
      </c>
      <c r="N2084" s="16" t="n">
        <v>0</v>
      </c>
      <c r="O2084" s="11" t="n">
        <v>283.5438695</v>
      </c>
      <c r="P2084" s="13">
        <f>N2084*86400</f>
        <v/>
      </c>
      <c r="Q2084" s="14">
        <f>O2084-273.15</f>
        <v/>
      </c>
    </row>
    <row r="2085">
      <c r="A2085" s="9" t="n">
        <v>38972</v>
      </c>
      <c r="B2085" s="7">
        <f>YEAR(A2085)</f>
        <v/>
      </c>
      <c r="C2085" s="7">
        <f>MONTH(A2085)</f>
        <v/>
      </c>
      <c r="D2085" s="10" t="n">
        <v>0</v>
      </c>
      <c r="E2085" s="11" t="n">
        <v>9.964622342</v>
      </c>
      <c r="F2085" s="12" t="n">
        <v>0</v>
      </c>
      <c r="G2085" s="11" t="n">
        <v>285.402811</v>
      </c>
      <c r="H2085" s="13">
        <f>F2085*1000</f>
        <v/>
      </c>
      <c r="I2085" s="14">
        <f>G2085-273.15</f>
        <v/>
      </c>
      <c r="K2085" s="15" t="n">
        <v>2006</v>
      </c>
      <c r="L2085" s="15" t="n">
        <v>10</v>
      </c>
      <c r="M2085" s="15" t="n">
        <v>11</v>
      </c>
      <c r="N2085" s="16" t="n">
        <v>1.372355135e-06</v>
      </c>
      <c r="O2085" s="11" t="n">
        <v>281.1084131</v>
      </c>
      <c r="P2085" s="13">
        <f>N2085*86400</f>
        <v/>
      </c>
      <c r="Q2085" s="14">
        <f>O2085-273.15</f>
        <v/>
      </c>
    </row>
    <row r="2086">
      <c r="A2086" s="9" t="n">
        <v>38973</v>
      </c>
      <c r="B2086" s="7">
        <f>YEAR(A2086)</f>
        <v/>
      </c>
      <c r="C2086" s="7">
        <f>MONTH(A2086)</f>
        <v/>
      </c>
      <c r="D2086" s="10" t="n">
        <v>0</v>
      </c>
      <c r="E2086" s="11" t="n">
        <v>9.545485252000001</v>
      </c>
      <c r="F2086" s="12" t="n">
        <v>0</v>
      </c>
      <c r="G2086" s="11" t="n">
        <v>286.0898219</v>
      </c>
      <c r="H2086" s="13">
        <f>F2086*1000</f>
        <v/>
      </c>
      <c r="I2086" s="14">
        <f>G2086-273.15</f>
        <v/>
      </c>
      <c r="K2086" s="15" t="n">
        <v>2006</v>
      </c>
      <c r="L2086" s="15" t="n">
        <v>10</v>
      </c>
      <c r="M2086" s="15" t="n">
        <v>12</v>
      </c>
      <c r="N2086" s="16" t="n">
        <v>0</v>
      </c>
      <c r="O2086" s="11" t="n">
        <v>282.4177444</v>
      </c>
      <c r="P2086" s="13">
        <f>N2086*86400</f>
        <v/>
      </c>
      <c r="Q2086" s="14">
        <f>O2086-273.15</f>
        <v/>
      </c>
    </row>
    <row r="2087">
      <c r="A2087" s="9" t="n">
        <v>38974</v>
      </c>
      <c r="B2087" s="7">
        <f>YEAR(A2087)</f>
        <v/>
      </c>
      <c r="C2087" s="7">
        <f>MONTH(A2087)</f>
        <v/>
      </c>
      <c r="D2087" s="10" t="n">
        <v>0</v>
      </c>
      <c r="E2087" s="11" t="n">
        <v>9.482916031</v>
      </c>
      <c r="F2087" s="12" t="n">
        <v>0</v>
      </c>
      <c r="G2087" s="11" t="n">
        <v>285.5521155</v>
      </c>
      <c r="H2087" s="13">
        <f>F2087*1000</f>
        <v/>
      </c>
      <c r="I2087" s="14">
        <f>G2087-273.15</f>
        <v/>
      </c>
      <c r="K2087" s="15" t="n">
        <v>2006</v>
      </c>
      <c r="L2087" s="15" t="n">
        <v>10</v>
      </c>
      <c r="M2087" s="15" t="n">
        <v>13</v>
      </c>
      <c r="N2087" s="16" t="n">
        <v>0</v>
      </c>
      <c r="O2087" s="11" t="n">
        <v>284.8447291</v>
      </c>
      <c r="P2087" s="13">
        <f>N2087*86400</f>
        <v/>
      </c>
      <c r="Q2087" s="14">
        <f>O2087-273.15</f>
        <v/>
      </c>
    </row>
    <row r="2088">
      <c r="A2088" s="9" t="n">
        <v>38975</v>
      </c>
      <c r="B2088" s="7">
        <f>YEAR(A2088)</f>
        <v/>
      </c>
      <c r="C2088" s="7">
        <f>MONTH(A2088)</f>
        <v/>
      </c>
      <c r="D2088" s="10" t="n">
        <v>0</v>
      </c>
      <c r="E2088" s="11" t="n">
        <v>8.584452591</v>
      </c>
      <c r="F2088" s="12" t="n">
        <v>0</v>
      </c>
      <c r="G2088" s="11" t="n">
        <v>284.7780668</v>
      </c>
      <c r="H2088" s="13">
        <f>F2088*1000</f>
        <v/>
      </c>
      <c r="I2088" s="14">
        <f>G2088-273.15</f>
        <v/>
      </c>
      <c r="K2088" s="15" t="n">
        <v>2006</v>
      </c>
      <c r="L2088" s="15" t="n">
        <v>10</v>
      </c>
      <c r="M2088" s="15" t="n">
        <v>14</v>
      </c>
      <c r="N2088" s="16" t="n">
        <v>4.209724065e-05</v>
      </c>
      <c r="O2088" s="11" t="n">
        <v>283.7041272</v>
      </c>
      <c r="P2088" s="13">
        <f>N2088*86400</f>
        <v/>
      </c>
      <c r="Q2088" s="14">
        <f>O2088-273.15</f>
        <v/>
      </c>
    </row>
    <row r="2089">
      <c r="A2089" s="9" t="n">
        <v>38976</v>
      </c>
      <c r="B2089" s="7">
        <f>YEAR(A2089)</f>
        <v/>
      </c>
      <c r="C2089" s="7">
        <f>MONTH(A2089)</f>
        <v/>
      </c>
      <c r="D2089" s="10" t="n">
        <v>3.370496817</v>
      </c>
      <c r="E2089" s="11" t="n">
        <v>7.587597519</v>
      </c>
      <c r="F2089" s="12" t="n">
        <v>0.0009897420975000001</v>
      </c>
      <c r="G2089" s="11" t="n">
        <v>284.3192662</v>
      </c>
      <c r="H2089" s="13">
        <f>F2089*1000</f>
        <v/>
      </c>
      <c r="I2089" s="14">
        <f>G2089-273.15</f>
        <v/>
      </c>
      <c r="K2089" s="15" t="n">
        <v>2006</v>
      </c>
      <c r="L2089" s="15" t="n">
        <v>10</v>
      </c>
      <c r="M2089" s="15" t="n">
        <v>15</v>
      </c>
      <c r="N2089" s="16" t="n">
        <v>4.065148371e-05</v>
      </c>
      <c r="O2089" s="11" t="n">
        <v>282.6633747</v>
      </c>
      <c r="P2089" s="13">
        <f>N2089*86400</f>
        <v/>
      </c>
      <c r="Q2089" s="14">
        <f>O2089-273.15</f>
        <v/>
      </c>
    </row>
    <row r="2090">
      <c r="A2090" s="9" t="n">
        <v>38977</v>
      </c>
      <c r="B2090" s="7">
        <f>YEAR(A2090)</f>
        <v/>
      </c>
      <c r="C2090" s="7">
        <f>MONTH(A2090)</f>
        <v/>
      </c>
      <c r="D2090" s="10" t="n">
        <v>9.810828341000001</v>
      </c>
      <c r="E2090" s="11" t="n">
        <v>8.228386873</v>
      </c>
      <c r="F2090" s="12" t="n">
        <v>0.004215361598</v>
      </c>
      <c r="G2090" s="11" t="n">
        <v>284.5504385</v>
      </c>
      <c r="H2090" s="13">
        <f>F2090*1000</f>
        <v/>
      </c>
      <c r="I2090" s="14">
        <f>G2090-273.15</f>
        <v/>
      </c>
      <c r="K2090" s="15" t="n">
        <v>2006</v>
      </c>
      <c r="L2090" s="15" t="n">
        <v>10</v>
      </c>
      <c r="M2090" s="15" t="n">
        <v>16</v>
      </c>
      <c r="N2090" s="16" t="n">
        <v>4.404114888e-05</v>
      </c>
      <c r="O2090" s="11" t="n">
        <v>282.0698623</v>
      </c>
      <c r="P2090" s="13">
        <f>N2090*86400</f>
        <v/>
      </c>
      <c r="Q2090" s="14">
        <f>O2090-273.15</f>
        <v/>
      </c>
    </row>
    <row r="2091">
      <c r="A2091" s="9" t="n">
        <v>38978</v>
      </c>
      <c r="B2091" s="7">
        <f>YEAR(A2091)</f>
        <v/>
      </c>
      <c r="C2091" s="7">
        <f>MONTH(A2091)</f>
        <v/>
      </c>
      <c r="D2091" s="10" t="n">
        <v>0</v>
      </c>
      <c r="E2091" s="11" t="n">
        <v>7.870985863</v>
      </c>
      <c r="F2091" s="12" t="n">
        <v>0.002863472081</v>
      </c>
      <c r="G2091" s="11" t="n">
        <v>283.375908</v>
      </c>
      <c r="H2091" s="13">
        <f>F2091*1000</f>
        <v/>
      </c>
      <c r="I2091" s="14">
        <f>G2091-273.15</f>
        <v/>
      </c>
      <c r="K2091" s="15" t="n">
        <v>2006</v>
      </c>
      <c r="L2091" s="15" t="n">
        <v>10</v>
      </c>
      <c r="M2091" s="15" t="n">
        <v>17</v>
      </c>
      <c r="N2091" s="16" t="n">
        <v>0</v>
      </c>
      <c r="O2091" s="11" t="n">
        <v>283.0131209</v>
      </c>
      <c r="P2091" s="13">
        <f>N2091*86400</f>
        <v/>
      </c>
      <c r="Q2091" s="14">
        <f>O2091-273.15</f>
        <v/>
      </c>
    </row>
    <row r="2092">
      <c r="A2092" s="9" t="n">
        <v>38979</v>
      </c>
      <c r="B2092" s="7">
        <f>YEAR(A2092)</f>
        <v/>
      </c>
      <c r="C2092" s="7">
        <f>MONTH(A2092)</f>
        <v/>
      </c>
      <c r="D2092" s="10" t="n">
        <v>0</v>
      </c>
      <c r="E2092" s="11" t="n">
        <v>8.061974165000001</v>
      </c>
      <c r="F2092" s="12" t="n">
        <v>0.0002687212437</v>
      </c>
      <c r="G2092" s="11" t="n">
        <v>283.4068342</v>
      </c>
      <c r="H2092" s="13">
        <f>F2092*1000</f>
        <v/>
      </c>
      <c r="I2092" s="14">
        <f>G2092-273.15</f>
        <v/>
      </c>
      <c r="K2092" s="15" t="n">
        <v>2006</v>
      </c>
      <c r="L2092" s="15" t="n">
        <v>10</v>
      </c>
      <c r="M2092" s="15" t="n">
        <v>18</v>
      </c>
      <c r="N2092" s="16" t="n">
        <v>0</v>
      </c>
      <c r="O2092" s="11" t="n">
        <v>280.9097891</v>
      </c>
      <c r="P2092" s="13">
        <f>N2092*86400</f>
        <v/>
      </c>
      <c r="Q2092" s="14">
        <f>O2092-273.15</f>
        <v/>
      </c>
    </row>
    <row r="2093">
      <c r="A2093" s="9" t="n">
        <v>38980</v>
      </c>
      <c r="B2093" s="7">
        <f>YEAR(A2093)</f>
        <v/>
      </c>
      <c r="C2093" s="7">
        <f>MONTH(A2093)</f>
        <v/>
      </c>
      <c r="D2093" s="10" t="n">
        <v>0</v>
      </c>
      <c r="E2093" s="11" t="n">
        <v>7.337349432</v>
      </c>
      <c r="F2093" s="12" t="n">
        <v>0.0008905159673</v>
      </c>
      <c r="G2093" s="11" t="n">
        <v>283.3629816</v>
      </c>
      <c r="H2093" s="13">
        <f>F2093*1000</f>
        <v/>
      </c>
      <c r="I2093" s="14">
        <f>G2093-273.15</f>
        <v/>
      </c>
      <c r="K2093" s="15" t="n">
        <v>2006</v>
      </c>
      <c r="L2093" s="15" t="n">
        <v>10</v>
      </c>
      <c r="M2093" s="15" t="n">
        <v>19</v>
      </c>
      <c r="N2093" s="16" t="n">
        <v>1.915454101e-07</v>
      </c>
      <c r="O2093" s="11" t="n">
        <v>280.978945</v>
      </c>
      <c r="P2093" s="13">
        <f>N2093*86400</f>
        <v/>
      </c>
      <c r="Q2093" s="14">
        <f>O2093-273.15</f>
        <v/>
      </c>
    </row>
    <row r="2094">
      <c r="A2094" s="9" t="n">
        <v>38981</v>
      </c>
      <c r="B2094" s="7">
        <f>YEAR(A2094)</f>
        <v/>
      </c>
      <c r="C2094" s="7">
        <f>MONTH(A2094)</f>
        <v/>
      </c>
      <c r="D2094" s="10" t="n">
        <v>8.841933275000001</v>
      </c>
      <c r="E2094" s="11" t="n">
        <v>6.390257667</v>
      </c>
      <c r="F2094" s="12" t="n">
        <v>0.00258793538</v>
      </c>
      <c r="G2094" s="11" t="n">
        <v>281.9912003</v>
      </c>
      <c r="H2094" s="13">
        <f>F2094*1000</f>
        <v/>
      </c>
      <c r="I2094" s="14">
        <f>G2094-273.15</f>
        <v/>
      </c>
      <c r="K2094" s="15" t="n">
        <v>2006</v>
      </c>
      <c r="L2094" s="15" t="n">
        <v>10</v>
      </c>
      <c r="M2094" s="15" t="n">
        <v>20</v>
      </c>
      <c r="N2094" s="16" t="n">
        <v>0</v>
      </c>
      <c r="O2094" s="11" t="n">
        <v>280.9037367</v>
      </c>
      <c r="P2094" s="13">
        <f>N2094*86400</f>
        <v/>
      </c>
      <c r="Q2094" s="14">
        <f>O2094-273.15</f>
        <v/>
      </c>
    </row>
    <row r="2095">
      <c r="A2095" s="9" t="n">
        <v>38982</v>
      </c>
      <c r="B2095" s="7">
        <f>YEAR(A2095)</f>
        <v/>
      </c>
      <c r="C2095" s="7">
        <f>MONTH(A2095)</f>
        <v/>
      </c>
      <c r="D2095" s="10" t="n">
        <v>0</v>
      </c>
      <c r="E2095" s="11" t="n">
        <v>7.702863107</v>
      </c>
      <c r="F2095" s="12" t="n">
        <v>6.524056767e-06</v>
      </c>
      <c r="G2095" s="11" t="n">
        <v>283.242619</v>
      </c>
      <c r="H2095" s="13">
        <f>F2095*1000</f>
        <v/>
      </c>
      <c r="I2095" s="14">
        <f>G2095-273.15</f>
        <v/>
      </c>
      <c r="K2095" s="15" t="n">
        <v>2006</v>
      </c>
      <c r="L2095" s="15" t="n">
        <v>10</v>
      </c>
      <c r="M2095" s="15" t="n">
        <v>21</v>
      </c>
      <c r="N2095" s="16" t="n">
        <v>5.871338989e-06</v>
      </c>
      <c r="O2095" s="11" t="n">
        <v>282.1607056</v>
      </c>
      <c r="P2095" s="13">
        <f>N2095*86400</f>
        <v/>
      </c>
      <c r="Q2095" s="14">
        <f>O2095-273.15</f>
        <v/>
      </c>
    </row>
    <row r="2096">
      <c r="A2096" s="9" t="n">
        <v>38983</v>
      </c>
      <c r="B2096" s="7">
        <f>YEAR(A2096)</f>
        <v/>
      </c>
      <c r="C2096" s="7">
        <f>MONTH(A2096)</f>
        <v/>
      </c>
      <c r="D2096" s="10" t="n">
        <v>0.256204084</v>
      </c>
      <c r="E2096" s="11" t="n">
        <v>8.154124848</v>
      </c>
      <c r="F2096" s="12" t="n">
        <v>0</v>
      </c>
      <c r="G2096" s="11" t="n">
        <v>284.3853369</v>
      </c>
      <c r="H2096" s="13">
        <f>F2096*1000</f>
        <v/>
      </c>
      <c r="I2096" s="14">
        <f>G2096-273.15</f>
        <v/>
      </c>
      <c r="K2096" s="15" t="n">
        <v>2006</v>
      </c>
      <c r="L2096" s="15" t="n">
        <v>10</v>
      </c>
      <c r="M2096" s="15" t="n">
        <v>22</v>
      </c>
      <c r="N2096" s="16" t="n">
        <v>3.963635348e-06</v>
      </c>
      <c r="O2096" s="11" t="n">
        <v>283.6991091</v>
      </c>
      <c r="P2096" s="13">
        <f>N2096*86400</f>
        <v/>
      </c>
      <c r="Q2096" s="14">
        <f>O2096-273.15</f>
        <v/>
      </c>
    </row>
    <row r="2097">
      <c r="A2097" s="9" t="n">
        <v>38984</v>
      </c>
      <c r="B2097" s="7">
        <f>YEAR(A2097)</f>
        <v/>
      </c>
      <c r="C2097" s="7">
        <f>MONTH(A2097)</f>
        <v/>
      </c>
      <c r="D2097" s="10" t="n">
        <v>0</v>
      </c>
      <c r="E2097" s="11" t="n">
        <v>6.609469561</v>
      </c>
      <c r="F2097" s="12" t="n">
        <v>0</v>
      </c>
      <c r="G2097" s="11" t="n">
        <v>282.9229719</v>
      </c>
      <c r="H2097" s="13">
        <f>F2097*1000</f>
        <v/>
      </c>
      <c r="I2097" s="14">
        <f>G2097-273.15</f>
        <v/>
      </c>
      <c r="K2097" s="15" t="n">
        <v>2006</v>
      </c>
      <c r="L2097" s="15" t="n">
        <v>10</v>
      </c>
      <c r="M2097" s="15" t="n">
        <v>23</v>
      </c>
      <c r="N2097" s="16" t="n">
        <v>0</v>
      </c>
      <c r="O2097" s="11" t="n">
        <v>282.9991933</v>
      </c>
      <c r="P2097" s="13">
        <f>N2097*86400</f>
        <v/>
      </c>
      <c r="Q2097" s="14">
        <f>O2097-273.15</f>
        <v/>
      </c>
    </row>
    <row r="2098">
      <c r="A2098" s="9" t="n">
        <v>38985</v>
      </c>
      <c r="B2098" s="7">
        <f>YEAR(A2098)</f>
        <v/>
      </c>
      <c r="C2098" s="7">
        <f>MONTH(A2098)</f>
        <v/>
      </c>
      <c r="D2098" s="10" t="n">
        <v>0</v>
      </c>
      <c r="E2098" s="11" t="n">
        <v>5.647260652</v>
      </c>
      <c r="F2098" s="12" t="n">
        <v>0</v>
      </c>
      <c r="G2098" s="11" t="n">
        <v>281.7692046</v>
      </c>
      <c r="H2098" s="13">
        <f>F2098*1000</f>
        <v/>
      </c>
      <c r="I2098" s="14">
        <f>G2098-273.15</f>
        <v/>
      </c>
      <c r="K2098" s="15" t="n">
        <v>2006</v>
      </c>
      <c r="L2098" s="15" t="n">
        <v>10</v>
      </c>
      <c r="M2098" s="15" t="n">
        <v>24</v>
      </c>
      <c r="N2098" s="16" t="n">
        <v>0</v>
      </c>
      <c r="O2098" s="11" t="n">
        <v>284.9380494</v>
      </c>
      <c r="P2098" s="13">
        <f>N2098*86400</f>
        <v/>
      </c>
      <c r="Q2098" s="14">
        <f>O2098-273.15</f>
        <v/>
      </c>
    </row>
    <row r="2099">
      <c r="A2099" s="9" t="n">
        <v>38986</v>
      </c>
      <c r="B2099" s="7">
        <f>YEAR(A2099)</f>
        <v/>
      </c>
      <c r="C2099" s="7">
        <f>MONTH(A2099)</f>
        <v/>
      </c>
      <c r="D2099" s="10" t="n">
        <v>0</v>
      </c>
      <c r="E2099" s="11" t="n">
        <v>7.320067815</v>
      </c>
      <c r="F2099" s="12" t="n">
        <v>0.0003353305468</v>
      </c>
      <c r="G2099" s="11" t="n">
        <v>283.3133466</v>
      </c>
      <c r="H2099" s="13">
        <f>F2099*1000</f>
        <v/>
      </c>
      <c r="I2099" s="14">
        <f>G2099-273.15</f>
        <v/>
      </c>
      <c r="K2099" s="15" t="n">
        <v>2006</v>
      </c>
      <c r="L2099" s="15" t="n">
        <v>10</v>
      </c>
      <c r="M2099" s="15" t="n">
        <v>25</v>
      </c>
      <c r="N2099" s="16" t="n">
        <v>0</v>
      </c>
      <c r="O2099" s="11" t="n">
        <v>284.2040473</v>
      </c>
      <c r="P2099" s="13">
        <f>N2099*86400</f>
        <v/>
      </c>
      <c r="Q2099" s="14">
        <f>O2099-273.15</f>
        <v/>
      </c>
    </row>
    <row r="2100">
      <c r="A2100" s="9" t="n">
        <v>38987</v>
      </c>
      <c r="B2100" s="7">
        <f>YEAR(A2100)</f>
        <v/>
      </c>
      <c r="C2100" s="7">
        <f>MONTH(A2100)</f>
        <v/>
      </c>
      <c r="D2100" s="10" t="n">
        <v>0</v>
      </c>
      <c r="E2100" s="11" t="n">
        <v>9.069242260999999</v>
      </c>
      <c r="F2100" s="12" t="n">
        <v>0</v>
      </c>
      <c r="G2100" s="11" t="n">
        <v>285.0684245</v>
      </c>
      <c r="H2100" s="13">
        <f>F2100*1000</f>
        <v/>
      </c>
      <c r="I2100" s="14">
        <f>G2100-273.15</f>
        <v/>
      </c>
      <c r="K2100" s="15" t="n">
        <v>2006</v>
      </c>
      <c r="L2100" s="15" t="n">
        <v>10</v>
      </c>
      <c r="M2100" s="15" t="n">
        <v>26</v>
      </c>
      <c r="N2100" s="16" t="n">
        <v>0</v>
      </c>
      <c r="O2100" s="11" t="n">
        <v>284.994035</v>
      </c>
      <c r="P2100" s="13">
        <f>N2100*86400</f>
        <v/>
      </c>
      <c r="Q2100" s="14">
        <f>O2100-273.15</f>
        <v/>
      </c>
    </row>
    <row r="2101">
      <c r="A2101" s="9" t="n">
        <v>38988</v>
      </c>
      <c r="B2101" s="7">
        <f>YEAR(A2101)</f>
        <v/>
      </c>
      <c r="C2101" s="7">
        <f>MONTH(A2101)</f>
        <v/>
      </c>
      <c r="D2101" s="10" t="n">
        <v>0</v>
      </c>
      <c r="E2101" s="11" t="n">
        <v>10.98011519</v>
      </c>
      <c r="F2101" s="12" t="n">
        <v>0</v>
      </c>
      <c r="G2101" s="11" t="n">
        <v>285.6457611</v>
      </c>
      <c r="H2101" s="13">
        <f>F2101*1000</f>
        <v/>
      </c>
      <c r="I2101" s="14">
        <f>G2101-273.15</f>
        <v/>
      </c>
      <c r="K2101" s="15" t="n">
        <v>2006</v>
      </c>
      <c r="L2101" s="15" t="n">
        <v>10</v>
      </c>
      <c r="M2101" s="15" t="n">
        <v>27</v>
      </c>
      <c r="N2101" s="16" t="n">
        <v>2.628738195e-07</v>
      </c>
      <c r="O2101" s="11" t="n">
        <v>283.6191217</v>
      </c>
      <c r="P2101" s="13">
        <f>N2101*86400</f>
        <v/>
      </c>
      <c r="Q2101" s="14">
        <f>O2101-273.15</f>
        <v/>
      </c>
    </row>
    <row r="2102">
      <c r="A2102" s="9" t="n">
        <v>38989</v>
      </c>
      <c r="B2102" s="7">
        <f>YEAR(A2102)</f>
        <v/>
      </c>
      <c r="C2102" s="7">
        <f>MONTH(A2102)</f>
        <v/>
      </c>
      <c r="D2102" s="10" t="n">
        <v>0</v>
      </c>
      <c r="E2102" s="11" t="n">
        <v>10.12897372</v>
      </c>
      <c r="F2102" s="12" t="n">
        <v>4.298696358e-05</v>
      </c>
      <c r="G2102" s="11" t="n">
        <v>285.7779085</v>
      </c>
      <c r="H2102" s="13">
        <f>F2102*1000</f>
        <v/>
      </c>
      <c r="I2102" s="14">
        <f>G2102-273.15</f>
        <v/>
      </c>
      <c r="K2102" s="15" t="n">
        <v>2006</v>
      </c>
      <c r="L2102" s="15" t="n">
        <v>10</v>
      </c>
      <c r="M2102" s="15" t="n">
        <v>28</v>
      </c>
      <c r="N2102" s="16" t="n">
        <v>6.40460163e-06</v>
      </c>
      <c r="O2102" s="11" t="n">
        <v>282.1365521</v>
      </c>
      <c r="P2102" s="13">
        <f>N2102*86400</f>
        <v/>
      </c>
      <c r="Q2102" s="14">
        <f>O2102-273.15</f>
        <v/>
      </c>
    </row>
    <row r="2103">
      <c r="A2103" s="9" t="n">
        <v>38990</v>
      </c>
      <c r="B2103" s="7">
        <f>YEAR(A2103)</f>
        <v/>
      </c>
      <c r="C2103" s="7">
        <f>MONTH(A2103)</f>
        <v/>
      </c>
      <c r="D2103" s="10" t="n">
        <v>0</v>
      </c>
      <c r="E2103" s="11" t="n">
        <v>13.5911851</v>
      </c>
      <c r="F2103" s="12" t="n">
        <v>0</v>
      </c>
      <c r="G2103" s="11" t="n">
        <v>287.8939316</v>
      </c>
      <c r="H2103" s="13">
        <f>F2103*1000</f>
        <v/>
      </c>
      <c r="I2103" s="14">
        <f>G2103-273.15</f>
        <v/>
      </c>
      <c r="K2103" s="15" t="n">
        <v>2006</v>
      </c>
      <c r="L2103" s="15" t="n">
        <v>10</v>
      </c>
      <c r="M2103" s="15" t="n">
        <v>29</v>
      </c>
      <c r="N2103" s="16" t="n">
        <v>1.750825761e-06</v>
      </c>
      <c r="O2103" s="11" t="n">
        <v>279.9421077</v>
      </c>
      <c r="P2103" s="13">
        <f>N2103*86400</f>
        <v/>
      </c>
      <c r="Q2103" s="14">
        <f>O2103-273.15</f>
        <v/>
      </c>
    </row>
    <row r="2104">
      <c r="A2104" s="9" t="n">
        <v>38991</v>
      </c>
      <c r="B2104" s="7">
        <f>YEAR(A2104)</f>
        <v/>
      </c>
      <c r="C2104" s="7">
        <f>MONTH(A2104)</f>
        <v/>
      </c>
      <c r="D2104" s="10" t="n">
        <v>0</v>
      </c>
      <c r="E2104" s="11" t="n">
        <v>13.76503044</v>
      </c>
      <c r="F2104" s="12" t="n">
        <v>0</v>
      </c>
      <c r="G2104" s="11" t="n">
        <v>288.1461666</v>
      </c>
      <c r="H2104" s="13">
        <f>F2104*1000</f>
        <v/>
      </c>
      <c r="I2104" s="14">
        <f>G2104-273.15</f>
        <v/>
      </c>
      <c r="K2104" s="15" t="n">
        <v>2006</v>
      </c>
      <c r="L2104" s="15" t="n">
        <v>10</v>
      </c>
      <c r="M2104" s="15" t="n">
        <v>30</v>
      </c>
      <c r="N2104" s="16" t="n">
        <v>9.862565859e-06</v>
      </c>
      <c r="O2104" s="11" t="n">
        <v>280.5270076</v>
      </c>
      <c r="P2104" s="13">
        <f>N2104*86400</f>
        <v/>
      </c>
      <c r="Q2104" s="14">
        <f>O2104-273.15</f>
        <v/>
      </c>
    </row>
    <row r="2105">
      <c r="A2105" s="9" t="n">
        <v>38992</v>
      </c>
      <c r="B2105" s="7">
        <f>YEAR(A2105)</f>
        <v/>
      </c>
      <c r="C2105" s="7">
        <f>MONTH(A2105)</f>
        <v/>
      </c>
      <c r="D2105" s="10" t="n">
        <v>0</v>
      </c>
      <c r="E2105" s="11" t="n">
        <v>12.81094492</v>
      </c>
      <c r="F2105" s="12" t="n">
        <v>0.0003415513482</v>
      </c>
      <c r="G2105" s="11" t="n">
        <v>287.2508881</v>
      </c>
      <c r="H2105" s="13">
        <f>F2105*1000</f>
        <v/>
      </c>
      <c r="I2105" s="14">
        <f>G2105-273.15</f>
        <v/>
      </c>
      <c r="K2105" s="15" t="n">
        <v>2006</v>
      </c>
      <c r="L2105" s="15" t="n">
        <v>11</v>
      </c>
      <c r="M2105" s="15" t="n">
        <v>1</v>
      </c>
      <c r="N2105" s="16" t="n">
        <v>1.317661572e-05</v>
      </c>
      <c r="O2105" s="11" t="n">
        <v>281.1788785</v>
      </c>
      <c r="P2105" s="13">
        <f>N2105*86400</f>
        <v/>
      </c>
      <c r="Q2105" s="14">
        <f>O2105-273.15</f>
        <v/>
      </c>
    </row>
    <row r="2106">
      <c r="A2106" s="9" t="n">
        <v>38993</v>
      </c>
      <c r="B2106" s="7">
        <f>YEAR(A2106)</f>
        <v/>
      </c>
      <c r="C2106" s="7">
        <f>MONTH(A2106)</f>
        <v/>
      </c>
      <c r="D2106" s="10" t="n">
        <v>5.63271562</v>
      </c>
      <c r="E2106" s="11" t="n">
        <v>12.04445319</v>
      </c>
      <c r="F2106" s="12" t="n">
        <v>0.001815358619</v>
      </c>
      <c r="G2106" s="11" t="n">
        <v>286.3078989</v>
      </c>
      <c r="H2106" s="13">
        <f>F2106*1000</f>
        <v/>
      </c>
      <c r="I2106" s="14">
        <f>G2106-273.15</f>
        <v/>
      </c>
      <c r="K2106" s="15" t="n">
        <v>2006</v>
      </c>
      <c r="L2106" s="15" t="n">
        <v>11</v>
      </c>
      <c r="M2106" s="15" t="n">
        <v>2</v>
      </c>
      <c r="N2106" s="16" t="n">
        <v>1.926535474e-05</v>
      </c>
      <c r="O2106" s="11" t="n">
        <v>280.1880198</v>
      </c>
      <c r="P2106" s="13">
        <f>N2106*86400</f>
        <v/>
      </c>
      <c r="Q2106" s="14">
        <f>O2106-273.15</f>
        <v/>
      </c>
    </row>
    <row r="2107">
      <c r="A2107" s="9" t="n">
        <v>38994</v>
      </c>
      <c r="B2107" s="7">
        <f>YEAR(A2107)</f>
        <v/>
      </c>
      <c r="C2107" s="7">
        <f>MONTH(A2107)</f>
        <v/>
      </c>
      <c r="D2107" s="10" t="n">
        <v>0</v>
      </c>
      <c r="E2107" s="11" t="n">
        <v>9.753711522</v>
      </c>
      <c r="F2107" s="12" t="n">
        <v>0</v>
      </c>
      <c r="G2107" s="11" t="n">
        <v>284.0852455</v>
      </c>
      <c r="H2107" s="13">
        <f>F2107*1000</f>
        <v/>
      </c>
      <c r="I2107" s="14">
        <f>G2107-273.15</f>
        <v/>
      </c>
      <c r="K2107" s="15" t="n">
        <v>2006</v>
      </c>
      <c r="L2107" s="15" t="n">
        <v>11</v>
      </c>
      <c r="M2107" s="15" t="n">
        <v>3</v>
      </c>
      <c r="N2107" s="16" t="n">
        <v>0</v>
      </c>
      <c r="O2107" s="11" t="n">
        <v>281.8777302</v>
      </c>
      <c r="P2107" s="13">
        <f>N2107*86400</f>
        <v/>
      </c>
      <c r="Q2107" s="14">
        <f>O2107-273.15</f>
        <v/>
      </c>
    </row>
    <row r="2108">
      <c r="A2108" s="9" t="n">
        <v>38995</v>
      </c>
      <c r="B2108" s="7">
        <f>YEAR(A2108)</f>
        <v/>
      </c>
      <c r="C2108" s="7">
        <f>MONTH(A2108)</f>
        <v/>
      </c>
      <c r="D2108" s="10" t="n">
        <v>0</v>
      </c>
      <c r="E2108" s="11" t="n">
        <v>7.961455524</v>
      </c>
      <c r="F2108" s="12" t="n">
        <v>0</v>
      </c>
      <c r="G2108" s="11" t="n">
        <v>282.3330248</v>
      </c>
      <c r="H2108" s="13">
        <f>F2108*1000</f>
        <v/>
      </c>
      <c r="I2108" s="14">
        <f>G2108-273.15</f>
        <v/>
      </c>
      <c r="K2108" s="15" t="n">
        <v>2006</v>
      </c>
      <c r="L2108" s="15" t="n">
        <v>11</v>
      </c>
      <c r="M2108" s="15" t="n">
        <v>4</v>
      </c>
      <c r="N2108" s="16" t="n">
        <v>0</v>
      </c>
      <c r="O2108" s="11" t="n">
        <v>282.8450479</v>
      </c>
      <c r="P2108" s="13">
        <f>N2108*86400</f>
        <v/>
      </c>
      <c r="Q2108" s="14">
        <f>O2108-273.15</f>
        <v/>
      </c>
    </row>
    <row r="2109">
      <c r="A2109" s="9" t="n">
        <v>38996</v>
      </c>
      <c r="B2109" s="7">
        <f>YEAR(A2109)</f>
        <v/>
      </c>
      <c r="C2109" s="7">
        <f>MONTH(A2109)</f>
        <v/>
      </c>
      <c r="D2109" s="10" t="n">
        <v>0</v>
      </c>
      <c r="E2109" s="11" t="n">
        <v>6.031141884</v>
      </c>
      <c r="F2109" s="12" t="n">
        <v>0.0001953035134</v>
      </c>
      <c r="G2109" s="11" t="n">
        <v>280.9038944</v>
      </c>
      <c r="H2109" s="13">
        <f>F2109*1000</f>
        <v/>
      </c>
      <c r="I2109" s="14">
        <f>G2109-273.15</f>
        <v/>
      </c>
      <c r="K2109" s="15" t="n">
        <v>2006</v>
      </c>
      <c r="L2109" s="15" t="n">
        <v>11</v>
      </c>
      <c r="M2109" s="15" t="n">
        <v>5</v>
      </c>
      <c r="N2109" s="16" t="n">
        <v>0</v>
      </c>
      <c r="O2109" s="11" t="n">
        <v>283.8524764</v>
      </c>
      <c r="P2109" s="13">
        <f>N2109*86400</f>
        <v/>
      </c>
      <c r="Q2109" s="14">
        <f>O2109-273.15</f>
        <v/>
      </c>
    </row>
    <row r="2110">
      <c r="A2110" s="9" t="n">
        <v>38997</v>
      </c>
      <c r="B2110" s="7">
        <f>YEAR(A2110)</f>
        <v/>
      </c>
      <c r="C2110" s="7">
        <f>MONTH(A2110)</f>
        <v/>
      </c>
      <c r="D2110" s="10" t="n">
        <v>0</v>
      </c>
      <c r="E2110" s="11" t="n">
        <v>7.253731826</v>
      </c>
      <c r="F2110" s="12" t="n">
        <v>0</v>
      </c>
      <c r="G2110" s="11" t="n">
        <v>282.3143674</v>
      </c>
      <c r="H2110" s="13">
        <f>F2110*1000</f>
        <v/>
      </c>
      <c r="I2110" s="14">
        <f>G2110-273.15</f>
        <v/>
      </c>
      <c r="K2110" s="15" t="n">
        <v>2006</v>
      </c>
      <c r="L2110" s="15" t="n">
        <v>11</v>
      </c>
      <c r="M2110" s="15" t="n">
        <v>6</v>
      </c>
      <c r="N2110" s="16" t="n">
        <v>0</v>
      </c>
      <c r="O2110" s="11" t="n">
        <v>282.7135462</v>
      </c>
      <c r="P2110" s="13">
        <f>N2110*86400</f>
        <v/>
      </c>
      <c r="Q2110" s="14">
        <f>O2110-273.15</f>
        <v/>
      </c>
    </row>
    <row r="2111">
      <c r="A2111" s="9" t="n">
        <v>38998</v>
      </c>
      <c r="B2111" s="7">
        <f>YEAR(A2111)</f>
        <v/>
      </c>
      <c r="C2111" s="7">
        <f>MONTH(A2111)</f>
        <v/>
      </c>
      <c r="D2111" s="10" t="n">
        <v>0</v>
      </c>
      <c r="E2111" s="11" t="n">
        <v>7.682085413</v>
      </c>
      <c r="F2111" s="12" t="n">
        <v>0</v>
      </c>
      <c r="G2111" s="11" t="n">
        <v>282.1250482</v>
      </c>
      <c r="H2111" s="13">
        <f>F2111*1000</f>
        <v/>
      </c>
      <c r="I2111" s="14">
        <f>G2111-273.15</f>
        <v/>
      </c>
      <c r="K2111" s="15" t="n">
        <v>2006</v>
      </c>
      <c r="L2111" s="15" t="n">
        <v>11</v>
      </c>
      <c r="M2111" s="15" t="n">
        <v>7</v>
      </c>
      <c r="N2111" s="16" t="n">
        <v>2.118403392e-05</v>
      </c>
      <c r="O2111" s="11" t="n">
        <v>285.1744902</v>
      </c>
      <c r="P2111" s="13">
        <f>N2111*86400</f>
        <v/>
      </c>
      <c r="Q2111" s="14">
        <f>O2111-273.15</f>
        <v/>
      </c>
    </row>
    <row r="2112">
      <c r="A2112" s="9" t="n">
        <v>38999</v>
      </c>
      <c r="B2112" s="7">
        <f>YEAR(A2112)</f>
        <v/>
      </c>
      <c r="C2112" s="7">
        <f>MONTH(A2112)</f>
        <v/>
      </c>
      <c r="D2112" s="10" t="n">
        <v>0</v>
      </c>
      <c r="E2112" s="11" t="n">
        <v>9.64479337</v>
      </c>
      <c r="F2112" s="12" t="n">
        <v>0</v>
      </c>
      <c r="G2112" s="11" t="n">
        <v>283.4593583</v>
      </c>
      <c r="H2112" s="13">
        <f>F2112*1000</f>
        <v/>
      </c>
      <c r="I2112" s="14">
        <f>G2112-273.15</f>
        <v/>
      </c>
      <c r="K2112" s="15" t="n">
        <v>2006</v>
      </c>
      <c r="L2112" s="15" t="n">
        <v>11</v>
      </c>
      <c r="M2112" s="15" t="n">
        <v>8</v>
      </c>
      <c r="N2112" s="16" t="n">
        <v>0</v>
      </c>
      <c r="O2112" s="11" t="n">
        <v>283.2663711</v>
      </c>
      <c r="P2112" s="13">
        <f>N2112*86400</f>
        <v/>
      </c>
      <c r="Q2112" s="14">
        <f>O2112-273.15</f>
        <v/>
      </c>
    </row>
    <row r="2113">
      <c r="A2113" s="9" t="n">
        <v>39000</v>
      </c>
      <c r="B2113" s="7">
        <f>YEAR(A2113)</f>
        <v/>
      </c>
      <c r="C2113" s="7">
        <f>MONTH(A2113)</f>
        <v/>
      </c>
      <c r="D2113" s="10" t="n">
        <v>0</v>
      </c>
      <c r="E2113" s="11" t="n">
        <v>8.288722199</v>
      </c>
      <c r="F2113" s="12" t="n">
        <v>0</v>
      </c>
      <c r="G2113" s="11" t="n">
        <v>283.3932166</v>
      </c>
      <c r="H2113" s="13">
        <f>F2113*1000</f>
        <v/>
      </c>
      <c r="I2113" s="14">
        <f>G2113-273.15</f>
        <v/>
      </c>
      <c r="K2113" s="15" t="n">
        <v>2006</v>
      </c>
      <c r="L2113" s="15" t="n">
        <v>11</v>
      </c>
      <c r="M2113" s="15" t="n">
        <v>9</v>
      </c>
      <c r="N2113" s="16" t="n">
        <v>9.018415364e-05</v>
      </c>
      <c r="O2113" s="11" t="n">
        <v>283.4075963</v>
      </c>
      <c r="P2113" s="13">
        <f>N2113*86400</f>
        <v/>
      </c>
      <c r="Q2113" s="14">
        <f>O2113-273.15</f>
        <v/>
      </c>
    </row>
    <row r="2114">
      <c r="A2114" s="9" t="n">
        <v>39001</v>
      </c>
      <c r="B2114" s="7">
        <f>YEAR(A2114)</f>
        <v/>
      </c>
      <c r="C2114" s="7">
        <f>MONTH(A2114)</f>
        <v/>
      </c>
      <c r="D2114" s="10" t="n">
        <v>0</v>
      </c>
      <c r="E2114" s="11" t="n">
        <v>7.35125032</v>
      </c>
      <c r="F2114" s="12" t="n">
        <v>0.001939938227</v>
      </c>
      <c r="G2114" s="11" t="n">
        <v>281.9512776</v>
      </c>
      <c r="H2114" s="13">
        <f>F2114*1000</f>
        <v/>
      </c>
      <c r="I2114" s="14">
        <f>G2114-273.15</f>
        <v/>
      </c>
      <c r="K2114" s="15" t="n">
        <v>2006</v>
      </c>
      <c r="L2114" s="15" t="n">
        <v>11</v>
      </c>
      <c r="M2114" s="15" t="n">
        <v>10</v>
      </c>
      <c r="N2114" s="16" t="n">
        <v>8.506304858999999e-06</v>
      </c>
      <c r="O2114" s="11" t="n">
        <v>281.3467734</v>
      </c>
      <c r="P2114" s="13">
        <f>N2114*86400</f>
        <v/>
      </c>
      <c r="Q2114" s="14">
        <f>O2114-273.15</f>
        <v/>
      </c>
    </row>
    <row r="2115">
      <c r="A2115" s="9" t="n">
        <v>39002</v>
      </c>
      <c r="B2115" s="7">
        <f>YEAR(A2115)</f>
        <v/>
      </c>
      <c r="C2115" s="7">
        <f>MONTH(A2115)</f>
        <v/>
      </c>
      <c r="D2115" s="10" t="n">
        <v>0</v>
      </c>
      <c r="E2115" s="11" t="n">
        <v>6.070990255</v>
      </c>
      <c r="F2115" s="12" t="n">
        <v>0.0001073883832</v>
      </c>
      <c r="G2115" s="11" t="n">
        <v>281.0919249</v>
      </c>
      <c r="H2115" s="13">
        <f>F2115*1000</f>
        <v/>
      </c>
      <c r="I2115" s="14">
        <f>G2115-273.15</f>
        <v/>
      </c>
      <c r="K2115" s="15" t="n">
        <v>2006</v>
      </c>
      <c r="L2115" s="15" t="n">
        <v>11</v>
      </c>
      <c r="M2115" s="15" t="n">
        <v>11</v>
      </c>
      <c r="N2115" s="16" t="n">
        <v>0</v>
      </c>
      <c r="O2115" s="11" t="n">
        <v>279.8058962</v>
      </c>
      <c r="P2115" s="13">
        <f>N2115*86400</f>
        <v/>
      </c>
      <c r="Q2115" s="14">
        <f>O2115-273.15</f>
        <v/>
      </c>
    </row>
    <row r="2116">
      <c r="A2116" s="9" t="n">
        <v>39003</v>
      </c>
      <c r="B2116" s="7">
        <f>YEAR(A2116)</f>
        <v/>
      </c>
      <c r="C2116" s="7">
        <f>MONTH(A2116)</f>
        <v/>
      </c>
      <c r="D2116" s="10" t="n">
        <v>0</v>
      </c>
      <c r="E2116" s="11" t="n">
        <v>6.211547387</v>
      </c>
      <c r="F2116" s="12" t="n">
        <v>0</v>
      </c>
      <c r="G2116" s="11" t="n">
        <v>281.5896256</v>
      </c>
      <c r="H2116" s="13">
        <f>F2116*1000</f>
        <v/>
      </c>
      <c r="I2116" s="14">
        <f>G2116-273.15</f>
        <v/>
      </c>
      <c r="K2116" s="15" t="n">
        <v>2006</v>
      </c>
      <c r="L2116" s="15" t="n">
        <v>11</v>
      </c>
      <c r="M2116" s="15" t="n">
        <v>12</v>
      </c>
      <c r="N2116" s="16" t="n">
        <v>0</v>
      </c>
      <c r="O2116" s="11" t="n">
        <v>281.5276847</v>
      </c>
      <c r="P2116" s="13">
        <f>N2116*86400</f>
        <v/>
      </c>
      <c r="Q2116" s="14">
        <f>O2116-273.15</f>
        <v/>
      </c>
    </row>
    <row r="2117">
      <c r="A2117" s="9" t="n">
        <v>39004</v>
      </c>
      <c r="B2117" s="7">
        <f>YEAR(A2117)</f>
        <v/>
      </c>
      <c r="C2117" s="7">
        <f>MONTH(A2117)</f>
        <v/>
      </c>
      <c r="D2117" s="10" t="n">
        <v>0</v>
      </c>
      <c r="E2117" s="11" t="n">
        <v>7.817444832</v>
      </c>
      <c r="F2117" s="12" t="n">
        <v>0.0008753878298</v>
      </c>
      <c r="G2117" s="11" t="n">
        <v>283.7643647</v>
      </c>
      <c r="H2117" s="13">
        <f>F2117*1000</f>
        <v/>
      </c>
      <c r="I2117" s="14">
        <f>G2117-273.15</f>
        <v/>
      </c>
      <c r="K2117" s="15" t="n">
        <v>2006</v>
      </c>
      <c r="L2117" s="15" t="n">
        <v>11</v>
      </c>
      <c r="M2117" s="15" t="n">
        <v>13</v>
      </c>
      <c r="N2117" s="16" t="n">
        <v>0</v>
      </c>
      <c r="O2117" s="11" t="n">
        <v>281.741712</v>
      </c>
      <c r="P2117" s="13">
        <f>N2117*86400</f>
        <v/>
      </c>
      <c r="Q2117" s="14">
        <f>O2117-273.15</f>
        <v/>
      </c>
    </row>
    <row r="2118">
      <c r="A2118" s="9" t="n">
        <v>39005</v>
      </c>
      <c r="B2118" s="7">
        <f>YEAR(A2118)</f>
        <v/>
      </c>
      <c r="C2118" s="7">
        <f>MONTH(A2118)</f>
        <v/>
      </c>
      <c r="D2118" s="10" t="n">
        <v>0</v>
      </c>
      <c r="E2118" s="11" t="n">
        <v>9.293745983000001</v>
      </c>
      <c r="F2118" s="12" t="n">
        <v>0</v>
      </c>
      <c r="G2118" s="11" t="n">
        <v>285.2942246</v>
      </c>
      <c r="H2118" s="13">
        <f>F2118*1000</f>
        <v/>
      </c>
      <c r="I2118" s="14">
        <f>G2118-273.15</f>
        <v/>
      </c>
      <c r="K2118" s="15" t="n">
        <v>2006</v>
      </c>
      <c r="L2118" s="15" t="n">
        <v>11</v>
      </c>
      <c r="M2118" s="15" t="n">
        <v>14</v>
      </c>
      <c r="N2118" s="16" t="n">
        <v>8.374146534e-07</v>
      </c>
      <c r="O2118" s="11" t="n">
        <v>283.3622136</v>
      </c>
      <c r="P2118" s="13">
        <f>N2118*86400</f>
        <v/>
      </c>
      <c r="Q2118" s="14">
        <f>O2118-273.15</f>
        <v/>
      </c>
    </row>
    <row r="2119">
      <c r="A2119" s="9" t="n">
        <v>39006</v>
      </c>
      <c r="B2119" s="7">
        <f>YEAR(A2119)</f>
        <v/>
      </c>
      <c r="C2119" s="7">
        <f>MONTH(A2119)</f>
        <v/>
      </c>
      <c r="D2119" s="10" t="n">
        <v>0</v>
      </c>
      <c r="E2119" s="11" t="n">
        <v>8.57200471</v>
      </c>
      <c r="F2119" s="12" t="n">
        <v>2.793269816e-05</v>
      </c>
      <c r="G2119" s="11" t="n">
        <v>283.9917285</v>
      </c>
      <c r="H2119" s="13">
        <f>F2119*1000</f>
        <v/>
      </c>
      <c r="I2119" s="14">
        <f>G2119-273.15</f>
        <v/>
      </c>
      <c r="K2119" s="15" t="n">
        <v>2006</v>
      </c>
      <c r="L2119" s="15" t="n">
        <v>11</v>
      </c>
      <c r="M2119" s="15" t="n">
        <v>15</v>
      </c>
      <c r="N2119" s="16" t="n">
        <v>0</v>
      </c>
      <c r="O2119" s="11" t="n">
        <v>280.907049</v>
      </c>
      <c r="P2119" s="13">
        <f>N2119*86400</f>
        <v/>
      </c>
      <c r="Q2119" s="14">
        <f>O2119-273.15</f>
        <v/>
      </c>
    </row>
    <row r="2120">
      <c r="A2120" s="9" t="n">
        <v>39007</v>
      </c>
      <c r="B2120" s="7">
        <f>YEAR(A2120)</f>
        <v/>
      </c>
      <c r="C2120" s="7">
        <f>MONTH(A2120)</f>
        <v/>
      </c>
      <c r="D2120" s="10" t="n">
        <v>0</v>
      </c>
      <c r="E2120" s="11" t="n">
        <v>8.189804772</v>
      </c>
      <c r="F2120" s="12" t="n">
        <v>0</v>
      </c>
      <c r="G2120" s="11" t="n">
        <v>283.1869595</v>
      </c>
      <c r="H2120" s="13">
        <f>F2120*1000</f>
        <v/>
      </c>
      <c r="I2120" s="14">
        <f>G2120-273.15</f>
        <v/>
      </c>
      <c r="K2120" s="15" t="n">
        <v>2006</v>
      </c>
      <c r="L2120" s="15" t="n">
        <v>11</v>
      </c>
      <c r="M2120" s="15" t="n">
        <v>16</v>
      </c>
      <c r="N2120" s="16" t="n">
        <v>0</v>
      </c>
      <c r="O2120" s="11" t="n">
        <v>280.954627</v>
      </c>
      <c r="P2120" s="13">
        <f>N2120*86400</f>
        <v/>
      </c>
      <c r="Q2120" s="14">
        <f>O2120-273.15</f>
        <v/>
      </c>
    </row>
    <row r="2121">
      <c r="A2121" s="9" t="n">
        <v>39008</v>
      </c>
      <c r="B2121" s="7">
        <f>YEAR(A2121)</f>
        <v/>
      </c>
      <c r="C2121" s="7">
        <f>MONTH(A2121)</f>
        <v/>
      </c>
      <c r="D2121" s="10" t="n">
        <v>0</v>
      </c>
      <c r="E2121" s="11" t="n">
        <v>9.45980046</v>
      </c>
      <c r="F2121" s="12" t="n">
        <v>0</v>
      </c>
      <c r="G2121" s="11" t="n">
        <v>284.1455079</v>
      </c>
      <c r="H2121" s="13">
        <f>F2121*1000</f>
        <v/>
      </c>
      <c r="I2121" s="14">
        <f>G2121-273.15</f>
        <v/>
      </c>
      <c r="K2121" s="15" t="n">
        <v>2006</v>
      </c>
      <c r="L2121" s="15" t="n">
        <v>11</v>
      </c>
      <c r="M2121" s="15" t="n">
        <v>17</v>
      </c>
      <c r="N2121" s="16" t="n">
        <v>0</v>
      </c>
      <c r="O2121" s="11" t="n">
        <v>278.6790494</v>
      </c>
      <c r="P2121" s="13">
        <f>N2121*86400</f>
        <v/>
      </c>
      <c r="Q2121" s="14">
        <f>O2121-273.15</f>
        <v/>
      </c>
    </row>
    <row r="2122">
      <c r="A2122" s="9" t="n">
        <v>39009</v>
      </c>
      <c r="B2122" s="7">
        <f>YEAR(A2122)</f>
        <v/>
      </c>
      <c r="C2122" s="7">
        <f>MONTH(A2122)</f>
        <v/>
      </c>
      <c r="D2122" s="10" t="n">
        <v>0</v>
      </c>
      <c r="E2122" s="11" t="n">
        <v>10.0019975</v>
      </c>
      <c r="F2122" s="12" t="n">
        <v>0</v>
      </c>
      <c r="G2122" s="11" t="n">
        <v>283.9260071</v>
      </c>
      <c r="H2122" s="13">
        <f>F2122*1000</f>
        <v/>
      </c>
      <c r="I2122" s="14">
        <f>G2122-273.15</f>
        <v/>
      </c>
      <c r="K2122" s="15" t="n">
        <v>2006</v>
      </c>
      <c r="L2122" s="15" t="n">
        <v>11</v>
      </c>
      <c r="M2122" s="15" t="n">
        <v>18</v>
      </c>
      <c r="N2122" s="16" t="n">
        <v>0</v>
      </c>
      <c r="O2122" s="11" t="n">
        <v>277.574588</v>
      </c>
      <c r="P2122" s="13">
        <f>N2122*86400</f>
        <v/>
      </c>
      <c r="Q2122" s="14">
        <f>O2122-273.15</f>
        <v/>
      </c>
    </row>
    <row r="2123">
      <c r="A2123" s="9" t="n">
        <v>39010</v>
      </c>
      <c r="B2123" s="7">
        <f>YEAR(A2123)</f>
        <v/>
      </c>
      <c r="C2123" s="7">
        <f>MONTH(A2123)</f>
        <v/>
      </c>
      <c r="D2123" s="10" t="n">
        <v>0</v>
      </c>
      <c r="E2123" s="11" t="n">
        <v>9.608137611</v>
      </c>
      <c r="F2123" s="12" t="n">
        <v>0</v>
      </c>
      <c r="G2123" s="11" t="n">
        <v>283.1041175</v>
      </c>
      <c r="H2123" s="13">
        <f>F2123*1000</f>
        <v/>
      </c>
      <c r="I2123" s="14">
        <f>G2123-273.15</f>
        <v/>
      </c>
      <c r="K2123" s="15" t="n">
        <v>2006</v>
      </c>
      <c r="L2123" s="15" t="n">
        <v>11</v>
      </c>
      <c r="M2123" s="15" t="n">
        <v>19</v>
      </c>
      <c r="N2123" s="16" t="n">
        <v>0</v>
      </c>
      <c r="O2123" s="11" t="n">
        <v>278.6069507</v>
      </c>
      <c r="P2123" s="13">
        <f>N2123*86400</f>
        <v/>
      </c>
      <c r="Q2123" s="14">
        <f>O2123-273.15</f>
        <v/>
      </c>
    </row>
    <row r="2124">
      <c r="A2124" s="9" t="n">
        <v>39011</v>
      </c>
      <c r="B2124" s="7">
        <f>YEAR(A2124)</f>
        <v/>
      </c>
      <c r="C2124" s="7">
        <f>MONTH(A2124)</f>
        <v/>
      </c>
      <c r="D2124" s="10" t="n">
        <v>0</v>
      </c>
      <c r="E2124" s="11" t="n">
        <v>10.1721656</v>
      </c>
      <c r="F2124" s="12" t="n">
        <v>0</v>
      </c>
      <c r="G2124" s="11" t="n">
        <v>284.2245982</v>
      </c>
      <c r="H2124" s="13">
        <f>F2124*1000</f>
        <v/>
      </c>
      <c r="I2124" s="14">
        <f>G2124-273.15</f>
        <v/>
      </c>
      <c r="K2124" s="15" t="n">
        <v>2006</v>
      </c>
      <c r="L2124" s="15" t="n">
        <v>11</v>
      </c>
      <c r="M2124" s="15" t="n">
        <v>20</v>
      </c>
      <c r="N2124" s="16" t="n">
        <v>0</v>
      </c>
      <c r="O2124" s="11" t="n">
        <v>279.9100875</v>
      </c>
      <c r="P2124" s="13">
        <f>N2124*86400</f>
        <v/>
      </c>
      <c r="Q2124" s="14">
        <f>O2124-273.15</f>
        <v/>
      </c>
    </row>
    <row r="2125">
      <c r="A2125" s="9" t="n">
        <v>39012</v>
      </c>
      <c r="B2125" s="7">
        <f>YEAR(A2125)</f>
        <v/>
      </c>
      <c r="C2125" s="7">
        <f>MONTH(A2125)</f>
        <v/>
      </c>
      <c r="D2125" s="10" t="n">
        <v>0</v>
      </c>
      <c r="E2125" s="11" t="n">
        <v>8.708536972999999</v>
      </c>
      <c r="F2125" s="12" t="n">
        <v>0</v>
      </c>
      <c r="G2125" s="11" t="n">
        <v>283.0479916</v>
      </c>
      <c r="H2125" s="13">
        <f>F2125*1000</f>
        <v/>
      </c>
      <c r="I2125" s="14">
        <f>G2125-273.15</f>
        <v/>
      </c>
      <c r="K2125" s="15" t="n">
        <v>2006</v>
      </c>
      <c r="L2125" s="15" t="n">
        <v>11</v>
      </c>
      <c r="M2125" s="15" t="n">
        <v>21</v>
      </c>
      <c r="N2125" s="16" t="n">
        <v>0</v>
      </c>
      <c r="O2125" s="11" t="n">
        <v>280.1485763</v>
      </c>
      <c r="P2125" s="13">
        <f>N2125*86400</f>
        <v/>
      </c>
      <c r="Q2125" s="14">
        <f>O2125-273.15</f>
        <v/>
      </c>
    </row>
    <row r="2126">
      <c r="A2126" s="9" t="n">
        <v>39013</v>
      </c>
      <c r="B2126" s="7">
        <f>YEAR(A2126)</f>
        <v/>
      </c>
      <c r="C2126" s="7">
        <f>MONTH(A2126)</f>
        <v/>
      </c>
      <c r="D2126" s="10" t="n">
        <v>3.651788232</v>
      </c>
      <c r="E2126" s="11" t="n">
        <v>7.851454013</v>
      </c>
      <c r="F2126" s="12" t="n">
        <v>0.001816710239</v>
      </c>
      <c r="G2126" s="11" t="n">
        <v>282.6748896</v>
      </c>
      <c r="H2126" s="13">
        <f>F2126*1000</f>
        <v/>
      </c>
      <c r="I2126" s="14">
        <f>G2126-273.15</f>
        <v/>
      </c>
      <c r="K2126" s="15" t="n">
        <v>2006</v>
      </c>
      <c r="L2126" s="15" t="n">
        <v>11</v>
      </c>
      <c r="M2126" s="15" t="n">
        <v>22</v>
      </c>
      <c r="N2126" s="16" t="n">
        <v>0</v>
      </c>
      <c r="O2126" s="11" t="n">
        <v>278.7781533</v>
      </c>
      <c r="P2126" s="13">
        <f>N2126*86400</f>
        <v/>
      </c>
      <c r="Q2126" s="14">
        <f>O2126-273.15</f>
        <v/>
      </c>
    </row>
    <row r="2127">
      <c r="A2127" s="9" t="n">
        <v>39014</v>
      </c>
      <c r="B2127" s="7">
        <f>YEAR(A2127)</f>
        <v/>
      </c>
      <c r="C2127" s="7">
        <f>MONTH(A2127)</f>
        <v/>
      </c>
      <c r="D2127" s="10" t="n">
        <v>0</v>
      </c>
      <c r="E2127" s="11" t="n">
        <v>8.463527600000001</v>
      </c>
      <c r="F2127" s="12" t="n">
        <v>0</v>
      </c>
      <c r="G2127" s="11" t="n">
        <v>283.6214955</v>
      </c>
      <c r="H2127" s="13">
        <f>F2127*1000</f>
        <v/>
      </c>
      <c r="I2127" s="14">
        <f>G2127-273.15</f>
        <v/>
      </c>
      <c r="K2127" s="15" t="n">
        <v>2006</v>
      </c>
      <c r="L2127" s="15" t="n">
        <v>11</v>
      </c>
      <c r="M2127" s="15" t="n">
        <v>23</v>
      </c>
      <c r="N2127" s="16" t="n">
        <v>0</v>
      </c>
      <c r="O2127" s="11" t="n">
        <v>278.3046975</v>
      </c>
      <c r="P2127" s="13">
        <f>N2127*86400</f>
        <v/>
      </c>
      <c r="Q2127" s="14">
        <f>O2127-273.15</f>
        <v/>
      </c>
    </row>
    <row r="2128">
      <c r="A2128" s="9" t="n">
        <v>39015</v>
      </c>
      <c r="B2128" s="7">
        <f>YEAR(A2128)</f>
        <v/>
      </c>
      <c r="C2128" s="7">
        <f>MONTH(A2128)</f>
        <v/>
      </c>
      <c r="D2128" s="10" t="n">
        <v>0</v>
      </c>
      <c r="E2128" s="11" t="n">
        <v>8.17774782</v>
      </c>
      <c r="F2128" s="12" t="n">
        <v>0</v>
      </c>
      <c r="G2128" s="11" t="n">
        <v>283.6122519</v>
      </c>
      <c r="H2128" s="13">
        <f>F2128*1000</f>
        <v/>
      </c>
      <c r="I2128" s="14">
        <f>G2128-273.15</f>
        <v/>
      </c>
      <c r="K2128" s="15" t="n">
        <v>2006</v>
      </c>
      <c r="L2128" s="15" t="n">
        <v>11</v>
      </c>
      <c r="M2128" s="15" t="n">
        <v>24</v>
      </c>
      <c r="N2128" s="16" t="n">
        <v>0</v>
      </c>
      <c r="O2128" s="11" t="n">
        <v>276.153979</v>
      </c>
      <c r="P2128" s="13">
        <f>N2128*86400</f>
        <v/>
      </c>
      <c r="Q2128" s="14">
        <f>O2128-273.15</f>
        <v/>
      </c>
    </row>
    <row r="2129">
      <c r="A2129" s="9" t="n">
        <v>39016</v>
      </c>
      <c r="B2129" s="7">
        <f>YEAR(A2129)</f>
        <v/>
      </c>
      <c r="C2129" s="7">
        <f>MONTH(A2129)</f>
        <v/>
      </c>
      <c r="D2129" s="10" t="n">
        <v>0</v>
      </c>
      <c r="E2129" s="11" t="n">
        <v>6.272009465</v>
      </c>
      <c r="F2129" s="12" t="n">
        <v>0</v>
      </c>
      <c r="G2129" s="11" t="n">
        <v>281.9481224</v>
      </c>
      <c r="H2129" s="13">
        <f>F2129*1000</f>
        <v/>
      </c>
      <c r="I2129" s="14">
        <f>G2129-273.15</f>
        <v/>
      </c>
      <c r="K2129" s="15" t="n">
        <v>2006</v>
      </c>
      <c r="L2129" s="15" t="n">
        <v>11</v>
      </c>
      <c r="M2129" s="15" t="n">
        <v>25</v>
      </c>
      <c r="N2129" s="16" t="n">
        <v>0</v>
      </c>
      <c r="O2129" s="11" t="n">
        <v>278.0220553</v>
      </c>
      <c r="P2129" s="13">
        <f>N2129*86400</f>
        <v/>
      </c>
      <c r="Q2129" s="14">
        <f>O2129-273.15</f>
        <v/>
      </c>
    </row>
    <row r="2130">
      <c r="A2130" s="9" t="n">
        <v>39017</v>
      </c>
      <c r="B2130" s="7">
        <f>YEAR(A2130)</f>
        <v/>
      </c>
      <c r="C2130" s="7">
        <f>MONTH(A2130)</f>
        <v/>
      </c>
      <c r="D2130" s="10" t="n">
        <v>0</v>
      </c>
      <c r="E2130" s="11" t="n">
        <v>7.080606292</v>
      </c>
      <c r="F2130" s="12" t="n">
        <v>0</v>
      </c>
      <c r="G2130" s="11" t="n">
        <v>281.0889198</v>
      </c>
      <c r="H2130" s="13">
        <f>F2130*1000</f>
        <v/>
      </c>
      <c r="I2130" s="14">
        <f>G2130-273.15</f>
        <v/>
      </c>
      <c r="K2130" s="15" t="n">
        <v>2006</v>
      </c>
      <c r="L2130" s="15" t="n">
        <v>11</v>
      </c>
      <c r="M2130" s="15" t="n">
        <v>26</v>
      </c>
      <c r="N2130" s="16" t="n">
        <v>0</v>
      </c>
      <c r="O2130" s="11" t="n">
        <v>278.1489868</v>
      </c>
      <c r="P2130" s="13">
        <f>N2130*86400</f>
        <v/>
      </c>
      <c r="Q2130" s="14">
        <f>O2130-273.15</f>
        <v/>
      </c>
    </row>
    <row r="2131">
      <c r="A2131" s="9" t="n">
        <v>39018</v>
      </c>
      <c r="B2131" s="7">
        <f>YEAR(A2131)</f>
        <v/>
      </c>
      <c r="C2131" s="7">
        <f>MONTH(A2131)</f>
        <v/>
      </c>
      <c r="D2131" s="10" t="n">
        <v>0</v>
      </c>
      <c r="E2131" s="11" t="n">
        <v>8.429281337999999</v>
      </c>
      <c r="F2131" s="12" t="n">
        <v>0</v>
      </c>
      <c r="G2131" s="11" t="n">
        <v>282.2238651</v>
      </c>
      <c r="H2131" s="13">
        <f>F2131*1000</f>
        <v/>
      </c>
      <c r="I2131" s="14">
        <f>G2131-273.15</f>
        <v/>
      </c>
      <c r="K2131" s="15" t="n">
        <v>2006</v>
      </c>
      <c r="L2131" s="15" t="n">
        <v>11</v>
      </c>
      <c r="M2131" s="15" t="n">
        <v>27</v>
      </c>
      <c r="N2131" s="16" t="n">
        <v>2.307367865e-06</v>
      </c>
      <c r="O2131" s="11" t="n">
        <v>277.6155586</v>
      </c>
      <c r="P2131" s="13">
        <f>N2131*86400</f>
        <v/>
      </c>
      <c r="Q2131" s="14">
        <f>O2131-273.15</f>
        <v/>
      </c>
    </row>
    <row r="2132">
      <c r="A2132" s="9" t="n">
        <v>39019</v>
      </c>
      <c r="B2132" s="7">
        <f>YEAR(A2132)</f>
        <v/>
      </c>
      <c r="C2132" s="7">
        <f>MONTH(A2132)</f>
        <v/>
      </c>
      <c r="D2132" s="10" t="n">
        <v>0</v>
      </c>
      <c r="E2132" s="11" t="n">
        <v>7.133321887</v>
      </c>
      <c r="F2132" s="12" t="n">
        <v>0</v>
      </c>
      <c r="G2132" s="11" t="n">
        <v>282.2536832</v>
      </c>
      <c r="H2132" s="13">
        <f>F2132*1000</f>
        <v/>
      </c>
      <c r="I2132" s="14">
        <f>G2132-273.15</f>
        <v/>
      </c>
      <c r="K2132" s="15" t="n">
        <v>2006</v>
      </c>
      <c r="L2132" s="15" t="n">
        <v>11</v>
      </c>
      <c r="M2132" s="15" t="n">
        <v>28</v>
      </c>
      <c r="N2132" s="16" t="n">
        <v>0</v>
      </c>
      <c r="O2132" s="11" t="n">
        <v>279.2223672</v>
      </c>
      <c r="P2132" s="13">
        <f>N2132*86400</f>
        <v/>
      </c>
      <c r="Q2132" s="14">
        <f>O2132-273.15</f>
        <v/>
      </c>
    </row>
    <row r="2133">
      <c r="A2133" s="9" t="n">
        <v>39020</v>
      </c>
      <c r="B2133" s="7">
        <f>YEAR(A2133)</f>
        <v/>
      </c>
      <c r="C2133" s="7">
        <f>MONTH(A2133)</f>
        <v/>
      </c>
      <c r="D2133" s="10" t="n">
        <v>0</v>
      </c>
      <c r="E2133" s="11" t="n">
        <v>5.590566984</v>
      </c>
      <c r="F2133" s="12" t="n">
        <v>0</v>
      </c>
      <c r="G2133" s="11" t="n">
        <v>280.6483261</v>
      </c>
      <c r="H2133" s="13">
        <f>F2133*1000</f>
        <v/>
      </c>
      <c r="I2133" s="14">
        <f>G2133-273.15</f>
        <v/>
      </c>
      <c r="K2133" s="15" t="n">
        <v>2006</v>
      </c>
      <c r="L2133" s="15" t="n">
        <v>11</v>
      </c>
      <c r="M2133" s="15" t="n">
        <v>29</v>
      </c>
      <c r="N2133" s="16" t="n">
        <v>0</v>
      </c>
      <c r="O2133" s="11" t="n">
        <v>279.4973957</v>
      </c>
      <c r="P2133" s="13">
        <f>N2133*86400</f>
        <v/>
      </c>
      <c r="Q2133" s="14">
        <f>O2133-273.15</f>
        <v/>
      </c>
    </row>
    <row r="2134">
      <c r="A2134" s="9" t="n">
        <v>39021</v>
      </c>
      <c r="B2134" s="7">
        <f>YEAR(A2134)</f>
        <v/>
      </c>
      <c r="C2134" s="7">
        <f>MONTH(A2134)</f>
        <v/>
      </c>
      <c r="D2134" s="10" t="n">
        <v>0</v>
      </c>
      <c r="E2134" s="11" t="n">
        <v>4.495501223</v>
      </c>
      <c r="F2134" s="12" t="n">
        <v>0</v>
      </c>
      <c r="G2134" s="11" t="n">
        <v>280.2264251</v>
      </c>
      <c r="H2134" s="13">
        <f>F2134*1000</f>
        <v/>
      </c>
      <c r="I2134" s="14">
        <f>G2134-273.15</f>
        <v/>
      </c>
      <c r="K2134" s="15" t="n">
        <v>2006</v>
      </c>
      <c r="L2134" s="15" t="n">
        <v>11</v>
      </c>
      <c r="M2134" s="15" t="n">
        <v>30</v>
      </c>
      <c r="N2134" s="16" t="n">
        <v>0</v>
      </c>
      <c r="O2134" s="11" t="n">
        <v>277.5624454</v>
      </c>
      <c r="P2134" s="13">
        <f>N2134*86400</f>
        <v/>
      </c>
      <c r="Q2134" s="14">
        <f>O2134-273.15</f>
        <v/>
      </c>
    </row>
    <row r="2135">
      <c r="A2135" s="9" t="n">
        <v>39022</v>
      </c>
      <c r="B2135" s="7">
        <f>YEAR(A2135)</f>
        <v/>
      </c>
      <c r="C2135" s="7">
        <f>MONTH(A2135)</f>
        <v/>
      </c>
      <c r="D2135" s="10" t="n">
        <v>0</v>
      </c>
      <c r="E2135" s="11" t="n">
        <v>5.042069695</v>
      </c>
      <c r="F2135" s="12" t="n">
        <v>0</v>
      </c>
      <c r="G2135" s="11" t="n">
        <v>280.464535</v>
      </c>
      <c r="H2135" s="13">
        <f>F2135*1000</f>
        <v/>
      </c>
      <c r="I2135" s="14">
        <f>G2135-273.15</f>
        <v/>
      </c>
      <c r="K2135" s="15" t="n">
        <v>2006</v>
      </c>
      <c r="L2135" s="15" t="n">
        <v>12</v>
      </c>
      <c r="M2135" s="15" t="n">
        <v>1</v>
      </c>
      <c r="N2135" s="16" t="n">
        <v>6.024383242e-06</v>
      </c>
      <c r="O2135" s="11" t="n">
        <v>278.6629803</v>
      </c>
      <c r="P2135" s="13">
        <f>N2135*86400</f>
        <v/>
      </c>
      <c r="Q2135" s="14">
        <f>O2135-273.15</f>
        <v/>
      </c>
    </row>
    <row r="2136">
      <c r="A2136" s="9" t="n">
        <v>39023</v>
      </c>
      <c r="B2136" s="7">
        <f>YEAR(A2136)</f>
        <v/>
      </c>
      <c r="C2136" s="7">
        <f>MONTH(A2136)</f>
        <v/>
      </c>
      <c r="D2136" s="10" t="n">
        <v>0</v>
      </c>
      <c r="E2136" s="11" t="n">
        <v>4.311950505</v>
      </c>
      <c r="F2136" s="12" t="n">
        <v>0</v>
      </c>
      <c r="G2136" s="11" t="n">
        <v>279.2021908</v>
      </c>
      <c r="H2136" s="13">
        <f>F2136*1000</f>
        <v/>
      </c>
      <c r="I2136" s="14">
        <f>G2136-273.15</f>
        <v/>
      </c>
      <c r="K2136" s="15" t="n">
        <v>2006</v>
      </c>
      <c r="L2136" s="15" t="n">
        <v>12</v>
      </c>
      <c r="M2136" s="15" t="n">
        <v>2</v>
      </c>
      <c r="N2136" s="16" t="n">
        <v>3.184486467e-05</v>
      </c>
      <c r="O2136" s="11" t="n">
        <v>278.9949143</v>
      </c>
      <c r="P2136" s="13">
        <f>N2136*86400</f>
        <v/>
      </c>
      <c r="Q2136" s="14">
        <f>O2136-273.15</f>
        <v/>
      </c>
    </row>
    <row r="2137">
      <c r="A2137" s="9" t="n">
        <v>39024</v>
      </c>
      <c r="B2137" s="7">
        <f>YEAR(A2137)</f>
        <v/>
      </c>
      <c r="C2137" s="7">
        <f>MONTH(A2137)</f>
        <v/>
      </c>
      <c r="D2137" s="10" t="n">
        <v>0</v>
      </c>
      <c r="E2137" s="11" t="n">
        <v>5.543487515</v>
      </c>
      <c r="F2137" s="12" t="n">
        <v>4.619311501e-05</v>
      </c>
      <c r="G2137" s="11" t="n">
        <v>280.4188277</v>
      </c>
      <c r="H2137" s="13">
        <f>F2137*1000</f>
        <v/>
      </c>
      <c r="I2137" s="14">
        <f>G2137-273.15</f>
        <v/>
      </c>
      <c r="K2137" s="15" t="n">
        <v>2006</v>
      </c>
      <c r="L2137" s="15" t="n">
        <v>12</v>
      </c>
      <c r="M2137" s="15" t="n">
        <v>3</v>
      </c>
      <c r="N2137" s="16" t="n">
        <v>5.013886343e-06</v>
      </c>
      <c r="O2137" s="11" t="n">
        <v>278.312905</v>
      </c>
      <c r="P2137" s="13">
        <f>N2137*86400</f>
        <v/>
      </c>
      <c r="Q2137" s="14">
        <f>O2137-273.15</f>
        <v/>
      </c>
    </row>
    <row r="2138">
      <c r="A2138" s="9" t="n">
        <v>39025</v>
      </c>
      <c r="B2138" s="7">
        <f>YEAR(A2138)</f>
        <v/>
      </c>
      <c r="C2138" s="7">
        <f>MONTH(A2138)</f>
        <v/>
      </c>
      <c r="D2138" s="10" t="n">
        <v>0</v>
      </c>
      <c r="E2138" s="11" t="n">
        <v>5.789849885</v>
      </c>
      <c r="F2138" s="12" t="n">
        <v>0</v>
      </c>
      <c r="G2138" s="11" t="n">
        <v>280.8294713</v>
      </c>
      <c r="H2138" s="13">
        <f>F2138*1000</f>
        <v/>
      </c>
      <c r="I2138" s="14">
        <f>G2138-273.15</f>
        <v/>
      </c>
      <c r="K2138" s="15" t="n">
        <v>2006</v>
      </c>
      <c r="L2138" s="15" t="n">
        <v>12</v>
      </c>
      <c r="M2138" s="15" t="n">
        <v>4</v>
      </c>
      <c r="N2138" s="16" t="n">
        <v>1.036341994e-05</v>
      </c>
      <c r="O2138" s="11" t="n">
        <v>279.3402808</v>
      </c>
      <c r="P2138" s="13">
        <f>N2138*86400</f>
        <v/>
      </c>
      <c r="Q2138" s="14">
        <f>O2138-273.15</f>
        <v/>
      </c>
    </row>
    <row r="2139">
      <c r="A2139" s="9" t="n">
        <v>39026</v>
      </c>
      <c r="B2139" s="7">
        <f>YEAR(A2139)</f>
        <v/>
      </c>
      <c r="C2139" s="7">
        <f>MONTH(A2139)</f>
        <v/>
      </c>
      <c r="D2139" s="10" t="n">
        <v>0</v>
      </c>
      <c r="E2139" s="11" t="n">
        <v>6.23296816</v>
      </c>
      <c r="F2139" s="12" t="n">
        <v>0</v>
      </c>
      <c r="G2139" s="11" t="n">
        <v>281.1910182</v>
      </c>
      <c r="H2139" s="13">
        <f>F2139*1000</f>
        <v/>
      </c>
      <c r="I2139" s="14">
        <f>G2139-273.15</f>
        <v/>
      </c>
      <c r="K2139" s="15" t="n">
        <v>2006</v>
      </c>
      <c r="L2139" s="15" t="n">
        <v>12</v>
      </c>
      <c r="M2139" s="15" t="n">
        <v>5</v>
      </c>
      <c r="N2139" s="16" t="n">
        <v>0</v>
      </c>
      <c r="O2139" s="11" t="n">
        <v>278.1691314</v>
      </c>
      <c r="P2139" s="13">
        <f>N2139*86400</f>
        <v/>
      </c>
      <c r="Q2139" s="14">
        <f>O2139-273.15</f>
        <v/>
      </c>
    </row>
    <row r="2140">
      <c r="A2140" s="9" t="n">
        <v>39027</v>
      </c>
      <c r="B2140" s="7">
        <f>YEAR(A2140)</f>
        <v/>
      </c>
      <c r="C2140" s="7">
        <f>MONTH(A2140)</f>
        <v/>
      </c>
      <c r="D2140" s="10" t="n">
        <v>0</v>
      </c>
      <c r="E2140" s="11" t="n">
        <v>4.867457197</v>
      </c>
      <c r="F2140" s="12" t="n">
        <v>0</v>
      </c>
      <c r="G2140" s="11" t="n">
        <v>279.4502125</v>
      </c>
      <c r="H2140" s="13">
        <f>F2140*1000</f>
        <v/>
      </c>
      <c r="I2140" s="14">
        <f>G2140-273.15</f>
        <v/>
      </c>
      <c r="K2140" s="15" t="n">
        <v>2006</v>
      </c>
      <c r="L2140" s="15" t="n">
        <v>12</v>
      </c>
      <c r="M2140" s="15" t="n">
        <v>6</v>
      </c>
      <c r="N2140" s="16" t="n">
        <v>2.48758049e-07</v>
      </c>
      <c r="O2140" s="11" t="n">
        <v>280.7992914</v>
      </c>
      <c r="P2140" s="13">
        <f>N2140*86400</f>
        <v/>
      </c>
      <c r="Q2140" s="14">
        <f>O2140-273.15</f>
        <v/>
      </c>
    </row>
    <row r="2141">
      <c r="A2141" s="9" t="n">
        <v>39028</v>
      </c>
      <c r="B2141" s="7">
        <f>YEAR(A2141)</f>
        <v/>
      </c>
      <c r="C2141" s="7">
        <f>MONTH(A2141)</f>
        <v/>
      </c>
      <c r="D2141" s="10" t="n">
        <v>0</v>
      </c>
      <c r="E2141" s="11" t="n">
        <v>7.612496817</v>
      </c>
      <c r="F2141" s="12" t="n">
        <v>0</v>
      </c>
      <c r="G2141" s="11" t="n">
        <v>282.4815414</v>
      </c>
      <c r="H2141" s="13">
        <f>F2141*1000</f>
        <v/>
      </c>
      <c r="I2141" s="14">
        <f>G2141-273.15</f>
        <v/>
      </c>
      <c r="K2141" s="15" t="n">
        <v>2006</v>
      </c>
      <c r="L2141" s="15" t="n">
        <v>12</v>
      </c>
      <c r="M2141" s="15" t="n">
        <v>7</v>
      </c>
      <c r="N2141" s="16" t="n">
        <v>0</v>
      </c>
      <c r="O2141" s="11" t="n">
        <v>281.1210888</v>
      </c>
      <c r="P2141" s="13">
        <f>N2141*86400</f>
        <v/>
      </c>
      <c r="Q2141" s="14">
        <f>O2141-273.15</f>
        <v/>
      </c>
    </row>
    <row r="2142">
      <c r="A2142" s="9" t="n">
        <v>39029</v>
      </c>
      <c r="B2142" s="7">
        <f>YEAR(A2142)</f>
        <v/>
      </c>
      <c r="C2142" s="7">
        <f>MONTH(A2142)</f>
        <v/>
      </c>
      <c r="D2142" s="10" t="n">
        <v>0</v>
      </c>
      <c r="E2142" s="11" t="n">
        <v>5.870332419</v>
      </c>
      <c r="F2142" s="12" t="n">
        <v>0.0001235280957</v>
      </c>
      <c r="G2142" s="11" t="n">
        <v>281.4737249</v>
      </c>
      <c r="H2142" s="13">
        <f>F2142*1000</f>
        <v/>
      </c>
      <c r="I2142" s="14">
        <f>G2142-273.15</f>
        <v/>
      </c>
      <c r="K2142" s="15" t="n">
        <v>2006</v>
      </c>
      <c r="L2142" s="15" t="n">
        <v>12</v>
      </c>
      <c r="M2142" s="15" t="n">
        <v>8</v>
      </c>
      <c r="N2142" s="16" t="n">
        <v>3.516704969e-07</v>
      </c>
      <c r="O2142" s="11" t="n">
        <v>278.9850968</v>
      </c>
      <c r="P2142" s="13">
        <f>N2142*86400</f>
        <v/>
      </c>
      <c r="Q2142" s="14">
        <f>O2142-273.15</f>
        <v/>
      </c>
    </row>
    <row r="2143">
      <c r="A2143" s="9" t="n">
        <v>39030</v>
      </c>
      <c r="B2143" s="7">
        <f>YEAR(A2143)</f>
        <v/>
      </c>
      <c r="C2143" s="7">
        <f>MONTH(A2143)</f>
        <v/>
      </c>
      <c r="D2143" s="10" t="n">
        <v>0</v>
      </c>
      <c r="E2143" s="11" t="n">
        <v>6.894308214</v>
      </c>
      <c r="F2143" s="12" t="n">
        <v>0.0008236559989</v>
      </c>
      <c r="G2143" s="11" t="n">
        <v>282.0933053</v>
      </c>
      <c r="H2143" s="13">
        <f>F2143*1000</f>
        <v/>
      </c>
      <c r="I2143" s="14">
        <f>G2143-273.15</f>
        <v/>
      </c>
      <c r="K2143" s="15" t="n">
        <v>2006</v>
      </c>
      <c r="L2143" s="15" t="n">
        <v>12</v>
      </c>
      <c r="M2143" s="15" t="n">
        <v>9</v>
      </c>
      <c r="N2143" s="16" t="n">
        <v>3.206107448e-05</v>
      </c>
      <c r="O2143" s="11" t="n">
        <v>279.3868237</v>
      </c>
      <c r="P2143" s="13">
        <f>N2143*86400</f>
        <v/>
      </c>
      <c r="Q2143" s="14">
        <f>O2143-273.15</f>
        <v/>
      </c>
    </row>
    <row r="2144">
      <c r="A2144" s="9" t="n">
        <v>39031</v>
      </c>
      <c r="B2144" s="7">
        <f>YEAR(A2144)</f>
        <v/>
      </c>
      <c r="C2144" s="7">
        <f>MONTH(A2144)</f>
        <v/>
      </c>
      <c r="D2144" s="10" t="n">
        <v>6.198273444</v>
      </c>
      <c r="E2144" s="11" t="n">
        <v>5.371191916</v>
      </c>
      <c r="F2144" s="12" t="n">
        <v>0.002903411855</v>
      </c>
      <c r="G2144" s="11" t="n">
        <v>281.0227353</v>
      </c>
      <c r="H2144" s="13">
        <f>F2144*1000</f>
        <v/>
      </c>
      <c r="I2144" s="14">
        <f>G2144-273.15</f>
        <v/>
      </c>
      <c r="K2144" s="15" t="n">
        <v>2006</v>
      </c>
      <c r="L2144" s="15" t="n">
        <v>12</v>
      </c>
      <c r="M2144" s="15" t="n">
        <v>10</v>
      </c>
      <c r="N2144" s="16" t="n">
        <v>4.014439516e-06</v>
      </c>
      <c r="O2144" s="11" t="n">
        <v>280.0138496</v>
      </c>
      <c r="P2144" s="13">
        <f>N2144*86400</f>
        <v/>
      </c>
      <c r="Q2144" s="14">
        <f>O2144-273.15</f>
        <v/>
      </c>
    </row>
    <row r="2145">
      <c r="A2145" s="9" t="n">
        <v>39032</v>
      </c>
      <c r="B2145" s="7">
        <f>YEAR(A2145)</f>
        <v/>
      </c>
      <c r="C2145" s="7">
        <f>MONTH(A2145)</f>
        <v/>
      </c>
      <c r="D2145" s="10" t="n">
        <v>0</v>
      </c>
      <c r="E2145" s="11" t="n">
        <v>4.382944169</v>
      </c>
      <c r="F2145" s="12" t="n">
        <v>0</v>
      </c>
      <c r="G2145" s="11" t="n">
        <v>279.4726176</v>
      </c>
      <c r="H2145" s="13">
        <f>F2145*1000</f>
        <v/>
      </c>
      <c r="I2145" s="14">
        <f>G2145-273.15</f>
        <v/>
      </c>
      <c r="K2145" s="15" t="n">
        <v>2006</v>
      </c>
      <c r="L2145" s="15" t="n">
        <v>12</v>
      </c>
      <c r="M2145" s="15" t="n">
        <v>11</v>
      </c>
      <c r="N2145" s="16" t="n">
        <v>4.068532026e-05</v>
      </c>
      <c r="O2145" s="11" t="n">
        <v>277.9413871</v>
      </c>
      <c r="P2145" s="13">
        <f>N2145*86400</f>
        <v/>
      </c>
      <c r="Q2145" s="14">
        <f>O2145-273.15</f>
        <v/>
      </c>
    </row>
    <row r="2146">
      <c r="A2146" s="9" t="n">
        <v>39033</v>
      </c>
      <c r="B2146" s="7">
        <f>YEAR(A2146)</f>
        <v/>
      </c>
      <c r="C2146" s="7">
        <f>MONTH(A2146)</f>
        <v/>
      </c>
      <c r="D2146" s="10" t="n">
        <v>2.769738599</v>
      </c>
      <c r="E2146" s="11" t="n">
        <v>6.333392178</v>
      </c>
      <c r="F2146" s="12" t="n">
        <v>0.003477515192</v>
      </c>
      <c r="G2146" s="11" t="n">
        <v>281.5495242</v>
      </c>
      <c r="H2146" s="13">
        <f>F2146*1000</f>
        <v/>
      </c>
      <c r="I2146" s="14">
        <f>G2146-273.15</f>
        <v/>
      </c>
      <c r="K2146" s="15" t="n">
        <v>2006</v>
      </c>
      <c r="L2146" s="15" t="n">
        <v>12</v>
      </c>
      <c r="M2146" s="15" t="n">
        <v>12</v>
      </c>
      <c r="N2146" s="16" t="n">
        <v>6.327726797e-05</v>
      </c>
      <c r="O2146" s="11" t="n">
        <v>279.0612347</v>
      </c>
      <c r="P2146" s="13">
        <f>N2146*86400</f>
        <v/>
      </c>
      <c r="Q2146" s="14">
        <f>O2146-273.15</f>
        <v/>
      </c>
    </row>
    <row r="2147">
      <c r="A2147" s="9" t="n">
        <v>39034</v>
      </c>
      <c r="B2147" s="7">
        <f>YEAR(A2147)</f>
        <v/>
      </c>
      <c r="C2147" s="7">
        <f>MONTH(A2147)</f>
        <v/>
      </c>
      <c r="D2147" s="10" t="n">
        <v>0</v>
      </c>
      <c r="E2147" s="11" t="n">
        <v>7.132389652</v>
      </c>
      <c r="F2147" s="12" t="n">
        <v>0.00111258486</v>
      </c>
      <c r="G2147" s="11" t="n">
        <v>281.7027766</v>
      </c>
      <c r="H2147" s="13">
        <f>F2147*1000</f>
        <v/>
      </c>
      <c r="I2147" s="14">
        <f>G2147-273.15</f>
        <v/>
      </c>
      <c r="K2147" s="15" t="n">
        <v>2006</v>
      </c>
      <c r="L2147" s="15" t="n">
        <v>12</v>
      </c>
      <c r="M2147" s="15" t="n">
        <v>13</v>
      </c>
      <c r="N2147" s="16" t="n">
        <v>0</v>
      </c>
      <c r="O2147" s="11" t="n">
        <v>278.7621449</v>
      </c>
      <c r="P2147" s="13">
        <f>N2147*86400</f>
        <v/>
      </c>
      <c r="Q2147" s="14">
        <f>O2147-273.15</f>
        <v/>
      </c>
    </row>
    <row r="2148">
      <c r="A2148" s="9" t="n">
        <v>39035</v>
      </c>
      <c r="B2148" s="7">
        <f>YEAR(A2148)</f>
        <v/>
      </c>
      <c r="C2148" s="7">
        <f>MONTH(A2148)</f>
        <v/>
      </c>
      <c r="D2148" s="10" t="n">
        <v>0</v>
      </c>
      <c r="E2148" s="11" t="n">
        <v>6.094366273</v>
      </c>
      <c r="F2148" s="12" t="n">
        <v>0.0006883770105</v>
      </c>
      <c r="G2148" s="11" t="n">
        <v>281.2698872</v>
      </c>
      <c r="H2148" s="13">
        <f>F2148*1000</f>
        <v/>
      </c>
      <c r="I2148" s="14">
        <f>G2148-273.15</f>
        <v/>
      </c>
      <c r="K2148" s="15" t="n">
        <v>2006</v>
      </c>
      <c r="L2148" s="15" t="n">
        <v>12</v>
      </c>
      <c r="M2148" s="15" t="n">
        <v>14</v>
      </c>
      <c r="N2148" s="16" t="n">
        <v>1.99498158e-05</v>
      </c>
      <c r="O2148" s="11" t="n">
        <v>280.5881909</v>
      </c>
      <c r="P2148" s="13">
        <f>N2148*86400</f>
        <v/>
      </c>
      <c r="Q2148" s="14">
        <f>O2148-273.15</f>
        <v/>
      </c>
    </row>
    <row r="2149">
      <c r="A2149" s="9" t="n">
        <v>39036</v>
      </c>
      <c r="B2149" s="7">
        <f>YEAR(A2149)</f>
        <v/>
      </c>
      <c r="C2149" s="7">
        <f>MONTH(A2149)</f>
        <v/>
      </c>
      <c r="D2149" s="10" t="n">
        <v>0</v>
      </c>
      <c r="E2149" s="11" t="n">
        <v>6.21889035</v>
      </c>
      <c r="F2149" s="12" t="n">
        <v>0</v>
      </c>
      <c r="G2149" s="11" t="n">
        <v>280.9341718</v>
      </c>
      <c r="H2149" s="13">
        <f>F2149*1000</f>
        <v/>
      </c>
      <c r="I2149" s="14">
        <f>G2149-273.15</f>
        <v/>
      </c>
      <c r="K2149" s="15" t="n">
        <v>2006</v>
      </c>
      <c r="L2149" s="15" t="n">
        <v>12</v>
      </c>
      <c r="M2149" s="15" t="n">
        <v>15</v>
      </c>
      <c r="N2149" s="16" t="n">
        <v>7.154374638e-07</v>
      </c>
      <c r="O2149" s="11" t="n">
        <v>279.5335916</v>
      </c>
      <c r="P2149" s="13">
        <f>N2149*86400</f>
        <v/>
      </c>
      <c r="Q2149" s="14">
        <f>O2149-273.15</f>
        <v/>
      </c>
    </row>
    <row r="2150">
      <c r="A2150" s="9" t="n">
        <v>39037</v>
      </c>
      <c r="B2150" s="7">
        <f>YEAR(A2150)</f>
        <v/>
      </c>
      <c r="C2150" s="7">
        <f>MONTH(A2150)</f>
        <v/>
      </c>
      <c r="D2150" s="10" t="n">
        <v>0</v>
      </c>
      <c r="E2150" s="11" t="n">
        <v>4.070086102</v>
      </c>
      <c r="F2150" s="12" t="n">
        <v>0</v>
      </c>
      <c r="G2150" s="11" t="n">
        <v>278.1371218</v>
      </c>
      <c r="H2150" s="13">
        <f>F2150*1000</f>
        <v/>
      </c>
      <c r="I2150" s="14">
        <f>G2150-273.15</f>
        <v/>
      </c>
      <c r="K2150" s="15" t="n">
        <v>2006</v>
      </c>
      <c r="L2150" s="15" t="n">
        <v>12</v>
      </c>
      <c r="M2150" s="15" t="n">
        <v>16</v>
      </c>
      <c r="N2150" s="16" t="n">
        <v>9.612291935e-06</v>
      </c>
      <c r="O2150" s="11" t="n">
        <v>277.2048674</v>
      </c>
      <c r="P2150" s="13">
        <f>N2150*86400</f>
        <v/>
      </c>
      <c r="Q2150" s="14">
        <f>O2150-273.15</f>
        <v/>
      </c>
    </row>
    <row r="2151">
      <c r="A2151" s="9" t="n">
        <v>39038</v>
      </c>
      <c r="B2151" s="7">
        <f>YEAR(A2151)</f>
        <v/>
      </c>
      <c r="C2151" s="7">
        <f>MONTH(A2151)</f>
        <v/>
      </c>
      <c r="D2151" s="10" t="n">
        <v>0</v>
      </c>
      <c r="E2151" s="11" t="n">
        <v>5.140713686</v>
      </c>
      <c r="F2151" s="12" t="n">
        <v>0</v>
      </c>
      <c r="G2151" s="11" t="n">
        <v>280.4283646</v>
      </c>
      <c r="H2151" s="13">
        <f>F2151*1000</f>
        <v/>
      </c>
      <c r="I2151" s="14">
        <f>G2151-273.15</f>
        <v/>
      </c>
      <c r="K2151" s="15" t="n">
        <v>2006</v>
      </c>
      <c r="L2151" s="15" t="n">
        <v>12</v>
      </c>
      <c r="M2151" s="15" t="n">
        <v>17</v>
      </c>
      <c r="N2151" s="16" t="n">
        <v>0</v>
      </c>
      <c r="O2151" s="11" t="n">
        <v>277.0581108</v>
      </c>
      <c r="P2151" s="13">
        <f>N2151*86400</f>
        <v/>
      </c>
      <c r="Q2151" s="14">
        <f>O2151-273.15</f>
        <v/>
      </c>
    </row>
    <row r="2152">
      <c r="A2152" s="9" t="n">
        <v>39039</v>
      </c>
      <c r="B2152" s="7">
        <f>YEAR(A2152)</f>
        <v/>
      </c>
      <c r="C2152" s="7">
        <f>MONTH(A2152)</f>
        <v/>
      </c>
      <c r="D2152" s="10" t="n">
        <v>0</v>
      </c>
      <c r="E2152" s="11" t="n">
        <v>5.468804595</v>
      </c>
      <c r="F2152" s="12" t="n">
        <v>0</v>
      </c>
      <c r="G2152" s="11" t="n">
        <v>281.5527004</v>
      </c>
      <c r="H2152" s="13">
        <f>F2152*1000</f>
        <v/>
      </c>
      <c r="I2152" s="14">
        <f>G2152-273.15</f>
        <v/>
      </c>
      <c r="K2152" s="15" t="n">
        <v>2006</v>
      </c>
      <c r="L2152" s="15" t="n">
        <v>12</v>
      </c>
      <c r="M2152" s="15" t="n">
        <v>18</v>
      </c>
      <c r="N2152" s="16" t="n">
        <v>3.062052994e-05</v>
      </c>
      <c r="O2152" s="11" t="n">
        <v>278.06364</v>
      </c>
      <c r="P2152" s="13">
        <f>N2152*86400</f>
        <v/>
      </c>
      <c r="Q2152" s="14">
        <f>O2152-273.15</f>
        <v/>
      </c>
    </row>
    <row r="2153">
      <c r="A2153" s="9" t="n">
        <v>39040</v>
      </c>
      <c r="B2153" s="7">
        <f>YEAR(A2153)</f>
        <v/>
      </c>
      <c r="C2153" s="7">
        <f>MONTH(A2153)</f>
        <v/>
      </c>
      <c r="D2153" s="10" t="n">
        <v>0</v>
      </c>
      <c r="E2153" s="11" t="n">
        <v>3.26664803</v>
      </c>
      <c r="F2153" s="12" t="n">
        <v>0</v>
      </c>
      <c r="G2153" s="11" t="n">
        <v>278.8536728</v>
      </c>
      <c r="H2153" s="13">
        <f>F2153*1000</f>
        <v/>
      </c>
      <c r="I2153" s="14">
        <f>G2153-273.15</f>
        <v/>
      </c>
      <c r="K2153" s="15" t="n">
        <v>2006</v>
      </c>
      <c r="L2153" s="15" t="n">
        <v>12</v>
      </c>
      <c r="M2153" s="15" t="n">
        <v>19</v>
      </c>
      <c r="N2153" s="16" t="n">
        <v>8.520981683e-08</v>
      </c>
      <c r="O2153" s="11" t="n">
        <v>278.9234357</v>
      </c>
      <c r="P2153" s="13">
        <f>N2153*86400</f>
        <v/>
      </c>
      <c r="Q2153" s="14">
        <f>O2153-273.15</f>
        <v/>
      </c>
    </row>
    <row r="2154">
      <c r="A2154" s="9" t="n">
        <v>39041</v>
      </c>
      <c r="B2154" s="7">
        <f>YEAR(A2154)</f>
        <v/>
      </c>
      <c r="C2154" s="7">
        <f>MONTH(A2154)</f>
        <v/>
      </c>
      <c r="D2154" s="10" t="n">
        <v>0.5683794045</v>
      </c>
      <c r="E2154" s="11" t="n">
        <v>2.528647911</v>
      </c>
      <c r="F2154" s="12" t="n">
        <v>0.0006593867798</v>
      </c>
      <c r="G2154" s="11" t="n">
        <v>278.506372</v>
      </c>
      <c r="H2154" s="13">
        <f>F2154*1000</f>
        <v/>
      </c>
      <c r="I2154" s="14">
        <f>G2154-273.15</f>
        <v/>
      </c>
      <c r="K2154" s="15" t="n">
        <v>2006</v>
      </c>
      <c r="L2154" s="15" t="n">
        <v>12</v>
      </c>
      <c r="M2154" s="15" t="n">
        <v>20</v>
      </c>
      <c r="N2154" s="16" t="n">
        <v>2.323169562e-06</v>
      </c>
      <c r="O2154" s="11" t="n">
        <v>280.0878478</v>
      </c>
      <c r="P2154" s="13">
        <f>N2154*86400</f>
        <v/>
      </c>
      <c r="Q2154" s="14">
        <f>O2154-273.15</f>
        <v/>
      </c>
    </row>
    <row r="2155">
      <c r="A2155" s="9" t="n">
        <v>39042</v>
      </c>
      <c r="B2155" s="7">
        <f>YEAR(A2155)</f>
        <v/>
      </c>
      <c r="C2155" s="7">
        <f>MONTH(A2155)</f>
        <v/>
      </c>
      <c r="D2155" s="10" t="n">
        <v>0</v>
      </c>
      <c r="E2155" s="11" t="n">
        <v>4.244798989</v>
      </c>
      <c r="F2155" s="12" t="n">
        <v>0.0006360555505</v>
      </c>
      <c r="G2155" s="11" t="n">
        <v>279.796504</v>
      </c>
      <c r="H2155" s="13">
        <f>F2155*1000</f>
        <v/>
      </c>
      <c r="I2155" s="14">
        <f>G2155-273.15</f>
        <v/>
      </c>
      <c r="K2155" s="15" t="n">
        <v>2006</v>
      </c>
      <c r="L2155" s="15" t="n">
        <v>12</v>
      </c>
      <c r="M2155" s="15" t="n">
        <v>21</v>
      </c>
      <c r="N2155" s="16" t="n">
        <v>0</v>
      </c>
      <c r="O2155" s="11" t="n">
        <v>279.4205854</v>
      </c>
      <c r="P2155" s="13">
        <f>N2155*86400</f>
        <v/>
      </c>
      <c r="Q2155" s="14">
        <f>O2155-273.15</f>
        <v/>
      </c>
    </row>
    <row r="2156">
      <c r="A2156" s="9" t="n">
        <v>39043</v>
      </c>
      <c r="B2156" s="7">
        <f>YEAR(A2156)</f>
        <v/>
      </c>
      <c r="C2156" s="7">
        <f>MONTH(A2156)</f>
        <v/>
      </c>
      <c r="D2156" s="10" t="n">
        <v>0</v>
      </c>
      <c r="E2156" s="11" t="n">
        <v>4.024188487</v>
      </c>
      <c r="F2156" s="12" t="n">
        <v>0</v>
      </c>
      <c r="G2156" s="11" t="n">
        <v>280.5844924</v>
      </c>
      <c r="H2156" s="13">
        <f>F2156*1000</f>
        <v/>
      </c>
      <c r="I2156" s="14">
        <f>G2156-273.15</f>
        <v/>
      </c>
      <c r="K2156" s="15" t="n">
        <v>2006</v>
      </c>
      <c r="L2156" s="15" t="n">
        <v>12</v>
      </c>
      <c r="M2156" s="15" t="n">
        <v>22</v>
      </c>
      <c r="N2156" s="16" t="n">
        <v>0</v>
      </c>
      <c r="O2156" s="11" t="n">
        <v>278.9073776</v>
      </c>
      <c r="P2156" s="13">
        <f>N2156*86400</f>
        <v/>
      </c>
      <c r="Q2156" s="14">
        <f>O2156-273.15</f>
        <v/>
      </c>
    </row>
    <row r="2157">
      <c r="A2157" s="9" t="n">
        <v>39044</v>
      </c>
      <c r="B2157" s="7">
        <f>YEAR(A2157)</f>
        <v/>
      </c>
      <c r="C2157" s="7">
        <f>MONTH(A2157)</f>
        <v/>
      </c>
      <c r="D2157" s="10" t="n">
        <v>0</v>
      </c>
      <c r="E2157" s="11" t="n">
        <v>4.674480592</v>
      </c>
      <c r="F2157" s="12" t="n">
        <v>0</v>
      </c>
      <c r="G2157" s="11" t="n">
        <v>280.6848841</v>
      </c>
      <c r="H2157" s="13">
        <f>F2157*1000</f>
        <v/>
      </c>
      <c r="I2157" s="14">
        <f>G2157-273.15</f>
        <v/>
      </c>
      <c r="K2157" s="15" t="n">
        <v>2006</v>
      </c>
      <c r="L2157" s="15" t="n">
        <v>12</v>
      </c>
      <c r="M2157" s="15" t="n">
        <v>23</v>
      </c>
      <c r="N2157" s="16" t="n">
        <v>0</v>
      </c>
      <c r="O2157" s="11" t="n">
        <v>279.4871536</v>
      </c>
      <c r="P2157" s="13">
        <f>N2157*86400</f>
        <v/>
      </c>
      <c r="Q2157" s="14">
        <f>O2157-273.15</f>
        <v/>
      </c>
    </row>
    <row r="2158">
      <c r="A2158" s="9" t="n">
        <v>39045</v>
      </c>
      <c r="B2158" s="7">
        <f>YEAR(A2158)</f>
        <v/>
      </c>
      <c r="C2158" s="7">
        <f>MONTH(A2158)</f>
        <v/>
      </c>
      <c r="D2158" s="10" t="n">
        <v>0</v>
      </c>
      <c r="E2158" s="11" t="n">
        <v>4.542742314</v>
      </c>
      <c r="F2158" s="12" t="n">
        <v>0</v>
      </c>
      <c r="G2158" s="11" t="n">
        <v>280.398519</v>
      </c>
      <c r="H2158" s="13">
        <f>F2158*1000</f>
        <v/>
      </c>
      <c r="I2158" s="14">
        <f>G2158-273.15</f>
        <v/>
      </c>
      <c r="K2158" s="15" t="n">
        <v>2006</v>
      </c>
      <c r="L2158" s="15" t="n">
        <v>12</v>
      </c>
      <c r="M2158" s="15" t="n">
        <v>24</v>
      </c>
      <c r="N2158" s="16" t="n">
        <v>0</v>
      </c>
      <c r="O2158" s="11" t="n">
        <v>281.542221</v>
      </c>
      <c r="P2158" s="13">
        <f>N2158*86400</f>
        <v/>
      </c>
      <c r="Q2158" s="14">
        <f>O2158-273.15</f>
        <v/>
      </c>
    </row>
    <row r="2159">
      <c r="A2159" s="9" t="n">
        <v>39046</v>
      </c>
      <c r="B2159" s="7">
        <f>YEAR(A2159)</f>
        <v/>
      </c>
      <c r="C2159" s="7">
        <f>MONTH(A2159)</f>
        <v/>
      </c>
      <c r="D2159" s="10" t="n">
        <v>0</v>
      </c>
      <c r="E2159" s="11" t="n">
        <v>4.623361354</v>
      </c>
      <c r="F2159" s="12" t="n">
        <v>0</v>
      </c>
      <c r="G2159" s="11" t="n">
        <v>280.9310564</v>
      </c>
      <c r="H2159" s="13">
        <f>F2159*1000</f>
        <v/>
      </c>
      <c r="I2159" s="14">
        <f>G2159-273.15</f>
        <v/>
      </c>
      <c r="K2159" s="15" t="n">
        <v>2006</v>
      </c>
      <c r="L2159" s="15" t="n">
        <v>12</v>
      </c>
      <c r="M2159" s="15" t="n">
        <v>25</v>
      </c>
      <c r="N2159" s="16" t="n">
        <v>0</v>
      </c>
      <c r="O2159" s="11" t="n">
        <v>280.3235334</v>
      </c>
      <c r="P2159" s="13">
        <f>N2159*86400</f>
        <v/>
      </c>
      <c r="Q2159" s="14">
        <f>O2159-273.15</f>
        <v/>
      </c>
    </row>
    <row r="2160">
      <c r="A2160" s="9" t="n">
        <v>39047</v>
      </c>
      <c r="B2160" s="7">
        <f>YEAR(A2160)</f>
        <v/>
      </c>
      <c r="C2160" s="7">
        <f>MONTH(A2160)</f>
        <v/>
      </c>
      <c r="D2160" s="10" t="n">
        <v>0</v>
      </c>
      <c r="E2160" s="11" t="n">
        <v>5.033633329</v>
      </c>
      <c r="F2160" s="12" t="n">
        <v>6.389472869999999e-05</v>
      </c>
      <c r="G2160" s="11" t="n">
        <v>281.7650043</v>
      </c>
      <c r="H2160" s="13">
        <f>F2160*1000</f>
        <v/>
      </c>
      <c r="I2160" s="14">
        <f>G2160-273.15</f>
        <v/>
      </c>
      <c r="K2160" s="15" t="n">
        <v>2006</v>
      </c>
      <c r="L2160" s="15" t="n">
        <v>12</v>
      </c>
      <c r="M2160" s="15" t="n">
        <v>26</v>
      </c>
      <c r="N2160" s="16" t="n">
        <v>7.191618923e-06</v>
      </c>
      <c r="O2160" s="11" t="n">
        <v>277.9960275</v>
      </c>
      <c r="P2160" s="13">
        <f>N2160*86400</f>
        <v/>
      </c>
      <c r="Q2160" s="14">
        <f>O2160-273.15</f>
        <v/>
      </c>
    </row>
    <row r="2161">
      <c r="A2161" s="9" t="n">
        <v>39048</v>
      </c>
      <c r="B2161" s="7">
        <f>YEAR(A2161)</f>
        <v/>
      </c>
      <c r="C2161" s="7">
        <f>MONTH(A2161)</f>
        <v/>
      </c>
      <c r="D2161" s="10" t="n">
        <v>0</v>
      </c>
      <c r="E2161" s="11" t="n">
        <v>2.312656103</v>
      </c>
      <c r="F2161" s="12" t="n">
        <v>0</v>
      </c>
      <c r="G2161" s="11" t="n">
        <v>278.2217492</v>
      </c>
      <c r="H2161" s="13">
        <f>F2161*1000</f>
        <v/>
      </c>
      <c r="I2161" s="14">
        <f>G2161-273.15</f>
        <v/>
      </c>
      <c r="K2161" s="15" t="n">
        <v>2006</v>
      </c>
      <c r="L2161" s="15" t="n">
        <v>12</v>
      </c>
      <c r="M2161" s="15" t="n">
        <v>27</v>
      </c>
      <c r="N2161" s="16" t="n">
        <v>0</v>
      </c>
      <c r="O2161" s="11" t="n">
        <v>279.6642608</v>
      </c>
      <c r="P2161" s="13">
        <f>N2161*86400</f>
        <v/>
      </c>
      <c r="Q2161" s="14">
        <f>O2161-273.15</f>
        <v/>
      </c>
    </row>
    <row r="2162">
      <c r="A2162" s="9" t="n">
        <v>39049</v>
      </c>
      <c r="B2162" s="7">
        <f>YEAR(A2162)</f>
        <v/>
      </c>
      <c r="C2162" s="7">
        <f>MONTH(A2162)</f>
        <v/>
      </c>
      <c r="D2162" s="10" t="n">
        <v>0</v>
      </c>
      <c r="E2162" s="11" t="n">
        <v>5.981977363</v>
      </c>
      <c r="F2162" s="12" t="n">
        <v>0</v>
      </c>
      <c r="G2162" s="11" t="n">
        <v>280.8984951</v>
      </c>
      <c r="H2162" s="13">
        <f>F2162*1000</f>
        <v/>
      </c>
      <c r="I2162" s="14">
        <f>G2162-273.15</f>
        <v/>
      </c>
      <c r="K2162" s="15" t="n">
        <v>2006</v>
      </c>
      <c r="L2162" s="15" t="n">
        <v>12</v>
      </c>
      <c r="M2162" s="15" t="n">
        <v>28</v>
      </c>
      <c r="N2162" s="16" t="n">
        <v>0</v>
      </c>
      <c r="O2162" s="11" t="n">
        <v>281.3771647</v>
      </c>
      <c r="P2162" s="13">
        <f>N2162*86400</f>
        <v/>
      </c>
      <c r="Q2162" s="14">
        <f>O2162-273.15</f>
        <v/>
      </c>
    </row>
    <row r="2163">
      <c r="A2163" s="9" t="n">
        <v>39050</v>
      </c>
      <c r="B2163" s="7">
        <f>YEAR(A2163)</f>
        <v/>
      </c>
      <c r="C2163" s="7">
        <f>MONTH(A2163)</f>
        <v/>
      </c>
      <c r="D2163" s="10" t="n">
        <v>0</v>
      </c>
      <c r="E2163" s="11" t="n">
        <v>3.640623531</v>
      </c>
      <c r="F2163" s="12" t="n">
        <v>0</v>
      </c>
      <c r="G2163" s="11" t="n">
        <v>278.1975327</v>
      </c>
      <c r="H2163" s="13">
        <f>F2163*1000</f>
        <v/>
      </c>
      <c r="I2163" s="14">
        <f>G2163-273.15</f>
        <v/>
      </c>
      <c r="K2163" s="15" t="n">
        <v>2006</v>
      </c>
      <c r="L2163" s="15" t="n">
        <v>12</v>
      </c>
      <c r="M2163" s="15" t="n">
        <v>29</v>
      </c>
      <c r="N2163" s="16" t="n">
        <v>4.867429318e-06</v>
      </c>
      <c r="O2163" s="11" t="n">
        <v>282.4541415</v>
      </c>
      <c r="P2163" s="13">
        <f>N2163*86400</f>
        <v/>
      </c>
      <c r="Q2163" s="14">
        <f>O2163-273.15</f>
        <v/>
      </c>
    </row>
    <row r="2164">
      <c r="A2164" s="9" t="n">
        <v>39051</v>
      </c>
      <c r="B2164" s="7">
        <f>YEAR(A2164)</f>
        <v/>
      </c>
      <c r="C2164" s="7">
        <f>MONTH(A2164)</f>
        <v/>
      </c>
      <c r="D2164" s="10" t="n">
        <v>0</v>
      </c>
      <c r="E2164" s="11" t="n">
        <v>3.563939812</v>
      </c>
      <c r="F2164" s="12" t="n">
        <v>0</v>
      </c>
      <c r="G2164" s="11" t="n">
        <v>278.2047961</v>
      </c>
      <c r="H2164" s="13">
        <f>F2164*1000</f>
        <v/>
      </c>
      <c r="I2164" s="14">
        <f>G2164-273.15</f>
        <v/>
      </c>
      <c r="K2164" s="15" t="n">
        <v>2006</v>
      </c>
      <c r="L2164" s="15" t="n">
        <v>12</v>
      </c>
      <c r="M2164" s="15" t="n">
        <v>30</v>
      </c>
      <c r="N2164" s="16" t="n">
        <v>5.50563272e-06</v>
      </c>
      <c r="O2164" s="11" t="n">
        <v>284.3725445</v>
      </c>
      <c r="P2164" s="13">
        <f>N2164*86400</f>
        <v/>
      </c>
      <c r="Q2164" s="14">
        <f>O2164-273.15</f>
        <v/>
      </c>
    </row>
    <row r="2165">
      <c r="A2165" s="9" t="n">
        <v>39052</v>
      </c>
      <c r="B2165" s="7">
        <f>YEAR(A2165)</f>
        <v/>
      </c>
      <c r="C2165" s="7">
        <f>MONTH(A2165)</f>
        <v/>
      </c>
      <c r="D2165" s="10" t="n">
        <v>0</v>
      </c>
      <c r="E2165" s="11" t="n">
        <v>4.770119343</v>
      </c>
      <c r="F2165" s="12" t="n">
        <v>0</v>
      </c>
      <c r="G2165" s="11" t="n">
        <v>278.7966697</v>
      </c>
      <c r="H2165" s="13">
        <f>F2165*1000</f>
        <v/>
      </c>
      <c r="I2165" s="14">
        <f>G2165-273.15</f>
        <v/>
      </c>
      <c r="K2165" s="15" t="n">
        <v>2007</v>
      </c>
      <c r="L2165" s="15" t="n">
        <v>1</v>
      </c>
      <c r="M2165" s="15" t="n">
        <v>1</v>
      </c>
      <c r="N2165" s="16" t="n">
        <v>2.849899182e-06</v>
      </c>
      <c r="O2165" s="11" t="n">
        <v>283.0206386</v>
      </c>
      <c r="P2165" s="13">
        <f>N2165*86400</f>
        <v/>
      </c>
      <c r="Q2165" s="14">
        <f>O2165-273.15</f>
        <v/>
      </c>
    </row>
    <row r="2166">
      <c r="A2166" s="9" t="n">
        <v>39053</v>
      </c>
      <c r="B2166" s="7">
        <f>YEAR(A2166)</f>
        <v/>
      </c>
      <c r="C2166" s="7">
        <f>MONTH(A2166)</f>
        <v/>
      </c>
      <c r="D2166" s="10" t="n">
        <v>12.3778868</v>
      </c>
      <c r="E2166" s="11" t="n">
        <v>6.629949485</v>
      </c>
      <c r="F2166" s="12" t="n">
        <v>0.006273992302</v>
      </c>
      <c r="G2166" s="11" t="n">
        <v>280.8866158</v>
      </c>
      <c r="H2166" s="13">
        <f>F2166*1000</f>
        <v/>
      </c>
      <c r="I2166" s="14">
        <f>G2166-273.15</f>
        <v/>
      </c>
      <c r="K2166" s="15" t="n">
        <v>2007</v>
      </c>
      <c r="L2166" s="15" t="n">
        <v>1</v>
      </c>
      <c r="M2166" s="15" t="n">
        <v>2</v>
      </c>
      <c r="N2166" s="16" t="n">
        <v>0</v>
      </c>
      <c r="O2166" s="11" t="n">
        <v>281.873101</v>
      </c>
      <c r="P2166" s="13">
        <f>N2166*86400</f>
        <v/>
      </c>
      <c r="Q2166" s="14">
        <f>O2166-273.15</f>
        <v/>
      </c>
    </row>
    <row r="2167">
      <c r="A2167" s="9" t="n">
        <v>39054</v>
      </c>
      <c r="B2167" s="7">
        <f>YEAR(A2167)</f>
        <v/>
      </c>
      <c r="C2167" s="7">
        <f>MONTH(A2167)</f>
        <v/>
      </c>
      <c r="D2167" s="10" t="n">
        <v>0</v>
      </c>
      <c r="E2167" s="11" t="n">
        <v>6.534044964</v>
      </c>
      <c r="F2167" s="12" t="n">
        <v>0</v>
      </c>
      <c r="G2167" s="11" t="n">
        <v>280.6128351</v>
      </c>
      <c r="H2167" s="13">
        <f>F2167*1000</f>
        <v/>
      </c>
      <c r="I2167" s="14">
        <f>G2167-273.15</f>
        <v/>
      </c>
      <c r="K2167" s="15" t="n">
        <v>2007</v>
      </c>
      <c r="L2167" s="15" t="n">
        <v>1</v>
      </c>
      <c r="M2167" s="15" t="n">
        <v>3</v>
      </c>
      <c r="N2167" s="16" t="n">
        <v>0</v>
      </c>
      <c r="O2167" s="11" t="n">
        <v>283.0305682</v>
      </c>
      <c r="P2167" s="13">
        <f>N2167*86400</f>
        <v/>
      </c>
      <c r="Q2167" s="14">
        <f>O2167-273.15</f>
        <v/>
      </c>
    </row>
    <row r="2168">
      <c r="A2168" s="9" t="n">
        <v>39055</v>
      </c>
      <c r="B2168" s="7">
        <f>YEAR(A2168)</f>
        <v/>
      </c>
      <c r="C2168" s="7">
        <f>MONTH(A2168)</f>
        <v/>
      </c>
      <c r="D2168" s="10" t="n">
        <v>0</v>
      </c>
      <c r="E2168" s="11" t="n">
        <v>5.983997467</v>
      </c>
      <c r="F2168" s="12" t="n">
        <v>0</v>
      </c>
      <c r="G2168" s="11" t="n">
        <v>279.0525721</v>
      </c>
      <c r="H2168" s="13">
        <f>F2168*1000</f>
        <v/>
      </c>
      <c r="I2168" s="14">
        <f>G2168-273.15</f>
        <v/>
      </c>
      <c r="K2168" s="15" t="n">
        <v>2007</v>
      </c>
      <c r="L2168" s="15" t="n">
        <v>1</v>
      </c>
      <c r="M2168" s="15" t="n">
        <v>4</v>
      </c>
      <c r="N2168" s="16" t="n">
        <v>0</v>
      </c>
      <c r="O2168" s="11" t="n">
        <v>281.919558</v>
      </c>
      <c r="P2168" s="13">
        <f>N2168*86400</f>
        <v/>
      </c>
      <c r="Q2168" s="14">
        <f>O2168-273.15</f>
        <v/>
      </c>
    </row>
    <row r="2169">
      <c r="A2169" s="9" t="n">
        <v>39056</v>
      </c>
      <c r="B2169" s="7">
        <f>YEAR(A2169)</f>
        <v/>
      </c>
      <c r="C2169" s="7">
        <f>MONTH(A2169)</f>
        <v/>
      </c>
      <c r="D2169" s="10" t="n">
        <v>0</v>
      </c>
      <c r="E2169" s="11" t="n">
        <v>4.713234456</v>
      </c>
      <c r="F2169" s="12" t="n">
        <v>0.00127814476</v>
      </c>
      <c r="G2169" s="11" t="n">
        <v>279.4338559</v>
      </c>
      <c r="H2169" s="13">
        <f>F2169*1000</f>
        <v/>
      </c>
      <c r="I2169" s="14">
        <f>G2169-273.15</f>
        <v/>
      </c>
      <c r="K2169" s="15" t="n">
        <v>2007</v>
      </c>
      <c r="L2169" s="15" t="n">
        <v>1</v>
      </c>
      <c r="M2169" s="15" t="n">
        <v>5</v>
      </c>
      <c r="N2169" s="16" t="n">
        <v>2.989811611e-05</v>
      </c>
      <c r="O2169" s="11" t="n">
        <v>282.0951435</v>
      </c>
      <c r="P2169" s="13">
        <f>N2169*86400</f>
        <v/>
      </c>
      <c r="Q2169" s="14">
        <f>O2169-273.15</f>
        <v/>
      </c>
    </row>
    <row r="2170">
      <c r="A2170" s="9" t="n">
        <v>39057</v>
      </c>
      <c r="B2170" s="7">
        <f>YEAR(A2170)</f>
        <v/>
      </c>
      <c r="C2170" s="7">
        <f>MONTH(A2170)</f>
        <v/>
      </c>
      <c r="D2170" s="10" t="n">
        <v>4.85097123</v>
      </c>
      <c r="E2170" s="11" t="n">
        <v>1.882466478</v>
      </c>
      <c r="F2170" s="12" t="n">
        <v>0.006261757021</v>
      </c>
      <c r="G2170" s="11" t="n">
        <v>277.5439146</v>
      </c>
      <c r="H2170" s="13">
        <f>F2170*1000</f>
        <v/>
      </c>
      <c r="I2170" s="14">
        <f>G2170-273.15</f>
        <v/>
      </c>
      <c r="K2170" s="15" t="n">
        <v>2007</v>
      </c>
      <c r="L2170" s="15" t="n">
        <v>1</v>
      </c>
      <c r="M2170" s="15" t="n">
        <v>6</v>
      </c>
      <c r="N2170" s="16" t="n">
        <v>1.884832241e-06</v>
      </c>
      <c r="O2170" s="11" t="n">
        <v>280.7234854</v>
      </c>
      <c r="P2170" s="13">
        <f>N2170*86400</f>
        <v/>
      </c>
      <c r="Q2170" s="14">
        <f>O2170-273.15</f>
        <v/>
      </c>
    </row>
    <row r="2171">
      <c r="A2171" s="9" t="n">
        <v>39058</v>
      </c>
      <c r="B2171" s="7">
        <f>YEAR(A2171)</f>
        <v/>
      </c>
      <c r="C2171" s="7">
        <f>MONTH(A2171)</f>
        <v/>
      </c>
      <c r="D2171" s="10" t="n">
        <v>0</v>
      </c>
      <c r="E2171" s="11" t="n">
        <v>2.484155361</v>
      </c>
      <c r="F2171" s="12" t="n">
        <v>0.0001036520121</v>
      </c>
      <c r="G2171" s="11" t="n">
        <v>278.3866857</v>
      </c>
      <c r="H2171" s="13">
        <f>F2171*1000</f>
        <v/>
      </c>
      <c r="I2171" s="14">
        <f>G2171-273.15</f>
        <v/>
      </c>
      <c r="K2171" s="15" t="n">
        <v>2007</v>
      </c>
      <c r="L2171" s="15" t="n">
        <v>1</v>
      </c>
      <c r="M2171" s="15" t="n">
        <v>7</v>
      </c>
      <c r="N2171" s="16" t="n">
        <v>2.339865929e-05</v>
      </c>
      <c r="O2171" s="11" t="n">
        <v>279.2934155</v>
      </c>
      <c r="P2171" s="13">
        <f>N2171*86400</f>
        <v/>
      </c>
      <c r="Q2171" s="14">
        <f>O2171-273.15</f>
        <v/>
      </c>
    </row>
    <row r="2172">
      <c r="A2172" s="9" t="n">
        <v>39059</v>
      </c>
      <c r="B2172" s="7">
        <f>YEAR(A2172)</f>
        <v/>
      </c>
      <c r="C2172" s="7">
        <f>MONTH(A2172)</f>
        <v/>
      </c>
      <c r="D2172" s="10" t="n">
        <v>0</v>
      </c>
      <c r="E2172" s="11" t="n">
        <v>4.153150395</v>
      </c>
      <c r="F2172" s="12" t="n">
        <v>7.903424959e-05</v>
      </c>
      <c r="G2172" s="11" t="n">
        <v>280.5505518</v>
      </c>
      <c r="H2172" s="13">
        <f>F2172*1000</f>
        <v/>
      </c>
      <c r="I2172" s="14">
        <f>G2172-273.15</f>
        <v/>
      </c>
      <c r="K2172" s="15" t="n">
        <v>2007</v>
      </c>
      <c r="L2172" s="15" t="n">
        <v>1</v>
      </c>
      <c r="M2172" s="15" t="n">
        <v>8</v>
      </c>
      <c r="N2172" s="16" t="n">
        <v>6.278228151e-05</v>
      </c>
      <c r="O2172" s="11" t="n">
        <v>280.791193</v>
      </c>
      <c r="P2172" s="13">
        <f>N2172*86400</f>
        <v/>
      </c>
      <c r="Q2172" s="14">
        <f>O2172-273.15</f>
        <v/>
      </c>
    </row>
    <row r="2173">
      <c r="A2173" s="9" t="n">
        <v>39060</v>
      </c>
      <c r="B2173" s="7">
        <f>YEAR(A2173)</f>
        <v/>
      </c>
      <c r="C2173" s="7">
        <f>MONTH(A2173)</f>
        <v/>
      </c>
      <c r="D2173" s="10" t="n">
        <v>0</v>
      </c>
      <c r="E2173" s="11" t="n">
        <v>4.233843855</v>
      </c>
      <c r="F2173" s="12" t="n">
        <v>0</v>
      </c>
      <c r="G2173" s="11" t="n">
        <v>279.5446381</v>
      </c>
      <c r="H2173" s="13">
        <f>F2173*1000</f>
        <v/>
      </c>
      <c r="I2173" s="14">
        <f>G2173-273.15</f>
        <v/>
      </c>
      <c r="K2173" s="15" t="n">
        <v>2007</v>
      </c>
      <c r="L2173" s="15" t="n">
        <v>1</v>
      </c>
      <c r="M2173" s="15" t="n">
        <v>9</v>
      </c>
      <c r="N2173" s="16" t="n">
        <v>0</v>
      </c>
      <c r="O2173" s="11" t="n">
        <v>280.8680225</v>
      </c>
      <c r="P2173" s="13">
        <f>N2173*86400</f>
        <v/>
      </c>
      <c r="Q2173" s="14">
        <f>O2173-273.15</f>
        <v/>
      </c>
    </row>
    <row r="2174">
      <c r="A2174" s="9" t="n">
        <v>39061</v>
      </c>
      <c r="B2174" s="7">
        <f>YEAR(A2174)</f>
        <v/>
      </c>
      <c r="C2174" s="7">
        <f>MONTH(A2174)</f>
        <v/>
      </c>
      <c r="D2174" s="10" t="n">
        <v>2.492741655</v>
      </c>
      <c r="E2174" s="11" t="n">
        <v>6.163400225</v>
      </c>
      <c r="F2174" s="12" t="n">
        <v>2.762372906e-05</v>
      </c>
      <c r="G2174" s="11" t="n">
        <v>281.2105242</v>
      </c>
      <c r="H2174" s="13">
        <f>F2174*1000</f>
        <v/>
      </c>
      <c r="I2174" s="14">
        <f>G2174-273.15</f>
        <v/>
      </c>
      <c r="K2174" s="15" t="n">
        <v>2007</v>
      </c>
      <c r="L2174" s="15" t="n">
        <v>1</v>
      </c>
      <c r="M2174" s="15" t="n">
        <v>10</v>
      </c>
      <c r="N2174" s="16" t="n">
        <v>0</v>
      </c>
      <c r="O2174" s="11" t="n">
        <v>278.1064469</v>
      </c>
      <c r="P2174" s="13">
        <f>N2174*86400</f>
        <v/>
      </c>
      <c r="Q2174" s="14">
        <f>O2174-273.15</f>
        <v/>
      </c>
    </row>
    <row r="2175">
      <c r="A2175" s="9" t="n">
        <v>39062</v>
      </c>
      <c r="B2175" s="7">
        <f>YEAR(A2175)</f>
        <v/>
      </c>
      <c r="C2175" s="7">
        <f>MONTH(A2175)</f>
        <v/>
      </c>
      <c r="D2175" s="10" t="n">
        <v>0</v>
      </c>
      <c r="E2175" s="11" t="n">
        <v>4.897509908</v>
      </c>
      <c r="F2175" s="12" t="n">
        <v>3.108571034e-05</v>
      </c>
      <c r="G2175" s="11" t="n">
        <v>281.0400073</v>
      </c>
      <c r="H2175" s="13">
        <f>F2175*1000</f>
        <v/>
      </c>
      <c r="I2175" s="14">
        <f>G2175-273.15</f>
        <v/>
      </c>
      <c r="K2175" s="15" t="n">
        <v>2007</v>
      </c>
      <c r="L2175" s="15" t="n">
        <v>1</v>
      </c>
      <c r="M2175" s="15" t="n">
        <v>11</v>
      </c>
      <c r="N2175" s="16" t="n">
        <v>0</v>
      </c>
      <c r="O2175" s="11" t="n">
        <v>277.0799968</v>
      </c>
      <c r="P2175" s="13">
        <f>N2175*86400</f>
        <v/>
      </c>
      <c r="Q2175" s="14">
        <f>O2175-273.15</f>
        <v/>
      </c>
    </row>
    <row r="2176">
      <c r="A2176" s="9" t="n">
        <v>39063</v>
      </c>
      <c r="B2176" s="7">
        <f>YEAR(A2176)</f>
        <v/>
      </c>
      <c r="C2176" s="7">
        <f>MONTH(A2176)</f>
        <v/>
      </c>
      <c r="D2176" s="10" t="n">
        <v>0</v>
      </c>
      <c r="E2176" s="11" t="n">
        <v>4.808230697</v>
      </c>
      <c r="F2176" s="12" t="n">
        <v>0</v>
      </c>
      <c r="G2176" s="11" t="n">
        <v>281.0060494</v>
      </c>
      <c r="H2176" s="13">
        <f>F2176*1000</f>
        <v/>
      </c>
      <c r="I2176" s="14">
        <f>G2176-273.15</f>
        <v/>
      </c>
      <c r="K2176" s="15" t="n">
        <v>2007</v>
      </c>
      <c r="L2176" s="15" t="n">
        <v>1</v>
      </c>
      <c r="M2176" s="15" t="n">
        <v>12</v>
      </c>
      <c r="N2176" s="16" t="n">
        <v>9.760464939999999e-06</v>
      </c>
      <c r="O2176" s="11" t="n">
        <v>281.4467752</v>
      </c>
      <c r="P2176" s="13">
        <f>N2176*86400</f>
        <v/>
      </c>
      <c r="Q2176" s="14">
        <f>O2176-273.15</f>
        <v/>
      </c>
    </row>
    <row r="2177">
      <c r="A2177" s="9" t="n">
        <v>39064</v>
      </c>
      <c r="B2177" s="7">
        <f>YEAR(A2177)</f>
        <v/>
      </c>
      <c r="C2177" s="7">
        <f>MONTH(A2177)</f>
        <v/>
      </c>
      <c r="D2177" s="10" t="n">
        <v>0</v>
      </c>
      <c r="E2177" s="11" t="n">
        <v>3.329708259</v>
      </c>
      <c r="F2177" s="12" t="n">
        <v>0.0007294111213</v>
      </c>
      <c r="G2177" s="11" t="n">
        <v>279.6794461</v>
      </c>
      <c r="H2177" s="13">
        <f>F2177*1000</f>
        <v/>
      </c>
      <c r="I2177" s="14">
        <f>G2177-273.15</f>
        <v/>
      </c>
      <c r="K2177" s="15" t="n">
        <v>2007</v>
      </c>
      <c r="L2177" s="15" t="n">
        <v>1</v>
      </c>
      <c r="M2177" s="15" t="n">
        <v>13</v>
      </c>
      <c r="N2177" s="16" t="n">
        <v>0</v>
      </c>
      <c r="O2177" s="11" t="n">
        <v>280.9210174</v>
      </c>
      <c r="P2177" s="13">
        <f>N2177*86400</f>
        <v/>
      </c>
      <c r="Q2177" s="14">
        <f>O2177-273.15</f>
        <v/>
      </c>
    </row>
    <row r="2178">
      <c r="A2178" s="9" t="n">
        <v>39065</v>
      </c>
      <c r="B2178" s="7">
        <f>YEAR(A2178)</f>
        <v/>
      </c>
      <c r="C2178" s="7">
        <f>MONTH(A2178)</f>
        <v/>
      </c>
      <c r="D2178" s="10" t="n">
        <v>0</v>
      </c>
      <c r="E2178" s="11" t="n">
        <v>4.205842739</v>
      </c>
      <c r="F2178" s="12" t="n">
        <v>0</v>
      </c>
      <c r="G2178" s="11" t="n">
        <v>280.5588507</v>
      </c>
      <c r="H2178" s="13">
        <f>F2178*1000</f>
        <v/>
      </c>
      <c r="I2178" s="14">
        <f>G2178-273.15</f>
        <v/>
      </c>
      <c r="K2178" s="15" t="n">
        <v>2007</v>
      </c>
      <c r="L2178" s="15" t="n">
        <v>1</v>
      </c>
      <c r="M2178" s="15" t="n">
        <v>14</v>
      </c>
      <c r="N2178" s="16" t="n">
        <v>0</v>
      </c>
      <c r="O2178" s="11" t="n">
        <v>280.3806401</v>
      </c>
      <c r="P2178" s="13">
        <f>N2178*86400</f>
        <v/>
      </c>
      <c r="Q2178" s="14">
        <f>O2178-273.15</f>
        <v/>
      </c>
    </row>
    <row r="2179">
      <c r="A2179" s="9" t="n">
        <v>39066</v>
      </c>
      <c r="B2179" s="7">
        <f>YEAR(A2179)</f>
        <v/>
      </c>
      <c r="C2179" s="7">
        <f>MONTH(A2179)</f>
        <v/>
      </c>
      <c r="D2179" s="10" t="n">
        <v>0</v>
      </c>
      <c r="E2179" s="11" t="n">
        <v>2.822412674</v>
      </c>
      <c r="F2179" s="12" t="n">
        <v>0</v>
      </c>
      <c r="G2179" s="11" t="n">
        <v>279.1758668</v>
      </c>
      <c r="H2179" s="13">
        <f>F2179*1000</f>
        <v/>
      </c>
      <c r="I2179" s="14">
        <f>G2179-273.15</f>
        <v/>
      </c>
      <c r="K2179" s="15" t="n">
        <v>2007</v>
      </c>
      <c r="L2179" s="15" t="n">
        <v>1</v>
      </c>
      <c r="M2179" s="15" t="n">
        <v>15</v>
      </c>
      <c r="N2179" s="16" t="n">
        <v>0</v>
      </c>
      <c r="O2179" s="11" t="n">
        <v>280.0684786</v>
      </c>
      <c r="P2179" s="13">
        <f>N2179*86400</f>
        <v/>
      </c>
      <c r="Q2179" s="14">
        <f>O2179-273.15</f>
        <v/>
      </c>
    </row>
    <row r="2180">
      <c r="A2180" s="9" t="n">
        <v>39067</v>
      </c>
      <c r="B2180" s="7">
        <f>YEAR(A2180)</f>
        <v/>
      </c>
      <c r="C2180" s="7">
        <f>MONTH(A2180)</f>
        <v/>
      </c>
      <c r="D2180" s="10" t="n">
        <v>0</v>
      </c>
      <c r="E2180" s="11" t="n">
        <v>3.392066322</v>
      </c>
      <c r="F2180" s="12" t="n">
        <v>0</v>
      </c>
      <c r="G2180" s="11" t="n">
        <v>279.4343712</v>
      </c>
      <c r="H2180" s="13">
        <f>F2180*1000</f>
        <v/>
      </c>
      <c r="I2180" s="14">
        <f>G2180-273.15</f>
        <v/>
      </c>
      <c r="K2180" s="15" t="n">
        <v>2007</v>
      </c>
      <c r="L2180" s="15" t="n">
        <v>1</v>
      </c>
      <c r="M2180" s="15" t="n">
        <v>16</v>
      </c>
      <c r="N2180" s="16" t="n">
        <v>3.577355572e-08</v>
      </c>
      <c r="O2180" s="11" t="n">
        <v>280.1915259</v>
      </c>
      <c r="P2180" s="13">
        <f>N2180*86400</f>
        <v/>
      </c>
      <c r="Q2180" s="14">
        <f>O2180-273.15</f>
        <v/>
      </c>
    </row>
    <row r="2181">
      <c r="A2181" s="9" t="n">
        <v>39068</v>
      </c>
      <c r="B2181" s="7">
        <f>YEAR(A2181)</f>
        <v/>
      </c>
      <c r="C2181" s="7">
        <f>MONTH(A2181)</f>
        <v/>
      </c>
      <c r="D2181" s="10" t="n">
        <v>0</v>
      </c>
      <c r="E2181" s="11" t="n">
        <v>1.934518979</v>
      </c>
      <c r="F2181" s="12" t="n">
        <v>0</v>
      </c>
      <c r="G2181" s="11" t="n">
        <v>276.9776613</v>
      </c>
      <c r="H2181" s="13">
        <f>F2181*1000</f>
        <v/>
      </c>
      <c r="I2181" s="14">
        <f>G2181-273.15</f>
        <v/>
      </c>
      <c r="K2181" s="15" t="n">
        <v>2007</v>
      </c>
      <c r="L2181" s="15" t="n">
        <v>1</v>
      </c>
      <c r="M2181" s="15" t="n">
        <v>17</v>
      </c>
      <c r="N2181" s="16" t="n">
        <v>7.564896673e-07</v>
      </c>
      <c r="O2181" s="11" t="n">
        <v>280.9101994</v>
      </c>
      <c r="P2181" s="13">
        <f>N2181*86400</f>
        <v/>
      </c>
      <c r="Q2181" s="14">
        <f>O2181-273.15</f>
        <v/>
      </c>
    </row>
    <row r="2182">
      <c r="A2182" s="9" t="n">
        <v>39069</v>
      </c>
      <c r="B2182" s="7">
        <f>YEAR(A2182)</f>
        <v/>
      </c>
      <c r="C2182" s="7">
        <f>MONTH(A2182)</f>
        <v/>
      </c>
      <c r="D2182" s="10" t="n">
        <v>0</v>
      </c>
      <c r="E2182" s="11" t="n">
        <v>-0.75971984</v>
      </c>
      <c r="F2182" s="12" t="n">
        <v>0</v>
      </c>
      <c r="G2182" s="11" t="n">
        <v>275.1023824</v>
      </c>
      <c r="H2182" s="13">
        <f>F2182*1000</f>
        <v/>
      </c>
      <c r="I2182" s="14">
        <f>G2182-273.15</f>
        <v/>
      </c>
      <c r="K2182" s="15" t="n">
        <v>2007</v>
      </c>
      <c r="L2182" s="15" t="n">
        <v>1</v>
      </c>
      <c r="M2182" s="15" t="n">
        <v>18</v>
      </c>
      <c r="N2182" s="16" t="n">
        <v>0</v>
      </c>
      <c r="O2182" s="11" t="n">
        <v>279.0749267</v>
      </c>
      <c r="P2182" s="13">
        <f>N2182*86400</f>
        <v/>
      </c>
      <c r="Q2182" s="14">
        <f>O2182-273.15</f>
        <v/>
      </c>
    </row>
    <row r="2183">
      <c r="A2183" s="9" t="n">
        <v>39070</v>
      </c>
      <c r="B2183" s="7">
        <f>YEAR(A2183)</f>
        <v/>
      </c>
      <c r="C2183" s="7">
        <f>MONTH(A2183)</f>
        <v/>
      </c>
      <c r="D2183" s="10" t="n">
        <v>0</v>
      </c>
      <c r="E2183" s="11" t="n">
        <v>0.1780065379</v>
      </c>
      <c r="F2183" s="12" t="n">
        <v>0</v>
      </c>
      <c r="G2183" s="11" t="n">
        <v>275.083751</v>
      </c>
      <c r="H2183" s="13">
        <f>F2183*1000</f>
        <v/>
      </c>
      <c r="I2183" s="14">
        <f>G2183-273.15</f>
        <v/>
      </c>
      <c r="K2183" s="15" t="n">
        <v>2007</v>
      </c>
      <c r="L2183" s="15" t="n">
        <v>1</v>
      </c>
      <c r="M2183" s="15" t="n">
        <v>19</v>
      </c>
      <c r="N2183" s="16" t="n">
        <v>0</v>
      </c>
      <c r="O2183" s="11" t="n">
        <v>279.3252937</v>
      </c>
      <c r="P2183" s="13">
        <f>N2183*86400</f>
        <v/>
      </c>
      <c r="Q2183" s="14">
        <f>O2183-273.15</f>
        <v/>
      </c>
    </row>
    <row r="2184">
      <c r="A2184" s="9" t="n">
        <v>39071</v>
      </c>
      <c r="B2184" s="7">
        <f>YEAR(A2184)</f>
        <v/>
      </c>
      <c r="C2184" s="7">
        <f>MONTH(A2184)</f>
        <v/>
      </c>
      <c r="D2184" s="10" t="n">
        <v>0</v>
      </c>
      <c r="E2184" s="11" t="n">
        <v>1.138717971</v>
      </c>
      <c r="F2184" s="12" t="n">
        <v>0.0002137622971</v>
      </c>
      <c r="G2184" s="11" t="n">
        <v>275.7071548</v>
      </c>
      <c r="H2184" s="13">
        <f>F2184*1000</f>
        <v/>
      </c>
      <c r="I2184" s="14">
        <f>G2184-273.15</f>
        <v/>
      </c>
      <c r="K2184" s="15" t="n">
        <v>2007</v>
      </c>
      <c r="L2184" s="15" t="n">
        <v>1</v>
      </c>
      <c r="M2184" s="15" t="n">
        <v>20</v>
      </c>
      <c r="N2184" s="16" t="n">
        <v>0</v>
      </c>
      <c r="O2184" s="11" t="n">
        <v>280.2713075</v>
      </c>
      <c r="P2184" s="13">
        <f>N2184*86400</f>
        <v/>
      </c>
      <c r="Q2184" s="14">
        <f>O2184-273.15</f>
        <v/>
      </c>
    </row>
    <row r="2185">
      <c r="A2185" s="9" t="n">
        <v>39072</v>
      </c>
      <c r="B2185" s="7">
        <f>YEAR(A2185)</f>
        <v/>
      </c>
      <c r="C2185" s="7">
        <f>MONTH(A2185)</f>
        <v/>
      </c>
      <c r="D2185" s="10" t="n">
        <v>0</v>
      </c>
      <c r="E2185" s="11" t="n">
        <v>0.9024387784</v>
      </c>
      <c r="F2185" s="12" t="n">
        <v>0</v>
      </c>
      <c r="G2185" s="11" t="n">
        <v>276.395997</v>
      </c>
      <c r="H2185" s="13">
        <f>F2185*1000</f>
        <v/>
      </c>
      <c r="I2185" s="14">
        <f>G2185-273.15</f>
        <v/>
      </c>
      <c r="K2185" s="15" t="n">
        <v>2007</v>
      </c>
      <c r="L2185" s="15" t="n">
        <v>1</v>
      </c>
      <c r="M2185" s="15" t="n">
        <v>21</v>
      </c>
      <c r="N2185" s="16" t="n">
        <v>3.183282337e-05</v>
      </c>
      <c r="O2185" s="11" t="n">
        <v>280.4851795</v>
      </c>
      <c r="P2185" s="13">
        <f>N2185*86400</f>
        <v/>
      </c>
      <c r="Q2185" s="14">
        <f>O2185-273.15</f>
        <v/>
      </c>
    </row>
    <row r="2186">
      <c r="A2186" s="9" t="n">
        <v>39073</v>
      </c>
      <c r="B2186" s="7">
        <f>YEAR(A2186)</f>
        <v/>
      </c>
      <c r="C2186" s="7">
        <f>MONTH(A2186)</f>
        <v/>
      </c>
      <c r="D2186" s="10" t="n">
        <v>0</v>
      </c>
      <c r="E2186" s="11" t="n">
        <v>2.411382752</v>
      </c>
      <c r="F2186" s="12" t="n">
        <v>0</v>
      </c>
      <c r="G2186" s="11" t="n">
        <v>277.9074773</v>
      </c>
      <c r="H2186" s="13">
        <f>F2186*1000</f>
        <v/>
      </c>
      <c r="I2186" s="14">
        <f>G2186-273.15</f>
        <v/>
      </c>
      <c r="K2186" s="15" t="n">
        <v>2007</v>
      </c>
      <c r="L2186" s="15" t="n">
        <v>1</v>
      </c>
      <c r="M2186" s="15" t="n">
        <v>22</v>
      </c>
      <c r="N2186" s="16" t="n">
        <v>4.989586908e-05</v>
      </c>
      <c r="O2186" s="11" t="n">
        <v>280.0266627</v>
      </c>
      <c r="P2186" s="13">
        <f>N2186*86400</f>
        <v/>
      </c>
      <c r="Q2186" s="14">
        <f>O2186-273.15</f>
        <v/>
      </c>
    </row>
    <row r="2187">
      <c r="A2187" s="9" t="n">
        <v>39074</v>
      </c>
      <c r="B2187" s="7">
        <f>YEAR(A2187)</f>
        <v/>
      </c>
      <c r="C2187" s="7">
        <f>MONTH(A2187)</f>
        <v/>
      </c>
      <c r="D2187" s="10" t="n">
        <v>0</v>
      </c>
      <c r="E2187" s="11" t="n">
        <v>1.296670085</v>
      </c>
      <c r="F2187" s="12" t="n">
        <v>0</v>
      </c>
      <c r="G2187" s="11" t="n">
        <v>277.2162801</v>
      </c>
      <c r="H2187" s="13">
        <f>F2187*1000</f>
        <v/>
      </c>
      <c r="I2187" s="14">
        <f>G2187-273.15</f>
        <v/>
      </c>
      <c r="K2187" s="15" t="n">
        <v>2007</v>
      </c>
      <c r="L2187" s="15" t="n">
        <v>1</v>
      </c>
      <c r="M2187" s="15" t="n">
        <v>23</v>
      </c>
      <c r="N2187" s="16" t="n">
        <v>2.026506898e-07</v>
      </c>
      <c r="O2187" s="11" t="n">
        <v>281.6811048</v>
      </c>
      <c r="P2187" s="13">
        <f>N2187*86400</f>
        <v/>
      </c>
      <c r="Q2187" s="14">
        <f>O2187-273.15</f>
        <v/>
      </c>
    </row>
    <row r="2188">
      <c r="A2188" s="9" t="n">
        <v>39075</v>
      </c>
      <c r="B2188" s="7">
        <f>YEAR(A2188)</f>
        <v/>
      </c>
      <c r="C2188" s="7">
        <f>MONTH(A2188)</f>
        <v/>
      </c>
      <c r="D2188" s="10" t="n">
        <v>0</v>
      </c>
      <c r="E2188" s="11" t="n">
        <v>2.194666066</v>
      </c>
      <c r="F2188" s="12" t="n">
        <v>0</v>
      </c>
      <c r="G2188" s="11" t="n">
        <v>277.794544</v>
      </c>
      <c r="H2188" s="13">
        <f>F2188*1000</f>
        <v/>
      </c>
      <c r="I2188" s="14">
        <f>G2188-273.15</f>
        <v/>
      </c>
      <c r="K2188" s="15" t="n">
        <v>2007</v>
      </c>
      <c r="L2188" s="15" t="n">
        <v>1</v>
      </c>
      <c r="M2188" s="15" t="n">
        <v>24</v>
      </c>
      <c r="N2188" s="16" t="n">
        <v>6.922048349e-07</v>
      </c>
      <c r="O2188" s="11" t="n">
        <v>282.3466232</v>
      </c>
      <c r="P2188" s="13">
        <f>N2188*86400</f>
        <v/>
      </c>
      <c r="Q2188" s="14">
        <f>O2188-273.15</f>
        <v/>
      </c>
    </row>
    <row r="2189">
      <c r="A2189" s="9" t="n">
        <v>39076</v>
      </c>
      <c r="B2189" s="7">
        <f>YEAR(A2189)</f>
        <v/>
      </c>
      <c r="C2189" s="7">
        <f>MONTH(A2189)</f>
        <v/>
      </c>
      <c r="D2189" s="10" t="n">
        <v>0</v>
      </c>
      <c r="E2189" s="11" t="n">
        <v>3.835834041</v>
      </c>
      <c r="F2189" s="12" t="n">
        <v>0</v>
      </c>
      <c r="G2189" s="11" t="n">
        <v>278.5781984</v>
      </c>
      <c r="H2189" s="13">
        <f>F2189*1000</f>
        <v/>
      </c>
      <c r="I2189" s="14">
        <f>G2189-273.15</f>
        <v/>
      </c>
      <c r="K2189" s="15" t="n">
        <v>2007</v>
      </c>
      <c r="L2189" s="15" t="n">
        <v>1</v>
      </c>
      <c r="M2189" s="15" t="n">
        <v>25</v>
      </c>
      <c r="N2189" s="16" t="n">
        <v>3.545675204e-06</v>
      </c>
      <c r="O2189" s="11" t="n">
        <v>281.7206425</v>
      </c>
      <c r="P2189" s="13">
        <f>N2189*86400</f>
        <v/>
      </c>
      <c r="Q2189" s="14">
        <f>O2189-273.15</f>
        <v/>
      </c>
    </row>
    <row r="2190">
      <c r="A2190" s="9" t="n">
        <v>39077</v>
      </c>
      <c r="B2190" s="7">
        <f>YEAR(A2190)</f>
        <v/>
      </c>
      <c r="C2190" s="7">
        <f>MONTH(A2190)</f>
        <v/>
      </c>
      <c r="D2190" s="10" t="n">
        <v>0</v>
      </c>
      <c r="E2190" s="11" t="n">
        <v>2.92402727</v>
      </c>
      <c r="F2190" s="12" t="n">
        <v>0</v>
      </c>
      <c r="G2190" s="11" t="n">
        <v>278.1561605</v>
      </c>
      <c r="H2190" s="13">
        <f>F2190*1000</f>
        <v/>
      </c>
      <c r="I2190" s="14">
        <f>G2190-273.15</f>
        <v/>
      </c>
      <c r="K2190" s="15" t="n">
        <v>2007</v>
      </c>
      <c r="L2190" s="15" t="n">
        <v>1</v>
      </c>
      <c r="M2190" s="15" t="n">
        <v>26</v>
      </c>
      <c r="N2190" s="16" t="n">
        <v>0</v>
      </c>
      <c r="O2190" s="11" t="n">
        <v>280.6549204</v>
      </c>
      <c r="P2190" s="13">
        <f>N2190*86400</f>
        <v/>
      </c>
      <c r="Q2190" s="14">
        <f>O2190-273.15</f>
        <v/>
      </c>
    </row>
    <row r="2191">
      <c r="A2191" s="9" t="n">
        <v>39078</v>
      </c>
      <c r="B2191" s="7">
        <f>YEAR(A2191)</f>
        <v/>
      </c>
      <c r="C2191" s="7">
        <f>MONTH(A2191)</f>
        <v/>
      </c>
      <c r="D2191" s="10" t="n">
        <v>0</v>
      </c>
      <c r="E2191" s="11" t="n">
        <v>1.037200773</v>
      </c>
      <c r="F2191" s="12" t="n">
        <v>0.0008593974762</v>
      </c>
      <c r="G2191" s="11" t="n">
        <v>276.5424816</v>
      </c>
      <c r="H2191" s="13">
        <f>F2191*1000</f>
        <v/>
      </c>
      <c r="I2191" s="14">
        <f>G2191-273.15</f>
        <v/>
      </c>
      <c r="K2191" s="15" t="n">
        <v>2007</v>
      </c>
      <c r="L2191" s="15" t="n">
        <v>1</v>
      </c>
      <c r="M2191" s="15" t="n">
        <v>27</v>
      </c>
      <c r="N2191" s="16" t="n">
        <v>1.423233359e-05</v>
      </c>
      <c r="O2191" s="11" t="n">
        <v>278.8184838</v>
      </c>
      <c r="P2191" s="13">
        <f>N2191*86400</f>
        <v/>
      </c>
      <c r="Q2191" s="14">
        <f>O2191-273.15</f>
        <v/>
      </c>
    </row>
    <row r="2192">
      <c r="A2192" s="9" t="n">
        <v>39079</v>
      </c>
      <c r="B2192" s="7">
        <f>YEAR(A2192)</f>
        <v/>
      </c>
      <c r="C2192" s="7">
        <f>MONTH(A2192)</f>
        <v/>
      </c>
      <c r="D2192" s="10" t="n">
        <v>0</v>
      </c>
      <c r="E2192" s="11" t="n">
        <v>-0.4698674084</v>
      </c>
      <c r="F2192" s="12" t="n">
        <v>3.788644663e-06</v>
      </c>
      <c r="G2192" s="11" t="n">
        <v>274.7656263</v>
      </c>
      <c r="H2192" s="13">
        <f>F2192*1000</f>
        <v/>
      </c>
      <c r="I2192" s="14">
        <f>G2192-273.15</f>
        <v/>
      </c>
      <c r="K2192" s="15" t="n">
        <v>2007</v>
      </c>
      <c r="L2192" s="15" t="n">
        <v>1</v>
      </c>
      <c r="M2192" s="15" t="n">
        <v>28</v>
      </c>
      <c r="N2192" s="16" t="n">
        <v>8.643641511e-08</v>
      </c>
      <c r="O2192" s="11" t="n">
        <v>278.608396</v>
      </c>
      <c r="P2192" s="13">
        <f>N2192*86400</f>
        <v/>
      </c>
      <c r="Q2192" s="14">
        <f>O2192-273.15</f>
        <v/>
      </c>
    </row>
    <row r="2193">
      <c r="A2193" s="9" t="n">
        <v>39080</v>
      </c>
      <c r="B2193" s="7">
        <f>YEAR(A2193)</f>
        <v/>
      </c>
      <c r="C2193" s="7">
        <f>MONTH(A2193)</f>
        <v/>
      </c>
      <c r="D2193" s="10" t="n">
        <v>0</v>
      </c>
      <c r="E2193" s="11" t="n">
        <v>-0.05877886479</v>
      </c>
      <c r="F2193" s="12" t="n">
        <v>4.123758007e-05</v>
      </c>
      <c r="G2193" s="11" t="n">
        <v>276.0476068</v>
      </c>
      <c r="H2193" s="13">
        <f>F2193*1000</f>
        <v/>
      </c>
      <c r="I2193" s="14">
        <f>G2193-273.15</f>
        <v/>
      </c>
      <c r="K2193" s="15" t="n">
        <v>2007</v>
      </c>
      <c r="L2193" s="15" t="n">
        <v>1</v>
      </c>
      <c r="M2193" s="15" t="n">
        <v>29</v>
      </c>
      <c r="N2193" s="16" t="n">
        <v>2.483553937e-06</v>
      </c>
      <c r="O2193" s="11" t="n">
        <v>279.3249388</v>
      </c>
      <c r="P2193" s="13">
        <f>N2193*86400</f>
        <v/>
      </c>
      <c r="Q2193" s="14">
        <f>O2193-273.15</f>
        <v/>
      </c>
    </row>
    <row r="2194">
      <c r="A2194" s="9" t="n">
        <v>39081</v>
      </c>
      <c r="B2194" s="7">
        <f>YEAR(A2194)</f>
        <v/>
      </c>
      <c r="C2194" s="7">
        <f>MONTH(A2194)</f>
        <v/>
      </c>
      <c r="D2194" s="10" t="n">
        <v>2.077761169</v>
      </c>
      <c r="E2194" s="11" t="n">
        <v>2.472018312</v>
      </c>
      <c r="F2194" s="12" t="n">
        <v>0.007853271921</v>
      </c>
      <c r="G2194" s="11" t="n">
        <v>279.0458088</v>
      </c>
      <c r="H2194" s="13">
        <f>F2194*1000</f>
        <v/>
      </c>
      <c r="I2194" s="14">
        <f>G2194-273.15</f>
        <v/>
      </c>
      <c r="K2194" s="15" t="n">
        <v>2007</v>
      </c>
      <c r="L2194" s="15" t="n">
        <v>1</v>
      </c>
      <c r="M2194" s="15" t="n">
        <v>30</v>
      </c>
      <c r="N2194" s="16" t="n">
        <v>5.62751195e-05</v>
      </c>
      <c r="O2194" s="11" t="n">
        <v>281.3583276</v>
      </c>
      <c r="P2194" s="13">
        <f>N2194*86400</f>
        <v/>
      </c>
      <c r="Q2194" s="14">
        <f>O2194-273.15</f>
        <v/>
      </c>
    </row>
    <row r="2195">
      <c r="A2195" s="9" t="n">
        <v>39082</v>
      </c>
      <c r="B2195" s="7">
        <f>YEAR(A2195)</f>
        <v/>
      </c>
      <c r="C2195" s="7">
        <f>MONTH(A2195)</f>
        <v/>
      </c>
      <c r="D2195" s="10" t="n">
        <v>2.460232662</v>
      </c>
      <c r="E2195" s="11" t="n">
        <v>4.586213498</v>
      </c>
      <c r="F2195" s="12" t="n">
        <v>0.001649246836</v>
      </c>
      <c r="G2195" s="11" t="n">
        <v>280.0563733</v>
      </c>
      <c r="H2195" s="13">
        <f>F2195*1000</f>
        <v/>
      </c>
      <c r="I2195" s="14">
        <f>G2195-273.15</f>
        <v/>
      </c>
      <c r="K2195" s="15" t="n">
        <v>2007</v>
      </c>
      <c r="L2195" s="15" t="n">
        <v>2</v>
      </c>
      <c r="M2195" s="15" t="n">
        <v>1</v>
      </c>
      <c r="N2195" s="16" t="n">
        <v>4.121046813e-06</v>
      </c>
      <c r="O2195" s="11" t="n">
        <v>280.5554078</v>
      </c>
      <c r="P2195" s="13">
        <f>N2195*86400</f>
        <v/>
      </c>
      <c r="Q2195" s="14">
        <f>O2195-273.15</f>
        <v/>
      </c>
    </row>
    <row r="2196">
      <c r="A2196" s="9" t="n">
        <v>39083</v>
      </c>
      <c r="B2196" s="7">
        <f>YEAR(A2196)</f>
        <v/>
      </c>
      <c r="C2196" s="7">
        <f>MONTH(A2196)</f>
        <v/>
      </c>
      <c r="D2196" s="10" t="n">
        <v>1.872258392</v>
      </c>
      <c r="E2196" s="11" t="n">
        <v>3.596972786</v>
      </c>
      <c r="F2196" s="12" t="n">
        <v>0.00355619644</v>
      </c>
      <c r="G2196" s="11" t="n">
        <v>279.4656013</v>
      </c>
      <c r="H2196" s="13">
        <f>F2196*1000</f>
        <v/>
      </c>
      <c r="I2196" s="14">
        <f>G2196-273.15</f>
        <v/>
      </c>
      <c r="K2196" s="15" t="n">
        <v>2007</v>
      </c>
      <c r="L2196" s="15" t="n">
        <v>2</v>
      </c>
      <c r="M2196" s="15" t="n">
        <v>2</v>
      </c>
      <c r="N2196" s="16" t="n">
        <v>0</v>
      </c>
      <c r="O2196" s="11" t="n">
        <v>281.8435564</v>
      </c>
      <c r="P2196" s="13">
        <f>N2196*86400</f>
        <v/>
      </c>
      <c r="Q2196" s="14">
        <f>O2196-273.15</f>
        <v/>
      </c>
    </row>
    <row r="2197">
      <c r="A2197" s="9" t="n">
        <v>39084</v>
      </c>
      <c r="B2197" s="7">
        <f>YEAR(A2197)</f>
        <v/>
      </c>
      <c r="C2197" s="7">
        <f>MONTH(A2197)</f>
        <v/>
      </c>
      <c r="D2197" s="10" t="n">
        <v>0.7045989841</v>
      </c>
      <c r="E2197" s="11" t="n">
        <v>5.988797613</v>
      </c>
      <c r="F2197" s="12" t="n">
        <v>0</v>
      </c>
      <c r="G2197" s="11" t="n">
        <v>281.7405836</v>
      </c>
      <c r="H2197" s="13">
        <f>F2197*1000</f>
        <v/>
      </c>
      <c r="I2197" s="14">
        <f>G2197-273.15</f>
        <v/>
      </c>
      <c r="K2197" s="15" t="n">
        <v>2007</v>
      </c>
      <c r="L2197" s="15" t="n">
        <v>2</v>
      </c>
      <c r="M2197" s="15" t="n">
        <v>3</v>
      </c>
      <c r="N2197" s="16" t="n">
        <v>6.536181808e-06</v>
      </c>
      <c r="O2197" s="11" t="n">
        <v>281.4099973</v>
      </c>
      <c r="P2197" s="13">
        <f>N2197*86400</f>
        <v/>
      </c>
      <c r="Q2197" s="14">
        <f>O2197-273.15</f>
        <v/>
      </c>
    </row>
    <row r="2198">
      <c r="A2198" s="9" t="n">
        <v>39085</v>
      </c>
      <c r="B2198" s="7">
        <f>YEAR(A2198)</f>
        <v/>
      </c>
      <c r="C2198" s="7">
        <f>MONTH(A2198)</f>
        <v/>
      </c>
      <c r="D2198" s="10" t="n">
        <v>6.190872561</v>
      </c>
      <c r="E2198" s="11" t="n">
        <v>5.77684208</v>
      </c>
      <c r="F2198" s="12" t="n">
        <v>0.0004927607538</v>
      </c>
      <c r="G2198" s="11" t="n">
        <v>281.5448408</v>
      </c>
      <c r="H2198" s="13">
        <f>F2198*1000</f>
        <v/>
      </c>
      <c r="I2198" s="14">
        <f>G2198-273.15</f>
        <v/>
      </c>
      <c r="K2198" s="15" t="n">
        <v>2007</v>
      </c>
      <c r="L2198" s="15" t="n">
        <v>2</v>
      </c>
      <c r="M2198" s="15" t="n">
        <v>4</v>
      </c>
      <c r="N2198" s="16" t="n">
        <v>0</v>
      </c>
      <c r="O2198" s="11" t="n">
        <v>279.9844949</v>
      </c>
      <c r="P2198" s="13">
        <f>N2198*86400</f>
        <v/>
      </c>
      <c r="Q2198" s="14">
        <f>O2198-273.15</f>
        <v/>
      </c>
    </row>
    <row r="2199">
      <c r="A2199" s="9" t="n">
        <v>39086</v>
      </c>
      <c r="B2199" s="7">
        <f>YEAR(A2199)</f>
        <v/>
      </c>
      <c r="C2199" s="7">
        <f>MONTH(A2199)</f>
        <v/>
      </c>
      <c r="D2199" s="10" t="n">
        <v>0</v>
      </c>
      <c r="E2199" s="11" t="n">
        <v>6.658792867</v>
      </c>
      <c r="F2199" s="12" t="n">
        <v>0</v>
      </c>
      <c r="G2199" s="11" t="n">
        <v>280.5760531</v>
      </c>
      <c r="H2199" s="13">
        <f>F2199*1000</f>
        <v/>
      </c>
      <c r="I2199" s="14">
        <f>G2199-273.15</f>
        <v/>
      </c>
      <c r="K2199" s="15" t="n">
        <v>2007</v>
      </c>
      <c r="L2199" s="15" t="n">
        <v>2</v>
      </c>
      <c r="M2199" s="15" t="n">
        <v>5</v>
      </c>
      <c r="N2199" s="16" t="n">
        <v>0</v>
      </c>
      <c r="O2199" s="11" t="n">
        <v>280.8328318</v>
      </c>
      <c r="P2199" s="13">
        <f>N2199*86400</f>
        <v/>
      </c>
      <c r="Q2199" s="14">
        <f>O2199-273.15</f>
        <v/>
      </c>
    </row>
    <row r="2200">
      <c r="A2200" s="9" t="n">
        <v>39087</v>
      </c>
      <c r="B2200" s="7">
        <f>YEAR(A2200)</f>
        <v/>
      </c>
      <c r="C2200" s="7">
        <f>MONTH(A2200)</f>
        <v/>
      </c>
      <c r="D2200" s="10" t="n">
        <v>0</v>
      </c>
      <c r="E2200" s="11" t="n">
        <v>4.352101214</v>
      </c>
      <c r="F2200" s="12" t="n">
        <v>0</v>
      </c>
      <c r="G2200" s="11" t="n">
        <v>279.1170388</v>
      </c>
      <c r="H2200" s="13">
        <f>F2200*1000</f>
        <v/>
      </c>
      <c r="I2200" s="14">
        <f>G2200-273.15</f>
        <v/>
      </c>
      <c r="K2200" s="15" t="n">
        <v>2007</v>
      </c>
      <c r="L2200" s="15" t="n">
        <v>2</v>
      </c>
      <c r="M2200" s="15" t="n">
        <v>6</v>
      </c>
      <c r="N2200" s="16" t="n">
        <v>0</v>
      </c>
      <c r="O2200" s="11" t="n">
        <v>281.1881259</v>
      </c>
      <c r="P2200" s="13">
        <f>N2200*86400</f>
        <v/>
      </c>
      <c r="Q2200" s="14">
        <f>O2200-273.15</f>
        <v/>
      </c>
    </row>
    <row r="2201">
      <c r="A2201" s="9" t="n">
        <v>39088</v>
      </c>
      <c r="B2201" s="7">
        <f>YEAR(A2201)</f>
        <v/>
      </c>
      <c r="C2201" s="7">
        <f>MONTH(A2201)</f>
        <v/>
      </c>
      <c r="D2201" s="10" t="n">
        <v>0</v>
      </c>
      <c r="E2201" s="11" t="n">
        <v>2.784221548</v>
      </c>
      <c r="F2201" s="12" t="n">
        <v>0</v>
      </c>
      <c r="G2201" s="11" t="n">
        <v>278.7799224</v>
      </c>
      <c r="H2201" s="13">
        <f>F2201*1000</f>
        <v/>
      </c>
      <c r="I2201" s="14">
        <f>G2201-273.15</f>
        <v/>
      </c>
      <c r="K2201" s="15" t="n">
        <v>2007</v>
      </c>
      <c r="L2201" s="15" t="n">
        <v>2</v>
      </c>
      <c r="M2201" s="15" t="n">
        <v>7</v>
      </c>
      <c r="N2201" s="16" t="n">
        <v>0</v>
      </c>
      <c r="O2201" s="11" t="n">
        <v>281.9680388</v>
      </c>
      <c r="P2201" s="13">
        <f>N2201*86400</f>
        <v/>
      </c>
      <c r="Q2201" s="14">
        <f>O2201-273.15</f>
        <v/>
      </c>
    </row>
    <row r="2202">
      <c r="A2202" s="9" t="n">
        <v>39089</v>
      </c>
      <c r="B2202" s="7">
        <f>YEAR(A2202)</f>
        <v/>
      </c>
      <c r="C2202" s="7">
        <f>MONTH(A2202)</f>
        <v/>
      </c>
      <c r="D2202" s="10" t="n">
        <v>0</v>
      </c>
      <c r="E2202" s="11" t="n">
        <v>6.164089727</v>
      </c>
      <c r="F2202" s="12" t="n">
        <v>0</v>
      </c>
      <c r="G2202" s="11" t="n">
        <v>282.2088759</v>
      </c>
      <c r="H2202" s="13">
        <f>F2202*1000</f>
        <v/>
      </c>
      <c r="I2202" s="14">
        <f>G2202-273.15</f>
        <v/>
      </c>
      <c r="K2202" s="15" t="n">
        <v>2007</v>
      </c>
      <c r="L2202" s="15" t="n">
        <v>2</v>
      </c>
      <c r="M2202" s="15" t="n">
        <v>8</v>
      </c>
      <c r="N2202" s="16" t="n">
        <v>3.785949348e-05</v>
      </c>
      <c r="O2202" s="11" t="n">
        <v>281.3259335</v>
      </c>
      <c r="P2202" s="13">
        <f>N2202*86400</f>
        <v/>
      </c>
      <c r="Q2202" s="14">
        <f>O2202-273.15</f>
        <v/>
      </c>
    </row>
    <row r="2203">
      <c r="A2203" s="9" t="n">
        <v>39090</v>
      </c>
      <c r="B2203" s="7">
        <f>YEAR(A2203)</f>
        <v/>
      </c>
      <c r="C2203" s="7">
        <f>MONTH(A2203)</f>
        <v/>
      </c>
      <c r="D2203" s="10" t="n">
        <v>0</v>
      </c>
      <c r="E2203" s="11" t="n">
        <v>5.446352309</v>
      </c>
      <c r="F2203" s="12" t="n">
        <v>0</v>
      </c>
      <c r="G2203" s="11" t="n">
        <v>281.1515458</v>
      </c>
      <c r="H2203" s="13">
        <f>F2203*1000</f>
        <v/>
      </c>
      <c r="I2203" s="14">
        <f>G2203-273.15</f>
        <v/>
      </c>
      <c r="K2203" s="15" t="n">
        <v>2007</v>
      </c>
      <c r="L2203" s="15" t="n">
        <v>2</v>
      </c>
      <c r="M2203" s="15" t="n">
        <v>9</v>
      </c>
      <c r="N2203" s="16" t="n">
        <v>0</v>
      </c>
      <c r="O2203" s="11" t="n">
        <v>282.5382</v>
      </c>
      <c r="P2203" s="13">
        <f>N2203*86400</f>
        <v/>
      </c>
      <c r="Q2203" s="14">
        <f>O2203-273.15</f>
        <v/>
      </c>
    </row>
    <row r="2204">
      <c r="A2204" s="9" t="n">
        <v>39091</v>
      </c>
      <c r="B2204" s="7">
        <f>YEAR(A2204)</f>
        <v/>
      </c>
      <c r="C2204" s="7">
        <f>MONTH(A2204)</f>
        <v/>
      </c>
      <c r="D2204" s="10" t="n">
        <v>0</v>
      </c>
      <c r="E2204" s="11" t="n">
        <v>1.247475508</v>
      </c>
      <c r="F2204" s="12" t="n">
        <v>0.0008556187418000001</v>
      </c>
      <c r="G2204" s="11" t="n">
        <v>276.820574</v>
      </c>
      <c r="H2204" s="13">
        <f>F2204*1000</f>
        <v/>
      </c>
      <c r="I2204" s="14">
        <f>G2204-273.15</f>
        <v/>
      </c>
      <c r="K2204" s="15" t="n">
        <v>2007</v>
      </c>
      <c r="L2204" s="15" t="n">
        <v>2</v>
      </c>
      <c r="M2204" s="15" t="n">
        <v>10</v>
      </c>
      <c r="N2204" s="16" t="n">
        <v>5.908707245e-06</v>
      </c>
      <c r="O2204" s="11" t="n">
        <v>282.4889191</v>
      </c>
      <c r="P2204" s="13">
        <f>N2204*86400</f>
        <v/>
      </c>
      <c r="Q2204" s="14">
        <f>O2204-273.15</f>
        <v/>
      </c>
    </row>
    <row r="2205">
      <c r="A2205" s="9" t="n">
        <v>39092</v>
      </c>
      <c r="B2205" s="7">
        <f>YEAR(A2205)</f>
        <v/>
      </c>
      <c r="C2205" s="7">
        <f>MONTH(A2205)</f>
        <v/>
      </c>
      <c r="D2205" s="10" t="n">
        <v>0</v>
      </c>
      <c r="E2205" s="11" t="n">
        <v>1.036470571</v>
      </c>
      <c r="F2205" s="12" t="n">
        <v>0.001243319253</v>
      </c>
      <c r="G2205" s="11" t="n">
        <v>276.8198787</v>
      </c>
      <c r="H2205" s="13">
        <f>F2205*1000</f>
        <v/>
      </c>
      <c r="I2205" s="14">
        <f>G2205-273.15</f>
        <v/>
      </c>
      <c r="K2205" s="15" t="n">
        <v>2007</v>
      </c>
      <c r="L2205" s="15" t="n">
        <v>2</v>
      </c>
      <c r="M2205" s="15" t="n">
        <v>11</v>
      </c>
      <c r="N2205" s="16" t="n">
        <v>0</v>
      </c>
      <c r="O2205" s="11" t="n">
        <v>281.9926037</v>
      </c>
      <c r="P2205" s="13">
        <f>N2205*86400</f>
        <v/>
      </c>
      <c r="Q2205" s="14">
        <f>O2205-273.15</f>
        <v/>
      </c>
    </row>
    <row r="2206">
      <c r="A2206" s="9" t="n">
        <v>39093</v>
      </c>
      <c r="B2206" s="7">
        <f>YEAR(A2206)</f>
        <v/>
      </c>
      <c r="C2206" s="7">
        <f>MONTH(A2206)</f>
        <v/>
      </c>
      <c r="D2206" s="10" t="n">
        <v>0</v>
      </c>
      <c r="E2206" s="11" t="n">
        <v>6.080691528</v>
      </c>
      <c r="F2206" s="12" t="n">
        <v>0</v>
      </c>
      <c r="G2206" s="11" t="n">
        <v>280.941596</v>
      </c>
      <c r="H2206" s="13">
        <f>F2206*1000</f>
        <v/>
      </c>
      <c r="I2206" s="14">
        <f>G2206-273.15</f>
        <v/>
      </c>
      <c r="K2206" s="15" t="n">
        <v>2007</v>
      </c>
      <c r="L2206" s="15" t="n">
        <v>2</v>
      </c>
      <c r="M2206" s="15" t="n">
        <v>12</v>
      </c>
      <c r="N2206" s="16" t="n">
        <v>2.845720584e-09</v>
      </c>
      <c r="O2206" s="11" t="n">
        <v>282.371649</v>
      </c>
      <c r="P2206" s="13">
        <f>N2206*86400</f>
        <v/>
      </c>
      <c r="Q2206" s="14">
        <f>O2206-273.15</f>
        <v/>
      </c>
    </row>
    <row r="2207">
      <c r="A2207" s="9" t="n">
        <v>39094</v>
      </c>
      <c r="B2207" s="7">
        <f>YEAR(A2207)</f>
        <v/>
      </c>
      <c r="C2207" s="7">
        <f>MONTH(A2207)</f>
        <v/>
      </c>
      <c r="D2207" s="10" t="n">
        <v>0</v>
      </c>
      <c r="E2207" s="11" t="n">
        <v>4.800920873</v>
      </c>
      <c r="F2207" s="12" t="n">
        <v>0</v>
      </c>
      <c r="G2207" s="11" t="n">
        <v>280.2699875</v>
      </c>
      <c r="H2207" s="13">
        <f>F2207*1000</f>
        <v/>
      </c>
      <c r="I2207" s="14">
        <f>G2207-273.15</f>
        <v/>
      </c>
      <c r="K2207" s="15" t="n">
        <v>2007</v>
      </c>
      <c r="L2207" s="15" t="n">
        <v>2</v>
      </c>
      <c r="M2207" s="15" t="n">
        <v>13</v>
      </c>
      <c r="N2207" s="16" t="n">
        <v>0</v>
      </c>
      <c r="O2207" s="11" t="n">
        <v>283.0377825</v>
      </c>
      <c r="P2207" s="13">
        <f>N2207*86400</f>
        <v/>
      </c>
      <c r="Q2207" s="14">
        <f>O2207-273.15</f>
        <v/>
      </c>
    </row>
    <row r="2208">
      <c r="A2208" s="9" t="n">
        <v>39095</v>
      </c>
      <c r="B2208" s="7">
        <f>YEAR(A2208)</f>
        <v/>
      </c>
      <c r="C2208" s="7">
        <f>MONTH(A2208)</f>
        <v/>
      </c>
      <c r="D2208" s="10" t="n">
        <v>0</v>
      </c>
      <c r="E2208" s="11" t="n">
        <v>4.490370266</v>
      </c>
      <c r="F2208" s="12" t="n">
        <v>0</v>
      </c>
      <c r="G2208" s="11" t="n">
        <v>279.9130656</v>
      </c>
      <c r="H2208" s="13">
        <f>F2208*1000</f>
        <v/>
      </c>
      <c r="I2208" s="14">
        <f>G2208-273.15</f>
        <v/>
      </c>
      <c r="K2208" s="15" t="n">
        <v>2007</v>
      </c>
      <c r="L2208" s="15" t="n">
        <v>2</v>
      </c>
      <c r="M2208" s="15" t="n">
        <v>14</v>
      </c>
      <c r="N2208" s="16" t="n">
        <v>0</v>
      </c>
      <c r="O2208" s="11" t="n">
        <v>282.6749106</v>
      </c>
      <c r="P2208" s="13">
        <f>N2208*86400</f>
        <v/>
      </c>
      <c r="Q2208" s="14">
        <f>O2208-273.15</f>
        <v/>
      </c>
    </row>
    <row r="2209">
      <c r="A2209" s="9" t="n">
        <v>39096</v>
      </c>
      <c r="B2209" s="7">
        <f>YEAR(A2209)</f>
        <v/>
      </c>
      <c r="C2209" s="7">
        <f>MONTH(A2209)</f>
        <v/>
      </c>
      <c r="D2209" s="10" t="n">
        <v>0</v>
      </c>
      <c r="E2209" s="11" t="n">
        <v>5.44099488</v>
      </c>
      <c r="F2209" s="12" t="n">
        <v>0.0001531996331</v>
      </c>
      <c r="G2209" s="11" t="n">
        <v>280.212821</v>
      </c>
      <c r="H2209" s="13">
        <f>F2209*1000</f>
        <v/>
      </c>
      <c r="I2209" s="14">
        <f>G2209-273.15</f>
        <v/>
      </c>
      <c r="K2209" s="15" t="n">
        <v>2007</v>
      </c>
      <c r="L2209" s="15" t="n">
        <v>2</v>
      </c>
      <c r="M2209" s="15" t="n">
        <v>15</v>
      </c>
      <c r="N2209" s="16" t="n">
        <v>6.998643002e-07</v>
      </c>
      <c r="O2209" s="11" t="n">
        <v>282.7338177</v>
      </c>
      <c r="P2209" s="13">
        <f>N2209*86400</f>
        <v/>
      </c>
      <c r="Q2209" s="14">
        <f>O2209-273.15</f>
        <v/>
      </c>
    </row>
    <row r="2210">
      <c r="A2210" s="9" t="n">
        <v>39097</v>
      </c>
      <c r="B2210" s="7">
        <f>YEAR(A2210)</f>
        <v/>
      </c>
      <c r="C2210" s="7">
        <f>MONTH(A2210)</f>
        <v/>
      </c>
      <c r="D2210" s="10" t="n">
        <v>0</v>
      </c>
      <c r="E2210" s="11" t="n">
        <v>5.708915339</v>
      </c>
      <c r="F2210" s="12" t="n">
        <v>0</v>
      </c>
      <c r="G2210" s="11" t="n">
        <v>281.0884416</v>
      </c>
      <c r="H2210" s="13">
        <f>F2210*1000</f>
        <v/>
      </c>
      <c r="I2210" s="14">
        <f>G2210-273.15</f>
        <v/>
      </c>
      <c r="K2210" s="15" t="n">
        <v>2007</v>
      </c>
      <c r="L2210" s="15" t="n">
        <v>2</v>
      </c>
      <c r="M2210" s="15" t="n">
        <v>16</v>
      </c>
      <c r="N2210" s="16" t="n">
        <v>1.491678527e-05</v>
      </c>
      <c r="O2210" s="11" t="n">
        <v>282.5192661</v>
      </c>
      <c r="P2210" s="13">
        <f>N2210*86400</f>
        <v/>
      </c>
      <c r="Q2210" s="14">
        <f>O2210-273.15</f>
        <v/>
      </c>
    </row>
    <row r="2211">
      <c r="A2211" s="9" t="n">
        <v>39098</v>
      </c>
      <c r="B2211" s="7">
        <f>YEAR(A2211)</f>
        <v/>
      </c>
      <c r="C2211" s="7">
        <f>MONTH(A2211)</f>
        <v/>
      </c>
      <c r="D2211" s="10" t="n">
        <v>0</v>
      </c>
      <c r="E2211" s="11" t="n">
        <v>6.683837717</v>
      </c>
      <c r="F2211" s="12" t="n">
        <v>0.0003973267206</v>
      </c>
      <c r="G2211" s="11" t="n">
        <v>282.600984</v>
      </c>
      <c r="H2211" s="13">
        <f>F2211*1000</f>
        <v/>
      </c>
      <c r="I2211" s="14">
        <f>G2211-273.15</f>
        <v/>
      </c>
      <c r="K2211" s="15" t="n">
        <v>2007</v>
      </c>
      <c r="L2211" s="15" t="n">
        <v>2</v>
      </c>
      <c r="M2211" s="15" t="n">
        <v>17</v>
      </c>
      <c r="N2211" s="16" t="n">
        <v>0</v>
      </c>
      <c r="O2211" s="11" t="n">
        <v>283.7525566</v>
      </c>
      <c r="P2211" s="13">
        <f>N2211*86400</f>
        <v/>
      </c>
      <c r="Q2211" s="14">
        <f>O2211-273.15</f>
        <v/>
      </c>
    </row>
    <row r="2212">
      <c r="A2212" s="9" t="n">
        <v>39099</v>
      </c>
      <c r="B2212" s="7">
        <f>YEAR(A2212)</f>
        <v/>
      </c>
      <c r="C2212" s="7">
        <f>MONTH(A2212)</f>
        <v/>
      </c>
      <c r="D2212" s="10" t="n">
        <v>0</v>
      </c>
      <c r="E2212" s="11" t="n">
        <v>6.866428317</v>
      </c>
      <c r="F2212" s="12" t="n">
        <v>0</v>
      </c>
      <c r="G2212" s="11" t="n">
        <v>282.1902205</v>
      </c>
      <c r="H2212" s="13">
        <f>F2212*1000</f>
        <v/>
      </c>
      <c r="I2212" s="14">
        <f>G2212-273.15</f>
        <v/>
      </c>
      <c r="K2212" s="15" t="n">
        <v>2007</v>
      </c>
      <c r="L2212" s="15" t="n">
        <v>2</v>
      </c>
      <c r="M2212" s="15" t="n">
        <v>18</v>
      </c>
      <c r="N2212" s="16" t="n">
        <v>0</v>
      </c>
      <c r="O2212" s="11" t="n">
        <v>285.2649871</v>
      </c>
      <c r="P2212" s="13">
        <f>N2212*86400</f>
        <v/>
      </c>
      <c r="Q2212" s="14">
        <f>O2212-273.15</f>
        <v/>
      </c>
    </row>
    <row r="2213">
      <c r="A2213" s="9" t="n">
        <v>39100</v>
      </c>
      <c r="B2213" s="7">
        <f>YEAR(A2213)</f>
        <v/>
      </c>
      <c r="C2213" s="7">
        <f>MONTH(A2213)</f>
        <v/>
      </c>
      <c r="D2213" s="10" t="n">
        <v>0.9551850831000001</v>
      </c>
      <c r="E2213" s="11" t="n">
        <v>7.297626669</v>
      </c>
      <c r="F2213" s="12" t="n">
        <v>0.0004353354233</v>
      </c>
      <c r="G2213" s="11" t="n">
        <v>281.8826277</v>
      </c>
      <c r="H2213" s="13">
        <f>F2213*1000</f>
        <v/>
      </c>
      <c r="I2213" s="14">
        <f>G2213-273.15</f>
        <v/>
      </c>
      <c r="K2213" s="15" t="n">
        <v>2007</v>
      </c>
      <c r="L2213" s="15" t="n">
        <v>2</v>
      </c>
      <c r="M2213" s="15" t="n">
        <v>19</v>
      </c>
      <c r="N2213" s="16" t="n">
        <v>1.235324287e-05</v>
      </c>
      <c r="O2213" s="11" t="n">
        <v>282.9500325</v>
      </c>
      <c r="P2213" s="13">
        <f>N2213*86400</f>
        <v/>
      </c>
      <c r="Q2213" s="14">
        <f>O2213-273.15</f>
        <v/>
      </c>
    </row>
    <row r="2214">
      <c r="A2214" s="9" t="n">
        <v>39101</v>
      </c>
      <c r="B2214" s="7">
        <f>YEAR(A2214)</f>
        <v/>
      </c>
      <c r="C2214" s="7">
        <f>MONTH(A2214)</f>
        <v/>
      </c>
      <c r="D2214" s="10" t="n">
        <v>0</v>
      </c>
      <c r="E2214" s="11" t="n">
        <v>6.748137559</v>
      </c>
      <c r="F2214" s="12" t="n">
        <v>0</v>
      </c>
      <c r="G2214" s="11" t="n">
        <v>281.9123351</v>
      </c>
      <c r="H2214" s="13">
        <f>F2214*1000</f>
        <v/>
      </c>
      <c r="I2214" s="14">
        <f>G2214-273.15</f>
        <v/>
      </c>
      <c r="K2214" s="15" t="n">
        <v>2007</v>
      </c>
      <c r="L2214" s="15" t="n">
        <v>2</v>
      </c>
      <c r="M2214" s="15" t="n">
        <v>20</v>
      </c>
      <c r="N2214" s="16" t="n">
        <v>2.384331091e-06</v>
      </c>
      <c r="O2214" s="11" t="n">
        <v>285.3631452</v>
      </c>
      <c r="P2214" s="13">
        <f>N2214*86400</f>
        <v/>
      </c>
      <c r="Q2214" s="14">
        <f>O2214-273.15</f>
        <v/>
      </c>
    </row>
    <row r="2215">
      <c r="A2215" s="9" t="n">
        <v>39102</v>
      </c>
      <c r="B2215" s="7">
        <f>YEAR(A2215)</f>
        <v/>
      </c>
      <c r="C2215" s="7">
        <f>MONTH(A2215)</f>
        <v/>
      </c>
      <c r="D2215" s="10" t="n">
        <v>0</v>
      </c>
      <c r="E2215" s="11" t="n">
        <v>5.199208613</v>
      </c>
      <c r="F2215" s="12" t="n">
        <v>0</v>
      </c>
      <c r="G2215" s="11" t="n">
        <v>280.1177963</v>
      </c>
      <c r="H2215" s="13">
        <f>F2215*1000</f>
        <v/>
      </c>
      <c r="I2215" s="14">
        <f>G2215-273.15</f>
        <v/>
      </c>
      <c r="K2215" s="15" t="n">
        <v>2007</v>
      </c>
      <c r="L2215" s="15" t="n">
        <v>2</v>
      </c>
      <c r="M2215" s="15" t="n">
        <v>21</v>
      </c>
      <c r="N2215" s="16" t="n">
        <v>7.167303917e-06</v>
      </c>
      <c r="O2215" s="11" t="n">
        <v>284.0593251</v>
      </c>
      <c r="P2215" s="13">
        <f>N2215*86400</f>
        <v/>
      </c>
      <c r="Q2215" s="14">
        <f>O2215-273.15</f>
        <v/>
      </c>
    </row>
    <row r="2216">
      <c r="A2216" s="9" t="n">
        <v>39103</v>
      </c>
      <c r="B2216" s="7">
        <f>YEAR(A2216)</f>
        <v/>
      </c>
      <c r="C2216" s="7">
        <f>MONTH(A2216)</f>
        <v/>
      </c>
      <c r="D2216" s="10" t="n">
        <v>0</v>
      </c>
      <c r="E2216" s="11" t="n">
        <v>3.434760043</v>
      </c>
      <c r="F2216" s="12" t="n">
        <v>0</v>
      </c>
      <c r="G2216" s="11" t="n">
        <v>278.7260299</v>
      </c>
      <c r="H2216" s="13">
        <f>F2216*1000</f>
        <v/>
      </c>
      <c r="I2216" s="14">
        <f>G2216-273.15</f>
        <v/>
      </c>
      <c r="K2216" s="15" t="n">
        <v>2007</v>
      </c>
      <c r="L2216" s="15" t="n">
        <v>2</v>
      </c>
      <c r="M2216" s="15" t="n">
        <v>22</v>
      </c>
      <c r="N2216" s="16" t="n">
        <v>4.737143464e-07</v>
      </c>
      <c r="O2216" s="11" t="n">
        <v>283.1956528</v>
      </c>
      <c r="P2216" s="13">
        <f>N2216*86400</f>
        <v/>
      </c>
      <c r="Q2216" s="14">
        <f>O2216-273.15</f>
        <v/>
      </c>
    </row>
    <row r="2217">
      <c r="A2217" s="9" t="n">
        <v>39104</v>
      </c>
      <c r="B2217" s="7">
        <f>YEAR(A2217)</f>
        <v/>
      </c>
      <c r="C2217" s="7">
        <f>MONTH(A2217)</f>
        <v/>
      </c>
      <c r="D2217" s="10" t="n">
        <v>0</v>
      </c>
      <c r="E2217" s="11" t="n">
        <v>3.138714447</v>
      </c>
      <c r="F2217" s="12" t="n">
        <v>0</v>
      </c>
      <c r="G2217" s="11" t="n">
        <v>278.8163386</v>
      </c>
      <c r="H2217" s="13">
        <f>F2217*1000</f>
        <v/>
      </c>
      <c r="I2217" s="14">
        <f>G2217-273.15</f>
        <v/>
      </c>
      <c r="K2217" s="15" t="n">
        <v>2007</v>
      </c>
      <c r="L2217" s="15" t="n">
        <v>2</v>
      </c>
      <c r="M2217" s="15" t="n">
        <v>23</v>
      </c>
      <c r="N2217" s="16" t="n">
        <v>7.38117247e-06</v>
      </c>
      <c r="O2217" s="11" t="n">
        <v>282.4126597</v>
      </c>
      <c r="P2217" s="13">
        <f>N2217*86400</f>
        <v/>
      </c>
      <c r="Q2217" s="14">
        <f>O2217-273.15</f>
        <v/>
      </c>
    </row>
    <row r="2218">
      <c r="A2218" s="9" t="n">
        <v>39105</v>
      </c>
      <c r="B2218" s="7">
        <f>YEAR(A2218)</f>
        <v/>
      </c>
      <c r="C2218" s="7">
        <f>MONTH(A2218)</f>
        <v/>
      </c>
      <c r="D2218" s="10" t="n">
        <v>0</v>
      </c>
      <c r="E2218" s="11" t="n">
        <v>3.315793597</v>
      </c>
      <c r="F2218" s="12" t="n">
        <v>0</v>
      </c>
      <c r="G2218" s="11" t="n">
        <v>280.1814665</v>
      </c>
      <c r="H2218" s="13">
        <f>F2218*1000</f>
        <v/>
      </c>
      <c r="I2218" s="14">
        <f>G2218-273.15</f>
        <v/>
      </c>
      <c r="K2218" s="15" t="n">
        <v>2007</v>
      </c>
      <c r="L2218" s="15" t="n">
        <v>2</v>
      </c>
      <c r="M2218" s="15" t="n">
        <v>24</v>
      </c>
      <c r="N2218" s="16" t="n">
        <v>1.345515887e-05</v>
      </c>
      <c r="O2218" s="11" t="n">
        <v>281.8597431</v>
      </c>
      <c r="P2218" s="13">
        <f>N2218*86400</f>
        <v/>
      </c>
      <c r="Q2218" s="14">
        <f>O2218-273.15</f>
        <v/>
      </c>
    </row>
    <row r="2219">
      <c r="A2219" s="9" t="n">
        <v>39106</v>
      </c>
      <c r="B2219" s="7">
        <f>YEAR(A2219)</f>
        <v/>
      </c>
      <c r="C2219" s="7">
        <f>MONTH(A2219)</f>
        <v/>
      </c>
      <c r="D2219" s="10" t="n">
        <v>0</v>
      </c>
      <c r="E2219" s="11" t="n">
        <v>3.930413781</v>
      </c>
      <c r="F2219" s="12" t="n">
        <v>5.217972945e-05</v>
      </c>
      <c r="G2219" s="11" t="n">
        <v>280.5014374</v>
      </c>
      <c r="H2219" s="13">
        <f>F2219*1000</f>
        <v/>
      </c>
      <c r="I2219" s="14">
        <f>G2219-273.15</f>
        <v/>
      </c>
      <c r="K2219" s="15" t="n">
        <v>2007</v>
      </c>
      <c r="L2219" s="15" t="n">
        <v>2</v>
      </c>
      <c r="M2219" s="15" t="n">
        <v>25</v>
      </c>
      <c r="N2219" s="16" t="n">
        <v>1.93924736e-05</v>
      </c>
      <c r="O2219" s="11" t="n">
        <v>283.4582641</v>
      </c>
      <c r="P2219" s="13">
        <f>N2219*86400</f>
        <v/>
      </c>
      <c r="Q2219" s="14">
        <f>O2219-273.15</f>
        <v/>
      </c>
    </row>
    <row r="2220">
      <c r="A2220" s="9" t="n">
        <v>39107</v>
      </c>
      <c r="B2220" s="7">
        <f>YEAR(A2220)</f>
        <v/>
      </c>
      <c r="C2220" s="7">
        <f>MONTH(A2220)</f>
        <v/>
      </c>
      <c r="D2220" s="10" t="n">
        <v>0</v>
      </c>
      <c r="E2220" s="11" t="n">
        <v>4.510334636</v>
      </c>
      <c r="F2220" s="12" t="n">
        <v>0.001016089448</v>
      </c>
      <c r="G2220" s="11" t="n">
        <v>280.7800315</v>
      </c>
      <c r="H2220" s="13">
        <f>F2220*1000</f>
        <v/>
      </c>
      <c r="I2220" s="14">
        <f>G2220-273.15</f>
        <v/>
      </c>
      <c r="K2220" s="15" t="n">
        <v>2007</v>
      </c>
      <c r="L2220" s="15" t="n">
        <v>2</v>
      </c>
      <c r="M2220" s="15" t="n">
        <v>26</v>
      </c>
      <c r="N2220" s="16" t="n">
        <v>2.659387021e-05</v>
      </c>
      <c r="O2220" s="11" t="n">
        <v>283.9655243</v>
      </c>
      <c r="P2220" s="13">
        <f>N2220*86400</f>
        <v/>
      </c>
      <c r="Q2220" s="14">
        <f>O2220-273.15</f>
        <v/>
      </c>
    </row>
    <row r="2221">
      <c r="A2221" s="9" t="n">
        <v>39108</v>
      </c>
      <c r="B2221" s="7">
        <f>YEAR(A2221)</f>
        <v/>
      </c>
      <c r="C2221" s="7">
        <f>MONTH(A2221)</f>
        <v/>
      </c>
      <c r="D2221" s="10" t="n">
        <v>0</v>
      </c>
      <c r="E2221" s="11" t="n">
        <v>6.023454352</v>
      </c>
      <c r="F2221" s="12" t="n">
        <v>0</v>
      </c>
      <c r="G2221" s="11" t="n">
        <v>282.3644743</v>
      </c>
      <c r="H2221" s="13">
        <f>F2221*1000</f>
        <v/>
      </c>
      <c r="I2221" s="14">
        <f>G2221-273.15</f>
        <v/>
      </c>
      <c r="K2221" s="15" t="n">
        <v>2007</v>
      </c>
      <c r="L2221" s="15" t="n">
        <v>2</v>
      </c>
      <c r="M2221" s="15" t="n">
        <v>27</v>
      </c>
      <c r="N2221" s="16" t="n">
        <v>7.257764194e-05</v>
      </c>
      <c r="O2221" s="11" t="n">
        <v>284.9231459</v>
      </c>
      <c r="P2221" s="13">
        <f>N2221*86400</f>
        <v/>
      </c>
      <c r="Q2221" s="14">
        <f>O2221-273.15</f>
        <v/>
      </c>
    </row>
    <row r="2222">
      <c r="A2222" s="9" t="n">
        <v>39109</v>
      </c>
      <c r="B2222" s="7">
        <f>YEAR(A2222)</f>
        <v/>
      </c>
      <c r="C2222" s="7">
        <f>MONTH(A2222)</f>
        <v/>
      </c>
      <c r="D2222" s="10" t="n">
        <v>0</v>
      </c>
      <c r="E2222" s="11" t="n">
        <v>2.889338419</v>
      </c>
      <c r="F2222" s="12" t="n">
        <v>0</v>
      </c>
      <c r="G2222" s="11" t="n">
        <v>279.404777</v>
      </c>
      <c r="H2222" s="13">
        <f>F2222*1000</f>
        <v/>
      </c>
      <c r="I2222" s="14">
        <f>G2222-273.15</f>
        <v/>
      </c>
      <c r="K2222" s="15" t="n">
        <v>2007</v>
      </c>
      <c r="L2222" s="15" t="n">
        <v>2</v>
      </c>
      <c r="M2222" s="15" t="n">
        <v>28</v>
      </c>
      <c r="N2222" s="16" t="n">
        <v>2.991983311e-05</v>
      </c>
      <c r="O2222" s="11" t="n">
        <v>285.1057502</v>
      </c>
      <c r="P2222" s="13">
        <f>N2222*86400</f>
        <v/>
      </c>
      <c r="Q2222" s="14">
        <f>O2222-273.15</f>
        <v/>
      </c>
    </row>
    <row r="2223">
      <c r="A2223" s="9" t="n">
        <v>39110</v>
      </c>
      <c r="B2223" s="7">
        <f>YEAR(A2223)</f>
        <v/>
      </c>
      <c r="C2223" s="7">
        <f>MONTH(A2223)</f>
        <v/>
      </c>
      <c r="D2223" s="10" t="n">
        <v>0</v>
      </c>
      <c r="E2223" s="11" t="n">
        <v>3.456195914</v>
      </c>
      <c r="F2223" s="12" t="n">
        <v>0</v>
      </c>
      <c r="G2223" s="11" t="n">
        <v>280.0653051</v>
      </c>
      <c r="H2223" s="13">
        <f>F2223*1000</f>
        <v/>
      </c>
      <c r="I2223" s="14">
        <f>G2223-273.15</f>
        <v/>
      </c>
      <c r="K2223" s="15" t="n">
        <v>2007</v>
      </c>
      <c r="L2223" s="15" t="n">
        <v>2</v>
      </c>
      <c r="M2223" s="15" t="n">
        <v>29</v>
      </c>
      <c r="N2223" s="16" t="n">
        <v>0</v>
      </c>
      <c r="O2223" s="11" t="n">
        <v>283.6548313</v>
      </c>
      <c r="P2223" s="13">
        <f>N2223*86400</f>
        <v/>
      </c>
      <c r="Q2223" s="14">
        <f>O2223-273.15</f>
        <v/>
      </c>
    </row>
    <row r="2224">
      <c r="A2224" s="9" t="n">
        <v>39111</v>
      </c>
      <c r="B2224" s="7">
        <f>YEAR(A2224)</f>
        <v/>
      </c>
      <c r="C2224" s="7">
        <f>MONTH(A2224)</f>
        <v/>
      </c>
      <c r="D2224" s="10" t="n">
        <v>0.4464521862</v>
      </c>
      <c r="E2224" s="11" t="n">
        <v>4.677289263</v>
      </c>
      <c r="F2224" s="12" t="n">
        <v>0.0007838773212</v>
      </c>
      <c r="G2224" s="11" t="n">
        <v>282.3114756</v>
      </c>
      <c r="H2224" s="13">
        <f>F2224*1000</f>
        <v/>
      </c>
      <c r="I2224" s="14">
        <f>G2224-273.15</f>
        <v/>
      </c>
      <c r="K2224" s="15" t="n">
        <v>2007</v>
      </c>
      <c r="L2224" s="15" t="n">
        <v>2</v>
      </c>
      <c r="M2224" s="15" t="n">
        <v>30</v>
      </c>
      <c r="N2224" s="16" t="n">
        <v>0</v>
      </c>
      <c r="O2224" s="11" t="n">
        <v>284.8263459</v>
      </c>
      <c r="P2224" s="13">
        <f>N2224*86400</f>
        <v/>
      </c>
      <c r="Q2224" s="14">
        <f>O2224-273.15</f>
        <v/>
      </c>
    </row>
    <row r="2225">
      <c r="A2225" s="9" t="n">
        <v>39112</v>
      </c>
      <c r="B2225" s="7">
        <f>YEAR(A2225)</f>
        <v/>
      </c>
      <c r="C2225" s="7">
        <f>MONTH(A2225)</f>
        <v/>
      </c>
      <c r="D2225" s="10" t="n">
        <v>0</v>
      </c>
      <c r="E2225" s="11" t="n">
        <v>6.322698588</v>
      </c>
      <c r="F2225" s="12" t="n">
        <v>0</v>
      </c>
      <c r="G2225" s="11" t="n">
        <v>282.6047508</v>
      </c>
      <c r="H2225" s="13">
        <f>F2225*1000</f>
        <v/>
      </c>
      <c r="I2225" s="14">
        <f>G2225-273.15</f>
        <v/>
      </c>
      <c r="K2225" s="15" t="n">
        <v>2007</v>
      </c>
      <c r="L2225" s="15" t="n">
        <v>3</v>
      </c>
      <c r="M2225" s="15" t="n">
        <v>1</v>
      </c>
      <c r="N2225" s="16" t="n">
        <v>0</v>
      </c>
      <c r="O2225" s="11" t="n">
        <v>288.5830522</v>
      </c>
      <c r="P2225" s="13">
        <f>N2225*86400</f>
        <v/>
      </c>
      <c r="Q2225" s="14">
        <f>O2225-273.15</f>
        <v/>
      </c>
    </row>
    <row r="2226">
      <c r="A2226" s="9" t="n">
        <v>39113</v>
      </c>
      <c r="B2226" s="7">
        <f>YEAR(A2226)</f>
        <v/>
      </c>
      <c r="C2226" s="7">
        <f>MONTH(A2226)</f>
        <v/>
      </c>
      <c r="D2226" s="10" t="n">
        <v>0</v>
      </c>
      <c r="E2226" s="11" t="n">
        <v>5.654229232</v>
      </c>
      <c r="F2226" s="12" t="n">
        <v>0</v>
      </c>
      <c r="G2226" s="11" t="n">
        <v>281.7718407</v>
      </c>
      <c r="H2226" s="13">
        <f>F2226*1000</f>
        <v/>
      </c>
      <c r="I2226" s="14">
        <f>G2226-273.15</f>
        <v/>
      </c>
      <c r="K2226" s="15" t="n">
        <v>2007</v>
      </c>
      <c r="L2226" s="15" t="n">
        <v>3</v>
      </c>
      <c r="M2226" s="15" t="n">
        <v>2</v>
      </c>
      <c r="N2226" s="16" t="n">
        <v>1.120674128e-06</v>
      </c>
      <c r="O2226" s="11" t="n">
        <v>289.4906268</v>
      </c>
      <c r="P2226" s="13">
        <f>N2226*86400</f>
        <v/>
      </c>
      <c r="Q2226" s="14">
        <f>O2226-273.15</f>
        <v/>
      </c>
    </row>
    <row r="2227">
      <c r="A2227" s="9" t="n">
        <v>39114</v>
      </c>
      <c r="B2227" s="7">
        <f>YEAR(A2227)</f>
        <v/>
      </c>
      <c r="C2227" s="7">
        <f>MONTH(A2227)</f>
        <v/>
      </c>
      <c r="D2227" s="10" t="n">
        <v>0</v>
      </c>
      <c r="E2227" s="11" t="n">
        <v>5.970429882</v>
      </c>
      <c r="F2227" s="12" t="n">
        <v>0</v>
      </c>
      <c r="G2227" s="11" t="n">
        <v>281.4295357</v>
      </c>
      <c r="H2227" s="13">
        <f>F2227*1000</f>
        <v/>
      </c>
      <c r="I2227" s="14">
        <f>G2227-273.15</f>
        <v/>
      </c>
      <c r="K2227" s="15" t="n">
        <v>2007</v>
      </c>
      <c r="L2227" s="15" t="n">
        <v>3</v>
      </c>
      <c r="M2227" s="15" t="n">
        <v>3</v>
      </c>
      <c r="N2227" s="16" t="n">
        <v>3.01406996e-06</v>
      </c>
      <c r="O2227" s="11" t="n">
        <v>288.8812841</v>
      </c>
      <c r="P2227" s="13">
        <f>N2227*86400</f>
        <v/>
      </c>
      <c r="Q2227" s="14">
        <f>O2227-273.15</f>
        <v/>
      </c>
    </row>
    <row r="2228">
      <c r="A2228" s="9" t="n">
        <v>39115</v>
      </c>
      <c r="B2228" s="7">
        <f>YEAR(A2228)</f>
        <v/>
      </c>
      <c r="C2228" s="7">
        <f>MONTH(A2228)</f>
        <v/>
      </c>
      <c r="D2228" s="10" t="n">
        <v>0</v>
      </c>
      <c r="E2228" s="11" t="n">
        <v>5.166461671</v>
      </c>
      <c r="F2228" s="12" t="n">
        <v>6.075486867e-05</v>
      </c>
      <c r="G2228" s="11" t="n">
        <v>280.8955536</v>
      </c>
      <c r="H2228" s="13">
        <f>F2228*1000</f>
        <v/>
      </c>
      <c r="I2228" s="14">
        <f>G2228-273.15</f>
        <v/>
      </c>
      <c r="K2228" s="15" t="n">
        <v>2007</v>
      </c>
      <c r="L2228" s="15" t="n">
        <v>3</v>
      </c>
      <c r="M2228" s="15" t="n">
        <v>4</v>
      </c>
      <c r="N2228" s="16" t="n">
        <v>0</v>
      </c>
      <c r="O2228" s="11" t="n">
        <v>287.7268502</v>
      </c>
      <c r="P2228" s="13">
        <f>N2228*86400</f>
        <v/>
      </c>
      <c r="Q2228" s="14">
        <f>O2228-273.15</f>
        <v/>
      </c>
    </row>
    <row r="2229">
      <c r="A2229" s="9" t="n">
        <v>39116</v>
      </c>
      <c r="B2229" s="7">
        <f>YEAR(A2229)</f>
        <v/>
      </c>
      <c r="C2229" s="7">
        <f>MONTH(A2229)</f>
        <v/>
      </c>
      <c r="D2229" s="10" t="n">
        <v>0</v>
      </c>
      <c r="E2229" s="11" t="n">
        <v>7.274586042</v>
      </c>
      <c r="F2229" s="12" t="n">
        <v>0</v>
      </c>
      <c r="G2229" s="11" t="n">
        <v>282.3298894</v>
      </c>
      <c r="H2229" s="13">
        <f>F2229*1000</f>
        <v/>
      </c>
      <c r="I2229" s="14">
        <f>G2229-273.15</f>
        <v/>
      </c>
      <c r="K2229" s="15" t="n">
        <v>2007</v>
      </c>
      <c r="L2229" s="15" t="n">
        <v>3</v>
      </c>
      <c r="M2229" s="15" t="n">
        <v>5</v>
      </c>
      <c r="N2229" s="16" t="n">
        <v>0</v>
      </c>
      <c r="O2229" s="11" t="n">
        <v>286.2281639</v>
      </c>
      <c r="P2229" s="13">
        <f>N2229*86400</f>
        <v/>
      </c>
      <c r="Q2229" s="14">
        <f>O2229-273.15</f>
        <v/>
      </c>
    </row>
    <row r="2230">
      <c r="A2230" s="9" t="n">
        <v>39117</v>
      </c>
      <c r="B2230" s="7">
        <f>YEAR(A2230)</f>
        <v/>
      </c>
      <c r="C2230" s="7">
        <f>MONTH(A2230)</f>
        <v/>
      </c>
      <c r="D2230" s="10" t="n">
        <v>0</v>
      </c>
      <c r="E2230" s="11" t="n">
        <v>5.932639106</v>
      </c>
      <c r="F2230" s="12" t="n">
        <v>0</v>
      </c>
      <c r="G2230" s="11" t="n">
        <v>280.7198128</v>
      </c>
      <c r="H2230" s="13">
        <f>F2230*1000</f>
        <v/>
      </c>
      <c r="I2230" s="14">
        <f>G2230-273.15</f>
        <v/>
      </c>
      <c r="K2230" s="15" t="n">
        <v>2007</v>
      </c>
      <c r="L2230" s="15" t="n">
        <v>3</v>
      </c>
      <c r="M2230" s="15" t="n">
        <v>6</v>
      </c>
      <c r="N2230" s="16" t="n">
        <v>0</v>
      </c>
      <c r="O2230" s="11" t="n">
        <v>285.1411269</v>
      </c>
      <c r="P2230" s="13">
        <f>N2230*86400</f>
        <v/>
      </c>
      <c r="Q2230" s="14">
        <f>O2230-273.15</f>
        <v/>
      </c>
    </row>
    <row r="2231">
      <c r="A2231" s="9" t="n">
        <v>39118</v>
      </c>
      <c r="B2231" s="7">
        <f>YEAR(A2231)</f>
        <v/>
      </c>
      <c r="C2231" s="7">
        <f>MONTH(A2231)</f>
        <v/>
      </c>
      <c r="D2231" s="10" t="n">
        <v>0</v>
      </c>
      <c r="E2231" s="11" t="n">
        <v>5.404524513</v>
      </c>
      <c r="F2231" s="12" t="n">
        <v>0</v>
      </c>
      <c r="G2231" s="11" t="n">
        <v>280.5075801</v>
      </c>
      <c r="H2231" s="13">
        <f>F2231*1000</f>
        <v/>
      </c>
      <c r="I2231" s="14">
        <f>G2231-273.15</f>
        <v/>
      </c>
      <c r="K2231" s="15" t="n">
        <v>2007</v>
      </c>
      <c r="L2231" s="15" t="n">
        <v>3</v>
      </c>
      <c r="M2231" s="15" t="n">
        <v>7</v>
      </c>
      <c r="N2231" s="16" t="n">
        <v>0</v>
      </c>
      <c r="O2231" s="11" t="n">
        <v>286.4545628</v>
      </c>
      <c r="P2231" s="13">
        <f>N2231*86400</f>
        <v/>
      </c>
      <c r="Q2231" s="14">
        <f>O2231-273.15</f>
        <v/>
      </c>
    </row>
    <row r="2232">
      <c r="A2232" s="9" t="n">
        <v>39119</v>
      </c>
      <c r="B2232" s="7">
        <f>YEAR(A2232)</f>
        <v/>
      </c>
      <c r="C2232" s="7">
        <f>MONTH(A2232)</f>
        <v/>
      </c>
      <c r="D2232" s="10" t="n">
        <v>0</v>
      </c>
      <c r="E2232" s="11" t="n">
        <v>5.109315499</v>
      </c>
      <c r="F2232" s="12" t="n">
        <v>0</v>
      </c>
      <c r="G2232" s="11" t="n">
        <v>279.7004645</v>
      </c>
      <c r="H2232" s="13">
        <f>F2232*1000</f>
        <v/>
      </c>
      <c r="I2232" s="14">
        <f>G2232-273.15</f>
        <v/>
      </c>
      <c r="K2232" s="15" t="n">
        <v>2007</v>
      </c>
      <c r="L2232" s="15" t="n">
        <v>3</v>
      </c>
      <c r="M2232" s="15" t="n">
        <v>8</v>
      </c>
      <c r="N2232" s="16" t="n">
        <v>0</v>
      </c>
      <c r="O2232" s="11" t="n">
        <v>285.5003473</v>
      </c>
      <c r="P2232" s="13">
        <f>N2232*86400</f>
        <v/>
      </c>
      <c r="Q2232" s="14">
        <f>O2232-273.15</f>
        <v/>
      </c>
    </row>
    <row r="2233">
      <c r="A2233" s="9" t="n">
        <v>39120</v>
      </c>
      <c r="B2233" s="7">
        <f>YEAR(A2233)</f>
        <v/>
      </c>
      <c r="C2233" s="7">
        <f>MONTH(A2233)</f>
        <v/>
      </c>
      <c r="D2233" s="10" t="n">
        <v>0</v>
      </c>
      <c r="E2233" s="11" t="n">
        <v>4.070903197</v>
      </c>
      <c r="F2233" s="12" t="n">
        <v>0</v>
      </c>
      <c r="G2233" s="11" t="n">
        <v>279.7243523</v>
      </c>
      <c r="H2233" s="13">
        <f>F2233*1000</f>
        <v/>
      </c>
      <c r="I2233" s="14">
        <f>G2233-273.15</f>
        <v/>
      </c>
      <c r="K2233" s="15" t="n">
        <v>2007</v>
      </c>
      <c r="L2233" s="15" t="n">
        <v>3</v>
      </c>
      <c r="M2233" s="15" t="n">
        <v>9</v>
      </c>
      <c r="N2233" s="16" t="n">
        <v>0</v>
      </c>
      <c r="O2233" s="11" t="n">
        <v>283.1025163</v>
      </c>
      <c r="P2233" s="13">
        <f>N2233*86400</f>
        <v/>
      </c>
      <c r="Q2233" s="14">
        <f>O2233-273.15</f>
        <v/>
      </c>
    </row>
    <row r="2234">
      <c r="A2234" s="9" t="n">
        <v>39121</v>
      </c>
      <c r="B2234" s="7">
        <f>YEAR(A2234)</f>
        <v/>
      </c>
      <c r="C2234" s="7">
        <f>MONTH(A2234)</f>
        <v/>
      </c>
      <c r="D2234" s="10" t="n">
        <v>0</v>
      </c>
      <c r="E2234" s="11" t="n">
        <v>4.644037895</v>
      </c>
      <c r="F2234" s="12" t="n">
        <v>0</v>
      </c>
      <c r="G2234" s="11" t="n">
        <v>279.6666752</v>
      </c>
      <c r="H2234" s="13">
        <f>F2234*1000</f>
        <v/>
      </c>
      <c r="I2234" s="14">
        <f>G2234-273.15</f>
        <v/>
      </c>
      <c r="K2234" s="15" t="n">
        <v>2007</v>
      </c>
      <c r="L2234" s="15" t="n">
        <v>3</v>
      </c>
      <c r="M2234" s="15" t="n">
        <v>10</v>
      </c>
      <c r="N2234" s="16" t="n">
        <v>0</v>
      </c>
      <c r="O2234" s="11" t="n">
        <v>284.3978694</v>
      </c>
      <c r="P2234" s="13">
        <f>N2234*86400</f>
        <v/>
      </c>
      <c r="Q2234" s="14">
        <f>O2234-273.15</f>
        <v/>
      </c>
    </row>
    <row r="2235">
      <c r="A2235" s="9" t="n">
        <v>39122</v>
      </c>
      <c r="B2235" s="7">
        <f>YEAR(A2235)</f>
        <v/>
      </c>
      <c r="C2235" s="7">
        <f>MONTH(A2235)</f>
        <v/>
      </c>
      <c r="D2235" s="10" t="n">
        <v>0</v>
      </c>
      <c r="E2235" s="11" t="n">
        <v>6.390236709</v>
      </c>
      <c r="F2235" s="12" t="n">
        <v>0</v>
      </c>
      <c r="G2235" s="11" t="n">
        <v>280.927796</v>
      </c>
      <c r="H2235" s="13">
        <f>F2235*1000</f>
        <v/>
      </c>
      <c r="I2235" s="14">
        <f>G2235-273.15</f>
        <v/>
      </c>
      <c r="K2235" s="15" t="n">
        <v>2007</v>
      </c>
      <c r="L2235" s="15" t="n">
        <v>3</v>
      </c>
      <c r="M2235" s="15" t="n">
        <v>11</v>
      </c>
      <c r="N2235" s="16" t="n">
        <v>0</v>
      </c>
      <c r="O2235" s="11" t="n">
        <v>284.2339225</v>
      </c>
      <c r="P2235" s="13">
        <f>N2235*86400</f>
        <v/>
      </c>
      <c r="Q2235" s="14">
        <f>O2235-273.15</f>
        <v/>
      </c>
    </row>
    <row r="2236">
      <c r="A2236" s="9" t="n">
        <v>39123</v>
      </c>
      <c r="B2236" s="7">
        <f>YEAR(A2236)</f>
        <v/>
      </c>
      <c r="C2236" s="7">
        <f>MONTH(A2236)</f>
        <v/>
      </c>
      <c r="D2236" s="10" t="n">
        <v>0</v>
      </c>
      <c r="E2236" s="11" t="n">
        <v>4.942220712</v>
      </c>
      <c r="F2236" s="12" t="n">
        <v>0</v>
      </c>
      <c r="G2236" s="11" t="n">
        <v>279.5140421</v>
      </c>
      <c r="H2236" s="13">
        <f>F2236*1000</f>
        <v/>
      </c>
      <c r="I2236" s="14">
        <f>G2236-273.15</f>
        <v/>
      </c>
      <c r="K2236" s="15" t="n">
        <v>2007</v>
      </c>
      <c r="L2236" s="15" t="n">
        <v>3</v>
      </c>
      <c r="M2236" s="15" t="n">
        <v>12</v>
      </c>
      <c r="N2236" s="16" t="n">
        <v>0</v>
      </c>
      <c r="O2236" s="11" t="n">
        <v>284.3051679</v>
      </c>
      <c r="P2236" s="13">
        <f>N2236*86400</f>
        <v/>
      </c>
      <c r="Q2236" s="14">
        <f>O2236-273.15</f>
        <v/>
      </c>
    </row>
    <row r="2237">
      <c r="A2237" s="9" t="n">
        <v>39124</v>
      </c>
      <c r="B2237" s="7">
        <f>YEAR(A2237)</f>
        <v/>
      </c>
      <c r="C2237" s="7">
        <f>MONTH(A2237)</f>
        <v/>
      </c>
      <c r="D2237" s="10" t="n">
        <v>0</v>
      </c>
      <c r="E2237" s="11" t="n">
        <v>5.935767112</v>
      </c>
      <c r="F2237" s="12" t="n">
        <v>0</v>
      </c>
      <c r="G2237" s="11" t="n">
        <v>281.7557268</v>
      </c>
      <c r="H2237" s="13">
        <f>F2237*1000</f>
        <v/>
      </c>
      <c r="I2237" s="14">
        <f>G2237-273.15</f>
        <v/>
      </c>
      <c r="K2237" s="15" t="n">
        <v>2007</v>
      </c>
      <c r="L2237" s="15" t="n">
        <v>3</v>
      </c>
      <c r="M2237" s="15" t="n">
        <v>13</v>
      </c>
      <c r="N2237" s="16" t="n">
        <v>2.676531132e-06</v>
      </c>
      <c r="O2237" s="11" t="n">
        <v>287.5513679</v>
      </c>
      <c r="P2237" s="13">
        <f>N2237*86400</f>
        <v/>
      </c>
      <c r="Q2237" s="14">
        <f>O2237-273.15</f>
        <v/>
      </c>
    </row>
    <row r="2238">
      <c r="A2238" s="9" t="n">
        <v>39125</v>
      </c>
      <c r="B2238" s="7">
        <f>YEAR(A2238)</f>
        <v/>
      </c>
      <c r="C2238" s="7">
        <f>MONTH(A2238)</f>
        <v/>
      </c>
      <c r="D2238" s="10" t="n">
        <v>0</v>
      </c>
      <c r="E2238" s="11" t="n">
        <v>5.550729482</v>
      </c>
      <c r="F2238" s="12" t="n">
        <v>0</v>
      </c>
      <c r="G2238" s="11" t="n">
        <v>280.6038563</v>
      </c>
      <c r="H2238" s="13">
        <f>F2238*1000</f>
        <v/>
      </c>
      <c r="I2238" s="14">
        <f>G2238-273.15</f>
        <v/>
      </c>
      <c r="K2238" s="15" t="n">
        <v>2007</v>
      </c>
      <c r="L2238" s="15" t="n">
        <v>3</v>
      </c>
      <c r="M2238" s="15" t="n">
        <v>14</v>
      </c>
      <c r="N2238" s="16" t="n">
        <v>4.850520214e-06</v>
      </c>
      <c r="O2238" s="11" t="n">
        <v>287.5051772</v>
      </c>
      <c r="P2238" s="13">
        <f>N2238*86400</f>
        <v/>
      </c>
      <c r="Q2238" s="14">
        <f>O2238-273.15</f>
        <v/>
      </c>
    </row>
    <row r="2239">
      <c r="A2239" s="9" t="n">
        <v>39126</v>
      </c>
      <c r="B2239" s="7">
        <f>YEAR(A2239)</f>
        <v/>
      </c>
      <c r="C2239" s="7">
        <f>MONTH(A2239)</f>
        <v/>
      </c>
      <c r="D2239" s="10" t="n">
        <v>0</v>
      </c>
      <c r="E2239" s="11" t="n">
        <v>6.424009569</v>
      </c>
      <c r="F2239" s="12" t="n">
        <v>0</v>
      </c>
      <c r="G2239" s="11" t="n">
        <v>281.9885496</v>
      </c>
      <c r="H2239" s="13">
        <f>F2239*1000</f>
        <v/>
      </c>
      <c r="I2239" s="14">
        <f>G2239-273.15</f>
        <v/>
      </c>
      <c r="K2239" s="15" t="n">
        <v>2007</v>
      </c>
      <c r="L2239" s="15" t="n">
        <v>3</v>
      </c>
      <c r="M2239" s="15" t="n">
        <v>15</v>
      </c>
      <c r="N2239" s="16" t="n">
        <v>0</v>
      </c>
      <c r="O2239" s="11" t="n">
        <v>286.4724414</v>
      </c>
      <c r="P2239" s="13">
        <f>N2239*86400</f>
        <v/>
      </c>
      <c r="Q2239" s="14">
        <f>O2239-273.15</f>
        <v/>
      </c>
    </row>
    <row r="2240">
      <c r="A2240" s="9" t="n">
        <v>39127</v>
      </c>
      <c r="B2240" s="7">
        <f>YEAR(A2240)</f>
        <v/>
      </c>
      <c r="C2240" s="7">
        <f>MONTH(A2240)</f>
        <v/>
      </c>
      <c r="D2240" s="10" t="n">
        <v>0</v>
      </c>
      <c r="E2240" s="11" t="n">
        <v>5.641736186</v>
      </c>
      <c r="F2240" s="12" t="n">
        <v>0</v>
      </c>
      <c r="G2240" s="11" t="n">
        <v>281.1765542</v>
      </c>
      <c r="H2240" s="13">
        <f>F2240*1000</f>
        <v/>
      </c>
      <c r="I2240" s="14">
        <f>G2240-273.15</f>
        <v/>
      </c>
      <c r="K2240" s="15" t="n">
        <v>2007</v>
      </c>
      <c r="L2240" s="15" t="n">
        <v>3</v>
      </c>
      <c r="M2240" s="15" t="n">
        <v>16</v>
      </c>
      <c r="N2240" s="16" t="n">
        <v>0</v>
      </c>
      <c r="O2240" s="11" t="n">
        <v>286.9188654</v>
      </c>
      <c r="P2240" s="13">
        <f>N2240*86400</f>
        <v/>
      </c>
      <c r="Q2240" s="14">
        <f>O2240-273.15</f>
        <v/>
      </c>
    </row>
    <row r="2241">
      <c r="A2241" s="9" t="n">
        <v>39128</v>
      </c>
      <c r="B2241" s="7">
        <f>YEAR(A2241)</f>
        <v/>
      </c>
      <c r="C2241" s="7">
        <f>MONTH(A2241)</f>
        <v/>
      </c>
      <c r="D2241" s="10" t="n">
        <v>0</v>
      </c>
      <c r="E2241" s="11" t="n">
        <v>3.705483373</v>
      </c>
      <c r="F2241" s="12" t="n">
        <v>0.001353474531</v>
      </c>
      <c r="G2241" s="11" t="n">
        <v>279.1838643</v>
      </c>
      <c r="H2241" s="13">
        <f>F2241*1000</f>
        <v/>
      </c>
      <c r="I2241" s="14">
        <f>G2241-273.15</f>
        <v/>
      </c>
      <c r="K2241" s="15" t="n">
        <v>2007</v>
      </c>
      <c r="L2241" s="15" t="n">
        <v>3</v>
      </c>
      <c r="M2241" s="15" t="n">
        <v>17</v>
      </c>
      <c r="N2241" s="16" t="n">
        <v>0</v>
      </c>
      <c r="O2241" s="11" t="n">
        <v>285.8076349</v>
      </c>
      <c r="P2241" s="13">
        <f>N2241*86400</f>
        <v/>
      </c>
      <c r="Q2241" s="14">
        <f>O2241-273.15</f>
        <v/>
      </c>
    </row>
    <row r="2242">
      <c r="A2242" s="9" t="n">
        <v>39129</v>
      </c>
      <c r="B2242" s="7">
        <f>YEAR(A2242)</f>
        <v/>
      </c>
      <c r="C2242" s="7">
        <f>MONTH(A2242)</f>
        <v/>
      </c>
      <c r="D2242" s="10" t="n">
        <v>0</v>
      </c>
      <c r="E2242" s="11" t="n">
        <v>7.15261098</v>
      </c>
      <c r="F2242" s="12" t="n">
        <v>7.296981619e-05</v>
      </c>
      <c r="G2242" s="11" t="n">
        <v>281.3453752</v>
      </c>
      <c r="H2242" s="13">
        <f>F2242*1000</f>
        <v/>
      </c>
      <c r="I2242" s="14">
        <f>G2242-273.15</f>
        <v/>
      </c>
      <c r="K2242" s="15" t="n">
        <v>2007</v>
      </c>
      <c r="L2242" s="15" t="n">
        <v>3</v>
      </c>
      <c r="M2242" s="15" t="n">
        <v>18</v>
      </c>
      <c r="N2242" s="16" t="n">
        <v>0</v>
      </c>
      <c r="O2242" s="11" t="n">
        <v>283.7179221</v>
      </c>
      <c r="P2242" s="13">
        <f>N2242*86400</f>
        <v/>
      </c>
      <c r="Q2242" s="14">
        <f>O2242-273.15</f>
        <v/>
      </c>
    </row>
    <row r="2243">
      <c r="A2243" s="9" t="n">
        <v>39130</v>
      </c>
      <c r="B2243" s="7">
        <f>YEAR(A2243)</f>
        <v/>
      </c>
      <c r="C2243" s="7">
        <f>MONTH(A2243)</f>
        <v/>
      </c>
      <c r="D2243" s="10" t="n">
        <v>0.5919240808</v>
      </c>
      <c r="E2243" s="11" t="n">
        <v>8.845982149999999</v>
      </c>
      <c r="F2243" s="12" t="n">
        <v>0.005102900143</v>
      </c>
      <c r="G2243" s="11" t="n">
        <v>283.8978649</v>
      </c>
      <c r="H2243" s="13">
        <f>F2243*1000</f>
        <v/>
      </c>
      <c r="I2243" s="14">
        <f>G2243-273.15</f>
        <v/>
      </c>
      <c r="K2243" s="15" t="n">
        <v>2007</v>
      </c>
      <c r="L2243" s="15" t="n">
        <v>3</v>
      </c>
      <c r="M2243" s="15" t="n">
        <v>19</v>
      </c>
      <c r="N2243" s="16" t="n">
        <v>0</v>
      </c>
      <c r="O2243" s="11" t="n">
        <v>284.495088</v>
      </c>
      <c r="P2243" s="13">
        <f>N2243*86400</f>
        <v/>
      </c>
      <c r="Q2243" s="14">
        <f>O2243-273.15</f>
        <v/>
      </c>
    </row>
    <row r="2244">
      <c r="A2244" s="9" t="n">
        <v>39131</v>
      </c>
      <c r="B2244" s="7">
        <f>YEAR(A2244)</f>
        <v/>
      </c>
      <c r="C2244" s="7">
        <f>MONTH(A2244)</f>
        <v/>
      </c>
      <c r="D2244" s="10" t="n">
        <v>0</v>
      </c>
      <c r="E2244" s="11" t="n">
        <v>8.016504595000001</v>
      </c>
      <c r="F2244" s="12" t="n">
        <v>0</v>
      </c>
      <c r="G2244" s="11" t="n">
        <v>282.9846655</v>
      </c>
      <c r="H2244" s="13">
        <f>F2244*1000</f>
        <v/>
      </c>
      <c r="I2244" s="14">
        <f>G2244-273.15</f>
        <v/>
      </c>
      <c r="K2244" s="15" t="n">
        <v>2007</v>
      </c>
      <c r="L2244" s="15" t="n">
        <v>3</v>
      </c>
      <c r="M2244" s="15" t="n">
        <v>20</v>
      </c>
      <c r="N2244" s="16" t="n">
        <v>0</v>
      </c>
      <c r="O2244" s="11" t="n">
        <v>285.9356495</v>
      </c>
      <c r="P2244" s="13">
        <f>N2244*86400</f>
        <v/>
      </c>
      <c r="Q2244" s="14">
        <f>O2244-273.15</f>
        <v/>
      </c>
    </row>
    <row r="2245">
      <c r="A2245" s="9" t="n">
        <v>39132</v>
      </c>
      <c r="B2245" s="7">
        <f>YEAR(A2245)</f>
        <v/>
      </c>
      <c r="C2245" s="7">
        <f>MONTH(A2245)</f>
        <v/>
      </c>
      <c r="D2245" s="10" t="n">
        <v>0</v>
      </c>
      <c r="E2245" s="11" t="n">
        <v>8.445854702</v>
      </c>
      <c r="F2245" s="12" t="n">
        <v>0</v>
      </c>
      <c r="G2245" s="11" t="n">
        <v>283.9112724</v>
      </c>
      <c r="H2245" s="13">
        <f>F2245*1000</f>
        <v/>
      </c>
      <c r="I2245" s="14">
        <f>G2245-273.15</f>
        <v/>
      </c>
      <c r="K2245" s="15" t="n">
        <v>2007</v>
      </c>
      <c r="L2245" s="15" t="n">
        <v>3</v>
      </c>
      <c r="M2245" s="15" t="n">
        <v>21</v>
      </c>
      <c r="N2245" s="16" t="n">
        <v>0</v>
      </c>
      <c r="O2245" s="11" t="n">
        <v>285.8187746</v>
      </c>
      <c r="P2245" s="13">
        <f>N2245*86400</f>
        <v/>
      </c>
      <c r="Q2245" s="14">
        <f>O2245-273.15</f>
        <v/>
      </c>
    </row>
    <row r="2246">
      <c r="A2246" s="9" t="n">
        <v>39133</v>
      </c>
      <c r="B2246" s="7">
        <f>YEAR(A2246)</f>
        <v/>
      </c>
      <c r="C2246" s="7">
        <f>MONTH(A2246)</f>
        <v/>
      </c>
      <c r="D2246" s="10" t="n">
        <v>0</v>
      </c>
      <c r="E2246" s="11" t="n">
        <v>7.740637943</v>
      </c>
      <c r="F2246" s="12" t="n">
        <v>0</v>
      </c>
      <c r="G2246" s="11" t="n">
        <v>283.6524635</v>
      </c>
      <c r="H2246" s="13">
        <f>F2246*1000</f>
        <v/>
      </c>
      <c r="I2246" s="14">
        <f>G2246-273.15</f>
        <v/>
      </c>
      <c r="K2246" s="15" t="n">
        <v>2007</v>
      </c>
      <c r="L2246" s="15" t="n">
        <v>3</v>
      </c>
      <c r="M2246" s="15" t="n">
        <v>22</v>
      </c>
      <c r="N2246" s="16" t="n">
        <v>1.296476641e-06</v>
      </c>
      <c r="O2246" s="11" t="n">
        <v>283.817446</v>
      </c>
      <c r="P2246" s="13">
        <f>N2246*86400</f>
        <v/>
      </c>
      <c r="Q2246" s="14">
        <f>O2246-273.15</f>
        <v/>
      </c>
    </row>
    <row r="2247">
      <c r="A2247" s="9" t="n">
        <v>39134</v>
      </c>
      <c r="B2247" s="7">
        <f>YEAR(A2247)</f>
        <v/>
      </c>
      <c r="C2247" s="7">
        <f>MONTH(A2247)</f>
        <v/>
      </c>
      <c r="D2247" s="10" t="n">
        <v>0</v>
      </c>
      <c r="E2247" s="11" t="n">
        <v>7.505755776</v>
      </c>
      <c r="F2247" s="12" t="n">
        <v>0</v>
      </c>
      <c r="G2247" s="11" t="n">
        <v>282.7817313</v>
      </c>
      <c r="H2247" s="13">
        <f>F2247*1000</f>
        <v/>
      </c>
      <c r="I2247" s="14">
        <f>G2247-273.15</f>
        <v/>
      </c>
      <c r="K2247" s="15" t="n">
        <v>2007</v>
      </c>
      <c r="L2247" s="15" t="n">
        <v>3</v>
      </c>
      <c r="M2247" s="15" t="n">
        <v>23</v>
      </c>
      <c r="N2247" s="16" t="n">
        <v>2.173885957e-05</v>
      </c>
      <c r="O2247" s="11" t="n">
        <v>284.9886245</v>
      </c>
      <c r="P2247" s="13">
        <f>N2247*86400</f>
        <v/>
      </c>
      <c r="Q2247" s="14">
        <f>O2247-273.15</f>
        <v/>
      </c>
    </row>
    <row r="2248">
      <c r="A2248" s="9" t="n">
        <v>39135</v>
      </c>
      <c r="B2248" s="7">
        <f>YEAR(A2248)</f>
        <v/>
      </c>
      <c r="C2248" s="7">
        <f>MONTH(A2248)</f>
        <v/>
      </c>
      <c r="D2248" s="10" t="n">
        <v>0</v>
      </c>
      <c r="E2248" s="11" t="n">
        <v>6.853473937</v>
      </c>
      <c r="F2248" s="12" t="n">
        <v>0</v>
      </c>
      <c r="G2248" s="11" t="n">
        <v>282.0894501</v>
      </c>
      <c r="H2248" s="13">
        <f>F2248*1000</f>
        <v/>
      </c>
      <c r="I2248" s="14">
        <f>G2248-273.15</f>
        <v/>
      </c>
      <c r="K2248" s="15" t="n">
        <v>2007</v>
      </c>
      <c r="L2248" s="15" t="n">
        <v>3</v>
      </c>
      <c r="M2248" s="15" t="n">
        <v>24</v>
      </c>
      <c r="N2248" s="16" t="n">
        <v>1.853050165e-06</v>
      </c>
      <c r="O2248" s="11" t="n">
        <v>285.1269304</v>
      </c>
      <c r="P2248" s="13">
        <f>N2248*86400</f>
        <v/>
      </c>
      <c r="Q2248" s="14">
        <f>O2248-273.15</f>
        <v/>
      </c>
    </row>
    <row r="2249">
      <c r="A2249" s="9" t="n">
        <v>39136</v>
      </c>
      <c r="B2249" s="7">
        <f>YEAR(A2249)</f>
        <v/>
      </c>
      <c r="C2249" s="7">
        <f>MONTH(A2249)</f>
        <v/>
      </c>
      <c r="D2249" s="10" t="n">
        <v>0</v>
      </c>
      <c r="E2249" s="11" t="n">
        <v>6.451646369</v>
      </c>
      <c r="F2249" s="12" t="n">
        <v>0</v>
      </c>
      <c r="G2249" s="11" t="n">
        <v>281.933897</v>
      </c>
      <c r="H2249" s="13">
        <f>F2249*1000</f>
        <v/>
      </c>
      <c r="I2249" s="14">
        <f>G2249-273.15</f>
        <v/>
      </c>
      <c r="K2249" s="15" t="n">
        <v>2007</v>
      </c>
      <c r="L2249" s="15" t="n">
        <v>3</v>
      </c>
      <c r="M2249" s="15" t="n">
        <v>25</v>
      </c>
      <c r="N2249" s="16" t="n">
        <v>0</v>
      </c>
      <c r="O2249" s="11" t="n">
        <v>284.3432363</v>
      </c>
      <c r="P2249" s="13">
        <f>N2249*86400</f>
        <v/>
      </c>
      <c r="Q2249" s="14">
        <f>O2249-273.15</f>
        <v/>
      </c>
    </row>
    <row r="2250">
      <c r="A2250" s="9" t="n">
        <v>39137</v>
      </c>
      <c r="B2250" s="7">
        <f>YEAR(A2250)</f>
        <v/>
      </c>
      <c r="C2250" s="7">
        <f>MONTH(A2250)</f>
        <v/>
      </c>
      <c r="D2250" s="10" t="n">
        <v>0</v>
      </c>
      <c r="E2250" s="11" t="n">
        <v>5.334368607</v>
      </c>
      <c r="F2250" s="12" t="n">
        <v>0</v>
      </c>
      <c r="G2250" s="11" t="n">
        <v>280.7859011</v>
      </c>
      <c r="H2250" s="13">
        <f>F2250*1000</f>
        <v/>
      </c>
      <c r="I2250" s="14">
        <f>G2250-273.15</f>
        <v/>
      </c>
      <c r="K2250" s="15" t="n">
        <v>2007</v>
      </c>
      <c r="L2250" s="15" t="n">
        <v>3</v>
      </c>
      <c r="M2250" s="15" t="n">
        <v>26</v>
      </c>
      <c r="N2250" s="16" t="n">
        <v>1.39983378e-06</v>
      </c>
      <c r="O2250" s="11" t="n">
        <v>284.911542</v>
      </c>
      <c r="P2250" s="13">
        <f>N2250*86400</f>
        <v/>
      </c>
      <c r="Q2250" s="14">
        <f>O2250-273.15</f>
        <v/>
      </c>
    </row>
    <row r="2251">
      <c r="A2251" s="9" t="n">
        <v>39138</v>
      </c>
      <c r="B2251" s="7">
        <f>YEAR(A2251)</f>
        <v/>
      </c>
      <c r="C2251" s="7">
        <f>MONTH(A2251)</f>
        <v/>
      </c>
      <c r="D2251" s="10" t="n">
        <v>0</v>
      </c>
      <c r="E2251" s="11" t="n">
        <v>7.703874547</v>
      </c>
      <c r="F2251" s="12" t="n">
        <v>0</v>
      </c>
      <c r="G2251" s="11" t="n">
        <v>282.6404593</v>
      </c>
      <c r="H2251" s="13">
        <f>F2251*1000</f>
        <v/>
      </c>
      <c r="I2251" s="14">
        <f>G2251-273.15</f>
        <v/>
      </c>
      <c r="K2251" s="15" t="n">
        <v>2007</v>
      </c>
      <c r="L2251" s="15" t="n">
        <v>3</v>
      </c>
      <c r="M2251" s="15" t="n">
        <v>27</v>
      </c>
      <c r="N2251" s="16" t="n">
        <v>0</v>
      </c>
      <c r="O2251" s="11" t="n">
        <v>284.8066123</v>
      </c>
      <c r="P2251" s="13">
        <f>N2251*86400</f>
        <v/>
      </c>
      <c r="Q2251" s="14">
        <f>O2251-273.15</f>
        <v/>
      </c>
    </row>
    <row r="2252">
      <c r="A2252" s="9" t="n">
        <v>39139</v>
      </c>
      <c r="B2252" s="7">
        <f>YEAR(A2252)</f>
        <v/>
      </c>
      <c r="C2252" s="7">
        <f>MONTH(A2252)</f>
        <v/>
      </c>
      <c r="D2252" s="10" t="n">
        <v>0</v>
      </c>
      <c r="E2252" s="11" t="n">
        <v>6.810144541</v>
      </c>
      <c r="F2252" s="12" t="n">
        <v>0</v>
      </c>
      <c r="G2252" s="11" t="n">
        <v>281.1079986</v>
      </c>
      <c r="H2252" s="13">
        <f>F2252*1000</f>
        <v/>
      </c>
      <c r="I2252" s="14">
        <f>G2252-273.15</f>
        <v/>
      </c>
      <c r="K2252" s="15" t="n">
        <v>2007</v>
      </c>
      <c r="L2252" s="15" t="n">
        <v>3</v>
      </c>
      <c r="M2252" s="15" t="n">
        <v>28</v>
      </c>
      <c r="N2252" s="16" t="n">
        <v>0</v>
      </c>
      <c r="O2252" s="11" t="n">
        <v>284.800717</v>
      </c>
      <c r="P2252" s="13">
        <f>N2252*86400</f>
        <v/>
      </c>
      <c r="Q2252" s="14">
        <f>O2252-273.15</f>
        <v/>
      </c>
    </row>
    <row r="2253">
      <c r="A2253" s="9" t="n">
        <v>39140</v>
      </c>
      <c r="B2253" s="7">
        <f>YEAR(A2253)</f>
        <v/>
      </c>
      <c r="C2253" s="7">
        <f>MONTH(A2253)</f>
        <v/>
      </c>
      <c r="D2253" s="10" t="n">
        <v>0</v>
      </c>
      <c r="E2253" s="11" t="n">
        <v>8.430203477999999</v>
      </c>
      <c r="F2253" s="12" t="n">
        <v>0</v>
      </c>
      <c r="G2253" s="11" t="n">
        <v>283.8063711</v>
      </c>
      <c r="H2253" s="13">
        <f>F2253*1000</f>
        <v/>
      </c>
      <c r="I2253" s="14">
        <f>G2253-273.15</f>
        <v/>
      </c>
      <c r="K2253" s="15" t="n">
        <v>2007</v>
      </c>
      <c r="L2253" s="15" t="n">
        <v>3</v>
      </c>
      <c r="M2253" s="15" t="n">
        <v>29</v>
      </c>
      <c r="N2253" s="16" t="n">
        <v>0</v>
      </c>
      <c r="O2253" s="11" t="n">
        <v>286.0111423</v>
      </c>
      <c r="P2253" s="13">
        <f>N2253*86400</f>
        <v/>
      </c>
      <c r="Q2253" s="14">
        <f>O2253-273.15</f>
        <v/>
      </c>
    </row>
    <row r="2254">
      <c r="A2254" s="9" t="n">
        <v>39141</v>
      </c>
      <c r="B2254" s="7">
        <f>YEAR(A2254)</f>
        <v/>
      </c>
      <c r="C2254" s="7">
        <f>MONTH(A2254)</f>
        <v/>
      </c>
      <c r="D2254" s="10" t="n">
        <v>0</v>
      </c>
      <c r="E2254" s="11" t="n">
        <v>6.633306669</v>
      </c>
      <c r="F2254" s="12" t="n">
        <v>0</v>
      </c>
      <c r="G2254" s="11" t="n">
        <v>281.9918221</v>
      </c>
      <c r="H2254" s="13">
        <f>F2254*1000</f>
        <v/>
      </c>
      <c r="I2254" s="14">
        <f>G2254-273.15</f>
        <v/>
      </c>
      <c r="K2254" s="15" t="n">
        <v>2007</v>
      </c>
      <c r="L2254" s="15" t="n">
        <v>3</v>
      </c>
      <c r="M2254" s="15" t="n">
        <v>30</v>
      </c>
      <c r="N2254" s="16" t="n">
        <v>0</v>
      </c>
      <c r="O2254" s="11" t="n">
        <v>286.5041701</v>
      </c>
      <c r="P2254" s="13">
        <f>N2254*86400</f>
        <v/>
      </c>
      <c r="Q2254" s="14">
        <f>O2254-273.15</f>
        <v/>
      </c>
    </row>
    <row r="2255">
      <c r="A2255" s="9" t="n">
        <v>39142</v>
      </c>
      <c r="B2255" s="7">
        <f>YEAR(A2255)</f>
        <v/>
      </c>
      <c r="C2255" s="7">
        <f>MONTH(A2255)</f>
        <v/>
      </c>
      <c r="D2255" s="10" t="n">
        <v>0</v>
      </c>
      <c r="E2255" s="11" t="n">
        <v>5.7609477</v>
      </c>
      <c r="F2255" s="12" t="n">
        <v>0</v>
      </c>
      <c r="G2255" s="11" t="n">
        <v>281.9019465</v>
      </c>
      <c r="H2255" s="13">
        <f>F2255*1000</f>
        <v/>
      </c>
      <c r="I2255" s="14">
        <f>G2255-273.15</f>
        <v/>
      </c>
      <c r="K2255" s="15" t="n">
        <v>2007</v>
      </c>
      <c r="L2255" s="15" t="n">
        <v>4</v>
      </c>
      <c r="M2255" s="15" t="n">
        <v>1</v>
      </c>
      <c r="N2255" s="16" t="n">
        <v>0</v>
      </c>
      <c r="O2255" s="11" t="n">
        <v>289.1191368</v>
      </c>
      <c r="P2255" s="13">
        <f>N2255*86400</f>
        <v/>
      </c>
      <c r="Q2255" s="14">
        <f>O2255-273.15</f>
        <v/>
      </c>
    </row>
    <row r="2256">
      <c r="A2256" s="9" t="n">
        <v>39143</v>
      </c>
      <c r="B2256" s="7">
        <f>YEAR(A2256)</f>
        <v/>
      </c>
      <c r="C2256" s="7">
        <f>MONTH(A2256)</f>
        <v/>
      </c>
      <c r="D2256" s="10" t="n">
        <v>0</v>
      </c>
      <c r="E2256" s="11" t="n">
        <v>7.951336969</v>
      </c>
      <c r="F2256" s="12" t="n">
        <v>0.001041996506</v>
      </c>
      <c r="G2256" s="11" t="n">
        <v>283.3118957</v>
      </c>
      <c r="H2256" s="13">
        <f>F2256*1000</f>
        <v/>
      </c>
      <c r="I2256" s="14">
        <f>G2256-273.15</f>
        <v/>
      </c>
      <c r="K2256" s="15" t="n">
        <v>2007</v>
      </c>
      <c r="L2256" s="15" t="n">
        <v>4</v>
      </c>
      <c r="M2256" s="15" t="n">
        <v>2</v>
      </c>
      <c r="N2256" s="16" t="n">
        <v>0</v>
      </c>
      <c r="O2256" s="11" t="n">
        <v>288.7051775</v>
      </c>
      <c r="P2256" s="13">
        <f>N2256*86400</f>
        <v/>
      </c>
      <c r="Q2256" s="14">
        <f>O2256-273.15</f>
        <v/>
      </c>
    </row>
    <row r="2257">
      <c r="A2257" s="9" t="n">
        <v>39144</v>
      </c>
      <c r="B2257" s="7">
        <f>YEAR(A2257)</f>
        <v/>
      </c>
      <c r="C2257" s="7">
        <f>MONTH(A2257)</f>
        <v/>
      </c>
      <c r="D2257" s="10" t="n">
        <v>0</v>
      </c>
      <c r="E2257" s="11" t="n">
        <v>9.569891270999999</v>
      </c>
      <c r="F2257" s="12" t="n">
        <v>0</v>
      </c>
      <c r="G2257" s="11" t="n">
        <v>284.7719091</v>
      </c>
      <c r="H2257" s="13">
        <f>F2257*1000</f>
        <v/>
      </c>
      <c r="I2257" s="14">
        <f>G2257-273.15</f>
        <v/>
      </c>
      <c r="K2257" s="15" t="n">
        <v>2007</v>
      </c>
      <c r="L2257" s="15" t="n">
        <v>4</v>
      </c>
      <c r="M2257" s="15" t="n">
        <v>3</v>
      </c>
      <c r="N2257" s="16" t="n">
        <v>9.800635936999999e-06</v>
      </c>
      <c r="O2257" s="11" t="n">
        <v>288.1617957</v>
      </c>
      <c r="P2257" s="13">
        <f>N2257*86400</f>
        <v/>
      </c>
      <c r="Q2257" s="14">
        <f>O2257-273.15</f>
        <v/>
      </c>
    </row>
    <row r="2258">
      <c r="A2258" s="9" t="n">
        <v>39145</v>
      </c>
      <c r="B2258" s="7">
        <f>YEAR(A2258)</f>
        <v/>
      </c>
      <c r="C2258" s="7">
        <f>MONTH(A2258)</f>
        <v/>
      </c>
      <c r="D2258" s="10" t="n">
        <v>0</v>
      </c>
      <c r="E2258" s="11" t="n">
        <v>8.688608329999999</v>
      </c>
      <c r="F2258" s="12" t="n">
        <v>0</v>
      </c>
      <c r="G2258" s="11" t="n">
        <v>283.7239227</v>
      </c>
      <c r="H2258" s="13">
        <f>F2258*1000</f>
        <v/>
      </c>
      <c r="I2258" s="14">
        <f>G2258-273.15</f>
        <v/>
      </c>
      <c r="K2258" s="15" t="n">
        <v>2007</v>
      </c>
      <c r="L2258" s="15" t="n">
        <v>4</v>
      </c>
      <c r="M2258" s="15" t="n">
        <v>4</v>
      </c>
      <c r="N2258" s="16" t="n">
        <v>6.004035160000001e-07</v>
      </c>
      <c r="O2258" s="11" t="n">
        <v>289.8957324</v>
      </c>
      <c r="P2258" s="13">
        <f>N2258*86400</f>
        <v/>
      </c>
      <c r="Q2258" s="14">
        <f>O2258-273.15</f>
        <v/>
      </c>
    </row>
    <row r="2259">
      <c r="A2259" s="9" t="n">
        <v>39146</v>
      </c>
      <c r="B2259" s="7">
        <f>YEAR(A2259)</f>
        <v/>
      </c>
      <c r="C2259" s="7">
        <f>MONTH(A2259)</f>
        <v/>
      </c>
      <c r="D2259" s="10" t="n">
        <v>0</v>
      </c>
      <c r="E2259" s="11" t="n">
        <v>10.86222056</v>
      </c>
      <c r="F2259" s="12" t="n">
        <v>0</v>
      </c>
      <c r="G2259" s="11" t="n">
        <v>284.6132904</v>
      </c>
      <c r="H2259" s="13">
        <f>F2259*1000</f>
        <v/>
      </c>
      <c r="I2259" s="14">
        <f>G2259-273.15</f>
        <v/>
      </c>
      <c r="K2259" s="15" t="n">
        <v>2007</v>
      </c>
      <c r="L2259" s="15" t="n">
        <v>4</v>
      </c>
      <c r="M2259" s="15" t="n">
        <v>5</v>
      </c>
      <c r="N2259" s="16" t="n">
        <v>3.483773951e-06</v>
      </c>
      <c r="O2259" s="11" t="n">
        <v>288.6251912</v>
      </c>
      <c r="P2259" s="13">
        <f>N2259*86400</f>
        <v/>
      </c>
      <c r="Q2259" s="14">
        <f>O2259-273.15</f>
        <v/>
      </c>
    </row>
    <row r="2260">
      <c r="A2260" s="9" t="n">
        <v>39147</v>
      </c>
      <c r="B2260" s="7">
        <f>YEAR(A2260)</f>
        <v/>
      </c>
      <c r="C2260" s="7">
        <f>MONTH(A2260)</f>
        <v/>
      </c>
      <c r="D2260" s="10" t="n">
        <v>0</v>
      </c>
      <c r="E2260" s="11" t="n">
        <v>12.08891149</v>
      </c>
      <c r="F2260" s="12" t="n">
        <v>0</v>
      </c>
      <c r="G2260" s="11" t="n">
        <v>286.8496065</v>
      </c>
      <c r="H2260" s="13">
        <f>F2260*1000</f>
        <v/>
      </c>
      <c r="I2260" s="14">
        <f>G2260-273.15</f>
        <v/>
      </c>
      <c r="K2260" s="15" t="n">
        <v>2007</v>
      </c>
      <c r="L2260" s="15" t="n">
        <v>4</v>
      </c>
      <c r="M2260" s="15" t="n">
        <v>6</v>
      </c>
      <c r="N2260" s="16" t="n">
        <v>0</v>
      </c>
      <c r="O2260" s="11" t="n">
        <v>287.0784168</v>
      </c>
      <c r="P2260" s="13">
        <f>N2260*86400</f>
        <v/>
      </c>
      <c r="Q2260" s="14">
        <f>O2260-273.15</f>
        <v/>
      </c>
    </row>
    <row r="2261">
      <c r="A2261" s="9" t="n">
        <v>39148</v>
      </c>
      <c r="B2261" s="7">
        <f>YEAR(A2261)</f>
        <v/>
      </c>
      <c r="C2261" s="7">
        <f>MONTH(A2261)</f>
        <v/>
      </c>
      <c r="D2261" s="10" t="n">
        <v>0</v>
      </c>
      <c r="E2261" s="11" t="n">
        <v>14.32343097</v>
      </c>
      <c r="F2261" s="12" t="n">
        <v>0</v>
      </c>
      <c r="G2261" s="11" t="n">
        <v>288.7162754</v>
      </c>
      <c r="H2261" s="13">
        <f>F2261*1000</f>
        <v/>
      </c>
      <c r="I2261" s="14">
        <f>G2261-273.15</f>
        <v/>
      </c>
      <c r="K2261" s="15" t="n">
        <v>2007</v>
      </c>
      <c r="L2261" s="15" t="n">
        <v>4</v>
      </c>
      <c r="M2261" s="15" t="n">
        <v>7</v>
      </c>
      <c r="N2261" s="16" t="n">
        <v>1.37951829e-05</v>
      </c>
      <c r="O2261" s="11" t="n">
        <v>287.8958706</v>
      </c>
      <c r="P2261" s="13">
        <f>N2261*86400</f>
        <v/>
      </c>
      <c r="Q2261" s="14">
        <f>O2261-273.15</f>
        <v/>
      </c>
    </row>
    <row r="2262">
      <c r="A2262" s="9" t="n">
        <v>39149</v>
      </c>
      <c r="B2262" s="7">
        <f>YEAR(A2262)</f>
        <v/>
      </c>
      <c r="C2262" s="7">
        <f>MONTH(A2262)</f>
        <v/>
      </c>
      <c r="D2262" s="10" t="n">
        <v>0</v>
      </c>
      <c r="E2262" s="11" t="n">
        <v>12.52814545</v>
      </c>
      <c r="F2262" s="12" t="n">
        <v>0</v>
      </c>
      <c r="G2262" s="11" t="n">
        <v>288.0476813</v>
      </c>
      <c r="H2262" s="13">
        <f>F2262*1000</f>
        <v/>
      </c>
      <c r="I2262" s="14">
        <f>G2262-273.15</f>
        <v/>
      </c>
      <c r="K2262" s="15" t="n">
        <v>2007</v>
      </c>
      <c r="L2262" s="15" t="n">
        <v>4</v>
      </c>
      <c r="M2262" s="15" t="n">
        <v>8</v>
      </c>
      <c r="N2262" s="16" t="n">
        <v>0</v>
      </c>
      <c r="O2262" s="11" t="n">
        <v>287.3046722</v>
      </c>
      <c r="P2262" s="13">
        <f>N2262*86400</f>
        <v/>
      </c>
      <c r="Q2262" s="14">
        <f>O2262-273.15</f>
        <v/>
      </c>
    </row>
    <row r="2263">
      <c r="A2263" s="9" t="n">
        <v>39150</v>
      </c>
      <c r="B2263" s="7">
        <f>YEAR(A2263)</f>
        <v/>
      </c>
      <c r="C2263" s="7">
        <f>MONTH(A2263)</f>
        <v/>
      </c>
      <c r="D2263" s="10" t="n">
        <v>0</v>
      </c>
      <c r="E2263" s="11" t="n">
        <v>11.0747967</v>
      </c>
      <c r="F2263" s="12" t="n">
        <v>0</v>
      </c>
      <c r="G2263" s="11" t="n">
        <v>286.6720453</v>
      </c>
      <c r="H2263" s="13">
        <f>F2263*1000</f>
        <v/>
      </c>
      <c r="I2263" s="14">
        <f>G2263-273.15</f>
        <v/>
      </c>
      <c r="K2263" s="15" t="n">
        <v>2007</v>
      </c>
      <c r="L2263" s="15" t="n">
        <v>4</v>
      </c>
      <c r="M2263" s="15" t="n">
        <v>9</v>
      </c>
      <c r="N2263" s="16" t="n">
        <v>3.33807831e-06</v>
      </c>
      <c r="O2263" s="11" t="n">
        <v>286.5476388</v>
      </c>
      <c r="P2263" s="13">
        <f>N2263*86400</f>
        <v/>
      </c>
      <c r="Q2263" s="14">
        <f>O2263-273.15</f>
        <v/>
      </c>
    </row>
    <row r="2264">
      <c r="A2264" s="9" t="n">
        <v>39151</v>
      </c>
      <c r="B2264" s="7">
        <f>YEAR(A2264)</f>
        <v/>
      </c>
      <c r="C2264" s="7">
        <f>MONTH(A2264)</f>
        <v/>
      </c>
      <c r="D2264" s="10" t="n">
        <v>0</v>
      </c>
      <c r="E2264" s="11" t="n">
        <v>9.044672732</v>
      </c>
      <c r="F2264" s="12" t="n">
        <v>0</v>
      </c>
      <c r="G2264" s="11" t="n">
        <v>284.106007</v>
      </c>
      <c r="H2264" s="13">
        <f>F2264*1000</f>
        <v/>
      </c>
      <c r="I2264" s="14">
        <f>G2264-273.15</f>
        <v/>
      </c>
      <c r="K2264" s="15" t="n">
        <v>2007</v>
      </c>
      <c r="L2264" s="15" t="n">
        <v>4</v>
      </c>
      <c r="M2264" s="15" t="n">
        <v>10</v>
      </c>
      <c r="N2264" s="16" t="n">
        <v>0</v>
      </c>
      <c r="O2264" s="11" t="n">
        <v>287.7075567</v>
      </c>
      <c r="P2264" s="13">
        <f>N2264*86400</f>
        <v/>
      </c>
      <c r="Q2264" s="14">
        <f>O2264-273.15</f>
        <v/>
      </c>
    </row>
    <row r="2265">
      <c r="A2265" s="9" t="n">
        <v>39152</v>
      </c>
      <c r="B2265" s="7">
        <f>YEAR(A2265)</f>
        <v/>
      </c>
      <c r="C2265" s="7">
        <f>MONTH(A2265)</f>
        <v/>
      </c>
      <c r="D2265" s="10" t="n">
        <v>0</v>
      </c>
      <c r="E2265" s="11" t="n">
        <v>10.42888148</v>
      </c>
      <c r="F2265" s="12" t="n">
        <v>0</v>
      </c>
      <c r="G2265" s="11" t="n">
        <v>285.4755933</v>
      </c>
      <c r="H2265" s="13">
        <f>F2265*1000</f>
        <v/>
      </c>
      <c r="I2265" s="14">
        <f>G2265-273.15</f>
        <v/>
      </c>
      <c r="K2265" s="15" t="n">
        <v>2007</v>
      </c>
      <c r="L2265" s="15" t="n">
        <v>4</v>
      </c>
      <c r="M2265" s="15" t="n">
        <v>11</v>
      </c>
      <c r="N2265" s="16" t="n">
        <v>0</v>
      </c>
      <c r="O2265" s="11" t="n">
        <v>287.9670161</v>
      </c>
      <c r="P2265" s="13">
        <f>N2265*86400</f>
        <v/>
      </c>
      <c r="Q2265" s="14">
        <f>O2265-273.15</f>
        <v/>
      </c>
    </row>
    <row r="2266">
      <c r="A2266" s="9" t="n">
        <v>39153</v>
      </c>
      <c r="B2266" s="7">
        <f>YEAR(A2266)</f>
        <v/>
      </c>
      <c r="C2266" s="7">
        <f>MONTH(A2266)</f>
        <v/>
      </c>
      <c r="D2266" s="10" t="n">
        <v>0</v>
      </c>
      <c r="E2266" s="11" t="n">
        <v>8.400591013</v>
      </c>
      <c r="F2266" s="12" t="n">
        <v>0</v>
      </c>
      <c r="G2266" s="11" t="n">
        <v>284.248844</v>
      </c>
      <c r="H2266" s="13">
        <f>F2266*1000</f>
        <v/>
      </c>
      <c r="I2266" s="14">
        <f>G2266-273.15</f>
        <v/>
      </c>
      <c r="K2266" s="15" t="n">
        <v>2007</v>
      </c>
      <c r="L2266" s="15" t="n">
        <v>4</v>
      </c>
      <c r="M2266" s="15" t="n">
        <v>12</v>
      </c>
      <c r="N2266" s="16" t="n">
        <v>1.397106641e-07</v>
      </c>
      <c r="O2266" s="11" t="n">
        <v>288.7353013</v>
      </c>
      <c r="P2266" s="13">
        <f>N2266*86400</f>
        <v/>
      </c>
      <c r="Q2266" s="14">
        <f>O2266-273.15</f>
        <v/>
      </c>
    </row>
    <row r="2267">
      <c r="A2267" s="9" t="n">
        <v>39154</v>
      </c>
      <c r="B2267" s="7">
        <f>YEAR(A2267)</f>
        <v/>
      </c>
      <c r="C2267" s="7">
        <f>MONTH(A2267)</f>
        <v/>
      </c>
      <c r="D2267" s="10" t="n">
        <v>0</v>
      </c>
      <c r="E2267" s="11" t="n">
        <v>9.557467301000001</v>
      </c>
      <c r="F2267" s="12" t="n">
        <v>0</v>
      </c>
      <c r="G2267" s="11" t="n">
        <v>285.446386</v>
      </c>
      <c r="H2267" s="13">
        <f>F2267*1000</f>
        <v/>
      </c>
      <c r="I2267" s="14">
        <f>G2267-273.15</f>
        <v/>
      </c>
      <c r="K2267" s="15" t="n">
        <v>2007</v>
      </c>
      <c r="L2267" s="15" t="n">
        <v>4</v>
      </c>
      <c r="M2267" s="15" t="n">
        <v>13</v>
      </c>
      <c r="N2267" s="16" t="n">
        <v>1.53934218e-05</v>
      </c>
      <c r="O2267" s="11" t="n">
        <v>289.1072695</v>
      </c>
      <c r="P2267" s="13">
        <f>N2267*86400</f>
        <v/>
      </c>
      <c r="Q2267" s="14">
        <f>O2267-273.15</f>
        <v/>
      </c>
    </row>
    <row r="2268">
      <c r="A2268" s="9" t="n">
        <v>39155</v>
      </c>
      <c r="B2268" s="7">
        <f>YEAR(A2268)</f>
        <v/>
      </c>
      <c r="C2268" s="7">
        <f>MONTH(A2268)</f>
        <v/>
      </c>
      <c r="D2268" s="10" t="n">
        <v>0</v>
      </c>
      <c r="E2268" s="11" t="n">
        <v>9.694130757</v>
      </c>
      <c r="F2268" s="12" t="n">
        <v>0</v>
      </c>
      <c r="G2268" s="11" t="n">
        <v>285.5212065</v>
      </c>
      <c r="H2268" s="13">
        <f>F2268*1000</f>
        <v/>
      </c>
      <c r="I2268" s="14">
        <f>G2268-273.15</f>
        <v/>
      </c>
      <c r="K2268" s="15" t="n">
        <v>2007</v>
      </c>
      <c r="L2268" s="15" t="n">
        <v>4</v>
      </c>
      <c r="M2268" s="15" t="n">
        <v>14</v>
      </c>
      <c r="N2268" s="16" t="n">
        <v>6.565468539e-06</v>
      </c>
      <c r="O2268" s="11" t="n">
        <v>288.9936508</v>
      </c>
      <c r="P2268" s="13">
        <f>N2268*86400</f>
        <v/>
      </c>
      <c r="Q2268" s="14">
        <f>O2268-273.15</f>
        <v/>
      </c>
    </row>
    <row r="2269">
      <c r="A2269" s="9" t="n">
        <v>39156</v>
      </c>
      <c r="B2269" s="7">
        <f>YEAR(A2269)</f>
        <v/>
      </c>
      <c r="C2269" s="7">
        <f>MONTH(A2269)</f>
        <v/>
      </c>
      <c r="D2269" s="10" t="n">
        <v>0</v>
      </c>
      <c r="E2269" s="11" t="n">
        <v>10.59038864</v>
      </c>
      <c r="F2269" s="12" t="n">
        <v>0</v>
      </c>
      <c r="G2269" s="11" t="n">
        <v>286.1007427</v>
      </c>
      <c r="H2269" s="13">
        <f>F2269*1000</f>
        <v/>
      </c>
      <c r="I2269" s="14">
        <f>G2269-273.15</f>
        <v/>
      </c>
      <c r="K2269" s="15" t="n">
        <v>2007</v>
      </c>
      <c r="L2269" s="15" t="n">
        <v>4</v>
      </c>
      <c r="M2269" s="15" t="n">
        <v>15</v>
      </c>
      <c r="N2269" s="16" t="n">
        <v>0</v>
      </c>
      <c r="O2269" s="11" t="n">
        <v>289.0331877</v>
      </c>
      <c r="P2269" s="13">
        <f>N2269*86400</f>
        <v/>
      </c>
      <c r="Q2269" s="14">
        <f>O2269-273.15</f>
        <v/>
      </c>
    </row>
    <row r="2270">
      <c r="A2270" s="9" t="n">
        <v>39157</v>
      </c>
      <c r="B2270" s="7">
        <f>YEAR(A2270)</f>
        <v/>
      </c>
      <c r="C2270" s="7">
        <f>MONTH(A2270)</f>
        <v/>
      </c>
      <c r="D2270" s="10" t="n">
        <v>0</v>
      </c>
      <c r="E2270" s="11" t="n">
        <v>11.01773067</v>
      </c>
      <c r="F2270" s="12" t="n">
        <v>0</v>
      </c>
      <c r="G2270" s="11" t="n">
        <v>285.8512258</v>
      </c>
      <c r="H2270" s="13">
        <f>F2270*1000</f>
        <v/>
      </c>
      <c r="I2270" s="14">
        <f>G2270-273.15</f>
        <v/>
      </c>
      <c r="K2270" s="15" t="n">
        <v>2007</v>
      </c>
      <c r="L2270" s="15" t="n">
        <v>4</v>
      </c>
      <c r="M2270" s="15" t="n">
        <v>16</v>
      </c>
      <c r="N2270" s="16" t="n">
        <v>0</v>
      </c>
      <c r="O2270" s="11" t="n">
        <v>287.1181973</v>
      </c>
      <c r="P2270" s="13">
        <f>N2270*86400</f>
        <v/>
      </c>
      <c r="Q2270" s="14">
        <f>O2270-273.15</f>
        <v/>
      </c>
    </row>
    <row r="2271">
      <c r="A2271" s="9" t="n">
        <v>39158</v>
      </c>
      <c r="B2271" s="7">
        <f>YEAR(A2271)</f>
        <v/>
      </c>
      <c r="C2271" s="7">
        <f>MONTH(A2271)</f>
        <v/>
      </c>
      <c r="D2271" s="10" t="n">
        <v>0</v>
      </c>
      <c r="E2271" s="11" t="n">
        <v>8.644447871000001</v>
      </c>
      <c r="F2271" s="12" t="n">
        <v>0</v>
      </c>
      <c r="G2271" s="11" t="n">
        <v>283.5605837</v>
      </c>
      <c r="H2271" s="13">
        <f>F2271*1000</f>
        <v/>
      </c>
      <c r="I2271" s="14">
        <f>G2271-273.15</f>
        <v/>
      </c>
      <c r="K2271" s="15" t="n">
        <v>2007</v>
      </c>
      <c r="L2271" s="15" t="n">
        <v>4</v>
      </c>
      <c r="M2271" s="15" t="n">
        <v>17</v>
      </c>
      <c r="N2271" s="16" t="n">
        <v>0</v>
      </c>
      <c r="O2271" s="11" t="n">
        <v>287.6517113</v>
      </c>
      <c r="P2271" s="13">
        <f>N2271*86400</f>
        <v/>
      </c>
      <c r="Q2271" s="14">
        <f>O2271-273.15</f>
        <v/>
      </c>
    </row>
    <row r="2272">
      <c r="A2272" s="9" t="n">
        <v>39159</v>
      </c>
      <c r="B2272" s="7">
        <f>YEAR(A2272)</f>
        <v/>
      </c>
      <c r="C2272" s="7">
        <f>MONTH(A2272)</f>
        <v/>
      </c>
      <c r="D2272" s="10" t="n">
        <v>0</v>
      </c>
      <c r="E2272" s="11" t="n">
        <v>9.040957507</v>
      </c>
      <c r="F2272" s="12" t="n">
        <v>0</v>
      </c>
      <c r="G2272" s="11" t="n">
        <v>285.1749122</v>
      </c>
      <c r="H2272" s="13">
        <f>F2272*1000</f>
        <v/>
      </c>
      <c r="I2272" s="14">
        <f>G2272-273.15</f>
        <v/>
      </c>
      <c r="K2272" s="15" t="n">
        <v>2007</v>
      </c>
      <c r="L2272" s="15" t="n">
        <v>4</v>
      </c>
      <c r="M2272" s="15" t="n">
        <v>18</v>
      </c>
      <c r="N2272" s="16" t="n">
        <v>0</v>
      </c>
      <c r="O2272" s="11" t="n">
        <v>288.3074262</v>
      </c>
      <c r="P2272" s="13">
        <f>N2272*86400</f>
        <v/>
      </c>
      <c r="Q2272" s="14">
        <f>O2272-273.15</f>
        <v/>
      </c>
    </row>
    <row r="2273">
      <c r="A2273" s="9" t="n">
        <v>39160</v>
      </c>
      <c r="B2273" s="7">
        <f>YEAR(A2273)</f>
        <v/>
      </c>
      <c r="C2273" s="7">
        <f>MONTH(A2273)</f>
        <v/>
      </c>
      <c r="D2273" s="10" t="n">
        <v>0</v>
      </c>
      <c r="E2273" s="11" t="n">
        <v>7.114161557</v>
      </c>
      <c r="F2273" s="12" t="n">
        <v>0</v>
      </c>
      <c r="G2273" s="11" t="n">
        <v>282.5331975</v>
      </c>
      <c r="H2273" s="13">
        <f>F2273*1000</f>
        <v/>
      </c>
      <c r="I2273" s="14">
        <f>G2273-273.15</f>
        <v/>
      </c>
      <c r="K2273" s="15" t="n">
        <v>2007</v>
      </c>
      <c r="L2273" s="15" t="n">
        <v>4</v>
      </c>
      <c r="M2273" s="15" t="n">
        <v>19</v>
      </c>
      <c r="N2273" s="16" t="n">
        <v>0</v>
      </c>
      <c r="O2273" s="11" t="n">
        <v>290.2257089</v>
      </c>
      <c r="P2273" s="13">
        <f>N2273*86400</f>
        <v/>
      </c>
      <c r="Q2273" s="14">
        <f>O2273-273.15</f>
        <v/>
      </c>
    </row>
    <row r="2274">
      <c r="A2274" s="9" t="n">
        <v>39161</v>
      </c>
      <c r="B2274" s="7">
        <f>YEAR(A2274)</f>
        <v/>
      </c>
      <c r="C2274" s="7">
        <f>MONTH(A2274)</f>
        <v/>
      </c>
      <c r="D2274" s="10" t="n">
        <v>0</v>
      </c>
      <c r="E2274" s="11" t="n">
        <v>8.105871105</v>
      </c>
      <c r="F2274" s="12" t="n">
        <v>0</v>
      </c>
      <c r="G2274" s="11" t="n">
        <v>283.2947062</v>
      </c>
      <c r="H2274" s="13">
        <f>F2274*1000</f>
        <v/>
      </c>
      <c r="I2274" s="14">
        <f>G2274-273.15</f>
        <v/>
      </c>
      <c r="K2274" s="15" t="n">
        <v>2007</v>
      </c>
      <c r="L2274" s="15" t="n">
        <v>4</v>
      </c>
      <c r="M2274" s="15" t="n">
        <v>20</v>
      </c>
      <c r="N2274" s="16" t="n">
        <v>0</v>
      </c>
      <c r="O2274" s="11" t="n">
        <v>290.1670914</v>
      </c>
      <c r="P2274" s="13">
        <f>N2274*86400</f>
        <v/>
      </c>
      <c r="Q2274" s="14">
        <f>O2274-273.15</f>
        <v/>
      </c>
    </row>
    <row r="2275">
      <c r="A2275" s="9" t="n">
        <v>39162</v>
      </c>
      <c r="B2275" s="7">
        <f>YEAR(A2275)</f>
        <v/>
      </c>
      <c r="C2275" s="7">
        <f>MONTH(A2275)</f>
        <v/>
      </c>
      <c r="D2275" s="10" t="n">
        <v>0</v>
      </c>
      <c r="E2275" s="11" t="n">
        <v>12.82662048</v>
      </c>
      <c r="F2275" s="12" t="n">
        <v>0</v>
      </c>
      <c r="G2275" s="11" t="n">
        <v>288.0200423</v>
      </c>
      <c r="H2275" s="13">
        <f>F2275*1000</f>
        <v/>
      </c>
      <c r="I2275" s="14">
        <f>G2275-273.15</f>
        <v/>
      </c>
      <c r="K2275" s="15" t="n">
        <v>2007</v>
      </c>
      <c r="L2275" s="15" t="n">
        <v>4</v>
      </c>
      <c r="M2275" s="15" t="n">
        <v>21</v>
      </c>
      <c r="N2275" s="16" t="n">
        <v>0</v>
      </c>
      <c r="O2275" s="11" t="n">
        <v>289.5638712</v>
      </c>
      <c r="P2275" s="13">
        <f>N2275*86400</f>
        <v/>
      </c>
      <c r="Q2275" s="14">
        <f>O2275-273.15</f>
        <v/>
      </c>
    </row>
    <row r="2276">
      <c r="A2276" s="9" t="n">
        <v>39163</v>
      </c>
      <c r="B2276" s="7">
        <f>YEAR(A2276)</f>
        <v/>
      </c>
      <c r="C2276" s="7">
        <f>MONTH(A2276)</f>
        <v/>
      </c>
      <c r="D2276" s="10" t="n">
        <v>0</v>
      </c>
      <c r="E2276" s="11" t="n">
        <v>11.45043471</v>
      </c>
      <c r="F2276" s="12" t="n">
        <v>0</v>
      </c>
      <c r="G2276" s="11" t="n">
        <v>286.2284888</v>
      </c>
      <c r="H2276" s="13">
        <f>F2276*1000</f>
        <v/>
      </c>
      <c r="I2276" s="14">
        <f>G2276-273.15</f>
        <v/>
      </c>
      <c r="K2276" s="15" t="n">
        <v>2007</v>
      </c>
      <c r="L2276" s="15" t="n">
        <v>4</v>
      </c>
      <c r="M2276" s="15" t="n">
        <v>22</v>
      </c>
      <c r="N2276" s="16" t="n">
        <v>1.112160662e-06</v>
      </c>
      <c r="O2276" s="11" t="n">
        <v>289.7907045</v>
      </c>
      <c r="P2276" s="13">
        <f>N2276*86400</f>
        <v/>
      </c>
      <c r="Q2276" s="14">
        <f>O2276-273.15</f>
        <v/>
      </c>
    </row>
    <row r="2277">
      <c r="A2277" s="9" t="n">
        <v>39164</v>
      </c>
      <c r="B2277" s="7">
        <f>YEAR(A2277)</f>
        <v/>
      </c>
      <c r="C2277" s="7">
        <f>MONTH(A2277)</f>
        <v/>
      </c>
      <c r="D2277" s="10" t="n">
        <v>0</v>
      </c>
      <c r="E2277" s="11" t="n">
        <v>11.50476714</v>
      </c>
      <c r="F2277" s="12" t="n">
        <v>0</v>
      </c>
      <c r="G2277" s="11" t="n">
        <v>286.3192122</v>
      </c>
      <c r="H2277" s="13">
        <f>F2277*1000</f>
        <v/>
      </c>
      <c r="I2277" s="14">
        <f>G2277-273.15</f>
        <v/>
      </c>
      <c r="K2277" s="15" t="n">
        <v>2007</v>
      </c>
      <c r="L2277" s="15" t="n">
        <v>4</v>
      </c>
      <c r="M2277" s="15" t="n">
        <v>23</v>
      </c>
      <c r="N2277" s="16" t="n">
        <v>0</v>
      </c>
      <c r="O2277" s="11" t="n">
        <v>292.0236484</v>
      </c>
      <c r="P2277" s="13">
        <f>N2277*86400</f>
        <v/>
      </c>
      <c r="Q2277" s="14">
        <f>O2277-273.15</f>
        <v/>
      </c>
    </row>
    <row r="2278">
      <c r="A2278" s="9" t="n">
        <v>39165</v>
      </c>
      <c r="B2278" s="7">
        <f>YEAR(A2278)</f>
        <v/>
      </c>
      <c r="C2278" s="7">
        <f>MONTH(A2278)</f>
        <v/>
      </c>
      <c r="D2278" s="10" t="n">
        <v>0</v>
      </c>
      <c r="E2278" s="11" t="n">
        <v>8.749696758000001</v>
      </c>
      <c r="F2278" s="12" t="n">
        <v>0</v>
      </c>
      <c r="G2278" s="11" t="n">
        <v>284.2406491</v>
      </c>
      <c r="H2278" s="13">
        <f>F2278*1000</f>
        <v/>
      </c>
      <c r="I2278" s="14">
        <f>G2278-273.15</f>
        <v/>
      </c>
      <c r="K2278" s="15" t="n">
        <v>2007</v>
      </c>
      <c r="L2278" s="15" t="n">
        <v>4</v>
      </c>
      <c r="M2278" s="15" t="n">
        <v>24</v>
      </c>
      <c r="N2278" s="16" t="n">
        <v>0</v>
      </c>
      <c r="O2278" s="11" t="n">
        <v>292.5663991</v>
      </c>
      <c r="P2278" s="13">
        <f>N2278*86400</f>
        <v/>
      </c>
      <c r="Q2278" s="14">
        <f>O2278-273.15</f>
        <v/>
      </c>
    </row>
    <row r="2279">
      <c r="A2279" s="9" t="n">
        <v>39166</v>
      </c>
      <c r="B2279" s="7">
        <f>YEAR(A2279)</f>
        <v/>
      </c>
      <c r="C2279" s="7">
        <f>MONTH(A2279)</f>
        <v/>
      </c>
      <c r="D2279" s="10" t="n">
        <v>1.440675365</v>
      </c>
      <c r="E2279" s="11" t="n">
        <v>11.43520758</v>
      </c>
      <c r="F2279" s="12" t="n">
        <v>0.0005548721429</v>
      </c>
      <c r="G2279" s="11" t="n">
        <v>285.8813686</v>
      </c>
      <c r="H2279" s="13">
        <f>F2279*1000</f>
        <v/>
      </c>
      <c r="I2279" s="14">
        <f>G2279-273.15</f>
        <v/>
      </c>
      <c r="K2279" s="15" t="n">
        <v>2007</v>
      </c>
      <c r="L2279" s="15" t="n">
        <v>4</v>
      </c>
      <c r="M2279" s="15" t="n">
        <v>25</v>
      </c>
      <c r="N2279" s="16" t="n">
        <v>0</v>
      </c>
      <c r="O2279" s="11" t="n">
        <v>290.0179258</v>
      </c>
      <c r="P2279" s="13">
        <f>N2279*86400</f>
        <v/>
      </c>
      <c r="Q2279" s="14">
        <f>O2279-273.15</f>
        <v/>
      </c>
    </row>
    <row r="2280">
      <c r="A2280" s="9" t="n">
        <v>39167</v>
      </c>
      <c r="B2280" s="7">
        <f>YEAR(A2280)</f>
        <v/>
      </c>
      <c r="C2280" s="7">
        <f>MONTH(A2280)</f>
        <v/>
      </c>
      <c r="D2280" s="10" t="n">
        <v>1.4462675</v>
      </c>
      <c r="E2280" s="11" t="n">
        <v>11.05736437</v>
      </c>
      <c r="F2280" s="12" t="n">
        <v>0.0009891484654999999</v>
      </c>
      <c r="G2280" s="11" t="n">
        <v>285.9019924</v>
      </c>
      <c r="H2280" s="13">
        <f>F2280*1000</f>
        <v/>
      </c>
      <c r="I2280" s="14">
        <f>G2280-273.15</f>
        <v/>
      </c>
      <c r="K2280" s="15" t="n">
        <v>2007</v>
      </c>
      <c r="L2280" s="15" t="n">
        <v>4</v>
      </c>
      <c r="M2280" s="15" t="n">
        <v>26</v>
      </c>
      <c r="N2280" s="16" t="n">
        <v>1.014990001e-05</v>
      </c>
      <c r="O2280" s="11" t="n">
        <v>289.7305036</v>
      </c>
      <c r="P2280" s="13">
        <f>N2280*86400</f>
        <v/>
      </c>
      <c r="Q2280" s="14">
        <f>O2280-273.15</f>
        <v/>
      </c>
    </row>
    <row r="2281">
      <c r="A2281" s="9" t="n">
        <v>39168</v>
      </c>
      <c r="B2281" s="7">
        <f>YEAR(A2281)</f>
        <v/>
      </c>
      <c r="C2281" s="7">
        <f>MONTH(A2281)</f>
        <v/>
      </c>
      <c r="D2281" s="10" t="n">
        <v>0</v>
      </c>
      <c r="E2281" s="11" t="n">
        <v>10.02957147</v>
      </c>
      <c r="F2281" s="12" t="n">
        <v>0.0002340373604</v>
      </c>
      <c r="G2281" s="11" t="n">
        <v>285.2048124</v>
      </c>
      <c r="H2281" s="13">
        <f>F2281*1000</f>
        <v/>
      </c>
      <c r="I2281" s="14">
        <f>G2281-273.15</f>
        <v/>
      </c>
      <c r="K2281" s="15" t="n">
        <v>2007</v>
      </c>
      <c r="L2281" s="15" t="n">
        <v>4</v>
      </c>
      <c r="M2281" s="15" t="n">
        <v>27</v>
      </c>
      <c r="N2281" s="16" t="n">
        <v>0</v>
      </c>
      <c r="O2281" s="11" t="n">
        <v>288.756045</v>
      </c>
      <c r="P2281" s="13">
        <f>N2281*86400</f>
        <v/>
      </c>
      <c r="Q2281" s="14">
        <f>O2281-273.15</f>
        <v/>
      </c>
    </row>
    <row r="2282">
      <c r="A2282" s="9" t="n">
        <v>39169</v>
      </c>
      <c r="B2282" s="7">
        <f>YEAR(A2282)</f>
        <v/>
      </c>
      <c r="C2282" s="7">
        <f>MONTH(A2282)</f>
        <v/>
      </c>
      <c r="D2282" s="10" t="n">
        <v>0.07526980192</v>
      </c>
      <c r="E2282" s="11" t="n">
        <v>10.05856688</v>
      </c>
      <c r="F2282" s="12" t="n">
        <v>0.0003552272377</v>
      </c>
      <c r="G2282" s="11" t="n">
        <v>286.1370586</v>
      </c>
      <c r="H2282" s="13">
        <f>F2282*1000</f>
        <v/>
      </c>
      <c r="I2282" s="14">
        <f>G2282-273.15</f>
        <v/>
      </c>
      <c r="K2282" s="15" t="n">
        <v>2007</v>
      </c>
      <c r="L2282" s="15" t="n">
        <v>4</v>
      </c>
      <c r="M2282" s="15" t="n">
        <v>28</v>
      </c>
      <c r="N2282" s="16" t="n">
        <v>0</v>
      </c>
      <c r="O2282" s="11" t="n">
        <v>291.1547052</v>
      </c>
      <c r="P2282" s="13">
        <f>N2282*86400</f>
        <v/>
      </c>
      <c r="Q2282" s="14">
        <f>O2282-273.15</f>
        <v/>
      </c>
    </row>
    <row r="2283">
      <c r="A2283" s="9" t="n">
        <v>39170</v>
      </c>
      <c r="B2283" s="7">
        <f>YEAR(A2283)</f>
        <v/>
      </c>
      <c r="C2283" s="7">
        <f>MONTH(A2283)</f>
        <v/>
      </c>
      <c r="D2283" s="10" t="n">
        <v>5.782652397</v>
      </c>
      <c r="E2283" s="11" t="n">
        <v>11.44806709</v>
      </c>
      <c r="F2283" s="12" t="n">
        <v>0.004586133053</v>
      </c>
      <c r="G2283" s="11" t="n">
        <v>288.6561569</v>
      </c>
      <c r="H2283" s="13">
        <f>F2283*1000</f>
        <v/>
      </c>
      <c r="I2283" s="14">
        <f>G2283-273.15</f>
        <v/>
      </c>
      <c r="K2283" s="15" t="n">
        <v>2007</v>
      </c>
      <c r="L2283" s="15" t="n">
        <v>4</v>
      </c>
      <c r="M2283" s="15" t="n">
        <v>29</v>
      </c>
      <c r="N2283" s="16" t="n">
        <v>4.057460811e-06</v>
      </c>
      <c r="O2283" s="11" t="n">
        <v>290.3937344</v>
      </c>
      <c r="P2283" s="13">
        <f>N2283*86400</f>
        <v/>
      </c>
      <c r="Q2283" s="14">
        <f>O2283-273.15</f>
        <v/>
      </c>
    </row>
    <row r="2284">
      <c r="A2284" s="9" t="n">
        <v>39171</v>
      </c>
      <c r="B2284" s="7">
        <f>YEAR(A2284)</f>
        <v/>
      </c>
      <c r="C2284" s="7">
        <f>MONTH(A2284)</f>
        <v/>
      </c>
      <c r="D2284" s="10" t="n">
        <v>0</v>
      </c>
      <c r="E2284" s="11" t="n">
        <v>11.92311112</v>
      </c>
      <c r="F2284" s="12" t="n">
        <v>0</v>
      </c>
      <c r="G2284" s="11" t="n">
        <v>288.0057005</v>
      </c>
      <c r="H2284" s="13">
        <f>F2284*1000</f>
        <v/>
      </c>
      <c r="I2284" s="14">
        <f>G2284-273.15</f>
        <v/>
      </c>
      <c r="K2284" s="15" t="n">
        <v>2007</v>
      </c>
      <c r="L2284" s="15" t="n">
        <v>4</v>
      </c>
      <c r="M2284" s="15" t="n">
        <v>30</v>
      </c>
      <c r="N2284" s="16" t="n">
        <v>3.976074171e-05</v>
      </c>
      <c r="O2284" s="11" t="n">
        <v>288.7514466</v>
      </c>
      <c r="P2284" s="13">
        <f>N2284*86400</f>
        <v/>
      </c>
      <c r="Q2284" s="14">
        <f>O2284-273.15</f>
        <v/>
      </c>
    </row>
    <row r="2285">
      <c r="A2285" s="9" t="n">
        <v>39172</v>
      </c>
      <c r="B2285" s="7">
        <f>YEAR(A2285)</f>
        <v/>
      </c>
      <c r="C2285" s="7">
        <f>MONTH(A2285)</f>
        <v/>
      </c>
      <c r="D2285" s="10" t="n">
        <v>0</v>
      </c>
      <c r="E2285" s="11" t="n">
        <v>11.73551362</v>
      </c>
      <c r="F2285" s="12" t="n">
        <v>0.00118756301</v>
      </c>
      <c r="G2285" s="11" t="n">
        <v>287.7261583</v>
      </c>
      <c r="H2285" s="13">
        <f>F2285*1000</f>
        <v/>
      </c>
      <c r="I2285" s="14">
        <f>G2285-273.15</f>
        <v/>
      </c>
      <c r="K2285" s="15" t="n">
        <v>2007</v>
      </c>
      <c r="L2285" s="15" t="n">
        <v>5</v>
      </c>
      <c r="M2285" s="15" t="n">
        <v>1</v>
      </c>
      <c r="N2285" s="16" t="n">
        <v>7.164300648e-05</v>
      </c>
      <c r="O2285" s="11" t="n">
        <v>288.8338944</v>
      </c>
      <c r="P2285" s="13">
        <f>N2285*86400</f>
        <v/>
      </c>
      <c r="Q2285" s="14">
        <f>O2285-273.15</f>
        <v/>
      </c>
    </row>
    <row r="2286">
      <c r="A2286" s="9" t="n">
        <v>39173</v>
      </c>
      <c r="B2286" s="7">
        <f>YEAR(A2286)</f>
        <v/>
      </c>
      <c r="C2286" s="7">
        <f>MONTH(A2286)</f>
        <v/>
      </c>
      <c r="D2286" s="10" t="n">
        <v>0</v>
      </c>
      <c r="E2286" s="11" t="n">
        <v>14.50160458</v>
      </c>
      <c r="F2286" s="12" t="n">
        <v>0</v>
      </c>
      <c r="G2286" s="11" t="n">
        <v>289.4457555</v>
      </c>
      <c r="H2286" s="13">
        <f>F2286*1000</f>
        <v/>
      </c>
      <c r="I2286" s="14">
        <f>G2286-273.15</f>
        <v/>
      </c>
      <c r="K2286" s="15" t="n">
        <v>2007</v>
      </c>
      <c r="L2286" s="15" t="n">
        <v>5</v>
      </c>
      <c r="M2286" s="15" t="n">
        <v>2</v>
      </c>
      <c r="N2286" s="16" t="n">
        <v>1.151223589e-05</v>
      </c>
      <c r="O2286" s="11" t="n">
        <v>291.4914681</v>
      </c>
      <c r="P2286" s="13">
        <f>N2286*86400</f>
        <v/>
      </c>
      <c r="Q2286" s="14">
        <f>O2286-273.15</f>
        <v/>
      </c>
    </row>
    <row r="2287">
      <c r="A2287" s="9" t="n">
        <v>39174</v>
      </c>
      <c r="B2287" s="7">
        <f>YEAR(A2287)</f>
        <v/>
      </c>
      <c r="C2287" s="7">
        <f>MONTH(A2287)</f>
        <v/>
      </c>
      <c r="D2287" s="10" t="n">
        <v>0</v>
      </c>
      <c r="E2287" s="11" t="n">
        <v>11.23943823</v>
      </c>
      <c r="F2287" s="12" t="n">
        <v>0</v>
      </c>
      <c r="G2287" s="11" t="n">
        <v>287.2118402</v>
      </c>
      <c r="H2287" s="13">
        <f>F2287*1000</f>
        <v/>
      </c>
      <c r="I2287" s="14">
        <f>G2287-273.15</f>
        <v/>
      </c>
      <c r="K2287" s="15" t="n">
        <v>2007</v>
      </c>
      <c r="L2287" s="15" t="n">
        <v>5</v>
      </c>
      <c r="M2287" s="15" t="n">
        <v>3</v>
      </c>
      <c r="N2287" s="16" t="n">
        <v>7.985051649e-05</v>
      </c>
      <c r="O2287" s="11" t="n">
        <v>291.3517071</v>
      </c>
      <c r="P2287" s="13">
        <f>N2287*86400</f>
        <v/>
      </c>
      <c r="Q2287" s="14">
        <f>O2287-273.15</f>
        <v/>
      </c>
    </row>
    <row r="2288">
      <c r="A2288" s="9" t="n">
        <v>39175</v>
      </c>
      <c r="B2288" s="7">
        <f>YEAR(A2288)</f>
        <v/>
      </c>
      <c r="C2288" s="7">
        <f>MONTH(A2288)</f>
        <v/>
      </c>
      <c r="D2288" s="10" t="n">
        <v>2.665645027</v>
      </c>
      <c r="E2288" s="11" t="n">
        <v>10.71271637</v>
      </c>
      <c r="F2288" s="12" t="n">
        <v>0.004637739334</v>
      </c>
      <c r="G2288" s="11" t="n">
        <v>287.2605173</v>
      </c>
      <c r="H2288" s="13">
        <f>F2288*1000</f>
        <v/>
      </c>
      <c r="I2288" s="14">
        <f>G2288-273.15</f>
        <v/>
      </c>
      <c r="K2288" s="15" t="n">
        <v>2007</v>
      </c>
      <c r="L2288" s="15" t="n">
        <v>5</v>
      </c>
      <c r="M2288" s="15" t="n">
        <v>4</v>
      </c>
      <c r="N2288" s="16" t="n">
        <v>7.369622733000001e-05</v>
      </c>
      <c r="O2288" s="11" t="n">
        <v>289.5909821</v>
      </c>
      <c r="P2288" s="13">
        <f>N2288*86400</f>
        <v/>
      </c>
      <c r="Q2288" s="14">
        <f>O2288-273.15</f>
        <v/>
      </c>
    </row>
    <row r="2289">
      <c r="A2289" s="9" t="n">
        <v>39176</v>
      </c>
      <c r="B2289" s="7">
        <f>YEAR(A2289)</f>
        <v/>
      </c>
      <c r="C2289" s="7">
        <f>MONTH(A2289)</f>
        <v/>
      </c>
      <c r="D2289" s="10" t="n">
        <v>0.1830755619</v>
      </c>
      <c r="E2289" s="11" t="n">
        <v>10.92056731</v>
      </c>
      <c r="F2289" s="12" t="n">
        <v>0.002983593265</v>
      </c>
      <c r="G2289" s="11" t="n">
        <v>287.1578202</v>
      </c>
      <c r="H2289" s="13">
        <f>F2289*1000</f>
        <v/>
      </c>
      <c r="I2289" s="14">
        <f>G2289-273.15</f>
        <v/>
      </c>
      <c r="K2289" s="15" t="n">
        <v>2007</v>
      </c>
      <c r="L2289" s="15" t="n">
        <v>5</v>
      </c>
      <c r="M2289" s="15" t="n">
        <v>5</v>
      </c>
      <c r="N2289" s="16" t="n">
        <v>8.892893454e-06</v>
      </c>
      <c r="O2289" s="11" t="n">
        <v>286.9297919</v>
      </c>
      <c r="P2289" s="13">
        <f>N2289*86400</f>
        <v/>
      </c>
      <c r="Q2289" s="14">
        <f>O2289-273.15</f>
        <v/>
      </c>
    </row>
    <row r="2290">
      <c r="A2290" s="9" t="n">
        <v>39177</v>
      </c>
      <c r="B2290" s="7">
        <f>YEAR(A2290)</f>
        <v/>
      </c>
      <c r="C2290" s="7">
        <f>MONTH(A2290)</f>
        <v/>
      </c>
      <c r="D2290" s="10" t="n">
        <v>0</v>
      </c>
      <c r="E2290" s="11" t="n">
        <v>10.67387585</v>
      </c>
      <c r="F2290" s="12" t="n">
        <v>0.0001083995674</v>
      </c>
      <c r="G2290" s="11" t="n">
        <v>287.0449577</v>
      </c>
      <c r="H2290" s="13">
        <f>F2290*1000</f>
        <v/>
      </c>
      <c r="I2290" s="14">
        <f>G2290-273.15</f>
        <v/>
      </c>
      <c r="K2290" s="15" t="n">
        <v>2007</v>
      </c>
      <c r="L2290" s="15" t="n">
        <v>5</v>
      </c>
      <c r="M2290" s="15" t="n">
        <v>6</v>
      </c>
      <c r="N2290" s="16" t="n">
        <v>8.210110291000001e-06</v>
      </c>
      <c r="O2290" s="11" t="n">
        <v>286.3376817</v>
      </c>
      <c r="P2290" s="13">
        <f>N2290*86400</f>
        <v/>
      </c>
      <c r="Q2290" s="14">
        <f>O2290-273.15</f>
        <v/>
      </c>
    </row>
    <row r="2291">
      <c r="A2291" s="9" t="n">
        <v>39178</v>
      </c>
      <c r="B2291" s="7">
        <f>YEAR(A2291)</f>
        <v/>
      </c>
      <c r="C2291" s="7">
        <f>MONTH(A2291)</f>
        <v/>
      </c>
      <c r="D2291" s="10" t="n">
        <v>0</v>
      </c>
      <c r="E2291" s="11" t="n">
        <v>11.43096577</v>
      </c>
      <c r="F2291" s="12" t="n">
        <v>0</v>
      </c>
      <c r="G2291" s="11" t="n">
        <v>286.9582524</v>
      </c>
      <c r="H2291" s="13">
        <f>F2291*1000</f>
        <v/>
      </c>
      <c r="I2291" s="14">
        <f>G2291-273.15</f>
        <v/>
      </c>
      <c r="K2291" s="15" t="n">
        <v>2007</v>
      </c>
      <c r="L2291" s="15" t="n">
        <v>5</v>
      </c>
      <c r="M2291" s="15" t="n">
        <v>7</v>
      </c>
      <c r="N2291" s="16" t="n">
        <v>8.2840166e-07</v>
      </c>
      <c r="O2291" s="11" t="n">
        <v>288.0148023</v>
      </c>
      <c r="P2291" s="13">
        <f>N2291*86400</f>
        <v/>
      </c>
      <c r="Q2291" s="14">
        <f>O2291-273.15</f>
        <v/>
      </c>
    </row>
    <row r="2292">
      <c r="A2292" s="9" t="n">
        <v>39179</v>
      </c>
      <c r="B2292" s="7">
        <f>YEAR(A2292)</f>
        <v/>
      </c>
      <c r="C2292" s="7">
        <f>MONTH(A2292)</f>
        <v/>
      </c>
      <c r="D2292" s="10" t="n">
        <v>0</v>
      </c>
      <c r="E2292" s="11" t="n">
        <v>13.72127769</v>
      </c>
      <c r="F2292" s="12" t="n">
        <v>6.511376512e-05</v>
      </c>
      <c r="G2292" s="11" t="n">
        <v>288.2943284</v>
      </c>
      <c r="H2292" s="13">
        <f>F2292*1000</f>
        <v/>
      </c>
      <c r="I2292" s="14">
        <f>G2292-273.15</f>
        <v/>
      </c>
      <c r="K2292" s="15" t="n">
        <v>2007</v>
      </c>
      <c r="L2292" s="15" t="n">
        <v>5</v>
      </c>
      <c r="M2292" s="15" t="n">
        <v>8</v>
      </c>
      <c r="N2292" s="16" t="n">
        <v>0</v>
      </c>
      <c r="O2292" s="11" t="n">
        <v>289.6302292</v>
      </c>
      <c r="P2292" s="13">
        <f>N2292*86400</f>
        <v/>
      </c>
      <c r="Q2292" s="14">
        <f>O2292-273.15</f>
        <v/>
      </c>
    </row>
    <row r="2293">
      <c r="A2293" s="9" t="n">
        <v>39180</v>
      </c>
      <c r="B2293" s="7">
        <f>YEAR(A2293)</f>
        <v/>
      </c>
      <c r="C2293" s="7">
        <f>MONTH(A2293)</f>
        <v/>
      </c>
      <c r="D2293" s="10" t="n">
        <v>0</v>
      </c>
      <c r="E2293" s="11" t="n">
        <v>14.04696512</v>
      </c>
      <c r="F2293" s="12" t="n">
        <v>0.001494864068</v>
      </c>
      <c r="G2293" s="11" t="n">
        <v>288.7066886</v>
      </c>
      <c r="H2293" s="13">
        <f>F2293*1000</f>
        <v/>
      </c>
      <c r="I2293" s="14">
        <f>G2293-273.15</f>
        <v/>
      </c>
      <c r="K2293" s="15" t="n">
        <v>2007</v>
      </c>
      <c r="L2293" s="15" t="n">
        <v>5</v>
      </c>
      <c r="M2293" s="15" t="n">
        <v>9</v>
      </c>
      <c r="N2293" s="16" t="n">
        <v>1.591279982e-05</v>
      </c>
      <c r="O2293" s="11" t="n">
        <v>289.3221701</v>
      </c>
      <c r="P2293" s="13">
        <f>N2293*86400</f>
        <v/>
      </c>
      <c r="Q2293" s="14">
        <f>O2293-273.15</f>
        <v/>
      </c>
    </row>
    <row r="2294">
      <c r="A2294" s="9" t="n">
        <v>39181</v>
      </c>
      <c r="B2294" s="7">
        <f>YEAR(A2294)</f>
        <v/>
      </c>
      <c r="C2294" s="7">
        <f>MONTH(A2294)</f>
        <v/>
      </c>
      <c r="D2294" s="10" t="n">
        <v>14.11911072</v>
      </c>
      <c r="E2294" s="11" t="n">
        <v>12.44915514</v>
      </c>
      <c r="F2294" s="12" t="n">
        <v>0.006340649776</v>
      </c>
      <c r="G2294" s="11" t="n">
        <v>287.9281566</v>
      </c>
      <c r="H2294" s="13">
        <f>F2294*1000</f>
        <v/>
      </c>
      <c r="I2294" s="14">
        <f>G2294-273.15</f>
        <v/>
      </c>
      <c r="K2294" s="15" t="n">
        <v>2007</v>
      </c>
      <c r="L2294" s="15" t="n">
        <v>5</v>
      </c>
      <c r="M2294" s="15" t="n">
        <v>10</v>
      </c>
      <c r="N2294" s="16" t="n">
        <v>0</v>
      </c>
      <c r="O2294" s="11" t="n">
        <v>288.4036481</v>
      </c>
      <c r="P2294" s="13">
        <f>N2294*86400</f>
        <v/>
      </c>
      <c r="Q2294" s="14">
        <f>O2294-273.15</f>
        <v/>
      </c>
    </row>
    <row r="2295">
      <c r="A2295" s="9" t="n">
        <v>39182</v>
      </c>
      <c r="B2295" s="7">
        <f>YEAR(A2295)</f>
        <v/>
      </c>
      <c r="C2295" s="7">
        <f>MONTH(A2295)</f>
        <v/>
      </c>
      <c r="D2295" s="10" t="n">
        <v>1.642871431</v>
      </c>
      <c r="E2295" s="11" t="n">
        <v>14.01043939</v>
      </c>
      <c r="F2295" s="12" t="n">
        <v>0.008457931385000001</v>
      </c>
      <c r="G2295" s="11" t="n">
        <v>287.5375647</v>
      </c>
      <c r="H2295" s="13">
        <f>F2295*1000</f>
        <v/>
      </c>
      <c r="I2295" s="14">
        <f>G2295-273.15</f>
        <v/>
      </c>
      <c r="K2295" s="15" t="n">
        <v>2007</v>
      </c>
      <c r="L2295" s="15" t="n">
        <v>5</v>
      </c>
      <c r="M2295" s="15" t="n">
        <v>11</v>
      </c>
      <c r="N2295" s="16" t="n">
        <v>4.485115311e-05</v>
      </c>
      <c r="O2295" s="11" t="n">
        <v>286.7737085</v>
      </c>
      <c r="P2295" s="13">
        <f>N2295*86400</f>
        <v/>
      </c>
      <c r="Q2295" s="14">
        <f>O2295-273.15</f>
        <v/>
      </c>
    </row>
    <row r="2296">
      <c r="A2296" s="9" t="n">
        <v>39183</v>
      </c>
      <c r="B2296" s="7">
        <f>YEAR(A2296)</f>
        <v/>
      </c>
      <c r="C2296" s="7">
        <f>MONTH(A2296)</f>
        <v/>
      </c>
      <c r="D2296" s="10" t="n">
        <v>0</v>
      </c>
      <c r="E2296" s="11" t="n">
        <v>12.69687404</v>
      </c>
      <c r="F2296" s="12" t="n">
        <v>0.0004271846823</v>
      </c>
      <c r="G2296" s="11" t="n">
        <v>287.4766252</v>
      </c>
      <c r="H2296" s="13">
        <f>F2296*1000</f>
        <v/>
      </c>
      <c r="I2296" s="14">
        <f>G2296-273.15</f>
        <v/>
      </c>
      <c r="K2296" s="15" t="n">
        <v>2007</v>
      </c>
      <c r="L2296" s="15" t="n">
        <v>5</v>
      </c>
      <c r="M2296" s="15" t="n">
        <v>12</v>
      </c>
      <c r="N2296" s="16" t="n">
        <v>1.504768168e-05</v>
      </c>
      <c r="O2296" s="11" t="n">
        <v>288.1078203</v>
      </c>
      <c r="P2296" s="13">
        <f>N2296*86400</f>
        <v/>
      </c>
      <c r="Q2296" s="14">
        <f>O2296-273.15</f>
        <v/>
      </c>
    </row>
    <row r="2297">
      <c r="A2297" s="9" t="n">
        <v>39184</v>
      </c>
      <c r="B2297" s="7">
        <f>YEAR(A2297)</f>
        <v/>
      </c>
      <c r="C2297" s="7">
        <f>MONTH(A2297)</f>
        <v/>
      </c>
      <c r="D2297" s="10" t="n">
        <v>0</v>
      </c>
      <c r="E2297" s="11" t="n">
        <v>12.81728511</v>
      </c>
      <c r="F2297" s="12" t="n">
        <v>7.039313106e-05</v>
      </c>
      <c r="G2297" s="11" t="n">
        <v>287.7355497</v>
      </c>
      <c r="H2297" s="13">
        <f>F2297*1000</f>
        <v/>
      </c>
      <c r="I2297" s="14">
        <f>G2297-273.15</f>
        <v/>
      </c>
      <c r="K2297" s="15" t="n">
        <v>2007</v>
      </c>
      <c r="L2297" s="15" t="n">
        <v>5</v>
      </c>
      <c r="M2297" s="15" t="n">
        <v>13</v>
      </c>
      <c r="N2297" s="16" t="n">
        <v>1.236839291e-05</v>
      </c>
      <c r="O2297" s="11" t="n">
        <v>289.9628897</v>
      </c>
      <c r="P2297" s="13">
        <f>N2297*86400</f>
        <v/>
      </c>
      <c r="Q2297" s="14">
        <f>O2297-273.15</f>
        <v/>
      </c>
    </row>
    <row r="2298">
      <c r="A2298" s="9" t="n">
        <v>39185</v>
      </c>
      <c r="B2298" s="7">
        <f>YEAR(A2298)</f>
        <v/>
      </c>
      <c r="C2298" s="7">
        <f>MONTH(A2298)</f>
        <v/>
      </c>
      <c r="D2298" s="10" t="n">
        <v>0.824703183</v>
      </c>
      <c r="E2298" s="11" t="n">
        <v>11.88239005</v>
      </c>
      <c r="F2298" s="12" t="n">
        <v>7.779951339999999e-05</v>
      </c>
      <c r="G2298" s="11" t="n">
        <v>286.8366193</v>
      </c>
      <c r="H2298" s="13">
        <f>F2298*1000</f>
        <v/>
      </c>
      <c r="I2298" s="14">
        <f>G2298-273.15</f>
        <v/>
      </c>
      <c r="K2298" s="15" t="n">
        <v>2007</v>
      </c>
      <c r="L2298" s="15" t="n">
        <v>5</v>
      </c>
      <c r="M2298" s="15" t="n">
        <v>14</v>
      </c>
      <c r="N2298" s="16" t="n">
        <v>2.801533986e-05</v>
      </c>
      <c r="O2298" s="11" t="n">
        <v>287.2628547</v>
      </c>
      <c r="P2298" s="13">
        <f>N2298*86400</f>
        <v/>
      </c>
      <c r="Q2298" s="14">
        <f>O2298-273.15</f>
        <v/>
      </c>
    </row>
    <row r="2299">
      <c r="A2299" s="9" t="n">
        <v>39186</v>
      </c>
      <c r="B2299" s="7">
        <f>YEAR(A2299)</f>
        <v/>
      </c>
      <c r="C2299" s="7">
        <f>MONTH(A2299)</f>
        <v/>
      </c>
      <c r="D2299" s="10" t="n">
        <v>0</v>
      </c>
      <c r="E2299" s="11" t="n">
        <v>12.17716936</v>
      </c>
      <c r="F2299" s="12" t="n">
        <v>0</v>
      </c>
      <c r="G2299" s="11" t="n">
        <v>287.4564777</v>
      </c>
      <c r="H2299" s="13">
        <f>F2299*1000</f>
        <v/>
      </c>
      <c r="I2299" s="14">
        <f>G2299-273.15</f>
        <v/>
      </c>
      <c r="K2299" s="15" t="n">
        <v>2007</v>
      </c>
      <c r="L2299" s="15" t="n">
        <v>5</v>
      </c>
      <c r="M2299" s="15" t="n">
        <v>15</v>
      </c>
      <c r="N2299" s="16" t="n">
        <v>3.581186767e-05</v>
      </c>
      <c r="O2299" s="11" t="n">
        <v>288.6198238</v>
      </c>
      <c r="P2299" s="13">
        <f>N2299*86400</f>
        <v/>
      </c>
      <c r="Q2299" s="14">
        <f>O2299-273.15</f>
        <v/>
      </c>
    </row>
    <row r="2300">
      <c r="A2300" s="9" t="n">
        <v>39187</v>
      </c>
      <c r="B2300" s="7">
        <f>YEAR(A2300)</f>
        <v/>
      </c>
      <c r="C2300" s="7">
        <f>MONTH(A2300)</f>
        <v/>
      </c>
      <c r="D2300" s="10" t="n">
        <v>0</v>
      </c>
      <c r="E2300" s="11" t="n">
        <v>14.76188996</v>
      </c>
      <c r="F2300" s="12" t="n">
        <v>0</v>
      </c>
      <c r="G2300" s="11" t="n">
        <v>290.0028812</v>
      </c>
      <c r="H2300" s="13">
        <f>F2300*1000</f>
        <v/>
      </c>
      <c r="I2300" s="14">
        <f>G2300-273.15</f>
        <v/>
      </c>
      <c r="K2300" s="15" t="n">
        <v>2007</v>
      </c>
      <c r="L2300" s="15" t="n">
        <v>5</v>
      </c>
      <c r="M2300" s="15" t="n">
        <v>16</v>
      </c>
      <c r="N2300" s="16" t="n">
        <v>0</v>
      </c>
      <c r="O2300" s="11" t="n">
        <v>289.6007748</v>
      </c>
      <c r="P2300" s="13">
        <f>N2300*86400</f>
        <v/>
      </c>
      <c r="Q2300" s="14">
        <f>O2300-273.15</f>
        <v/>
      </c>
    </row>
    <row r="2301">
      <c r="A2301" s="9" t="n">
        <v>39188</v>
      </c>
      <c r="B2301" s="7">
        <f>YEAR(A2301)</f>
        <v/>
      </c>
      <c r="C2301" s="7">
        <f>MONTH(A2301)</f>
        <v/>
      </c>
      <c r="D2301" s="10" t="n">
        <v>0</v>
      </c>
      <c r="E2301" s="11" t="n">
        <v>16.28169143</v>
      </c>
      <c r="F2301" s="12" t="n">
        <v>0</v>
      </c>
      <c r="G2301" s="11" t="n">
        <v>290.7630489</v>
      </c>
      <c r="H2301" s="13">
        <f>F2301*1000</f>
        <v/>
      </c>
      <c r="I2301" s="14">
        <f>G2301-273.15</f>
        <v/>
      </c>
      <c r="K2301" s="15" t="n">
        <v>2007</v>
      </c>
      <c r="L2301" s="15" t="n">
        <v>5</v>
      </c>
      <c r="M2301" s="15" t="n">
        <v>17</v>
      </c>
      <c r="N2301" s="16" t="n">
        <v>0</v>
      </c>
      <c r="O2301" s="11" t="n">
        <v>290.2160408</v>
      </c>
      <c r="P2301" s="13">
        <f>N2301*86400</f>
        <v/>
      </c>
      <c r="Q2301" s="14">
        <f>O2301-273.15</f>
        <v/>
      </c>
    </row>
    <row r="2302">
      <c r="A2302" s="9" t="n">
        <v>39189</v>
      </c>
      <c r="B2302" s="7">
        <f>YEAR(A2302)</f>
        <v/>
      </c>
      <c r="C2302" s="7">
        <f>MONTH(A2302)</f>
        <v/>
      </c>
      <c r="D2302" s="10" t="n">
        <v>0</v>
      </c>
      <c r="E2302" s="11" t="n">
        <v>15.50356087</v>
      </c>
      <c r="F2302" s="12" t="n">
        <v>0</v>
      </c>
      <c r="G2302" s="11" t="n">
        <v>290.5859528</v>
      </c>
      <c r="H2302" s="13">
        <f>F2302*1000</f>
        <v/>
      </c>
      <c r="I2302" s="14">
        <f>G2302-273.15</f>
        <v/>
      </c>
      <c r="K2302" s="15" t="n">
        <v>2007</v>
      </c>
      <c r="L2302" s="15" t="n">
        <v>5</v>
      </c>
      <c r="M2302" s="15" t="n">
        <v>18</v>
      </c>
      <c r="N2302" s="16" t="n">
        <v>0</v>
      </c>
      <c r="O2302" s="11" t="n">
        <v>290.0994055</v>
      </c>
      <c r="P2302" s="13">
        <f>N2302*86400</f>
        <v/>
      </c>
      <c r="Q2302" s="14">
        <f>O2302-273.15</f>
        <v/>
      </c>
    </row>
    <row r="2303">
      <c r="A2303" s="9" t="n">
        <v>39190</v>
      </c>
      <c r="B2303" s="7">
        <f>YEAR(A2303)</f>
        <v/>
      </c>
      <c r="C2303" s="7">
        <f>MONTH(A2303)</f>
        <v/>
      </c>
      <c r="D2303" s="10" t="n">
        <v>0</v>
      </c>
      <c r="E2303" s="11" t="n">
        <v>17.85042207</v>
      </c>
      <c r="F2303" s="12" t="n">
        <v>0</v>
      </c>
      <c r="G2303" s="11" t="n">
        <v>292.1207032</v>
      </c>
      <c r="H2303" s="13">
        <f>F2303*1000</f>
        <v/>
      </c>
      <c r="I2303" s="14">
        <f>G2303-273.15</f>
        <v/>
      </c>
      <c r="K2303" s="15" t="n">
        <v>2007</v>
      </c>
      <c r="L2303" s="15" t="n">
        <v>5</v>
      </c>
      <c r="M2303" s="15" t="n">
        <v>19</v>
      </c>
      <c r="N2303" s="16" t="n">
        <v>0</v>
      </c>
      <c r="O2303" s="11" t="n">
        <v>292.156559</v>
      </c>
      <c r="P2303" s="13">
        <f>N2303*86400</f>
        <v/>
      </c>
      <c r="Q2303" s="14">
        <f>O2303-273.15</f>
        <v/>
      </c>
    </row>
    <row r="2304">
      <c r="A2304" s="9" t="n">
        <v>39191</v>
      </c>
      <c r="B2304" s="7">
        <f>YEAR(A2304)</f>
        <v/>
      </c>
      <c r="C2304" s="7">
        <f>MONTH(A2304)</f>
        <v/>
      </c>
      <c r="D2304" s="10" t="n">
        <v>0</v>
      </c>
      <c r="E2304" s="11" t="n">
        <v>18.99989063</v>
      </c>
      <c r="F2304" s="12" t="n">
        <v>0</v>
      </c>
      <c r="G2304" s="11" t="n">
        <v>293.8845878</v>
      </c>
      <c r="H2304" s="13">
        <f>F2304*1000</f>
        <v/>
      </c>
      <c r="I2304" s="14">
        <f>G2304-273.15</f>
        <v/>
      </c>
      <c r="K2304" s="15" t="n">
        <v>2007</v>
      </c>
      <c r="L2304" s="15" t="n">
        <v>5</v>
      </c>
      <c r="M2304" s="15" t="n">
        <v>20</v>
      </c>
      <c r="N2304" s="16" t="n">
        <v>0</v>
      </c>
      <c r="O2304" s="11" t="n">
        <v>292.4094764</v>
      </c>
      <c r="P2304" s="13">
        <f>N2304*86400</f>
        <v/>
      </c>
      <c r="Q2304" s="14">
        <f>O2304-273.15</f>
        <v/>
      </c>
    </row>
    <row r="2305">
      <c r="A2305" s="9" t="n">
        <v>39192</v>
      </c>
      <c r="B2305" s="7">
        <f>YEAR(A2305)</f>
        <v/>
      </c>
      <c r="C2305" s="7">
        <f>MONTH(A2305)</f>
        <v/>
      </c>
      <c r="D2305" s="10" t="n">
        <v>0</v>
      </c>
      <c r="E2305" s="11" t="n">
        <v>15.73715849</v>
      </c>
      <c r="F2305" s="12" t="n">
        <v>0.0002719723783</v>
      </c>
      <c r="G2305" s="11" t="n">
        <v>290.1123292</v>
      </c>
      <c r="H2305" s="13">
        <f>F2305*1000</f>
        <v/>
      </c>
      <c r="I2305" s="14">
        <f>G2305-273.15</f>
        <v/>
      </c>
      <c r="K2305" s="15" t="n">
        <v>2007</v>
      </c>
      <c r="L2305" s="15" t="n">
        <v>5</v>
      </c>
      <c r="M2305" s="15" t="n">
        <v>21</v>
      </c>
      <c r="N2305" s="16" t="n">
        <v>0</v>
      </c>
      <c r="O2305" s="11" t="n">
        <v>290.5833797</v>
      </c>
      <c r="P2305" s="13">
        <f>N2305*86400</f>
        <v/>
      </c>
      <c r="Q2305" s="14">
        <f>O2305-273.15</f>
        <v/>
      </c>
    </row>
    <row r="2306">
      <c r="A2306" s="9" t="n">
        <v>39193</v>
      </c>
      <c r="B2306" s="7">
        <f>YEAR(A2306)</f>
        <v/>
      </c>
      <c r="C2306" s="7">
        <f>MONTH(A2306)</f>
        <v/>
      </c>
      <c r="D2306" s="10" t="n">
        <v>0</v>
      </c>
      <c r="E2306" s="11" t="n">
        <v>13.56532061</v>
      </c>
      <c r="F2306" s="12" t="n">
        <v>0.0004076469285</v>
      </c>
      <c r="G2306" s="11" t="n">
        <v>289.1089547</v>
      </c>
      <c r="H2306" s="13">
        <f>F2306*1000</f>
        <v/>
      </c>
      <c r="I2306" s="14">
        <f>G2306-273.15</f>
        <v/>
      </c>
      <c r="K2306" s="15" t="n">
        <v>2007</v>
      </c>
      <c r="L2306" s="15" t="n">
        <v>5</v>
      </c>
      <c r="M2306" s="15" t="n">
        <v>22</v>
      </c>
      <c r="N2306" s="16" t="n">
        <v>1.194170697e-05</v>
      </c>
      <c r="O2306" s="11" t="n">
        <v>293.1854705</v>
      </c>
      <c r="P2306" s="13">
        <f>N2306*86400</f>
        <v/>
      </c>
      <c r="Q2306" s="14">
        <f>O2306-273.15</f>
        <v/>
      </c>
    </row>
    <row r="2307">
      <c r="A2307" s="9" t="n">
        <v>39194</v>
      </c>
      <c r="B2307" s="7">
        <f>YEAR(A2307)</f>
        <v/>
      </c>
      <c r="C2307" s="7">
        <f>MONTH(A2307)</f>
        <v/>
      </c>
      <c r="D2307" s="10" t="n">
        <v>0</v>
      </c>
      <c r="E2307" s="11" t="n">
        <v>12.73405625</v>
      </c>
      <c r="F2307" s="12" t="n">
        <v>0.002405354917</v>
      </c>
      <c r="G2307" s="11" t="n">
        <v>289.1464619</v>
      </c>
      <c r="H2307" s="13">
        <f>F2307*1000</f>
        <v/>
      </c>
      <c r="I2307" s="14">
        <f>G2307-273.15</f>
        <v/>
      </c>
      <c r="K2307" s="15" t="n">
        <v>2007</v>
      </c>
      <c r="L2307" s="15" t="n">
        <v>5</v>
      </c>
      <c r="M2307" s="15" t="n">
        <v>23</v>
      </c>
      <c r="N2307" s="16" t="n">
        <v>1.437087286e-05</v>
      </c>
      <c r="O2307" s="11" t="n">
        <v>294.008996</v>
      </c>
      <c r="P2307" s="13">
        <f>N2307*86400</f>
        <v/>
      </c>
      <c r="Q2307" s="14">
        <f>O2307-273.15</f>
        <v/>
      </c>
    </row>
    <row r="2308">
      <c r="A2308" s="9" t="n">
        <v>39195</v>
      </c>
      <c r="B2308" s="7">
        <f>YEAR(A2308)</f>
        <v/>
      </c>
      <c r="C2308" s="7">
        <f>MONTH(A2308)</f>
        <v/>
      </c>
      <c r="D2308" s="10" t="n">
        <v>0</v>
      </c>
      <c r="E2308" s="11" t="n">
        <v>13.25034279</v>
      </c>
      <c r="F2308" s="12" t="n">
        <v>5.909338182e-06</v>
      </c>
      <c r="G2308" s="11" t="n">
        <v>289.5163414</v>
      </c>
      <c r="H2308" s="13">
        <f>F2308*1000</f>
        <v/>
      </c>
      <c r="I2308" s="14">
        <f>G2308-273.15</f>
        <v/>
      </c>
      <c r="K2308" s="15" t="n">
        <v>2007</v>
      </c>
      <c r="L2308" s="15" t="n">
        <v>5</v>
      </c>
      <c r="M2308" s="15" t="n">
        <v>24</v>
      </c>
      <c r="N2308" s="16" t="n">
        <v>1.959788215e-05</v>
      </c>
      <c r="O2308" s="11" t="n">
        <v>293.7201029</v>
      </c>
      <c r="P2308" s="13">
        <f>N2308*86400</f>
        <v/>
      </c>
      <c r="Q2308" s="14">
        <f>O2308-273.15</f>
        <v/>
      </c>
    </row>
    <row r="2309">
      <c r="A2309" s="9" t="n">
        <v>39196</v>
      </c>
      <c r="B2309" s="7">
        <f>YEAR(A2309)</f>
        <v/>
      </c>
      <c r="C2309" s="7">
        <f>MONTH(A2309)</f>
        <v/>
      </c>
      <c r="D2309" s="10" t="n">
        <v>0</v>
      </c>
      <c r="E2309" s="11" t="n">
        <v>13.71745015</v>
      </c>
      <c r="F2309" s="12" t="n">
        <v>0.0007047579816</v>
      </c>
      <c r="G2309" s="11" t="n">
        <v>289.0902956</v>
      </c>
      <c r="H2309" s="13">
        <f>F2309*1000</f>
        <v/>
      </c>
      <c r="I2309" s="14">
        <f>G2309-273.15</f>
        <v/>
      </c>
      <c r="K2309" s="15" t="n">
        <v>2007</v>
      </c>
      <c r="L2309" s="15" t="n">
        <v>5</v>
      </c>
      <c r="M2309" s="15" t="n">
        <v>25</v>
      </c>
      <c r="N2309" s="16" t="n">
        <v>2.572435657e-05</v>
      </c>
      <c r="O2309" s="11" t="n">
        <v>294.0148183</v>
      </c>
      <c r="P2309" s="13">
        <f>N2309*86400</f>
        <v/>
      </c>
      <c r="Q2309" s="14">
        <f>O2309-273.15</f>
        <v/>
      </c>
    </row>
    <row r="2310">
      <c r="A2310" s="9" t="n">
        <v>39197</v>
      </c>
      <c r="B2310" s="7">
        <f>YEAR(A2310)</f>
        <v/>
      </c>
      <c r="C2310" s="7">
        <f>MONTH(A2310)</f>
        <v/>
      </c>
      <c r="D2310" s="10" t="n">
        <v>0</v>
      </c>
      <c r="E2310" s="11" t="n">
        <v>16.37262615</v>
      </c>
      <c r="F2310" s="12" t="n">
        <v>0.0004977702537000001</v>
      </c>
      <c r="G2310" s="11" t="n">
        <v>291.9024237</v>
      </c>
      <c r="H2310" s="13">
        <f>F2310*1000</f>
        <v/>
      </c>
      <c r="I2310" s="14">
        <f>G2310-273.15</f>
        <v/>
      </c>
      <c r="K2310" s="15" t="n">
        <v>2007</v>
      </c>
      <c r="L2310" s="15" t="n">
        <v>5</v>
      </c>
      <c r="M2310" s="15" t="n">
        <v>26</v>
      </c>
      <c r="N2310" s="16" t="n">
        <v>6.474201622e-05</v>
      </c>
      <c r="O2310" s="11" t="n">
        <v>293.7328561</v>
      </c>
      <c r="P2310" s="13">
        <f>N2310*86400</f>
        <v/>
      </c>
      <c r="Q2310" s="14">
        <f>O2310-273.15</f>
        <v/>
      </c>
    </row>
    <row r="2311">
      <c r="A2311" s="9" t="n">
        <v>39198</v>
      </c>
      <c r="B2311" s="7">
        <f>YEAR(A2311)</f>
        <v/>
      </c>
      <c r="C2311" s="7">
        <f>MONTH(A2311)</f>
        <v/>
      </c>
      <c r="D2311" s="10" t="n">
        <v>0</v>
      </c>
      <c r="E2311" s="11" t="n">
        <v>15.44319448</v>
      </c>
      <c r="F2311" s="12" t="n">
        <v>0.001254298573</v>
      </c>
      <c r="G2311" s="11" t="n">
        <v>290.6092456</v>
      </c>
      <c r="H2311" s="13">
        <f>F2311*1000</f>
        <v/>
      </c>
      <c r="I2311" s="14">
        <f>G2311-273.15</f>
        <v/>
      </c>
      <c r="K2311" s="15" t="n">
        <v>2007</v>
      </c>
      <c r="L2311" s="15" t="n">
        <v>5</v>
      </c>
      <c r="M2311" s="15" t="n">
        <v>27</v>
      </c>
      <c r="N2311" s="16" t="n">
        <v>1.420197441e-06</v>
      </c>
      <c r="O2311" s="11" t="n">
        <v>290.160299</v>
      </c>
      <c r="P2311" s="13">
        <f>N2311*86400</f>
        <v/>
      </c>
      <c r="Q2311" s="14">
        <f>O2311-273.15</f>
        <v/>
      </c>
    </row>
    <row r="2312">
      <c r="A2312" s="9" t="n">
        <v>39199</v>
      </c>
      <c r="B2312" s="7">
        <f>YEAR(A2312)</f>
        <v/>
      </c>
      <c r="C2312" s="7">
        <f>MONTH(A2312)</f>
        <v/>
      </c>
      <c r="D2312" s="10" t="n">
        <v>0</v>
      </c>
      <c r="E2312" s="11" t="n">
        <v>15.15847969</v>
      </c>
      <c r="F2312" s="12" t="n">
        <v>6.338361638999999e-05</v>
      </c>
      <c r="G2312" s="11" t="n">
        <v>290.26549</v>
      </c>
      <c r="H2312" s="13">
        <f>F2312*1000</f>
        <v/>
      </c>
      <c r="I2312" s="14">
        <f>G2312-273.15</f>
        <v/>
      </c>
      <c r="K2312" s="15" t="n">
        <v>2007</v>
      </c>
      <c r="L2312" s="15" t="n">
        <v>5</v>
      </c>
      <c r="M2312" s="15" t="n">
        <v>28</v>
      </c>
      <c r="N2312" s="16" t="n">
        <v>0</v>
      </c>
      <c r="O2312" s="11" t="n">
        <v>292.3481664</v>
      </c>
      <c r="P2312" s="13">
        <f>N2312*86400</f>
        <v/>
      </c>
      <c r="Q2312" s="14">
        <f>O2312-273.15</f>
        <v/>
      </c>
    </row>
    <row r="2313">
      <c r="A2313" s="9" t="n">
        <v>39200</v>
      </c>
      <c r="B2313" s="7">
        <f>YEAR(A2313)</f>
        <v/>
      </c>
      <c r="C2313" s="7">
        <f>MONTH(A2313)</f>
        <v/>
      </c>
      <c r="D2313" s="10" t="n">
        <v>0</v>
      </c>
      <c r="E2313" s="11" t="n">
        <v>15.1669421</v>
      </c>
      <c r="F2313" s="12" t="n">
        <v>0.002969461864</v>
      </c>
      <c r="G2313" s="11" t="n">
        <v>290.0552332</v>
      </c>
      <c r="H2313" s="13">
        <f>F2313*1000</f>
        <v/>
      </c>
      <c r="I2313" s="14">
        <f>G2313-273.15</f>
        <v/>
      </c>
      <c r="K2313" s="15" t="n">
        <v>2007</v>
      </c>
      <c r="L2313" s="15" t="n">
        <v>5</v>
      </c>
      <c r="M2313" s="15" t="n">
        <v>29</v>
      </c>
      <c r="N2313" s="16" t="n">
        <v>4.239531933e-05</v>
      </c>
      <c r="O2313" s="11" t="n">
        <v>289.9822429</v>
      </c>
      <c r="P2313" s="13">
        <f>N2313*86400</f>
        <v/>
      </c>
      <c r="Q2313" s="14">
        <f>O2313-273.15</f>
        <v/>
      </c>
    </row>
    <row r="2314">
      <c r="A2314" s="9" t="n">
        <v>39201</v>
      </c>
      <c r="B2314" s="7">
        <f>YEAR(A2314)</f>
        <v/>
      </c>
      <c r="C2314" s="7">
        <f>MONTH(A2314)</f>
        <v/>
      </c>
      <c r="D2314" s="10" t="n">
        <v>0</v>
      </c>
      <c r="E2314" s="11" t="n">
        <v>17.45861732</v>
      </c>
      <c r="F2314" s="12" t="n">
        <v>0.002725503288</v>
      </c>
      <c r="G2314" s="11" t="n">
        <v>292.6517709</v>
      </c>
      <c r="H2314" s="13">
        <f>F2314*1000</f>
        <v/>
      </c>
      <c r="I2314" s="14">
        <f>G2314-273.15</f>
        <v/>
      </c>
      <c r="K2314" s="15" t="n">
        <v>2007</v>
      </c>
      <c r="L2314" s="15" t="n">
        <v>5</v>
      </c>
      <c r="M2314" s="15" t="n">
        <v>30</v>
      </c>
      <c r="N2314" s="16" t="n">
        <v>5.979348564e-05</v>
      </c>
      <c r="O2314" s="11" t="n">
        <v>289.6942483</v>
      </c>
      <c r="P2314" s="13">
        <f>N2314*86400</f>
        <v/>
      </c>
      <c r="Q2314" s="14">
        <f>O2314-273.15</f>
        <v/>
      </c>
    </row>
    <row r="2315">
      <c r="A2315" s="9" t="n">
        <v>39202</v>
      </c>
      <c r="B2315" s="7">
        <f>YEAR(A2315)</f>
        <v/>
      </c>
      <c r="C2315" s="7">
        <f>MONTH(A2315)</f>
        <v/>
      </c>
      <c r="D2315" s="10" t="n">
        <v>0</v>
      </c>
      <c r="E2315" s="11" t="n">
        <v>16.99119986</v>
      </c>
      <c r="F2315" s="12" t="n">
        <v>0.0008179206339</v>
      </c>
      <c r="G2315" s="11" t="n">
        <v>292.1956011</v>
      </c>
      <c r="H2315" s="13">
        <f>F2315*1000</f>
        <v/>
      </c>
      <c r="I2315" s="14">
        <f>G2315-273.15</f>
        <v/>
      </c>
      <c r="K2315" s="15" t="n">
        <v>2007</v>
      </c>
      <c r="L2315" s="15" t="n">
        <v>6</v>
      </c>
      <c r="M2315" s="15" t="n">
        <v>1</v>
      </c>
      <c r="N2315" s="16" t="n">
        <v>2.458361229e-05</v>
      </c>
      <c r="O2315" s="11" t="n">
        <v>291.1551715</v>
      </c>
      <c r="P2315" s="13">
        <f>N2315*86400</f>
        <v/>
      </c>
      <c r="Q2315" s="14">
        <f>O2315-273.15</f>
        <v/>
      </c>
    </row>
    <row r="2316">
      <c r="A2316" s="9" t="n">
        <v>39203</v>
      </c>
      <c r="B2316" s="7">
        <f>YEAR(A2316)</f>
        <v/>
      </c>
      <c r="C2316" s="7">
        <f>MONTH(A2316)</f>
        <v/>
      </c>
      <c r="D2316" s="10" t="n">
        <v>0</v>
      </c>
      <c r="E2316" s="11" t="n">
        <v>15.85922156</v>
      </c>
      <c r="F2316" s="12" t="n">
        <v>0</v>
      </c>
      <c r="G2316" s="11" t="n">
        <v>290.7847879</v>
      </c>
      <c r="H2316" s="13">
        <f>F2316*1000</f>
        <v/>
      </c>
      <c r="I2316" s="14">
        <f>G2316-273.15</f>
        <v/>
      </c>
      <c r="K2316" s="15" t="n">
        <v>2007</v>
      </c>
      <c r="L2316" s="15" t="n">
        <v>6</v>
      </c>
      <c r="M2316" s="15" t="n">
        <v>2</v>
      </c>
      <c r="N2316" s="16" t="n">
        <v>7.776553136e-05</v>
      </c>
      <c r="O2316" s="11" t="n">
        <v>293.2722974</v>
      </c>
      <c r="P2316" s="13">
        <f>N2316*86400</f>
        <v/>
      </c>
      <c r="Q2316" s="14">
        <f>O2316-273.15</f>
        <v/>
      </c>
    </row>
    <row r="2317">
      <c r="A2317" s="9" t="n">
        <v>39204</v>
      </c>
      <c r="B2317" s="7">
        <f>YEAR(A2317)</f>
        <v/>
      </c>
      <c r="C2317" s="7">
        <f>MONTH(A2317)</f>
        <v/>
      </c>
      <c r="D2317" s="10" t="n">
        <v>0</v>
      </c>
      <c r="E2317" s="11" t="n">
        <v>15.8273621</v>
      </c>
      <c r="F2317" s="12" t="n">
        <v>0</v>
      </c>
      <c r="G2317" s="11" t="n">
        <v>290.8243394</v>
      </c>
      <c r="H2317" s="13">
        <f>F2317*1000</f>
        <v/>
      </c>
      <c r="I2317" s="14">
        <f>G2317-273.15</f>
        <v/>
      </c>
      <c r="K2317" s="15" t="n">
        <v>2007</v>
      </c>
      <c r="L2317" s="15" t="n">
        <v>6</v>
      </c>
      <c r="M2317" s="15" t="n">
        <v>3</v>
      </c>
      <c r="N2317" s="16" t="n">
        <v>3.28847738e-05</v>
      </c>
      <c r="O2317" s="11" t="n">
        <v>293.0755078</v>
      </c>
      <c r="P2317" s="13">
        <f>N2317*86400</f>
        <v/>
      </c>
      <c r="Q2317" s="14">
        <f>O2317-273.15</f>
        <v/>
      </c>
    </row>
    <row r="2318">
      <c r="A2318" s="9" t="n">
        <v>39205</v>
      </c>
      <c r="B2318" s="7">
        <f>YEAR(A2318)</f>
        <v/>
      </c>
      <c r="C2318" s="7">
        <f>MONTH(A2318)</f>
        <v/>
      </c>
      <c r="D2318" s="10" t="n">
        <v>0</v>
      </c>
      <c r="E2318" s="11" t="n">
        <v>16.62545642</v>
      </c>
      <c r="F2318" s="12" t="n">
        <v>0</v>
      </c>
      <c r="G2318" s="11" t="n">
        <v>291.8501391</v>
      </c>
      <c r="H2318" s="13">
        <f>F2318*1000</f>
        <v/>
      </c>
      <c r="I2318" s="14">
        <f>G2318-273.15</f>
        <v/>
      </c>
      <c r="K2318" s="15" t="n">
        <v>2007</v>
      </c>
      <c r="L2318" s="15" t="n">
        <v>6</v>
      </c>
      <c r="M2318" s="15" t="n">
        <v>4</v>
      </c>
      <c r="N2318" s="16" t="n">
        <v>4.218099784e-05</v>
      </c>
      <c r="O2318" s="11" t="n">
        <v>290.2368321</v>
      </c>
      <c r="P2318" s="13">
        <f>N2318*86400</f>
        <v/>
      </c>
      <c r="Q2318" s="14">
        <f>O2318-273.15</f>
        <v/>
      </c>
    </row>
    <row r="2319">
      <c r="A2319" s="9" t="n">
        <v>39206</v>
      </c>
      <c r="B2319" s="7">
        <f>YEAR(A2319)</f>
        <v/>
      </c>
      <c r="C2319" s="7">
        <f>MONTH(A2319)</f>
        <v/>
      </c>
      <c r="D2319" s="10" t="n">
        <v>0</v>
      </c>
      <c r="E2319" s="11" t="n">
        <v>16.61054146</v>
      </c>
      <c r="F2319" s="12" t="n">
        <v>0</v>
      </c>
      <c r="G2319" s="11" t="n">
        <v>292.410074</v>
      </c>
      <c r="H2319" s="13">
        <f>F2319*1000</f>
        <v/>
      </c>
      <c r="I2319" s="14">
        <f>G2319-273.15</f>
        <v/>
      </c>
      <c r="K2319" s="15" t="n">
        <v>2007</v>
      </c>
      <c r="L2319" s="15" t="n">
        <v>6</v>
      </c>
      <c r="M2319" s="15" t="n">
        <v>5</v>
      </c>
      <c r="N2319" s="16" t="n">
        <v>1.746474806e-05</v>
      </c>
      <c r="O2319" s="11" t="n">
        <v>288.9841227</v>
      </c>
      <c r="P2319" s="13">
        <f>N2319*86400</f>
        <v/>
      </c>
      <c r="Q2319" s="14">
        <f>O2319-273.15</f>
        <v/>
      </c>
    </row>
    <row r="2320">
      <c r="A2320" s="9" t="n">
        <v>39207</v>
      </c>
      <c r="B2320" s="7">
        <f>YEAR(A2320)</f>
        <v/>
      </c>
      <c r="C2320" s="7">
        <f>MONTH(A2320)</f>
        <v/>
      </c>
      <c r="D2320" s="10" t="n">
        <v>0</v>
      </c>
      <c r="E2320" s="11" t="n">
        <v>18.17106432</v>
      </c>
      <c r="F2320" s="12" t="n">
        <v>0</v>
      </c>
      <c r="G2320" s="11" t="n">
        <v>293.4654208</v>
      </c>
      <c r="H2320" s="13">
        <f>F2320*1000</f>
        <v/>
      </c>
      <c r="I2320" s="14">
        <f>G2320-273.15</f>
        <v/>
      </c>
      <c r="K2320" s="15" t="n">
        <v>2007</v>
      </c>
      <c r="L2320" s="15" t="n">
        <v>6</v>
      </c>
      <c r="M2320" s="15" t="n">
        <v>6</v>
      </c>
      <c r="N2320" s="16" t="n">
        <v>1.765100018e-07</v>
      </c>
      <c r="O2320" s="11" t="n">
        <v>290.2010854</v>
      </c>
      <c r="P2320" s="13">
        <f>N2320*86400</f>
        <v/>
      </c>
      <c r="Q2320" s="14">
        <f>O2320-273.15</f>
        <v/>
      </c>
    </row>
    <row r="2321">
      <c r="A2321" s="9" t="n">
        <v>39208</v>
      </c>
      <c r="B2321" s="7">
        <f>YEAR(A2321)</f>
        <v/>
      </c>
      <c r="C2321" s="7">
        <f>MONTH(A2321)</f>
        <v/>
      </c>
      <c r="D2321" s="10" t="n">
        <v>0</v>
      </c>
      <c r="E2321" s="11" t="n">
        <v>18.48065912</v>
      </c>
      <c r="F2321" s="12" t="n">
        <v>0</v>
      </c>
      <c r="G2321" s="11" t="n">
        <v>293.5682289</v>
      </c>
      <c r="H2321" s="13">
        <f>F2321*1000</f>
        <v/>
      </c>
      <c r="I2321" s="14">
        <f>G2321-273.15</f>
        <v/>
      </c>
      <c r="K2321" s="15" t="n">
        <v>2007</v>
      </c>
      <c r="L2321" s="15" t="n">
        <v>6</v>
      </c>
      <c r="M2321" s="15" t="n">
        <v>7</v>
      </c>
      <c r="N2321" s="16" t="n">
        <v>0</v>
      </c>
      <c r="O2321" s="11" t="n">
        <v>292.5390383</v>
      </c>
      <c r="P2321" s="13">
        <f>N2321*86400</f>
        <v/>
      </c>
      <c r="Q2321" s="14">
        <f>O2321-273.15</f>
        <v/>
      </c>
    </row>
    <row r="2322">
      <c r="A2322" s="9" t="n">
        <v>39209</v>
      </c>
      <c r="B2322" s="7">
        <f>YEAR(A2322)</f>
        <v/>
      </c>
      <c r="C2322" s="7">
        <f>MONTH(A2322)</f>
        <v/>
      </c>
      <c r="D2322" s="10" t="n">
        <v>0</v>
      </c>
      <c r="E2322" s="11" t="n">
        <v>17.2639505</v>
      </c>
      <c r="F2322" s="12" t="n">
        <v>1.424174522e-05</v>
      </c>
      <c r="G2322" s="11" t="n">
        <v>292.3857007</v>
      </c>
      <c r="H2322" s="13">
        <f>F2322*1000</f>
        <v/>
      </c>
      <c r="I2322" s="14">
        <f>G2322-273.15</f>
        <v/>
      </c>
      <c r="K2322" s="15" t="n">
        <v>2007</v>
      </c>
      <c r="L2322" s="15" t="n">
        <v>6</v>
      </c>
      <c r="M2322" s="15" t="n">
        <v>8</v>
      </c>
      <c r="N2322" s="16" t="n">
        <v>0</v>
      </c>
      <c r="O2322" s="11" t="n">
        <v>292.3463818</v>
      </c>
      <c r="P2322" s="13">
        <f>N2322*86400</f>
        <v/>
      </c>
      <c r="Q2322" s="14">
        <f>O2322-273.15</f>
        <v/>
      </c>
    </row>
    <row r="2323">
      <c r="A2323" s="9" t="n">
        <v>39210</v>
      </c>
      <c r="B2323" s="7">
        <f>YEAR(A2323)</f>
        <v/>
      </c>
      <c r="C2323" s="7">
        <f>MONTH(A2323)</f>
        <v/>
      </c>
      <c r="D2323" s="10" t="n">
        <v>3.97425313</v>
      </c>
      <c r="E2323" s="11" t="n">
        <v>15.93288314</v>
      </c>
      <c r="F2323" s="12" t="n">
        <v>0.0008301257557</v>
      </c>
      <c r="G2323" s="11" t="n">
        <v>290.7367805</v>
      </c>
      <c r="H2323" s="13">
        <f>F2323*1000</f>
        <v/>
      </c>
      <c r="I2323" s="14">
        <f>G2323-273.15</f>
        <v/>
      </c>
      <c r="K2323" s="15" t="n">
        <v>2007</v>
      </c>
      <c r="L2323" s="15" t="n">
        <v>6</v>
      </c>
      <c r="M2323" s="15" t="n">
        <v>9</v>
      </c>
      <c r="N2323" s="16" t="n">
        <v>2.771971221e-05</v>
      </c>
      <c r="O2323" s="11" t="n">
        <v>293.539157</v>
      </c>
      <c r="P2323" s="13">
        <f>N2323*86400</f>
        <v/>
      </c>
      <c r="Q2323" s="14">
        <f>O2323-273.15</f>
        <v/>
      </c>
    </row>
    <row r="2324">
      <c r="A2324" s="9" t="n">
        <v>39211</v>
      </c>
      <c r="B2324" s="7">
        <f>YEAR(A2324)</f>
        <v/>
      </c>
      <c r="C2324" s="7">
        <f>MONTH(A2324)</f>
        <v/>
      </c>
      <c r="D2324" s="10" t="n">
        <v>12.24107709</v>
      </c>
      <c r="E2324" s="11" t="n">
        <v>17.31995243</v>
      </c>
      <c r="F2324" s="12" t="n">
        <v>0.001455277615</v>
      </c>
      <c r="G2324" s="11" t="n">
        <v>292.690624</v>
      </c>
      <c r="H2324" s="13">
        <f>F2324*1000</f>
        <v/>
      </c>
      <c r="I2324" s="14">
        <f>G2324-273.15</f>
        <v/>
      </c>
      <c r="K2324" s="15" t="n">
        <v>2007</v>
      </c>
      <c r="L2324" s="15" t="n">
        <v>6</v>
      </c>
      <c r="M2324" s="15" t="n">
        <v>10</v>
      </c>
      <c r="N2324" s="16" t="n">
        <v>0</v>
      </c>
      <c r="O2324" s="11" t="n">
        <v>294.3179923</v>
      </c>
      <c r="P2324" s="13">
        <f>N2324*86400</f>
        <v/>
      </c>
      <c r="Q2324" s="14">
        <f>O2324-273.15</f>
        <v/>
      </c>
    </row>
    <row r="2325">
      <c r="A2325" s="9" t="n">
        <v>39212</v>
      </c>
      <c r="B2325" s="7">
        <f>YEAR(A2325)</f>
        <v/>
      </c>
      <c r="C2325" s="7">
        <f>MONTH(A2325)</f>
        <v/>
      </c>
      <c r="D2325" s="10" t="n">
        <v>0</v>
      </c>
      <c r="E2325" s="11" t="n">
        <v>16.05902723</v>
      </c>
      <c r="F2325" s="12" t="n">
        <v>0</v>
      </c>
      <c r="G2325" s="11" t="n">
        <v>292.8621197</v>
      </c>
      <c r="H2325" s="13">
        <f>F2325*1000</f>
        <v/>
      </c>
      <c r="I2325" s="14">
        <f>G2325-273.15</f>
        <v/>
      </c>
      <c r="K2325" s="15" t="n">
        <v>2007</v>
      </c>
      <c r="L2325" s="15" t="n">
        <v>6</v>
      </c>
      <c r="M2325" s="15" t="n">
        <v>11</v>
      </c>
      <c r="N2325" s="16" t="n">
        <v>3.206046816e-05</v>
      </c>
      <c r="O2325" s="11" t="n">
        <v>293.0507286</v>
      </c>
      <c r="P2325" s="13">
        <f>N2325*86400</f>
        <v/>
      </c>
      <c r="Q2325" s="14">
        <f>O2325-273.15</f>
        <v/>
      </c>
    </row>
    <row r="2326">
      <c r="A2326" s="9" t="n">
        <v>39213</v>
      </c>
      <c r="B2326" s="7">
        <f>YEAR(A2326)</f>
        <v/>
      </c>
      <c r="C2326" s="7">
        <f>MONTH(A2326)</f>
        <v/>
      </c>
      <c r="D2326" s="10" t="n">
        <v>0.5182560684</v>
      </c>
      <c r="E2326" s="11" t="n">
        <v>15.43858731</v>
      </c>
      <c r="F2326" s="12" t="n">
        <v>0.00618233246</v>
      </c>
      <c r="G2326" s="11" t="n">
        <v>292.3389443</v>
      </c>
      <c r="H2326" s="13">
        <f>F2326*1000</f>
        <v/>
      </c>
      <c r="I2326" s="14">
        <f>G2326-273.15</f>
        <v/>
      </c>
      <c r="K2326" s="15" t="n">
        <v>2007</v>
      </c>
      <c r="L2326" s="15" t="n">
        <v>6</v>
      </c>
      <c r="M2326" s="15" t="n">
        <v>12</v>
      </c>
      <c r="N2326" s="16" t="n">
        <v>5.955998506e-05</v>
      </c>
      <c r="O2326" s="11" t="n">
        <v>292.8718385</v>
      </c>
      <c r="P2326" s="13">
        <f>N2326*86400</f>
        <v/>
      </c>
      <c r="Q2326" s="14">
        <f>O2326-273.15</f>
        <v/>
      </c>
    </row>
    <row r="2327">
      <c r="A2327" s="9" t="n">
        <v>39214</v>
      </c>
      <c r="B2327" s="7">
        <f>YEAR(A2327)</f>
        <v/>
      </c>
      <c r="C2327" s="7">
        <f>MONTH(A2327)</f>
        <v/>
      </c>
      <c r="D2327" s="10" t="n">
        <v>3.895938547</v>
      </c>
      <c r="E2327" s="11" t="n">
        <v>17.07100242</v>
      </c>
      <c r="F2327" s="12" t="n">
        <v>0.01113008403</v>
      </c>
      <c r="G2327" s="11" t="n">
        <v>292.9458202</v>
      </c>
      <c r="H2327" s="13">
        <f>F2327*1000</f>
        <v/>
      </c>
      <c r="I2327" s="14">
        <f>G2327-273.15</f>
        <v/>
      </c>
      <c r="K2327" s="15" t="n">
        <v>2007</v>
      </c>
      <c r="L2327" s="15" t="n">
        <v>6</v>
      </c>
      <c r="M2327" s="15" t="n">
        <v>13</v>
      </c>
      <c r="N2327" s="16" t="n">
        <v>6.831908885e-06</v>
      </c>
      <c r="O2327" s="11" t="n">
        <v>292.8809755</v>
      </c>
      <c r="P2327" s="13">
        <f>N2327*86400</f>
        <v/>
      </c>
      <c r="Q2327" s="14">
        <f>O2327-273.15</f>
        <v/>
      </c>
    </row>
    <row r="2328">
      <c r="A2328" s="9" t="n">
        <v>39215</v>
      </c>
      <c r="B2328" s="7">
        <f>YEAR(A2328)</f>
        <v/>
      </c>
      <c r="C2328" s="7">
        <f>MONTH(A2328)</f>
        <v/>
      </c>
      <c r="D2328" s="10" t="n">
        <v>0</v>
      </c>
      <c r="E2328" s="11" t="n">
        <v>16.46575174</v>
      </c>
      <c r="F2328" s="12" t="n">
        <v>0</v>
      </c>
      <c r="G2328" s="11" t="n">
        <v>292.0030633</v>
      </c>
      <c r="H2328" s="13">
        <f>F2328*1000</f>
        <v/>
      </c>
      <c r="I2328" s="14">
        <f>G2328-273.15</f>
        <v/>
      </c>
      <c r="K2328" s="15" t="n">
        <v>2007</v>
      </c>
      <c r="L2328" s="15" t="n">
        <v>6</v>
      </c>
      <c r="M2328" s="15" t="n">
        <v>14</v>
      </c>
      <c r="N2328" s="16" t="n">
        <v>5.783403929e-05</v>
      </c>
      <c r="O2328" s="11" t="n">
        <v>292.66199</v>
      </c>
      <c r="P2328" s="13">
        <f>N2328*86400</f>
        <v/>
      </c>
      <c r="Q2328" s="14">
        <f>O2328-273.15</f>
        <v/>
      </c>
    </row>
    <row r="2329">
      <c r="A2329" s="9" t="n">
        <v>39216</v>
      </c>
      <c r="B2329" s="7">
        <f>YEAR(A2329)</f>
        <v/>
      </c>
      <c r="C2329" s="7">
        <f>MONTH(A2329)</f>
        <v/>
      </c>
      <c r="D2329" s="10" t="n">
        <v>0</v>
      </c>
      <c r="E2329" s="11" t="n">
        <v>15.64552554</v>
      </c>
      <c r="F2329" s="12" t="n">
        <v>0.001469102965</v>
      </c>
      <c r="G2329" s="11" t="n">
        <v>292.4634462</v>
      </c>
      <c r="H2329" s="13">
        <f>F2329*1000</f>
        <v/>
      </c>
      <c r="I2329" s="14">
        <f>G2329-273.15</f>
        <v/>
      </c>
      <c r="K2329" s="15" t="n">
        <v>2007</v>
      </c>
      <c r="L2329" s="15" t="n">
        <v>6</v>
      </c>
      <c r="M2329" s="15" t="n">
        <v>15</v>
      </c>
      <c r="N2329" s="16" t="n">
        <v>0.0001131288931</v>
      </c>
      <c r="O2329" s="11" t="n">
        <v>291.2425358</v>
      </c>
      <c r="P2329" s="13">
        <f>N2329*86400</f>
        <v/>
      </c>
      <c r="Q2329" s="14">
        <f>O2329-273.15</f>
        <v/>
      </c>
    </row>
    <row r="2330">
      <c r="A2330" s="9" t="n">
        <v>39217</v>
      </c>
      <c r="B2330" s="7">
        <f>YEAR(A2330)</f>
        <v/>
      </c>
      <c r="C2330" s="7">
        <f>MONTH(A2330)</f>
        <v/>
      </c>
      <c r="D2330" s="10" t="n">
        <v>0</v>
      </c>
      <c r="E2330" s="11" t="n">
        <v>14.06993324</v>
      </c>
      <c r="F2330" s="12" t="n">
        <v>0</v>
      </c>
      <c r="G2330" s="11" t="n">
        <v>289.8331115</v>
      </c>
      <c r="H2330" s="13">
        <f>F2330*1000</f>
        <v/>
      </c>
      <c r="I2330" s="14">
        <f>G2330-273.15</f>
        <v/>
      </c>
      <c r="K2330" s="15" t="n">
        <v>2007</v>
      </c>
      <c r="L2330" s="15" t="n">
        <v>6</v>
      </c>
      <c r="M2330" s="15" t="n">
        <v>16</v>
      </c>
      <c r="N2330" s="16" t="n">
        <v>0.0001618555704</v>
      </c>
      <c r="O2330" s="11" t="n">
        <v>291.7317101</v>
      </c>
      <c r="P2330" s="13">
        <f>N2330*86400</f>
        <v/>
      </c>
      <c r="Q2330" s="14">
        <f>O2330-273.15</f>
        <v/>
      </c>
    </row>
    <row r="2331">
      <c r="A2331" s="9" t="n">
        <v>39218</v>
      </c>
      <c r="B2331" s="7">
        <f>YEAR(A2331)</f>
        <v/>
      </c>
      <c r="C2331" s="7">
        <f>MONTH(A2331)</f>
        <v/>
      </c>
      <c r="D2331" s="10" t="n">
        <v>0</v>
      </c>
      <c r="E2331" s="11" t="n">
        <v>13.76631088</v>
      </c>
      <c r="F2331" s="12" t="n">
        <v>0</v>
      </c>
      <c r="G2331" s="11" t="n">
        <v>290.5793469</v>
      </c>
      <c r="H2331" s="13">
        <f>F2331*1000</f>
        <v/>
      </c>
      <c r="I2331" s="14">
        <f>G2331-273.15</f>
        <v/>
      </c>
      <c r="K2331" s="15" t="n">
        <v>2007</v>
      </c>
      <c r="L2331" s="15" t="n">
        <v>6</v>
      </c>
      <c r="M2331" s="15" t="n">
        <v>17</v>
      </c>
      <c r="N2331" s="16" t="n">
        <v>9.142437100000001e-05</v>
      </c>
      <c r="O2331" s="11" t="n">
        <v>291.2854609</v>
      </c>
      <c r="P2331" s="13">
        <f>N2331*86400</f>
        <v/>
      </c>
      <c r="Q2331" s="14">
        <f>O2331-273.15</f>
        <v/>
      </c>
    </row>
    <row r="2332">
      <c r="A2332" s="9" t="n">
        <v>39219</v>
      </c>
      <c r="B2332" s="7">
        <f>YEAR(A2332)</f>
        <v/>
      </c>
      <c r="C2332" s="7">
        <f>MONTH(A2332)</f>
        <v/>
      </c>
      <c r="D2332" s="10" t="n">
        <v>0</v>
      </c>
      <c r="E2332" s="11" t="n">
        <v>13.86912376</v>
      </c>
      <c r="F2332" s="12" t="n">
        <v>0.001635775586</v>
      </c>
      <c r="G2332" s="11" t="n">
        <v>290.4401951</v>
      </c>
      <c r="H2332" s="13">
        <f>F2332*1000</f>
        <v/>
      </c>
      <c r="I2332" s="14">
        <f>G2332-273.15</f>
        <v/>
      </c>
      <c r="K2332" s="15" t="n">
        <v>2007</v>
      </c>
      <c r="L2332" s="15" t="n">
        <v>6</v>
      </c>
      <c r="M2332" s="15" t="n">
        <v>18</v>
      </c>
      <c r="N2332" s="16" t="n">
        <v>0.0001331376486</v>
      </c>
      <c r="O2332" s="11" t="n">
        <v>290.278111</v>
      </c>
      <c r="P2332" s="13">
        <f>N2332*86400</f>
        <v/>
      </c>
      <c r="Q2332" s="14">
        <f>O2332-273.15</f>
        <v/>
      </c>
    </row>
    <row r="2333">
      <c r="A2333" s="9" t="n">
        <v>39220</v>
      </c>
      <c r="B2333" s="7">
        <f>YEAR(A2333)</f>
        <v/>
      </c>
      <c r="C2333" s="7">
        <f>MONTH(A2333)</f>
        <v/>
      </c>
      <c r="D2333" s="10" t="n">
        <v>0</v>
      </c>
      <c r="E2333" s="11" t="n">
        <v>13.72765003</v>
      </c>
      <c r="F2333" s="12" t="n">
        <v>7.137505319e-05</v>
      </c>
      <c r="G2333" s="11" t="n">
        <v>291.2204308</v>
      </c>
      <c r="H2333" s="13">
        <f>F2333*1000</f>
        <v/>
      </c>
      <c r="I2333" s="14">
        <f>G2333-273.15</f>
        <v/>
      </c>
      <c r="K2333" s="15" t="n">
        <v>2007</v>
      </c>
      <c r="L2333" s="15" t="n">
        <v>6</v>
      </c>
      <c r="M2333" s="15" t="n">
        <v>19</v>
      </c>
      <c r="N2333" s="16" t="n">
        <v>2.239836198e-05</v>
      </c>
      <c r="O2333" s="11" t="n">
        <v>290.3600505</v>
      </c>
      <c r="P2333" s="13">
        <f>N2333*86400</f>
        <v/>
      </c>
      <c r="Q2333" s="14">
        <f>O2333-273.15</f>
        <v/>
      </c>
    </row>
    <row r="2334">
      <c r="A2334" s="9" t="n">
        <v>39221</v>
      </c>
      <c r="B2334" s="7">
        <f>YEAR(A2334)</f>
        <v/>
      </c>
      <c r="C2334" s="7">
        <f>MONTH(A2334)</f>
        <v/>
      </c>
      <c r="D2334" s="10" t="n">
        <v>0</v>
      </c>
      <c r="E2334" s="11" t="n">
        <v>15.60147869</v>
      </c>
      <c r="F2334" s="12" t="n">
        <v>0</v>
      </c>
      <c r="G2334" s="11" t="n">
        <v>292.3571921</v>
      </c>
      <c r="H2334" s="13">
        <f>F2334*1000</f>
        <v/>
      </c>
      <c r="I2334" s="14">
        <f>G2334-273.15</f>
        <v/>
      </c>
      <c r="K2334" s="15" t="n">
        <v>2007</v>
      </c>
      <c r="L2334" s="15" t="n">
        <v>6</v>
      </c>
      <c r="M2334" s="15" t="n">
        <v>20</v>
      </c>
      <c r="N2334" s="16" t="n">
        <v>8.453053275e-05</v>
      </c>
      <c r="O2334" s="11" t="n">
        <v>288.5200348</v>
      </c>
      <c r="P2334" s="13">
        <f>N2334*86400</f>
        <v/>
      </c>
      <c r="Q2334" s="14">
        <f>O2334-273.15</f>
        <v/>
      </c>
    </row>
    <row r="2335">
      <c r="A2335" s="9" t="n">
        <v>39222</v>
      </c>
      <c r="B2335" s="7">
        <f>YEAR(A2335)</f>
        <v/>
      </c>
      <c r="C2335" s="7">
        <f>MONTH(A2335)</f>
        <v/>
      </c>
      <c r="D2335" s="10" t="n">
        <v>0</v>
      </c>
      <c r="E2335" s="11" t="n">
        <v>16.36486507</v>
      </c>
      <c r="F2335" s="12" t="n">
        <v>0.000922623327</v>
      </c>
      <c r="G2335" s="11" t="n">
        <v>293.744127</v>
      </c>
      <c r="H2335" s="13">
        <f>F2335*1000</f>
        <v/>
      </c>
      <c r="I2335" s="14">
        <f>G2335-273.15</f>
        <v/>
      </c>
      <c r="K2335" s="15" t="n">
        <v>2007</v>
      </c>
      <c r="L2335" s="15" t="n">
        <v>6</v>
      </c>
      <c r="M2335" s="15" t="n">
        <v>21</v>
      </c>
      <c r="N2335" s="16" t="n">
        <v>2.116575642e-05</v>
      </c>
      <c r="O2335" s="11" t="n">
        <v>290.3229955</v>
      </c>
      <c r="P2335" s="13">
        <f>N2335*86400</f>
        <v/>
      </c>
      <c r="Q2335" s="14">
        <f>O2335-273.15</f>
        <v/>
      </c>
    </row>
    <row r="2336">
      <c r="A2336" s="9" t="n">
        <v>39223</v>
      </c>
      <c r="B2336" s="7">
        <f>YEAR(A2336)</f>
        <v/>
      </c>
      <c r="C2336" s="7">
        <f>MONTH(A2336)</f>
        <v/>
      </c>
      <c r="D2336" s="10" t="n">
        <v>2.710240806</v>
      </c>
      <c r="E2336" s="11" t="n">
        <v>17.64668207</v>
      </c>
      <c r="F2336" s="12" t="n">
        <v>0.00335018967</v>
      </c>
      <c r="G2336" s="11" t="n">
        <v>293.1578587</v>
      </c>
      <c r="H2336" s="13">
        <f>F2336*1000</f>
        <v/>
      </c>
      <c r="I2336" s="14">
        <f>G2336-273.15</f>
        <v/>
      </c>
      <c r="K2336" s="15" t="n">
        <v>2007</v>
      </c>
      <c r="L2336" s="15" t="n">
        <v>6</v>
      </c>
      <c r="M2336" s="15" t="n">
        <v>22</v>
      </c>
      <c r="N2336" s="16" t="n">
        <v>0.0001989812532</v>
      </c>
      <c r="O2336" s="11" t="n">
        <v>289.6490421</v>
      </c>
      <c r="P2336" s="13">
        <f>N2336*86400</f>
        <v/>
      </c>
      <c r="Q2336" s="14">
        <f>O2336-273.15</f>
        <v/>
      </c>
    </row>
    <row r="2337">
      <c r="A2337" s="9" t="n">
        <v>39224</v>
      </c>
      <c r="B2337" s="7">
        <f>YEAR(A2337)</f>
        <v/>
      </c>
      <c r="C2337" s="7">
        <f>MONTH(A2337)</f>
        <v/>
      </c>
      <c r="D2337" s="10" t="n">
        <v>17.53292119</v>
      </c>
      <c r="E2337" s="11" t="n">
        <v>17.4175789</v>
      </c>
      <c r="F2337" s="12" t="n">
        <v>0.02476466524</v>
      </c>
      <c r="G2337" s="11" t="n">
        <v>293.9217841</v>
      </c>
      <c r="H2337" s="13">
        <f>F2337*1000</f>
        <v/>
      </c>
      <c r="I2337" s="14">
        <f>G2337-273.15</f>
        <v/>
      </c>
      <c r="K2337" s="15" t="n">
        <v>2007</v>
      </c>
      <c r="L2337" s="15" t="n">
        <v>6</v>
      </c>
      <c r="M2337" s="15" t="n">
        <v>23</v>
      </c>
      <c r="N2337" s="16" t="n">
        <v>0.0001256665905</v>
      </c>
      <c r="O2337" s="11" t="n">
        <v>289.7032951</v>
      </c>
      <c r="P2337" s="13">
        <f>N2337*86400</f>
        <v/>
      </c>
      <c r="Q2337" s="14">
        <f>O2337-273.15</f>
        <v/>
      </c>
    </row>
    <row r="2338">
      <c r="A2338" s="9" t="n">
        <v>39225</v>
      </c>
      <c r="B2338" s="7">
        <f>YEAR(A2338)</f>
        <v/>
      </c>
      <c r="C2338" s="7">
        <f>MONTH(A2338)</f>
        <v/>
      </c>
      <c r="D2338" s="10" t="n">
        <v>0.3706623606</v>
      </c>
      <c r="E2338" s="11" t="n">
        <v>16.90775599</v>
      </c>
      <c r="F2338" s="12" t="n">
        <v>0</v>
      </c>
      <c r="G2338" s="11" t="n">
        <v>293.351385</v>
      </c>
      <c r="H2338" s="13">
        <f>F2338*1000</f>
        <v/>
      </c>
      <c r="I2338" s="14">
        <f>G2338-273.15</f>
        <v/>
      </c>
      <c r="K2338" s="15" t="n">
        <v>2007</v>
      </c>
      <c r="L2338" s="15" t="n">
        <v>6</v>
      </c>
      <c r="M2338" s="15" t="n">
        <v>24</v>
      </c>
      <c r="N2338" s="16" t="n">
        <v>0.0001018592601</v>
      </c>
      <c r="O2338" s="11" t="n">
        <v>291.2189847</v>
      </c>
      <c r="P2338" s="13">
        <f>N2338*86400</f>
        <v/>
      </c>
      <c r="Q2338" s="14">
        <f>O2338-273.15</f>
        <v/>
      </c>
    </row>
    <row r="2339">
      <c r="A2339" s="9" t="n">
        <v>39226</v>
      </c>
      <c r="B2339" s="7">
        <f>YEAR(A2339)</f>
        <v/>
      </c>
      <c r="C2339" s="7">
        <f>MONTH(A2339)</f>
        <v/>
      </c>
      <c r="D2339" s="10" t="n">
        <v>2.670125486</v>
      </c>
      <c r="E2339" s="11" t="n">
        <v>17.0384165</v>
      </c>
      <c r="F2339" s="12" t="n">
        <v>0.01248566015</v>
      </c>
      <c r="G2339" s="11" t="n">
        <v>292.715577</v>
      </c>
      <c r="H2339" s="13">
        <f>F2339*1000</f>
        <v/>
      </c>
      <c r="I2339" s="14">
        <f>G2339-273.15</f>
        <v/>
      </c>
      <c r="K2339" s="15" t="n">
        <v>2007</v>
      </c>
      <c r="L2339" s="15" t="n">
        <v>6</v>
      </c>
      <c r="M2339" s="15" t="n">
        <v>25</v>
      </c>
      <c r="N2339" s="16" t="n">
        <v>0.0002379517621</v>
      </c>
      <c r="O2339" s="11" t="n">
        <v>289.9891888</v>
      </c>
      <c r="P2339" s="13">
        <f>N2339*86400</f>
        <v/>
      </c>
      <c r="Q2339" s="14">
        <f>O2339-273.15</f>
        <v/>
      </c>
    </row>
    <row r="2340">
      <c r="A2340" s="9" t="n">
        <v>39227</v>
      </c>
      <c r="B2340" s="7">
        <f>YEAR(A2340)</f>
        <v/>
      </c>
      <c r="C2340" s="7">
        <f>MONTH(A2340)</f>
        <v/>
      </c>
      <c r="D2340" s="10" t="n">
        <v>24.41196253</v>
      </c>
      <c r="E2340" s="11" t="n">
        <v>17.96987512</v>
      </c>
      <c r="F2340" s="12" t="n">
        <v>0.01677633641</v>
      </c>
      <c r="G2340" s="11" t="n">
        <v>294.2062183</v>
      </c>
      <c r="H2340" s="13">
        <f>F2340*1000</f>
        <v/>
      </c>
      <c r="I2340" s="14">
        <f>G2340-273.15</f>
        <v/>
      </c>
      <c r="K2340" s="15" t="n">
        <v>2007</v>
      </c>
      <c r="L2340" s="15" t="n">
        <v>6</v>
      </c>
      <c r="M2340" s="15" t="n">
        <v>26</v>
      </c>
      <c r="N2340" s="16" t="n">
        <v>4.986620129e-06</v>
      </c>
      <c r="O2340" s="11" t="n">
        <v>293.8273671</v>
      </c>
      <c r="P2340" s="13">
        <f>N2340*86400</f>
        <v/>
      </c>
      <c r="Q2340" s="14">
        <f>O2340-273.15</f>
        <v/>
      </c>
    </row>
    <row r="2341">
      <c r="A2341" s="9" t="n">
        <v>39228</v>
      </c>
      <c r="B2341" s="7">
        <f>YEAR(A2341)</f>
        <v/>
      </c>
      <c r="C2341" s="7">
        <f>MONTH(A2341)</f>
        <v/>
      </c>
      <c r="D2341" s="10" t="n">
        <v>0.5801365058</v>
      </c>
      <c r="E2341" s="11" t="n">
        <v>18.96586086</v>
      </c>
      <c r="F2341" s="12" t="n">
        <v>0.002086702349</v>
      </c>
      <c r="G2341" s="11" t="n">
        <v>294.6938182</v>
      </c>
      <c r="H2341" s="13">
        <f>F2341*1000</f>
        <v/>
      </c>
      <c r="I2341" s="14">
        <f>G2341-273.15</f>
        <v/>
      </c>
      <c r="K2341" s="15" t="n">
        <v>2007</v>
      </c>
      <c r="L2341" s="15" t="n">
        <v>6</v>
      </c>
      <c r="M2341" s="15" t="n">
        <v>27</v>
      </c>
      <c r="N2341" s="16" t="n">
        <v>0</v>
      </c>
      <c r="O2341" s="11" t="n">
        <v>293.2897746</v>
      </c>
      <c r="P2341" s="13">
        <f>N2341*86400</f>
        <v/>
      </c>
      <c r="Q2341" s="14">
        <f>O2341-273.15</f>
        <v/>
      </c>
    </row>
    <row r="2342">
      <c r="A2342" s="9" t="n">
        <v>39229</v>
      </c>
      <c r="B2342" s="7">
        <f>YEAR(A2342)</f>
        <v/>
      </c>
      <c r="C2342" s="7">
        <f>MONTH(A2342)</f>
        <v/>
      </c>
      <c r="D2342" s="10" t="n">
        <v>0</v>
      </c>
      <c r="E2342" s="11" t="n">
        <v>15.88716325</v>
      </c>
      <c r="F2342" s="12" t="n">
        <v>0</v>
      </c>
      <c r="G2342" s="11" t="n">
        <v>291.8732322</v>
      </c>
      <c r="H2342" s="13">
        <f>F2342*1000</f>
        <v/>
      </c>
      <c r="I2342" s="14">
        <f>G2342-273.15</f>
        <v/>
      </c>
      <c r="K2342" s="15" t="n">
        <v>2007</v>
      </c>
      <c r="L2342" s="15" t="n">
        <v>6</v>
      </c>
      <c r="M2342" s="15" t="n">
        <v>28</v>
      </c>
      <c r="N2342" s="16" t="n">
        <v>0</v>
      </c>
      <c r="O2342" s="11" t="n">
        <v>293.6162487</v>
      </c>
      <c r="P2342" s="13">
        <f>N2342*86400</f>
        <v/>
      </c>
      <c r="Q2342" s="14">
        <f>O2342-273.15</f>
        <v/>
      </c>
    </row>
    <row r="2343">
      <c r="A2343" s="9" t="n">
        <v>39230</v>
      </c>
      <c r="B2343" s="7">
        <f>YEAR(A2343)</f>
        <v/>
      </c>
      <c r="C2343" s="7">
        <f>MONTH(A2343)</f>
        <v/>
      </c>
      <c r="D2343" s="10" t="n">
        <v>0</v>
      </c>
      <c r="E2343" s="11" t="n">
        <v>18.70730652</v>
      </c>
      <c r="F2343" s="12" t="n">
        <v>0.006266150881</v>
      </c>
      <c r="G2343" s="11" t="n">
        <v>293.8585009</v>
      </c>
      <c r="H2343" s="13">
        <f>F2343*1000</f>
        <v/>
      </c>
      <c r="I2343" s="14">
        <f>G2343-273.15</f>
        <v/>
      </c>
      <c r="K2343" s="15" t="n">
        <v>2007</v>
      </c>
      <c r="L2343" s="15" t="n">
        <v>6</v>
      </c>
      <c r="M2343" s="15" t="n">
        <v>29</v>
      </c>
      <c r="N2343" s="16" t="n">
        <v>2.770019879e-05</v>
      </c>
      <c r="O2343" s="11" t="n">
        <v>292.6390263</v>
      </c>
      <c r="P2343" s="13">
        <f>N2343*86400</f>
        <v/>
      </c>
      <c r="Q2343" s="14">
        <f>O2343-273.15</f>
        <v/>
      </c>
    </row>
    <row r="2344">
      <c r="A2344" s="9" t="n">
        <v>39231</v>
      </c>
      <c r="B2344" s="7">
        <f>YEAR(A2344)</f>
        <v/>
      </c>
      <c r="C2344" s="7">
        <f>MONTH(A2344)</f>
        <v/>
      </c>
      <c r="D2344" s="10" t="n">
        <v>0</v>
      </c>
      <c r="E2344" s="11" t="n">
        <v>18.26034735</v>
      </c>
      <c r="F2344" s="12" t="n">
        <v>0</v>
      </c>
      <c r="G2344" s="11" t="n">
        <v>293.046571</v>
      </c>
      <c r="H2344" s="13">
        <f>F2344*1000</f>
        <v/>
      </c>
      <c r="I2344" s="14">
        <f>G2344-273.15</f>
        <v/>
      </c>
      <c r="K2344" s="15" t="n">
        <v>2007</v>
      </c>
      <c r="L2344" s="15" t="n">
        <v>6</v>
      </c>
      <c r="M2344" s="15" t="n">
        <v>30</v>
      </c>
      <c r="N2344" s="16" t="n">
        <v>3.351550183e-06</v>
      </c>
      <c r="O2344" s="11" t="n">
        <v>292.9342276</v>
      </c>
      <c r="P2344" s="13">
        <f>N2344*86400</f>
        <v/>
      </c>
      <c r="Q2344" s="14">
        <f>O2344-273.15</f>
        <v/>
      </c>
    </row>
    <row r="2345">
      <c r="A2345" s="9" t="n">
        <v>39232</v>
      </c>
      <c r="B2345" s="7">
        <f>YEAR(A2345)</f>
        <v/>
      </c>
      <c r="C2345" s="7">
        <f>MONTH(A2345)</f>
        <v/>
      </c>
      <c r="D2345" s="10" t="n">
        <v>0</v>
      </c>
      <c r="E2345" s="11" t="n">
        <v>17.5495706</v>
      </c>
      <c r="F2345" s="12" t="n">
        <v>0</v>
      </c>
      <c r="G2345" s="11" t="n">
        <v>292.0093824</v>
      </c>
      <c r="H2345" s="13">
        <f>F2345*1000</f>
        <v/>
      </c>
      <c r="I2345" s="14">
        <f>G2345-273.15</f>
        <v/>
      </c>
      <c r="K2345" s="15" t="n">
        <v>2007</v>
      </c>
      <c r="L2345" s="15" t="n">
        <v>7</v>
      </c>
      <c r="M2345" s="15" t="n">
        <v>1</v>
      </c>
      <c r="N2345" s="16" t="n">
        <v>0.0001304214688</v>
      </c>
      <c r="O2345" s="11" t="n">
        <v>293.7684893</v>
      </c>
      <c r="P2345" s="13">
        <f>N2345*86400</f>
        <v/>
      </c>
      <c r="Q2345" s="14">
        <f>O2345-273.15</f>
        <v/>
      </c>
    </row>
    <row r="2346">
      <c r="A2346" s="9" t="n">
        <v>39233</v>
      </c>
      <c r="B2346" s="7">
        <f>YEAR(A2346)</f>
        <v/>
      </c>
      <c r="C2346" s="7">
        <f>MONTH(A2346)</f>
        <v/>
      </c>
      <c r="D2346" s="10" t="n">
        <v>0</v>
      </c>
      <c r="E2346" s="11" t="n">
        <v>16.27425324</v>
      </c>
      <c r="F2346" s="12" t="n">
        <v>0</v>
      </c>
      <c r="G2346" s="11" t="n">
        <v>291.6921336</v>
      </c>
      <c r="H2346" s="13">
        <f>F2346*1000</f>
        <v/>
      </c>
      <c r="I2346" s="14">
        <f>G2346-273.15</f>
        <v/>
      </c>
      <c r="K2346" s="15" t="n">
        <v>2007</v>
      </c>
      <c r="L2346" s="15" t="n">
        <v>7</v>
      </c>
      <c r="M2346" s="15" t="n">
        <v>2</v>
      </c>
      <c r="N2346" s="16" t="n">
        <v>0.0001012947466</v>
      </c>
      <c r="O2346" s="11" t="n">
        <v>293.3352105</v>
      </c>
      <c r="P2346" s="13">
        <f>N2346*86400</f>
        <v/>
      </c>
      <c r="Q2346" s="14">
        <f>O2346-273.15</f>
        <v/>
      </c>
    </row>
    <row r="2347">
      <c r="A2347" s="9" t="n">
        <v>39234</v>
      </c>
      <c r="B2347" s="7">
        <f>YEAR(A2347)</f>
        <v/>
      </c>
      <c r="C2347" s="7">
        <f>MONTH(A2347)</f>
        <v/>
      </c>
      <c r="D2347" s="10" t="n">
        <v>0</v>
      </c>
      <c r="E2347" s="11" t="n">
        <v>16.75036549</v>
      </c>
      <c r="F2347" s="12" t="n">
        <v>0</v>
      </c>
      <c r="G2347" s="11" t="n">
        <v>291.682911</v>
      </c>
      <c r="H2347" s="13">
        <f>F2347*1000</f>
        <v/>
      </c>
      <c r="I2347" s="14">
        <f>G2347-273.15</f>
        <v/>
      </c>
      <c r="K2347" s="15" t="n">
        <v>2007</v>
      </c>
      <c r="L2347" s="15" t="n">
        <v>7</v>
      </c>
      <c r="M2347" s="15" t="n">
        <v>3</v>
      </c>
      <c r="N2347" s="16" t="n">
        <v>9.495894956e-05</v>
      </c>
      <c r="O2347" s="11" t="n">
        <v>292.3701076</v>
      </c>
      <c r="P2347" s="13">
        <f>N2347*86400</f>
        <v/>
      </c>
      <c r="Q2347" s="14">
        <f>O2347-273.15</f>
        <v/>
      </c>
    </row>
    <row r="2348">
      <c r="A2348" s="9" t="n">
        <v>39235</v>
      </c>
      <c r="B2348" s="7">
        <f>YEAR(A2348)</f>
        <v/>
      </c>
      <c r="C2348" s="7">
        <f>MONTH(A2348)</f>
        <v/>
      </c>
      <c r="D2348" s="10" t="n">
        <v>11.47984912</v>
      </c>
      <c r="E2348" s="11" t="n">
        <v>16.70795021</v>
      </c>
      <c r="F2348" s="12" t="n">
        <v>0.00524176034</v>
      </c>
      <c r="G2348" s="11" t="n">
        <v>290.5648635</v>
      </c>
      <c r="H2348" s="13">
        <f>F2348*1000</f>
        <v/>
      </c>
      <c r="I2348" s="14">
        <f>G2348-273.15</f>
        <v/>
      </c>
      <c r="K2348" s="15" t="n">
        <v>2007</v>
      </c>
      <c r="L2348" s="15" t="n">
        <v>7</v>
      </c>
      <c r="M2348" s="15" t="n">
        <v>4</v>
      </c>
      <c r="N2348" s="16" t="n">
        <v>2.583262062e-06</v>
      </c>
      <c r="O2348" s="11" t="n">
        <v>291.6163828</v>
      </c>
      <c r="P2348" s="13">
        <f>N2348*86400</f>
        <v/>
      </c>
      <c r="Q2348" s="14">
        <f>O2348-273.15</f>
        <v/>
      </c>
    </row>
    <row r="2349">
      <c r="A2349" s="9" t="n">
        <v>39236</v>
      </c>
      <c r="B2349" s="7">
        <f>YEAR(A2349)</f>
        <v/>
      </c>
      <c r="C2349" s="7">
        <f>MONTH(A2349)</f>
        <v/>
      </c>
      <c r="D2349" s="10" t="n">
        <v>0</v>
      </c>
      <c r="E2349" s="11" t="n">
        <v>18.58587116</v>
      </c>
      <c r="F2349" s="12" t="n">
        <v>0</v>
      </c>
      <c r="G2349" s="11" t="n">
        <v>292.8839042</v>
      </c>
      <c r="H2349" s="13">
        <f>F2349*1000</f>
        <v/>
      </c>
      <c r="I2349" s="14">
        <f>G2349-273.15</f>
        <v/>
      </c>
      <c r="K2349" s="15" t="n">
        <v>2007</v>
      </c>
      <c r="L2349" s="15" t="n">
        <v>7</v>
      </c>
      <c r="M2349" s="15" t="n">
        <v>5</v>
      </c>
      <c r="N2349" s="16" t="n">
        <v>0.0001698760259</v>
      </c>
      <c r="O2349" s="11" t="n">
        <v>290.7628056</v>
      </c>
      <c r="P2349" s="13">
        <f>N2349*86400</f>
        <v/>
      </c>
      <c r="Q2349" s="14">
        <f>O2349-273.15</f>
        <v/>
      </c>
    </row>
    <row r="2350">
      <c r="A2350" s="9" t="n">
        <v>39237</v>
      </c>
      <c r="B2350" s="7">
        <f>YEAR(A2350)</f>
        <v/>
      </c>
      <c r="C2350" s="7">
        <f>MONTH(A2350)</f>
        <v/>
      </c>
      <c r="D2350" s="10" t="n">
        <v>9.84786106</v>
      </c>
      <c r="E2350" s="11" t="n">
        <v>18.36108172</v>
      </c>
      <c r="F2350" s="12" t="n">
        <v>0</v>
      </c>
      <c r="G2350" s="11" t="n">
        <v>292.8509879</v>
      </c>
      <c r="H2350" s="13">
        <f>F2350*1000</f>
        <v/>
      </c>
      <c r="I2350" s="14">
        <f>G2350-273.15</f>
        <v/>
      </c>
      <c r="K2350" s="15" t="n">
        <v>2007</v>
      </c>
      <c r="L2350" s="15" t="n">
        <v>7</v>
      </c>
      <c r="M2350" s="15" t="n">
        <v>6</v>
      </c>
      <c r="N2350" s="16" t="n">
        <v>1.095864529e-05</v>
      </c>
      <c r="O2350" s="11" t="n">
        <v>290.5319005</v>
      </c>
      <c r="P2350" s="13">
        <f>N2350*86400</f>
        <v/>
      </c>
      <c r="Q2350" s="14">
        <f>O2350-273.15</f>
        <v/>
      </c>
    </row>
    <row r="2351">
      <c r="A2351" s="9" t="n">
        <v>39238</v>
      </c>
      <c r="B2351" s="7">
        <f>YEAR(A2351)</f>
        <v/>
      </c>
      <c r="C2351" s="7">
        <f>MONTH(A2351)</f>
        <v/>
      </c>
      <c r="D2351" s="10" t="n">
        <v>0</v>
      </c>
      <c r="E2351" s="11" t="n">
        <v>17.8926052</v>
      </c>
      <c r="F2351" s="12" t="n">
        <v>0</v>
      </c>
      <c r="G2351" s="11" t="n">
        <v>291.4992128</v>
      </c>
      <c r="H2351" s="13">
        <f>F2351*1000</f>
        <v/>
      </c>
      <c r="I2351" s="14">
        <f>G2351-273.15</f>
        <v/>
      </c>
      <c r="K2351" s="15" t="n">
        <v>2007</v>
      </c>
      <c r="L2351" s="15" t="n">
        <v>7</v>
      </c>
      <c r="M2351" s="15" t="n">
        <v>7</v>
      </c>
      <c r="N2351" s="16" t="n">
        <v>4.098652768e-06</v>
      </c>
      <c r="O2351" s="11" t="n">
        <v>292.4845383</v>
      </c>
      <c r="P2351" s="13">
        <f>N2351*86400</f>
        <v/>
      </c>
      <c r="Q2351" s="14">
        <f>O2351-273.15</f>
        <v/>
      </c>
    </row>
    <row r="2352">
      <c r="A2352" s="9" t="n">
        <v>39239</v>
      </c>
      <c r="B2352" s="7">
        <f>YEAR(A2352)</f>
        <v/>
      </c>
      <c r="C2352" s="7">
        <f>MONTH(A2352)</f>
        <v/>
      </c>
      <c r="D2352" s="10" t="n">
        <v>0</v>
      </c>
      <c r="E2352" s="11" t="n">
        <v>18.49282879</v>
      </c>
      <c r="F2352" s="12" t="n">
        <v>0.001028405989</v>
      </c>
      <c r="G2352" s="11" t="n">
        <v>293.1929894</v>
      </c>
      <c r="H2352" s="13">
        <f>F2352*1000</f>
        <v/>
      </c>
      <c r="I2352" s="14">
        <f>G2352-273.15</f>
        <v/>
      </c>
      <c r="K2352" s="15" t="n">
        <v>2007</v>
      </c>
      <c r="L2352" s="15" t="n">
        <v>7</v>
      </c>
      <c r="M2352" s="15" t="n">
        <v>8</v>
      </c>
      <c r="N2352" s="16" t="n">
        <v>0.0001701486158</v>
      </c>
      <c r="O2352" s="11" t="n">
        <v>292.793944</v>
      </c>
      <c r="P2352" s="13">
        <f>N2352*86400</f>
        <v/>
      </c>
      <c r="Q2352" s="14">
        <f>O2352-273.15</f>
        <v/>
      </c>
    </row>
    <row r="2353">
      <c r="A2353" s="9" t="n">
        <v>39240</v>
      </c>
      <c r="B2353" s="7">
        <f>YEAR(A2353)</f>
        <v/>
      </c>
      <c r="C2353" s="7">
        <f>MONTH(A2353)</f>
        <v/>
      </c>
      <c r="D2353" s="10" t="n">
        <v>0.3633078218</v>
      </c>
      <c r="E2353" s="11" t="n">
        <v>16.25872324</v>
      </c>
      <c r="F2353" s="12" t="n">
        <v>0.00715830193</v>
      </c>
      <c r="G2353" s="11" t="n">
        <v>290.784197</v>
      </c>
      <c r="H2353" s="13">
        <f>F2353*1000</f>
        <v/>
      </c>
      <c r="I2353" s="14">
        <f>G2353-273.15</f>
        <v/>
      </c>
      <c r="K2353" s="15" t="n">
        <v>2007</v>
      </c>
      <c r="L2353" s="15" t="n">
        <v>7</v>
      </c>
      <c r="M2353" s="15" t="n">
        <v>9</v>
      </c>
      <c r="N2353" s="16" t="n">
        <v>0.0002711677336</v>
      </c>
      <c r="O2353" s="11" t="n">
        <v>293.8197433</v>
      </c>
      <c r="P2353" s="13">
        <f>N2353*86400</f>
        <v/>
      </c>
      <c r="Q2353" s="14">
        <f>O2353-273.15</f>
        <v/>
      </c>
    </row>
    <row r="2354">
      <c r="A2354" s="9" t="n">
        <v>39241</v>
      </c>
      <c r="B2354" s="7">
        <f>YEAR(A2354)</f>
        <v/>
      </c>
      <c r="C2354" s="7">
        <f>MONTH(A2354)</f>
        <v/>
      </c>
      <c r="D2354" s="10" t="n">
        <v>2.957445664</v>
      </c>
      <c r="E2354" s="11" t="n">
        <v>19.20698789</v>
      </c>
      <c r="F2354" s="12" t="n">
        <v>0.01241590832</v>
      </c>
      <c r="G2354" s="11" t="n">
        <v>293.0886249</v>
      </c>
      <c r="H2354" s="13">
        <f>F2354*1000</f>
        <v/>
      </c>
      <c r="I2354" s="14">
        <f>G2354-273.15</f>
        <v/>
      </c>
      <c r="K2354" s="15" t="n">
        <v>2007</v>
      </c>
      <c r="L2354" s="15" t="n">
        <v>7</v>
      </c>
      <c r="M2354" s="15" t="n">
        <v>10</v>
      </c>
      <c r="N2354" s="16" t="n">
        <v>0.0001645945531</v>
      </c>
      <c r="O2354" s="11" t="n">
        <v>294.1965529</v>
      </c>
      <c r="P2354" s="13">
        <f>N2354*86400</f>
        <v/>
      </c>
      <c r="Q2354" s="14">
        <f>O2354-273.15</f>
        <v/>
      </c>
    </row>
    <row r="2355">
      <c r="A2355" s="9" t="n">
        <v>39242</v>
      </c>
      <c r="B2355" s="7">
        <f>YEAR(A2355)</f>
        <v/>
      </c>
      <c r="C2355" s="7">
        <f>MONTH(A2355)</f>
        <v/>
      </c>
      <c r="D2355" s="10" t="n">
        <v>0</v>
      </c>
      <c r="E2355" s="11" t="n">
        <v>19.1875938</v>
      </c>
      <c r="F2355" s="12" t="n">
        <v>0.01393499688</v>
      </c>
      <c r="G2355" s="11" t="n">
        <v>292.8252786</v>
      </c>
      <c r="H2355" s="13">
        <f>F2355*1000</f>
        <v/>
      </c>
      <c r="I2355" s="14">
        <f>G2355-273.15</f>
        <v/>
      </c>
      <c r="K2355" s="15" t="n">
        <v>2007</v>
      </c>
      <c r="L2355" s="15" t="n">
        <v>7</v>
      </c>
      <c r="M2355" s="15" t="n">
        <v>11</v>
      </c>
      <c r="N2355" s="16" t="n">
        <v>0.000533761561</v>
      </c>
      <c r="O2355" s="11" t="n">
        <v>293.8970373</v>
      </c>
      <c r="P2355" s="13">
        <f>N2355*86400</f>
        <v/>
      </c>
      <c r="Q2355" s="14">
        <f>O2355-273.15</f>
        <v/>
      </c>
    </row>
    <row r="2356">
      <c r="A2356" s="9" t="n">
        <v>39243</v>
      </c>
      <c r="B2356" s="7">
        <f>YEAR(A2356)</f>
        <v/>
      </c>
      <c r="C2356" s="7">
        <f>MONTH(A2356)</f>
        <v/>
      </c>
      <c r="D2356" s="10" t="n">
        <v>2.408762689</v>
      </c>
      <c r="E2356" s="11" t="n">
        <v>20.29839087</v>
      </c>
      <c r="F2356" s="12" t="n">
        <v>0.01940985738</v>
      </c>
      <c r="G2356" s="11" t="n">
        <v>294.3197706</v>
      </c>
      <c r="H2356" s="13">
        <f>F2356*1000</f>
        <v/>
      </c>
      <c r="I2356" s="14">
        <f>G2356-273.15</f>
        <v/>
      </c>
      <c r="K2356" s="15" t="n">
        <v>2007</v>
      </c>
      <c r="L2356" s="15" t="n">
        <v>7</v>
      </c>
      <c r="M2356" s="15" t="n">
        <v>12</v>
      </c>
      <c r="N2356" s="16" t="n">
        <v>0.0001487436093</v>
      </c>
      <c r="O2356" s="11" t="n">
        <v>295.9162114</v>
      </c>
      <c r="P2356" s="13">
        <f>N2356*86400</f>
        <v/>
      </c>
      <c r="Q2356" s="14">
        <f>O2356-273.15</f>
        <v/>
      </c>
    </row>
    <row r="2357">
      <c r="A2357" s="9" t="n">
        <v>39244</v>
      </c>
      <c r="B2357" s="7">
        <f>YEAR(A2357)</f>
        <v/>
      </c>
      <c r="C2357" s="7">
        <f>MONTH(A2357)</f>
        <v/>
      </c>
      <c r="D2357" s="10" t="n">
        <v>1.954654766</v>
      </c>
      <c r="E2357" s="11" t="n">
        <v>19.20175062</v>
      </c>
      <c r="F2357" s="12" t="n">
        <v>0.01405494506</v>
      </c>
      <c r="G2357" s="11" t="n">
        <v>293.5556954</v>
      </c>
      <c r="H2357" s="13">
        <f>F2357*1000</f>
        <v/>
      </c>
      <c r="I2357" s="14">
        <f>G2357-273.15</f>
        <v/>
      </c>
      <c r="K2357" s="15" t="n">
        <v>2007</v>
      </c>
      <c r="L2357" s="15" t="n">
        <v>7</v>
      </c>
      <c r="M2357" s="15" t="n">
        <v>13</v>
      </c>
      <c r="N2357" s="16" t="n">
        <v>6.595992927e-05</v>
      </c>
      <c r="O2357" s="11" t="n">
        <v>292.5880337</v>
      </c>
      <c r="P2357" s="13">
        <f>N2357*86400</f>
        <v/>
      </c>
      <c r="Q2357" s="14">
        <f>O2357-273.15</f>
        <v/>
      </c>
    </row>
    <row r="2358">
      <c r="A2358" s="9" t="n">
        <v>39245</v>
      </c>
      <c r="B2358" s="7">
        <f>YEAR(A2358)</f>
        <v/>
      </c>
      <c r="C2358" s="7">
        <f>MONTH(A2358)</f>
        <v/>
      </c>
      <c r="D2358" s="10" t="n">
        <v>4.275691062</v>
      </c>
      <c r="E2358" s="11" t="n">
        <v>18.59782948</v>
      </c>
      <c r="F2358" s="12" t="n">
        <v>0.02315706902</v>
      </c>
      <c r="G2358" s="11" t="n">
        <v>293.2726222</v>
      </c>
      <c r="H2358" s="13">
        <f>F2358*1000</f>
        <v/>
      </c>
      <c r="I2358" s="14">
        <f>G2358-273.15</f>
        <v/>
      </c>
      <c r="K2358" s="15" t="n">
        <v>2007</v>
      </c>
      <c r="L2358" s="15" t="n">
        <v>7</v>
      </c>
      <c r="M2358" s="15" t="n">
        <v>14</v>
      </c>
      <c r="N2358" s="16" t="n">
        <v>2.695193935e-05</v>
      </c>
      <c r="O2358" s="11" t="n">
        <v>291.3993531</v>
      </c>
      <c r="P2358" s="13">
        <f>N2358*86400</f>
        <v/>
      </c>
      <c r="Q2358" s="14">
        <f>O2358-273.15</f>
        <v/>
      </c>
    </row>
    <row r="2359">
      <c r="A2359" s="9" t="n">
        <v>39246</v>
      </c>
      <c r="B2359" s="7">
        <f>YEAR(A2359)</f>
        <v/>
      </c>
      <c r="C2359" s="7">
        <f>MONTH(A2359)</f>
        <v/>
      </c>
      <c r="D2359" s="10" t="n">
        <v>13.52663569</v>
      </c>
      <c r="E2359" s="11" t="n">
        <v>15.41951036</v>
      </c>
      <c r="F2359" s="12" t="n">
        <v>0.025923345</v>
      </c>
      <c r="G2359" s="11" t="n">
        <v>289.8500667</v>
      </c>
      <c r="H2359" s="13">
        <f>F2359*1000</f>
        <v/>
      </c>
      <c r="I2359" s="14">
        <f>G2359-273.15</f>
        <v/>
      </c>
      <c r="K2359" s="15" t="n">
        <v>2007</v>
      </c>
      <c r="L2359" s="15" t="n">
        <v>7</v>
      </c>
      <c r="M2359" s="15" t="n">
        <v>15</v>
      </c>
      <c r="N2359" s="16" t="n">
        <v>0.0001984900123</v>
      </c>
      <c r="O2359" s="11" t="n">
        <v>292.0113537</v>
      </c>
      <c r="P2359" s="13">
        <f>N2359*86400</f>
        <v/>
      </c>
      <c r="Q2359" s="14">
        <f>O2359-273.15</f>
        <v/>
      </c>
    </row>
    <row r="2360">
      <c r="A2360" s="9" t="n">
        <v>39247</v>
      </c>
      <c r="B2360" s="7">
        <f>YEAR(A2360)</f>
        <v/>
      </c>
      <c r="C2360" s="7">
        <f>MONTH(A2360)</f>
        <v/>
      </c>
      <c r="D2360" s="10" t="n">
        <v>2.298255952</v>
      </c>
      <c r="E2360" s="11" t="n">
        <v>13.32992649</v>
      </c>
      <c r="F2360" s="12" t="n">
        <v>0.007857377812999999</v>
      </c>
      <c r="G2360" s="11" t="n">
        <v>287.9822872</v>
      </c>
      <c r="H2360" s="13">
        <f>F2360*1000</f>
        <v/>
      </c>
      <c r="I2360" s="14">
        <f>G2360-273.15</f>
        <v/>
      </c>
      <c r="K2360" s="15" t="n">
        <v>2007</v>
      </c>
      <c r="L2360" s="15" t="n">
        <v>7</v>
      </c>
      <c r="M2360" s="15" t="n">
        <v>16</v>
      </c>
      <c r="N2360" s="16" t="n">
        <v>1.298755991e-05</v>
      </c>
      <c r="O2360" s="11" t="n">
        <v>292.0239262</v>
      </c>
      <c r="P2360" s="13">
        <f>N2360*86400</f>
        <v/>
      </c>
      <c r="Q2360" s="14">
        <f>O2360-273.15</f>
        <v/>
      </c>
    </row>
    <row r="2361">
      <c r="A2361" s="9" t="n">
        <v>39248</v>
      </c>
      <c r="B2361" s="7">
        <f>YEAR(A2361)</f>
        <v/>
      </c>
      <c r="C2361" s="7">
        <f>MONTH(A2361)</f>
        <v/>
      </c>
      <c r="D2361" s="10" t="n">
        <v>0</v>
      </c>
      <c r="E2361" s="11" t="n">
        <v>13.36300584</v>
      </c>
      <c r="F2361" s="12" t="n">
        <v>0</v>
      </c>
      <c r="G2361" s="11" t="n">
        <v>288.6677634</v>
      </c>
      <c r="H2361" s="13">
        <f>F2361*1000</f>
        <v/>
      </c>
      <c r="I2361" s="14">
        <f>G2361-273.15</f>
        <v/>
      </c>
      <c r="K2361" s="15" t="n">
        <v>2007</v>
      </c>
      <c r="L2361" s="15" t="n">
        <v>7</v>
      </c>
      <c r="M2361" s="15" t="n">
        <v>17</v>
      </c>
      <c r="N2361" s="16" t="n">
        <v>1.073927224e-05</v>
      </c>
      <c r="O2361" s="11" t="n">
        <v>291.448479</v>
      </c>
      <c r="P2361" s="13">
        <f>N2361*86400</f>
        <v/>
      </c>
      <c r="Q2361" s="14">
        <f>O2361-273.15</f>
        <v/>
      </c>
    </row>
    <row r="2362">
      <c r="A2362" s="9" t="n">
        <v>39249</v>
      </c>
      <c r="B2362" s="7">
        <f>YEAR(A2362)</f>
        <v/>
      </c>
      <c r="C2362" s="7">
        <f>MONTH(A2362)</f>
        <v/>
      </c>
      <c r="D2362" s="10" t="n">
        <v>0</v>
      </c>
      <c r="E2362" s="11" t="n">
        <v>12.21026675</v>
      </c>
      <c r="F2362" s="12" t="n">
        <v>0</v>
      </c>
      <c r="G2362" s="11" t="n">
        <v>287.940235</v>
      </c>
      <c r="H2362" s="13">
        <f>F2362*1000</f>
        <v/>
      </c>
      <c r="I2362" s="14">
        <f>G2362-273.15</f>
        <v/>
      </c>
      <c r="K2362" s="15" t="n">
        <v>2007</v>
      </c>
      <c r="L2362" s="15" t="n">
        <v>7</v>
      </c>
      <c r="M2362" s="15" t="n">
        <v>18</v>
      </c>
      <c r="N2362" s="16" t="n">
        <v>7.754116614e-05</v>
      </c>
      <c r="O2362" s="11" t="n">
        <v>291.2944506</v>
      </c>
      <c r="P2362" s="13">
        <f>N2362*86400</f>
        <v/>
      </c>
      <c r="Q2362" s="14">
        <f>O2362-273.15</f>
        <v/>
      </c>
    </row>
    <row r="2363">
      <c r="A2363" s="9" t="n">
        <v>39250</v>
      </c>
      <c r="B2363" s="7">
        <f>YEAR(A2363)</f>
        <v/>
      </c>
      <c r="C2363" s="7">
        <f>MONTH(A2363)</f>
        <v/>
      </c>
      <c r="D2363" s="10" t="n">
        <v>0</v>
      </c>
      <c r="E2363" s="11" t="n">
        <v>13.0829658</v>
      </c>
      <c r="F2363" s="12" t="n">
        <v>0.0001046790861</v>
      </c>
      <c r="G2363" s="11" t="n">
        <v>288.7985403</v>
      </c>
      <c r="H2363" s="13">
        <f>F2363*1000</f>
        <v/>
      </c>
      <c r="I2363" s="14">
        <f>G2363-273.15</f>
        <v/>
      </c>
      <c r="K2363" s="15" t="n">
        <v>2007</v>
      </c>
      <c r="L2363" s="15" t="n">
        <v>7</v>
      </c>
      <c r="M2363" s="15" t="n">
        <v>19</v>
      </c>
      <c r="N2363" s="16" t="n">
        <v>0.0001316041083</v>
      </c>
      <c r="O2363" s="11" t="n">
        <v>292.1502337</v>
      </c>
      <c r="P2363" s="13">
        <f>N2363*86400</f>
        <v/>
      </c>
      <c r="Q2363" s="14">
        <f>O2363-273.15</f>
        <v/>
      </c>
    </row>
    <row r="2364">
      <c r="A2364" s="9" t="n">
        <v>39251</v>
      </c>
      <c r="B2364" s="7">
        <f>YEAR(A2364)</f>
        <v/>
      </c>
      <c r="C2364" s="7">
        <f>MONTH(A2364)</f>
        <v/>
      </c>
      <c r="D2364" s="10" t="n">
        <v>0</v>
      </c>
      <c r="E2364" s="11" t="n">
        <v>16.26284071</v>
      </c>
      <c r="F2364" s="12" t="n">
        <v>0.003961095345</v>
      </c>
      <c r="G2364" s="11" t="n">
        <v>291.0781332</v>
      </c>
      <c r="H2364" s="13">
        <f>F2364*1000</f>
        <v/>
      </c>
      <c r="I2364" s="14">
        <f>G2364-273.15</f>
        <v/>
      </c>
      <c r="K2364" s="15" t="n">
        <v>2007</v>
      </c>
      <c r="L2364" s="15" t="n">
        <v>7</v>
      </c>
      <c r="M2364" s="15" t="n">
        <v>20</v>
      </c>
      <c r="N2364" s="16" t="n">
        <v>0.0002245133819</v>
      </c>
      <c r="O2364" s="11" t="n">
        <v>291.2145159</v>
      </c>
      <c r="P2364" s="13">
        <f>N2364*86400</f>
        <v/>
      </c>
      <c r="Q2364" s="14">
        <f>O2364-273.15</f>
        <v/>
      </c>
    </row>
    <row r="2365">
      <c r="A2365" s="9" t="n">
        <v>39252</v>
      </c>
      <c r="B2365" s="7">
        <f>YEAR(A2365)</f>
        <v/>
      </c>
      <c r="C2365" s="7">
        <f>MONTH(A2365)</f>
        <v/>
      </c>
      <c r="D2365" s="10" t="n">
        <v>21.99467168</v>
      </c>
      <c r="E2365" s="11" t="n">
        <v>17.44551087</v>
      </c>
      <c r="F2365" s="12" t="n">
        <v>0.01234168855</v>
      </c>
      <c r="G2365" s="11" t="n">
        <v>292.2886894</v>
      </c>
      <c r="H2365" s="13">
        <f>F2365*1000</f>
        <v/>
      </c>
      <c r="I2365" s="14">
        <f>G2365-273.15</f>
        <v/>
      </c>
      <c r="K2365" s="15" t="n">
        <v>2007</v>
      </c>
      <c r="L2365" s="15" t="n">
        <v>7</v>
      </c>
      <c r="M2365" s="15" t="n">
        <v>21</v>
      </c>
      <c r="N2365" s="16" t="n">
        <v>0.0006543562407</v>
      </c>
      <c r="O2365" s="11" t="n">
        <v>288.6148938</v>
      </c>
      <c r="P2365" s="13">
        <f>N2365*86400</f>
        <v/>
      </c>
      <c r="Q2365" s="14">
        <f>O2365-273.15</f>
        <v/>
      </c>
    </row>
    <row r="2366">
      <c r="A2366" s="9" t="n">
        <v>39253</v>
      </c>
      <c r="B2366" s="7">
        <f>YEAR(A2366)</f>
        <v/>
      </c>
      <c r="C2366" s="7">
        <f>MONTH(A2366)</f>
        <v/>
      </c>
      <c r="D2366" s="10" t="n">
        <v>3.656080429</v>
      </c>
      <c r="E2366" s="11" t="n">
        <v>18.70842641</v>
      </c>
      <c r="F2366" s="12" t="n">
        <v>0.005756399316</v>
      </c>
      <c r="G2366" s="11" t="n">
        <v>293.3106262</v>
      </c>
      <c r="H2366" s="13">
        <f>F2366*1000</f>
        <v/>
      </c>
      <c r="I2366" s="14">
        <f>G2366-273.15</f>
        <v/>
      </c>
      <c r="K2366" s="15" t="n">
        <v>2007</v>
      </c>
      <c r="L2366" s="15" t="n">
        <v>7</v>
      </c>
      <c r="M2366" s="15" t="n">
        <v>22</v>
      </c>
      <c r="N2366" s="16" t="n">
        <v>0.0001061792625</v>
      </c>
      <c r="O2366" s="11" t="n">
        <v>290.0848404</v>
      </c>
      <c r="P2366" s="13">
        <f>N2366*86400</f>
        <v/>
      </c>
      <c r="Q2366" s="14">
        <f>O2366-273.15</f>
        <v/>
      </c>
    </row>
    <row r="2367">
      <c r="A2367" s="9" t="n">
        <v>39254</v>
      </c>
      <c r="B2367" s="7">
        <f>YEAR(A2367)</f>
        <v/>
      </c>
      <c r="C2367" s="7">
        <f>MONTH(A2367)</f>
        <v/>
      </c>
      <c r="D2367" s="10" t="n">
        <v>8.6922289</v>
      </c>
      <c r="E2367" s="11" t="n">
        <v>17.71387124</v>
      </c>
      <c r="F2367" s="12" t="n">
        <v>0.0262816459</v>
      </c>
      <c r="G2367" s="11" t="n">
        <v>292.741031</v>
      </c>
      <c r="H2367" s="13">
        <f>F2367*1000</f>
        <v/>
      </c>
      <c r="I2367" s="14">
        <f>G2367-273.15</f>
        <v/>
      </c>
      <c r="K2367" s="15" t="n">
        <v>2007</v>
      </c>
      <c r="L2367" s="15" t="n">
        <v>7</v>
      </c>
      <c r="M2367" s="15" t="n">
        <v>23</v>
      </c>
      <c r="N2367" s="16" t="n">
        <v>0.0002806023304</v>
      </c>
      <c r="O2367" s="11" t="n">
        <v>288.9558777</v>
      </c>
      <c r="P2367" s="13">
        <f>N2367*86400</f>
        <v/>
      </c>
      <c r="Q2367" s="14">
        <f>O2367-273.15</f>
        <v/>
      </c>
    </row>
    <row r="2368">
      <c r="A2368" s="9" t="n">
        <v>39255</v>
      </c>
      <c r="B2368" s="7">
        <f>YEAR(A2368)</f>
        <v/>
      </c>
      <c r="C2368" s="7">
        <f>MONTH(A2368)</f>
        <v/>
      </c>
      <c r="D2368" s="10" t="n">
        <v>26.66638597</v>
      </c>
      <c r="E2368" s="11" t="n">
        <v>15.95548552</v>
      </c>
      <c r="F2368" s="12" t="n">
        <v>0.02121433443</v>
      </c>
      <c r="G2368" s="11" t="n">
        <v>290.9666291</v>
      </c>
      <c r="H2368" s="13">
        <f>F2368*1000</f>
        <v/>
      </c>
      <c r="I2368" s="14">
        <f>G2368-273.15</f>
        <v/>
      </c>
      <c r="K2368" s="15" t="n">
        <v>2007</v>
      </c>
      <c r="L2368" s="15" t="n">
        <v>7</v>
      </c>
      <c r="M2368" s="15" t="n">
        <v>24</v>
      </c>
      <c r="N2368" s="16" t="n">
        <v>0.0001381338806</v>
      </c>
      <c r="O2368" s="11" t="n">
        <v>289.2153918</v>
      </c>
      <c r="P2368" s="13">
        <f>N2368*86400</f>
        <v/>
      </c>
      <c r="Q2368" s="14">
        <f>O2368-273.15</f>
        <v/>
      </c>
    </row>
    <row r="2369">
      <c r="A2369" s="9" t="n">
        <v>39256</v>
      </c>
      <c r="B2369" s="7">
        <f>YEAR(A2369)</f>
        <v/>
      </c>
      <c r="C2369" s="7">
        <f>MONTH(A2369)</f>
        <v/>
      </c>
      <c r="D2369" s="10" t="n">
        <v>9.395265460999999</v>
      </c>
      <c r="E2369" s="11" t="n">
        <v>18.84688208</v>
      </c>
      <c r="F2369" s="12" t="n">
        <v>0.006747487312</v>
      </c>
      <c r="G2369" s="11" t="n">
        <v>292.8698473</v>
      </c>
      <c r="H2369" s="13">
        <f>F2369*1000</f>
        <v/>
      </c>
      <c r="I2369" s="14">
        <f>G2369-273.15</f>
        <v/>
      </c>
      <c r="K2369" s="15" t="n">
        <v>2007</v>
      </c>
      <c r="L2369" s="15" t="n">
        <v>7</v>
      </c>
      <c r="M2369" s="15" t="n">
        <v>25</v>
      </c>
      <c r="N2369" s="16" t="n">
        <v>5.577381591e-06</v>
      </c>
      <c r="O2369" s="11" t="n">
        <v>287.8658029</v>
      </c>
      <c r="P2369" s="13">
        <f>N2369*86400</f>
        <v/>
      </c>
      <c r="Q2369" s="14">
        <f>O2369-273.15</f>
        <v/>
      </c>
    </row>
    <row r="2370">
      <c r="A2370" s="9" t="n">
        <v>39257</v>
      </c>
      <c r="B2370" s="7">
        <f>YEAR(A2370)</f>
        <v/>
      </c>
      <c r="C2370" s="7">
        <f>MONTH(A2370)</f>
        <v/>
      </c>
      <c r="D2370" s="10" t="n">
        <v>0</v>
      </c>
      <c r="E2370" s="11" t="n">
        <v>18.59164672</v>
      </c>
      <c r="F2370" s="12" t="n">
        <v>0</v>
      </c>
      <c r="G2370" s="11" t="n">
        <v>293.506924</v>
      </c>
      <c r="H2370" s="13">
        <f>F2370*1000</f>
        <v/>
      </c>
      <c r="I2370" s="14">
        <f>G2370-273.15</f>
        <v/>
      </c>
      <c r="K2370" s="15" t="n">
        <v>2007</v>
      </c>
      <c r="L2370" s="15" t="n">
        <v>7</v>
      </c>
      <c r="M2370" s="15" t="n">
        <v>26</v>
      </c>
      <c r="N2370" s="16" t="n">
        <v>6.08933888e-05</v>
      </c>
      <c r="O2370" s="11" t="n">
        <v>289.5460312</v>
      </c>
      <c r="P2370" s="13">
        <f>N2370*86400</f>
        <v/>
      </c>
      <c r="Q2370" s="14">
        <f>O2370-273.15</f>
        <v/>
      </c>
    </row>
    <row r="2371">
      <c r="A2371" s="9" t="n">
        <v>39258</v>
      </c>
      <c r="B2371" s="7">
        <f>YEAR(A2371)</f>
        <v/>
      </c>
      <c r="C2371" s="7">
        <f>MONTH(A2371)</f>
        <v/>
      </c>
      <c r="D2371" s="10" t="n">
        <v>13.05147864</v>
      </c>
      <c r="E2371" s="11" t="n">
        <v>19.37074598</v>
      </c>
      <c r="F2371" s="12" t="n">
        <v>0.01838829449</v>
      </c>
      <c r="G2371" s="11" t="n">
        <v>293.2390284</v>
      </c>
      <c r="H2371" s="13">
        <f>F2371*1000</f>
        <v/>
      </c>
      <c r="I2371" s="14">
        <f>G2371-273.15</f>
        <v/>
      </c>
      <c r="K2371" s="15" t="n">
        <v>2007</v>
      </c>
      <c r="L2371" s="15" t="n">
        <v>7</v>
      </c>
      <c r="M2371" s="15" t="n">
        <v>27</v>
      </c>
      <c r="N2371" s="16" t="n">
        <v>0.0002703143396</v>
      </c>
      <c r="O2371" s="11" t="n">
        <v>288.3932992</v>
      </c>
      <c r="P2371" s="13">
        <f>N2371*86400</f>
        <v/>
      </c>
      <c r="Q2371" s="14">
        <f>O2371-273.15</f>
        <v/>
      </c>
    </row>
    <row r="2372">
      <c r="A2372" s="9" t="n">
        <v>39259</v>
      </c>
      <c r="B2372" s="7">
        <f>YEAR(A2372)</f>
        <v/>
      </c>
      <c r="C2372" s="7">
        <f>MONTH(A2372)</f>
        <v/>
      </c>
      <c r="D2372" s="10" t="n">
        <v>1.269893043</v>
      </c>
      <c r="E2372" s="11" t="n">
        <v>17.92218567</v>
      </c>
      <c r="F2372" s="12" t="n">
        <v>0.001485789037</v>
      </c>
      <c r="G2372" s="11" t="n">
        <v>291.8958267</v>
      </c>
      <c r="H2372" s="13">
        <f>F2372*1000</f>
        <v/>
      </c>
      <c r="I2372" s="14">
        <f>G2372-273.15</f>
        <v/>
      </c>
      <c r="K2372" s="15" t="n">
        <v>2007</v>
      </c>
      <c r="L2372" s="15" t="n">
        <v>7</v>
      </c>
      <c r="M2372" s="15" t="n">
        <v>28</v>
      </c>
      <c r="N2372" s="16" t="n">
        <v>6.48155746e-06</v>
      </c>
      <c r="O2372" s="11" t="n">
        <v>288.412717</v>
      </c>
      <c r="P2372" s="13">
        <f>N2372*86400</f>
        <v/>
      </c>
      <c r="Q2372" s="14">
        <f>O2372-273.15</f>
        <v/>
      </c>
    </row>
    <row r="2373">
      <c r="A2373" s="9" t="n">
        <v>39260</v>
      </c>
      <c r="B2373" s="7">
        <f>YEAR(A2373)</f>
        <v/>
      </c>
      <c r="C2373" s="7">
        <f>MONTH(A2373)</f>
        <v/>
      </c>
      <c r="D2373" s="10" t="n">
        <v>9.004029073</v>
      </c>
      <c r="E2373" s="11" t="n">
        <v>17.51441582</v>
      </c>
      <c r="F2373" s="12" t="n">
        <v>0.0005675266612999999</v>
      </c>
      <c r="G2373" s="11" t="n">
        <v>291.4731986</v>
      </c>
      <c r="H2373" s="13">
        <f>F2373*1000</f>
        <v/>
      </c>
      <c r="I2373" s="14">
        <f>G2373-273.15</f>
        <v/>
      </c>
      <c r="K2373" s="15" t="n">
        <v>2007</v>
      </c>
      <c r="L2373" s="15" t="n">
        <v>7</v>
      </c>
      <c r="M2373" s="15" t="n">
        <v>29</v>
      </c>
      <c r="N2373" s="16" t="n">
        <v>0</v>
      </c>
      <c r="O2373" s="11" t="n">
        <v>288.613788</v>
      </c>
      <c r="P2373" s="13">
        <f>N2373*86400</f>
        <v/>
      </c>
      <c r="Q2373" s="14">
        <f>O2373-273.15</f>
        <v/>
      </c>
    </row>
    <row r="2374">
      <c r="A2374" s="9" t="n">
        <v>39261</v>
      </c>
      <c r="B2374" s="7">
        <f>YEAR(A2374)</f>
        <v/>
      </c>
      <c r="C2374" s="7">
        <f>MONTH(A2374)</f>
        <v/>
      </c>
      <c r="D2374" s="10" t="n">
        <v>20.46644841</v>
      </c>
      <c r="E2374" s="11" t="n">
        <v>17.67931005</v>
      </c>
      <c r="F2374" s="12" t="n">
        <v>0.004857689704</v>
      </c>
      <c r="G2374" s="11" t="n">
        <v>290.9928459</v>
      </c>
      <c r="H2374" s="13">
        <f>F2374*1000</f>
        <v/>
      </c>
      <c r="I2374" s="14">
        <f>G2374-273.15</f>
        <v/>
      </c>
      <c r="K2374" s="15" t="n">
        <v>2007</v>
      </c>
      <c r="L2374" s="15" t="n">
        <v>7</v>
      </c>
      <c r="M2374" s="15" t="n">
        <v>30</v>
      </c>
      <c r="N2374" s="16" t="n">
        <v>8.147855870999999e-06</v>
      </c>
      <c r="O2374" s="11" t="n">
        <v>289.2224739</v>
      </c>
      <c r="P2374" s="13">
        <f>N2374*86400</f>
        <v/>
      </c>
      <c r="Q2374" s="14">
        <f>O2374-273.15</f>
        <v/>
      </c>
    </row>
    <row r="2375">
      <c r="A2375" s="9" t="n">
        <v>39262</v>
      </c>
      <c r="B2375" s="7">
        <f>YEAR(A2375)</f>
        <v/>
      </c>
      <c r="C2375" s="7">
        <f>MONTH(A2375)</f>
        <v/>
      </c>
      <c r="D2375" s="10" t="n">
        <v>34.31311628</v>
      </c>
      <c r="E2375" s="11" t="n">
        <v>17.61612526</v>
      </c>
      <c r="F2375" s="12" t="n">
        <v>0.01540391388</v>
      </c>
      <c r="G2375" s="11" t="n">
        <v>291.8748709</v>
      </c>
      <c r="H2375" s="13">
        <f>F2375*1000</f>
        <v/>
      </c>
      <c r="I2375" s="14">
        <f>G2375-273.15</f>
        <v/>
      </c>
      <c r="K2375" s="15" t="n">
        <v>2007</v>
      </c>
      <c r="L2375" s="15" t="n">
        <v>8</v>
      </c>
      <c r="M2375" s="15" t="n">
        <v>1</v>
      </c>
      <c r="N2375" s="16" t="n">
        <v>0.0001220902331</v>
      </c>
      <c r="O2375" s="11" t="n">
        <v>290.7463027</v>
      </c>
      <c r="P2375" s="13">
        <f>N2375*86400</f>
        <v/>
      </c>
      <c r="Q2375" s="14">
        <f>O2375-273.15</f>
        <v/>
      </c>
    </row>
    <row r="2376">
      <c r="A2376" s="9" t="n">
        <v>39263</v>
      </c>
      <c r="B2376" s="7">
        <f>YEAR(A2376)</f>
        <v/>
      </c>
      <c r="C2376" s="7">
        <f>MONTH(A2376)</f>
        <v/>
      </c>
      <c r="D2376" s="10" t="n">
        <v>11.34818124</v>
      </c>
      <c r="E2376" s="11" t="n">
        <v>17.62078838</v>
      </c>
      <c r="F2376" s="12" t="n">
        <v>0.005255173765</v>
      </c>
      <c r="G2376" s="11" t="n">
        <v>292.8957233</v>
      </c>
      <c r="H2376" s="13">
        <f>F2376*1000</f>
        <v/>
      </c>
      <c r="I2376" s="14">
        <f>G2376-273.15</f>
        <v/>
      </c>
      <c r="K2376" s="15" t="n">
        <v>2007</v>
      </c>
      <c r="L2376" s="15" t="n">
        <v>8</v>
      </c>
      <c r="M2376" s="15" t="n">
        <v>2</v>
      </c>
      <c r="N2376" s="16" t="n">
        <v>0.0001616967359</v>
      </c>
      <c r="O2376" s="11" t="n">
        <v>291.2956588</v>
      </c>
      <c r="P2376" s="13">
        <f>N2376*86400</f>
        <v/>
      </c>
      <c r="Q2376" s="14">
        <f>O2376-273.15</f>
        <v/>
      </c>
    </row>
    <row r="2377">
      <c r="A2377" s="9" t="n">
        <v>39264</v>
      </c>
      <c r="B2377" s="7">
        <f>YEAR(A2377)</f>
        <v/>
      </c>
      <c r="C2377" s="7">
        <f>MONTH(A2377)</f>
        <v/>
      </c>
      <c r="D2377" s="10" t="n">
        <v>49.53006199</v>
      </c>
      <c r="E2377" s="11" t="n">
        <v>16.02930901</v>
      </c>
      <c r="F2377" s="12" t="n">
        <v>0.03725771437</v>
      </c>
      <c r="G2377" s="11" t="n">
        <v>291.5834695</v>
      </c>
      <c r="H2377" s="13">
        <f>F2377*1000</f>
        <v/>
      </c>
      <c r="I2377" s="14">
        <f>G2377-273.15</f>
        <v/>
      </c>
      <c r="K2377" s="15" t="n">
        <v>2007</v>
      </c>
      <c r="L2377" s="15" t="n">
        <v>8</v>
      </c>
      <c r="M2377" s="15" t="n">
        <v>3</v>
      </c>
      <c r="N2377" s="16" t="n">
        <v>9.79367763e-05</v>
      </c>
      <c r="O2377" s="11" t="n">
        <v>289.7501028</v>
      </c>
      <c r="P2377" s="13">
        <f>N2377*86400</f>
        <v/>
      </c>
      <c r="Q2377" s="14">
        <f>O2377-273.15</f>
        <v/>
      </c>
    </row>
    <row r="2378">
      <c r="A2378" s="9" t="n">
        <v>39265</v>
      </c>
      <c r="B2378" s="7">
        <f>YEAR(A2378)</f>
        <v/>
      </c>
      <c r="C2378" s="7">
        <f>MONTH(A2378)</f>
        <v/>
      </c>
      <c r="D2378" s="10" t="n">
        <v>46.17842388</v>
      </c>
      <c r="E2378" s="11" t="n">
        <v>15.57951268</v>
      </c>
      <c r="F2378" s="12" t="n">
        <v>0.03877810985</v>
      </c>
      <c r="G2378" s="11" t="n">
        <v>290.5987191</v>
      </c>
      <c r="H2378" s="13">
        <f>F2378*1000</f>
        <v/>
      </c>
      <c r="I2378" s="14">
        <f>G2378-273.15</f>
        <v/>
      </c>
      <c r="K2378" s="15" t="n">
        <v>2007</v>
      </c>
      <c r="L2378" s="15" t="n">
        <v>8</v>
      </c>
      <c r="M2378" s="15" t="n">
        <v>4</v>
      </c>
      <c r="N2378" s="16" t="n">
        <v>8.218873941999999e-05</v>
      </c>
      <c r="O2378" s="11" t="n">
        <v>287.8520082</v>
      </c>
      <c r="P2378" s="13">
        <f>N2378*86400</f>
        <v/>
      </c>
      <c r="Q2378" s="14">
        <f>O2378-273.15</f>
        <v/>
      </c>
    </row>
    <row r="2379">
      <c r="A2379" s="9" t="n">
        <v>39266</v>
      </c>
      <c r="B2379" s="7">
        <f>YEAR(A2379)</f>
        <v/>
      </c>
      <c r="C2379" s="7">
        <f>MONTH(A2379)</f>
        <v/>
      </c>
      <c r="D2379" s="10" t="n">
        <v>4.335210826</v>
      </c>
      <c r="E2379" s="11" t="n">
        <v>14.97062218</v>
      </c>
      <c r="F2379" s="12" t="n">
        <v>0.008926126947999999</v>
      </c>
      <c r="G2379" s="11" t="n">
        <v>290.4990857</v>
      </c>
      <c r="H2379" s="13">
        <f>F2379*1000</f>
        <v/>
      </c>
      <c r="I2379" s="14">
        <f>G2379-273.15</f>
        <v/>
      </c>
      <c r="K2379" s="15" t="n">
        <v>2007</v>
      </c>
      <c r="L2379" s="15" t="n">
        <v>8</v>
      </c>
      <c r="M2379" s="15" t="n">
        <v>5</v>
      </c>
      <c r="N2379" s="16" t="n">
        <v>0.0003280919842</v>
      </c>
      <c r="O2379" s="11" t="n">
        <v>288.8271999</v>
      </c>
      <c r="P2379" s="13">
        <f>N2379*86400</f>
        <v/>
      </c>
      <c r="Q2379" s="14">
        <f>O2379-273.15</f>
        <v/>
      </c>
    </row>
    <row r="2380">
      <c r="A2380" s="9" t="n">
        <v>39267</v>
      </c>
      <c r="B2380" s="7">
        <f>YEAR(A2380)</f>
        <v/>
      </c>
      <c r="C2380" s="7">
        <f>MONTH(A2380)</f>
        <v/>
      </c>
      <c r="D2380" s="10" t="n">
        <v>34.44788127</v>
      </c>
      <c r="E2380" s="11" t="n">
        <v>18.24053775</v>
      </c>
      <c r="F2380" s="12" t="n">
        <v>0.04422755913</v>
      </c>
      <c r="G2380" s="11" t="n">
        <v>293.954451</v>
      </c>
      <c r="H2380" s="13">
        <f>F2380*1000</f>
        <v/>
      </c>
      <c r="I2380" s="14">
        <f>G2380-273.15</f>
        <v/>
      </c>
      <c r="K2380" s="15" t="n">
        <v>2007</v>
      </c>
      <c r="L2380" s="15" t="n">
        <v>8</v>
      </c>
      <c r="M2380" s="15" t="n">
        <v>6</v>
      </c>
      <c r="N2380" s="16" t="n">
        <v>3.653630362e-05</v>
      </c>
      <c r="O2380" s="11" t="n">
        <v>291.1046705</v>
      </c>
      <c r="P2380" s="13">
        <f>N2380*86400</f>
        <v/>
      </c>
      <c r="Q2380" s="14">
        <f>O2380-273.15</f>
        <v/>
      </c>
    </row>
    <row r="2381">
      <c r="A2381" s="9" t="n">
        <v>39268</v>
      </c>
      <c r="B2381" s="7">
        <f>YEAR(A2381)</f>
        <v/>
      </c>
      <c r="C2381" s="7">
        <f>MONTH(A2381)</f>
        <v/>
      </c>
      <c r="D2381" s="10" t="n">
        <v>4.834169086</v>
      </c>
      <c r="E2381" s="11" t="n">
        <v>17.73059164</v>
      </c>
      <c r="F2381" s="12" t="n">
        <v>0.0117855919</v>
      </c>
      <c r="G2381" s="11" t="n">
        <v>293.3913128</v>
      </c>
      <c r="H2381" s="13">
        <f>F2381*1000</f>
        <v/>
      </c>
      <c r="I2381" s="14">
        <f>G2381-273.15</f>
        <v/>
      </c>
      <c r="K2381" s="15" t="n">
        <v>2007</v>
      </c>
      <c r="L2381" s="15" t="n">
        <v>8</v>
      </c>
      <c r="M2381" s="15" t="n">
        <v>7</v>
      </c>
      <c r="N2381" s="16" t="n">
        <v>0.0002148520064</v>
      </c>
      <c r="O2381" s="11" t="n">
        <v>291.0581983</v>
      </c>
      <c r="P2381" s="13">
        <f>N2381*86400</f>
        <v/>
      </c>
      <c r="Q2381" s="14">
        <f>O2381-273.15</f>
        <v/>
      </c>
    </row>
    <row r="2382">
      <c r="A2382" s="9" t="n">
        <v>39269</v>
      </c>
      <c r="B2382" s="7">
        <f>YEAR(A2382)</f>
        <v/>
      </c>
      <c r="C2382" s="7">
        <f>MONTH(A2382)</f>
        <v/>
      </c>
      <c r="D2382" s="10" t="n">
        <v>15.85299218</v>
      </c>
      <c r="E2382" s="11" t="n">
        <v>17.03983754</v>
      </c>
      <c r="F2382" s="12" t="n">
        <v>0.009522989880000001</v>
      </c>
      <c r="G2382" s="11" t="n">
        <v>292.6385379</v>
      </c>
      <c r="H2382" s="13">
        <f>F2382*1000</f>
        <v/>
      </c>
      <c r="I2382" s="14">
        <f>G2382-273.15</f>
        <v/>
      </c>
      <c r="K2382" s="15" t="n">
        <v>2007</v>
      </c>
      <c r="L2382" s="15" t="n">
        <v>8</v>
      </c>
      <c r="M2382" s="15" t="n">
        <v>8</v>
      </c>
      <c r="N2382" s="16" t="n">
        <v>8.26764925e-05</v>
      </c>
      <c r="O2382" s="11" t="n">
        <v>291.6066764</v>
      </c>
      <c r="P2382" s="13">
        <f>N2382*86400</f>
        <v/>
      </c>
      <c r="Q2382" s="14">
        <f>O2382-273.15</f>
        <v/>
      </c>
    </row>
    <row r="2383">
      <c r="A2383" s="9" t="n">
        <v>39270</v>
      </c>
      <c r="B2383" s="7">
        <f>YEAR(A2383)</f>
        <v/>
      </c>
      <c r="C2383" s="7">
        <f>MONTH(A2383)</f>
        <v/>
      </c>
      <c r="D2383" s="10" t="n">
        <v>5.725346532</v>
      </c>
      <c r="E2383" s="11" t="n">
        <v>19.66436203</v>
      </c>
      <c r="F2383" s="12" t="n">
        <v>0.0009624873828</v>
      </c>
      <c r="G2383" s="11" t="n">
        <v>295.1292111</v>
      </c>
      <c r="H2383" s="13">
        <f>F2383*1000</f>
        <v/>
      </c>
      <c r="I2383" s="14">
        <f>G2383-273.15</f>
        <v/>
      </c>
      <c r="K2383" s="15" t="n">
        <v>2007</v>
      </c>
      <c r="L2383" s="15" t="n">
        <v>8</v>
      </c>
      <c r="M2383" s="15" t="n">
        <v>9</v>
      </c>
      <c r="N2383" s="16" t="n">
        <v>7.424118897e-05</v>
      </c>
      <c r="O2383" s="11" t="n">
        <v>290.9280058</v>
      </c>
      <c r="P2383" s="13">
        <f>N2383*86400</f>
        <v/>
      </c>
      <c r="Q2383" s="14">
        <f>O2383-273.15</f>
        <v/>
      </c>
    </row>
    <row r="2384">
      <c r="A2384" s="9" t="n">
        <v>39271</v>
      </c>
      <c r="B2384" s="7">
        <f>YEAR(A2384)</f>
        <v/>
      </c>
      <c r="C2384" s="7">
        <f>MONTH(A2384)</f>
        <v/>
      </c>
      <c r="D2384" s="10" t="n">
        <v>8.594897823</v>
      </c>
      <c r="E2384" s="11" t="n">
        <v>17.37961781</v>
      </c>
      <c r="F2384" s="12" t="n">
        <v>0.0163827498</v>
      </c>
      <c r="G2384" s="11" t="n">
        <v>293.1889396</v>
      </c>
      <c r="H2384" s="13">
        <f>F2384*1000</f>
        <v/>
      </c>
      <c r="I2384" s="14">
        <f>G2384-273.15</f>
        <v/>
      </c>
      <c r="K2384" s="15" t="n">
        <v>2007</v>
      </c>
      <c r="L2384" s="15" t="n">
        <v>8</v>
      </c>
      <c r="M2384" s="15" t="n">
        <v>10</v>
      </c>
      <c r="N2384" s="16" t="n">
        <v>0.0001941921988</v>
      </c>
      <c r="O2384" s="11" t="n">
        <v>292.0850437</v>
      </c>
      <c r="P2384" s="13">
        <f>N2384*86400</f>
        <v/>
      </c>
      <c r="Q2384" s="14">
        <f>O2384-273.15</f>
        <v/>
      </c>
    </row>
    <row r="2385">
      <c r="A2385" s="9" t="n">
        <v>39272</v>
      </c>
      <c r="B2385" s="7">
        <f>YEAR(A2385)</f>
        <v/>
      </c>
      <c r="C2385" s="7">
        <f>MONTH(A2385)</f>
        <v/>
      </c>
      <c r="D2385" s="10" t="n">
        <v>140.6204618</v>
      </c>
      <c r="E2385" s="11" t="n">
        <v>16.91957683</v>
      </c>
      <c r="F2385" s="12" t="n">
        <v>0.08790006904</v>
      </c>
      <c r="G2385" s="11" t="n">
        <v>292.8353542</v>
      </c>
      <c r="H2385" s="13">
        <f>F2385*1000</f>
        <v/>
      </c>
      <c r="I2385" s="14">
        <f>G2385-273.15</f>
        <v/>
      </c>
      <c r="K2385" s="15" t="n">
        <v>2007</v>
      </c>
      <c r="L2385" s="15" t="n">
        <v>8</v>
      </c>
      <c r="M2385" s="15" t="n">
        <v>11</v>
      </c>
      <c r="N2385" s="16" t="n">
        <v>0.0001003193523</v>
      </c>
      <c r="O2385" s="11" t="n">
        <v>292.9345318</v>
      </c>
      <c r="P2385" s="13">
        <f>N2385*86400</f>
        <v/>
      </c>
      <c r="Q2385" s="14">
        <f>O2385-273.15</f>
        <v/>
      </c>
    </row>
    <row r="2386">
      <c r="A2386" s="9" t="n">
        <v>39273</v>
      </c>
      <c r="B2386" s="7">
        <f>YEAR(A2386)</f>
        <v/>
      </c>
      <c r="C2386" s="7">
        <f>MONTH(A2386)</f>
        <v/>
      </c>
      <c r="D2386" s="10" t="n">
        <v>42.00018827</v>
      </c>
      <c r="E2386" s="11" t="n">
        <v>16.39979437</v>
      </c>
      <c r="F2386" s="12" t="n">
        <v>0.03399115156</v>
      </c>
      <c r="G2386" s="11" t="n">
        <v>292.7785396</v>
      </c>
      <c r="H2386" s="13">
        <f>F2386*1000</f>
        <v/>
      </c>
      <c r="I2386" s="14">
        <f>G2386-273.15</f>
        <v/>
      </c>
      <c r="K2386" s="15" t="n">
        <v>2007</v>
      </c>
      <c r="L2386" s="15" t="n">
        <v>8</v>
      </c>
      <c r="M2386" s="15" t="n">
        <v>12</v>
      </c>
      <c r="N2386" s="16" t="n">
        <v>9.720712941e-05</v>
      </c>
      <c r="O2386" s="11" t="n">
        <v>289.8966409</v>
      </c>
      <c r="P2386" s="13">
        <f>N2386*86400</f>
        <v/>
      </c>
      <c r="Q2386" s="14">
        <f>O2386-273.15</f>
        <v/>
      </c>
    </row>
    <row r="2387">
      <c r="A2387" s="9" t="n">
        <v>39274</v>
      </c>
      <c r="B2387" s="7">
        <f>YEAR(A2387)</f>
        <v/>
      </c>
      <c r="C2387" s="7">
        <f>MONTH(A2387)</f>
        <v/>
      </c>
      <c r="D2387" s="10" t="n">
        <v>4.840586536</v>
      </c>
      <c r="E2387" s="11" t="n">
        <v>16.17693132</v>
      </c>
      <c r="F2387" s="12" t="n">
        <v>0.005446583693</v>
      </c>
      <c r="G2387" s="11" t="n">
        <v>291.9344931</v>
      </c>
      <c r="H2387" s="13">
        <f>F2387*1000</f>
        <v/>
      </c>
      <c r="I2387" s="14">
        <f>G2387-273.15</f>
        <v/>
      </c>
      <c r="K2387" s="15" t="n">
        <v>2007</v>
      </c>
      <c r="L2387" s="15" t="n">
        <v>8</v>
      </c>
      <c r="M2387" s="15" t="n">
        <v>13</v>
      </c>
      <c r="N2387" s="16" t="n">
        <v>0.0001581648283</v>
      </c>
      <c r="O2387" s="11" t="n">
        <v>289.9223987</v>
      </c>
      <c r="P2387" s="13">
        <f>N2387*86400</f>
        <v/>
      </c>
      <c r="Q2387" s="14">
        <f>O2387-273.15</f>
        <v/>
      </c>
    </row>
    <row r="2388">
      <c r="A2388" s="9" t="n">
        <v>39275</v>
      </c>
      <c r="B2388" s="7">
        <f>YEAR(A2388)</f>
        <v/>
      </c>
      <c r="C2388" s="7">
        <f>MONTH(A2388)</f>
        <v/>
      </c>
      <c r="D2388" s="10" t="n">
        <v>0</v>
      </c>
      <c r="E2388" s="11" t="n">
        <v>15.22377922</v>
      </c>
      <c r="F2388" s="12" t="n">
        <v>0.0007680021702</v>
      </c>
      <c r="G2388" s="11" t="n">
        <v>290.7151955</v>
      </c>
      <c r="H2388" s="13">
        <f>F2388*1000</f>
        <v/>
      </c>
      <c r="I2388" s="14">
        <f>G2388-273.15</f>
        <v/>
      </c>
      <c r="K2388" s="15" t="n">
        <v>2007</v>
      </c>
      <c r="L2388" s="15" t="n">
        <v>8</v>
      </c>
      <c r="M2388" s="15" t="n">
        <v>14</v>
      </c>
      <c r="N2388" s="16" t="n">
        <v>0.0002085443977</v>
      </c>
      <c r="O2388" s="11" t="n">
        <v>287.469588</v>
      </c>
      <c r="P2388" s="13">
        <f>N2388*86400</f>
        <v/>
      </c>
      <c r="Q2388" s="14">
        <f>O2388-273.15</f>
        <v/>
      </c>
    </row>
    <row r="2389">
      <c r="A2389" s="9" t="n">
        <v>39276</v>
      </c>
      <c r="B2389" s="7">
        <f>YEAR(A2389)</f>
        <v/>
      </c>
      <c r="C2389" s="7">
        <f>MONTH(A2389)</f>
        <v/>
      </c>
      <c r="D2389" s="10" t="n">
        <v>0</v>
      </c>
      <c r="E2389" s="11" t="n">
        <v>17.10203334</v>
      </c>
      <c r="F2389" s="12" t="n">
        <v>0.002062289049</v>
      </c>
      <c r="G2389" s="11" t="n">
        <v>293.046603</v>
      </c>
      <c r="H2389" s="13">
        <f>F2389*1000</f>
        <v/>
      </c>
      <c r="I2389" s="14">
        <f>G2389-273.15</f>
        <v/>
      </c>
      <c r="K2389" s="15" t="n">
        <v>2007</v>
      </c>
      <c r="L2389" s="15" t="n">
        <v>8</v>
      </c>
      <c r="M2389" s="15" t="n">
        <v>15</v>
      </c>
      <c r="N2389" s="16" t="n">
        <v>0.0001109445336</v>
      </c>
      <c r="O2389" s="11" t="n">
        <v>287.1865982</v>
      </c>
      <c r="P2389" s="13">
        <f>N2389*86400</f>
        <v/>
      </c>
      <c r="Q2389" s="14">
        <f>O2389-273.15</f>
        <v/>
      </c>
    </row>
    <row r="2390">
      <c r="A2390" s="9" t="n">
        <v>39277</v>
      </c>
      <c r="B2390" s="7">
        <f>YEAR(A2390)</f>
        <v/>
      </c>
      <c r="C2390" s="7">
        <f>MONTH(A2390)</f>
        <v/>
      </c>
      <c r="D2390" s="10" t="n">
        <v>0.943493403</v>
      </c>
      <c r="E2390" s="11" t="n">
        <v>18.43358585</v>
      </c>
      <c r="F2390" s="12" t="n">
        <v>0.0007763336252</v>
      </c>
      <c r="G2390" s="11" t="n">
        <v>293.5226169</v>
      </c>
      <c r="H2390" s="13">
        <f>F2390*1000</f>
        <v/>
      </c>
      <c r="I2390" s="14">
        <f>G2390-273.15</f>
        <v/>
      </c>
      <c r="K2390" s="15" t="n">
        <v>2007</v>
      </c>
      <c r="L2390" s="15" t="n">
        <v>8</v>
      </c>
      <c r="M2390" s="15" t="n">
        <v>16</v>
      </c>
      <c r="N2390" s="16" t="n">
        <v>0.0003435946692</v>
      </c>
      <c r="O2390" s="11" t="n">
        <v>286.7777149</v>
      </c>
      <c r="P2390" s="13">
        <f>N2390*86400</f>
        <v/>
      </c>
      <c r="Q2390" s="14">
        <f>O2390-273.15</f>
        <v/>
      </c>
    </row>
    <row r="2391">
      <c r="A2391" s="9" t="n">
        <v>39278</v>
      </c>
      <c r="B2391" s="7">
        <f>YEAR(A2391)</f>
        <v/>
      </c>
      <c r="C2391" s="7">
        <f>MONTH(A2391)</f>
        <v/>
      </c>
      <c r="D2391" s="10" t="n">
        <v>16.33076652</v>
      </c>
      <c r="E2391" s="11" t="n">
        <v>18.57819708</v>
      </c>
      <c r="F2391" s="12" t="n">
        <v>0.02826189206</v>
      </c>
      <c r="G2391" s="11" t="n">
        <v>293.4179748</v>
      </c>
      <c r="H2391" s="13">
        <f>F2391*1000</f>
        <v/>
      </c>
      <c r="I2391" s="14">
        <f>G2391-273.15</f>
        <v/>
      </c>
      <c r="K2391" s="15" t="n">
        <v>2007</v>
      </c>
      <c r="L2391" s="15" t="n">
        <v>8</v>
      </c>
      <c r="M2391" s="15" t="n">
        <v>17</v>
      </c>
      <c r="N2391" s="16" t="n">
        <v>0.0001853032645</v>
      </c>
      <c r="O2391" s="11" t="n">
        <v>289.1369596</v>
      </c>
      <c r="P2391" s="13">
        <f>N2391*86400</f>
        <v/>
      </c>
      <c r="Q2391" s="14">
        <f>O2391-273.15</f>
        <v/>
      </c>
    </row>
    <row r="2392">
      <c r="A2392" s="9" t="n">
        <v>39279</v>
      </c>
      <c r="B2392" s="7">
        <f>YEAR(A2392)</f>
        <v/>
      </c>
      <c r="C2392" s="7">
        <f>MONTH(A2392)</f>
        <v/>
      </c>
      <c r="D2392" s="10" t="n">
        <v>14.14849919</v>
      </c>
      <c r="E2392" s="11" t="n">
        <v>19.50639103</v>
      </c>
      <c r="F2392" s="12" t="n">
        <v>0.007105661724</v>
      </c>
      <c r="G2392" s="11" t="n">
        <v>294.4703122</v>
      </c>
      <c r="H2392" s="13">
        <f>F2392*1000</f>
        <v/>
      </c>
      <c r="I2392" s="14">
        <f>G2392-273.15</f>
        <v/>
      </c>
      <c r="K2392" s="15" t="n">
        <v>2007</v>
      </c>
      <c r="L2392" s="15" t="n">
        <v>8</v>
      </c>
      <c r="M2392" s="15" t="n">
        <v>18</v>
      </c>
      <c r="N2392" s="16" t="n">
        <v>3.474821057e-05</v>
      </c>
      <c r="O2392" s="11" t="n">
        <v>290.7928545</v>
      </c>
      <c r="P2392" s="13">
        <f>N2392*86400</f>
        <v/>
      </c>
      <c r="Q2392" s="14">
        <f>O2392-273.15</f>
        <v/>
      </c>
    </row>
    <row r="2393">
      <c r="A2393" s="9" t="n">
        <v>39280</v>
      </c>
      <c r="B2393" s="7">
        <f>YEAR(A2393)</f>
        <v/>
      </c>
      <c r="C2393" s="7">
        <f>MONTH(A2393)</f>
        <v/>
      </c>
      <c r="D2393" s="10" t="n">
        <v>0</v>
      </c>
      <c r="E2393" s="11" t="n">
        <v>17.42069623</v>
      </c>
      <c r="F2393" s="12" t="n">
        <v>6.089277015e-06</v>
      </c>
      <c r="G2393" s="11" t="n">
        <v>292.151593</v>
      </c>
      <c r="H2393" s="13">
        <f>F2393*1000</f>
        <v/>
      </c>
      <c r="I2393" s="14">
        <f>G2393-273.15</f>
        <v/>
      </c>
      <c r="K2393" s="15" t="n">
        <v>2007</v>
      </c>
      <c r="L2393" s="15" t="n">
        <v>8</v>
      </c>
      <c r="M2393" s="15" t="n">
        <v>19</v>
      </c>
      <c r="N2393" s="16" t="n">
        <v>9.72622984e-05</v>
      </c>
      <c r="O2393" s="11" t="n">
        <v>290.351263</v>
      </c>
      <c r="P2393" s="13">
        <f>N2393*86400</f>
        <v/>
      </c>
      <c r="Q2393" s="14">
        <f>O2393-273.15</f>
        <v/>
      </c>
    </row>
    <row r="2394">
      <c r="A2394" s="9" t="n">
        <v>39281</v>
      </c>
      <c r="B2394" s="7">
        <f>YEAR(A2394)</f>
        <v/>
      </c>
      <c r="C2394" s="7">
        <f>MONTH(A2394)</f>
        <v/>
      </c>
      <c r="D2394" s="10" t="n">
        <v>25.62740508</v>
      </c>
      <c r="E2394" s="11" t="n">
        <v>15.30614623</v>
      </c>
      <c r="F2394" s="12" t="n">
        <v>0.02189374682</v>
      </c>
      <c r="G2394" s="11" t="n">
        <v>291.5485277</v>
      </c>
      <c r="H2394" s="13">
        <f>F2394*1000</f>
        <v/>
      </c>
      <c r="I2394" s="14">
        <f>G2394-273.15</f>
        <v/>
      </c>
      <c r="K2394" s="15" t="n">
        <v>2007</v>
      </c>
      <c r="L2394" s="15" t="n">
        <v>8</v>
      </c>
      <c r="M2394" s="15" t="n">
        <v>20</v>
      </c>
      <c r="N2394" s="16" t="n">
        <v>2.702255456e-05</v>
      </c>
      <c r="O2394" s="11" t="n">
        <v>288.3805523</v>
      </c>
      <c r="P2394" s="13">
        <f>N2394*86400</f>
        <v/>
      </c>
      <c r="Q2394" s="14">
        <f>O2394-273.15</f>
        <v/>
      </c>
    </row>
    <row r="2395">
      <c r="A2395" s="9" t="n">
        <v>39282</v>
      </c>
      <c r="B2395" s="7">
        <f>YEAR(A2395)</f>
        <v/>
      </c>
      <c r="C2395" s="7">
        <f>MONTH(A2395)</f>
        <v/>
      </c>
      <c r="D2395" s="10" t="n">
        <v>0</v>
      </c>
      <c r="E2395" s="11" t="n">
        <v>16.80049778</v>
      </c>
      <c r="F2395" s="12" t="n">
        <v>0.001695021319</v>
      </c>
      <c r="G2395" s="11" t="n">
        <v>293.4577313</v>
      </c>
      <c r="H2395" s="13">
        <f>F2395*1000</f>
        <v/>
      </c>
      <c r="I2395" s="14">
        <f>G2395-273.15</f>
        <v/>
      </c>
      <c r="K2395" s="15" t="n">
        <v>2007</v>
      </c>
      <c r="L2395" s="15" t="n">
        <v>8</v>
      </c>
      <c r="M2395" s="15" t="n">
        <v>21</v>
      </c>
      <c r="N2395" s="16" t="n">
        <v>4.494765061e-05</v>
      </c>
      <c r="O2395" s="11" t="n">
        <v>288.4186139</v>
      </c>
      <c r="P2395" s="13">
        <f>N2395*86400</f>
        <v/>
      </c>
      <c r="Q2395" s="14">
        <f>O2395-273.15</f>
        <v/>
      </c>
    </row>
    <row r="2396">
      <c r="A2396" s="9" t="n">
        <v>39283</v>
      </c>
      <c r="B2396" s="7">
        <f>YEAR(A2396)</f>
        <v/>
      </c>
      <c r="C2396" s="7">
        <f>MONTH(A2396)</f>
        <v/>
      </c>
      <c r="D2396" s="10" t="n">
        <v>0</v>
      </c>
      <c r="E2396" s="11" t="n">
        <v>16.9933218</v>
      </c>
      <c r="F2396" s="12" t="n">
        <v>0</v>
      </c>
      <c r="G2396" s="11" t="n">
        <v>293.7558769</v>
      </c>
      <c r="H2396" s="13">
        <f>F2396*1000</f>
        <v/>
      </c>
      <c r="I2396" s="14">
        <f>G2396-273.15</f>
        <v/>
      </c>
      <c r="K2396" s="15" t="n">
        <v>2007</v>
      </c>
      <c r="L2396" s="15" t="n">
        <v>8</v>
      </c>
      <c r="M2396" s="15" t="n">
        <v>22</v>
      </c>
      <c r="N2396" s="16" t="n">
        <v>8.516082929e-05</v>
      </c>
      <c r="O2396" s="11" t="n">
        <v>289.5226257</v>
      </c>
      <c r="P2396" s="13">
        <f>N2396*86400</f>
        <v/>
      </c>
      <c r="Q2396" s="14">
        <f>O2396-273.15</f>
        <v/>
      </c>
    </row>
    <row r="2397">
      <c r="A2397" s="9" t="n">
        <v>39284</v>
      </c>
      <c r="B2397" s="7">
        <f>YEAR(A2397)</f>
        <v/>
      </c>
      <c r="C2397" s="7">
        <f>MONTH(A2397)</f>
        <v/>
      </c>
      <c r="D2397" s="10" t="n">
        <v>4.188057006</v>
      </c>
      <c r="E2397" s="11" t="n">
        <v>17.30946275</v>
      </c>
      <c r="F2397" s="12" t="n">
        <v>0.001400628513</v>
      </c>
      <c r="G2397" s="11" t="n">
        <v>293.9153777</v>
      </c>
      <c r="H2397" s="13">
        <f>F2397*1000</f>
        <v/>
      </c>
      <c r="I2397" s="14">
        <f>G2397-273.15</f>
        <v/>
      </c>
      <c r="K2397" s="15" t="n">
        <v>2007</v>
      </c>
      <c r="L2397" s="15" t="n">
        <v>8</v>
      </c>
      <c r="M2397" s="15" t="n">
        <v>23</v>
      </c>
      <c r="N2397" s="16" t="n">
        <v>3.586866582e-05</v>
      </c>
      <c r="O2397" s="11" t="n">
        <v>287.4962384</v>
      </c>
      <c r="P2397" s="13">
        <f>N2397*86400</f>
        <v/>
      </c>
      <c r="Q2397" s="14">
        <f>O2397-273.15</f>
        <v/>
      </c>
    </row>
    <row r="2398">
      <c r="A2398" s="9" t="n">
        <v>39285</v>
      </c>
      <c r="B2398" s="7">
        <f>YEAR(A2398)</f>
        <v/>
      </c>
      <c r="C2398" s="7">
        <f>MONTH(A2398)</f>
        <v/>
      </c>
      <c r="D2398" s="10" t="n">
        <v>51.13496249</v>
      </c>
      <c r="E2398" s="11" t="n">
        <v>20.65019663</v>
      </c>
      <c r="F2398" s="12" t="n">
        <v>0.006441763393</v>
      </c>
      <c r="G2398" s="11" t="n">
        <v>296.5659672</v>
      </c>
      <c r="H2398" s="13">
        <f>F2398*1000</f>
        <v/>
      </c>
      <c r="I2398" s="14">
        <f>G2398-273.15</f>
        <v/>
      </c>
      <c r="K2398" s="15" t="n">
        <v>2007</v>
      </c>
      <c r="L2398" s="15" t="n">
        <v>8</v>
      </c>
      <c r="M2398" s="15" t="n">
        <v>24</v>
      </c>
      <c r="N2398" s="16" t="n">
        <v>0</v>
      </c>
      <c r="O2398" s="11" t="n">
        <v>289.0942922</v>
      </c>
      <c r="P2398" s="13">
        <f>N2398*86400</f>
        <v/>
      </c>
      <c r="Q2398" s="14">
        <f>O2398-273.15</f>
        <v/>
      </c>
    </row>
    <row r="2399">
      <c r="A2399" s="9" t="n">
        <v>39286</v>
      </c>
      <c r="B2399" s="7">
        <f>YEAR(A2399)</f>
        <v/>
      </c>
      <c r="C2399" s="7">
        <f>MONTH(A2399)</f>
        <v/>
      </c>
      <c r="D2399" s="10" t="n">
        <v>27.8458468</v>
      </c>
      <c r="E2399" s="11" t="n">
        <v>17.9895685</v>
      </c>
      <c r="F2399" s="12" t="n">
        <v>0.009679657721000001</v>
      </c>
      <c r="G2399" s="11" t="n">
        <v>293.9215701</v>
      </c>
      <c r="H2399" s="13">
        <f>F2399*1000</f>
        <v/>
      </c>
      <c r="I2399" s="14">
        <f>G2399-273.15</f>
        <v/>
      </c>
      <c r="K2399" s="15" t="n">
        <v>2007</v>
      </c>
      <c r="L2399" s="15" t="n">
        <v>8</v>
      </c>
      <c r="M2399" s="15" t="n">
        <v>25</v>
      </c>
      <c r="N2399" s="16" t="n">
        <v>3.075407677e-05</v>
      </c>
      <c r="O2399" s="11" t="n">
        <v>290.3626177</v>
      </c>
      <c r="P2399" s="13">
        <f>N2399*86400</f>
        <v/>
      </c>
      <c r="Q2399" s="14">
        <f>O2399-273.15</f>
        <v/>
      </c>
    </row>
    <row r="2400">
      <c r="A2400" s="9" t="n">
        <v>39287</v>
      </c>
      <c r="B2400" s="7">
        <f>YEAR(A2400)</f>
        <v/>
      </c>
      <c r="C2400" s="7">
        <f>MONTH(A2400)</f>
        <v/>
      </c>
      <c r="D2400" s="10" t="n">
        <v>0</v>
      </c>
      <c r="E2400" s="11" t="n">
        <v>17.95064064</v>
      </c>
      <c r="F2400" s="12" t="n">
        <v>0.001161486543</v>
      </c>
      <c r="G2400" s="11" t="n">
        <v>294.7582814</v>
      </c>
      <c r="H2400" s="13">
        <f>F2400*1000</f>
        <v/>
      </c>
      <c r="I2400" s="14">
        <f>G2400-273.15</f>
        <v/>
      </c>
      <c r="K2400" s="15" t="n">
        <v>2007</v>
      </c>
      <c r="L2400" s="15" t="n">
        <v>8</v>
      </c>
      <c r="M2400" s="15" t="n">
        <v>26</v>
      </c>
      <c r="N2400" s="16" t="n">
        <v>3.690353165e-07</v>
      </c>
      <c r="O2400" s="11" t="n">
        <v>290.2529937</v>
      </c>
      <c r="P2400" s="13">
        <f>N2400*86400</f>
        <v/>
      </c>
      <c r="Q2400" s="14">
        <f>O2400-273.15</f>
        <v/>
      </c>
    </row>
    <row r="2401">
      <c r="A2401" s="9" t="n">
        <v>39288</v>
      </c>
      <c r="B2401" s="7">
        <f>YEAR(A2401)</f>
        <v/>
      </c>
      <c r="C2401" s="7">
        <f>MONTH(A2401)</f>
        <v/>
      </c>
      <c r="D2401" s="10" t="n">
        <v>19.70683499</v>
      </c>
      <c r="E2401" s="11" t="n">
        <v>19.4087956</v>
      </c>
      <c r="F2401" s="12" t="n">
        <v>0.006608691556</v>
      </c>
      <c r="G2401" s="11" t="n">
        <v>295.7614911</v>
      </c>
      <c r="H2401" s="13">
        <f>F2401*1000</f>
        <v/>
      </c>
      <c r="I2401" s="14">
        <f>G2401-273.15</f>
        <v/>
      </c>
      <c r="K2401" s="15" t="n">
        <v>2007</v>
      </c>
      <c r="L2401" s="15" t="n">
        <v>8</v>
      </c>
      <c r="M2401" s="15" t="n">
        <v>27</v>
      </c>
      <c r="N2401" s="16" t="n">
        <v>0</v>
      </c>
      <c r="O2401" s="11" t="n">
        <v>287.7580996</v>
      </c>
      <c r="P2401" s="13">
        <f>N2401*86400</f>
        <v/>
      </c>
      <c r="Q2401" s="14">
        <f>O2401-273.15</f>
        <v/>
      </c>
    </row>
    <row r="2402">
      <c r="A2402" s="9" t="n">
        <v>39289</v>
      </c>
      <c r="B2402" s="7">
        <f>YEAR(A2402)</f>
        <v/>
      </c>
      <c r="C2402" s="7">
        <f>MONTH(A2402)</f>
        <v/>
      </c>
      <c r="D2402" s="10" t="n">
        <v>1.70046164</v>
      </c>
      <c r="E2402" s="11" t="n">
        <v>18.42866405</v>
      </c>
      <c r="F2402" s="12" t="n">
        <v>0.001516283128</v>
      </c>
      <c r="G2402" s="11" t="n">
        <v>294.6949456</v>
      </c>
      <c r="H2402" s="13">
        <f>F2402*1000</f>
        <v/>
      </c>
      <c r="I2402" s="14">
        <f>G2402-273.15</f>
        <v/>
      </c>
      <c r="K2402" s="15" t="n">
        <v>2007</v>
      </c>
      <c r="L2402" s="15" t="n">
        <v>8</v>
      </c>
      <c r="M2402" s="15" t="n">
        <v>28</v>
      </c>
      <c r="N2402" s="16" t="n">
        <v>0</v>
      </c>
      <c r="O2402" s="11" t="n">
        <v>287.1882452</v>
      </c>
      <c r="P2402" s="13">
        <f>N2402*86400</f>
        <v/>
      </c>
      <c r="Q2402" s="14">
        <f>O2402-273.15</f>
        <v/>
      </c>
    </row>
    <row r="2403">
      <c r="A2403" s="9" t="n">
        <v>39290</v>
      </c>
      <c r="B2403" s="7">
        <f>YEAR(A2403)</f>
        <v/>
      </c>
      <c r="C2403" s="7">
        <f>MONTH(A2403)</f>
        <v/>
      </c>
      <c r="D2403" s="10" t="n">
        <v>22.35189953</v>
      </c>
      <c r="E2403" s="11" t="n">
        <v>16.25528882</v>
      </c>
      <c r="F2403" s="12" t="n">
        <v>0.02717429642</v>
      </c>
      <c r="G2403" s="11" t="n">
        <v>292.8813115</v>
      </c>
      <c r="H2403" s="13">
        <f>F2403*1000</f>
        <v/>
      </c>
      <c r="I2403" s="14">
        <f>G2403-273.15</f>
        <v/>
      </c>
      <c r="K2403" s="15" t="n">
        <v>2007</v>
      </c>
      <c r="L2403" s="15" t="n">
        <v>8</v>
      </c>
      <c r="M2403" s="15" t="n">
        <v>29</v>
      </c>
      <c r="N2403" s="16" t="n">
        <v>1.25428931e-07</v>
      </c>
      <c r="O2403" s="11" t="n">
        <v>289.0822004</v>
      </c>
      <c r="P2403" s="13">
        <f>N2403*86400</f>
        <v/>
      </c>
      <c r="Q2403" s="14">
        <f>O2403-273.15</f>
        <v/>
      </c>
    </row>
    <row r="2404">
      <c r="A2404" s="9" t="n">
        <v>39291</v>
      </c>
      <c r="B2404" s="7">
        <f>YEAR(A2404)</f>
        <v/>
      </c>
      <c r="C2404" s="7">
        <f>MONTH(A2404)</f>
        <v/>
      </c>
      <c r="D2404" s="10" t="n">
        <v>58.44571918</v>
      </c>
      <c r="E2404" s="11" t="n">
        <v>15.26877628</v>
      </c>
      <c r="F2404" s="12" t="n">
        <v>0.03484127744</v>
      </c>
      <c r="G2404" s="11" t="n">
        <v>291.0121253</v>
      </c>
      <c r="H2404" s="13">
        <f>F2404*1000</f>
        <v/>
      </c>
      <c r="I2404" s="14">
        <f>G2404-273.15</f>
        <v/>
      </c>
      <c r="K2404" s="15" t="n">
        <v>2007</v>
      </c>
      <c r="L2404" s="15" t="n">
        <v>8</v>
      </c>
      <c r="M2404" s="15" t="n">
        <v>30</v>
      </c>
      <c r="N2404" s="16" t="n">
        <v>7.931016476e-07</v>
      </c>
      <c r="O2404" s="11" t="n">
        <v>287.3196758</v>
      </c>
      <c r="P2404" s="13">
        <f>N2404*86400</f>
        <v/>
      </c>
      <c r="Q2404" s="14">
        <f>O2404-273.15</f>
        <v/>
      </c>
    </row>
    <row r="2405">
      <c r="A2405" s="9" t="n">
        <v>39292</v>
      </c>
      <c r="B2405" s="7">
        <f>YEAR(A2405)</f>
        <v/>
      </c>
      <c r="C2405" s="7">
        <f>MONTH(A2405)</f>
        <v/>
      </c>
      <c r="D2405" s="10" t="n">
        <v>58.93985868</v>
      </c>
      <c r="E2405" s="11" t="n">
        <v>15.79648239</v>
      </c>
      <c r="F2405" s="12" t="n">
        <v>0.0273202315</v>
      </c>
      <c r="G2405" s="11" t="n">
        <v>291.3663103</v>
      </c>
      <c r="H2405" s="13">
        <f>F2405*1000</f>
        <v/>
      </c>
      <c r="I2405" s="14">
        <f>G2405-273.15</f>
        <v/>
      </c>
      <c r="K2405" s="15" t="n">
        <v>2007</v>
      </c>
      <c r="L2405" s="15" t="n">
        <v>9</v>
      </c>
      <c r="M2405" s="15" t="n">
        <v>1</v>
      </c>
      <c r="N2405" s="16" t="n">
        <v>2.290278491e-06</v>
      </c>
      <c r="O2405" s="11" t="n">
        <v>288.4019992</v>
      </c>
      <c r="P2405" s="13">
        <f>N2405*86400</f>
        <v/>
      </c>
      <c r="Q2405" s="14">
        <f>O2405-273.15</f>
        <v/>
      </c>
    </row>
    <row r="2406">
      <c r="A2406" s="9" t="n">
        <v>39293</v>
      </c>
      <c r="B2406" s="7">
        <f>YEAR(A2406)</f>
        <v/>
      </c>
      <c r="C2406" s="7">
        <f>MONTH(A2406)</f>
        <v/>
      </c>
      <c r="D2406" s="10" t="n">
        <v>67.02489432</v>
      </c>
      <c r="E2406" s="11" t="n">
        <v>16.97153667</v>
      </c>
      <c r="F2406" s="12" t="n">
        <v>0.03201685742</v>
      </c>
      <c r="G2406" s="11" t="n">
        <v>292.3168094</v>
      </c>
      <c r="H2406" s="13">
        <f>F2406*1000</f>
        <v/>
      </c>
      <c r="I2406" s="14">
        <f>G2406-273.15</f>
        <v/>
      </c>
      <c r="K2406" s="15" t="n">
        <v>2007</v>
      </c>
      <c r="L2406" s="15" t="n">
        <v>9</v>
      </c>
      <c r="M2406" s="15" t="n">
        <v>2</v>
      </c>
      <c r="N2406" s="16" t="n">
        <v>0</v>
      </c>
      <c r="O2406" s="11" t="n">
        <v>286.1314026</v>
      </c>
      <c r="P2406" s="13">
        <f>N2406*86400</f>
        <v/>
      </c>
      <c r="Q2406" s="14">
        <f>O2406-273.15</f>
        <v/>
      </c>
    </row>
    <row r="2407">
      <c r="A2407" s="9" t="n">
        <v>39294</v>
      </c>
      <c r="B2407" s="7">
        <f>YEAR(A2407)</f>
        <v/>
      </c>
      <c r="C2407" s="7">
        <f>MONTH(A2407)</f>
        <v/>
      </c>
      <c r="D2407" s="10" t="n">
        <v>16.6318028</v>
      </c>
      <c r="E2407" s="11" t="n">
        <v>18.10759435</v>
      </c>
      <c r="F2407" s="12" t="n">
        <v>0.02204603275</v>
      </c>
      <c r="G2407" s="11" t="n">
        <v>292.53454</v>
      </c>
      <c r="H2407" s="13">
        <f>F2407*1000</f>
        <v/>
      </c>
      <c r="I2407" s="14">
        <f>G2407-273.15</f>
        <v/>
      </c>
      <c r="K2407" s="15" t="n">
        <v>2007</v>
      </c>
      <c r="L2407" s="15" t="n">
        <v>9</v>
      </c>
      <c r="M2407" s="15" t="n">
        <v>3</v>
      </c>
      <c r="N2407" s="16" t="n">
        <v>0</v>
      </c>
      <c r="O2407" s="11" t="n">
        <v>287.1963748</v>
      </c>
      <c r="P2407" s="13">
        <f>N2407*86400</f>
        <v/>
      </c>
      <c r="Q2407" s="14">
        <f>O2407-273.15</f>
        <v/>
      </c>
    </row>
    <row r="2408">
      <c r="A2408" s="9" t="n">
        <v>39295</v>
      </c>
      <c r="B2408" s="7">
        <f>YEAR(A2408)</f>
        <v/>
      </c>
      <c r="C2408" s="7">
        <f>MONTH(A2408)</f>
        <v/>
      </c>
      <c r="D2408" s="10" t="n">
        <v>19.89825506</v>
      </c>
      <c r="E2408" s="11" t="n">
        <v>17.5827021</v>
      </c>
      <c r="F2408" s="12" t="n">
        <v>0.0178941378</v>
      </c>
      <c r="G2408" s="11" t="n">
        <v>292.0354765</v>
      </c>
      <c r="H2408" s="13">
        <f>F2408*1000</f>
        <v/>
      </c>
      <c r="I2408" s="14">
        <f>G2408-273.15</f>
        <v/>
      </c>
      <c r="K2408" s="15" t="n">
        <v>2007</v>
      </c>
      <c r="L2408" s="15" t="n">
        <v>9</v>
      </c>
      <c r="M2408" s="15" t="n">
        <v>4</v>
      </c>
      <c r="N2408" s="16" t="n">
        <v>0</v>
      </c>
      <c r="O2408" s="11" t="n">
        <v>284.5054152</v>
      </c>
      <c r="P2408" s="13">
        <f>N2408*86400</f>
        <v/>
      </c>
      <c r="Q2408" s="14">
        <f>O2408-273.15</f>
        <v/>
      </c>
    </row>
    <row r="2409">
      <c r="A2409" s="9" t="n">
        <v>39296</v>
      </c>
      <c r="B2409" s="7">
        <f>YEAR(A2409)</f>
        <v/>
      </c>
      <c r="C2409" s="7">
        <f>MONTH(A2409)</f>
        <v/>
      </c>
      <c r="D2409" s="10" t="n">
        <v>14.87676847</v>
      </c>
      <c r="E2409" s="11" t="n">
        <v>18.62735989</v>
      </c>
      <c r="F2409" s="12" t="n">
        <v>0.02458699315</v>
      </c>
      <c r="G2409" s="11" t="n">
        <v>292.4677777</v>
      </c>
      <c r="H2409" s="13">
        <f>F2409*1000</f>
        <v/>
      </c>
      <c r="I2409" s="14">
        <f>G2409-273.15</f>
        <v/>
      </c>
      <c r="K2409" s="15" t="n">
        <v>2007</v>
      </c>
      <c r="L2409" s="15" t="n">
        <v>9</v>
      </c>
      <c r="M2409" s="15" t="n">
        <v>5</v>
      </c>
      <c r="N2409" s="16" t="n">
        <v>0</v>
      </c>
      <c r="O2409" s="11" t="n">
        <v>288.1238011</v>
      </c>
      <c r="P2409" s="13">
        <f>N2409*86400</f>
        <v/>
      </c>
      <c r="Q2409" s="14">
        <f>O2409-273.15</f>
        <v/>
      </c>
    </row>
    <row r="2410">
      <c r="A2410" s="9" t="n">
        <v>39297</v>
      </c>
      <c r="B2410" s="7">
        <f>YEAR(A2410)</f>
        <v/>
      </c>
      <c r="C2410" s="7">
        <f>MONTH(A2410)</f>
        <v/>
      </c>
      <c r="D2410" s="10" t="n">
        <v>41.18470626</v>
      </c>
      <c r="E2410" s="11" t="n">
        <v>15.78165762</v>
      </c>
      <c r="F2410" s="12" t="n">
        <v>0.05134561366</v>
      </c>
      <c r="G2410" s="11" t="n">
        <v>291.8176106</v>
      </c>
      <c r="H2410" s="13">
        <f>F2410*1000</f>
        <v/>
      </c>
      <c r="I2410" s="14">
        <f>G2410-273.15</f>
        <v/>
      </c>
      <c r="K2410" s="15" t="n">
        <v>2007</v>
      </c>
      <c r="L2410" s="15" t="n">
        <v>9</v>
      </c>
      <c r="M2410" s="15" t="n">
        <v>6</v>
      </c>
      <c r="N2410" s="16" t="n">
        <v>2.17693949e-06</v>
      </c>
      <c r="O2410" s="11" t="n">
        <v>287.9903336</v>
      </c>
      <c r="P2410" s="13">
        <f>N2410*86400</f>
        <v/>
      </c>
      <c r="Q2410" s="14">
        <f>O2410-273.15</f>
        <v/>
      </c>
    </row>
    <row r="2411">
      <c r="A2411" s="9" t="n">
        <v>39298</v>
      </c>
      <c r="B2411" s="7">
        <f>YEAR(A2411)</f>
        <v/>
      </c>
      <c r="C2411" s="7">
        <f>MONTH(A2411)</f>
        <v/>
      </c>
      <c r="D2411" s="10" t="n">
        <v>10.5070329</v>
      </c>
      <c r="E2411" s="11" t="n">
        <v>14.71907921</v>
      </c>
      <c r="F2411" s="12" t="n">
        <v>0.02587799362</v>
      </c>
      <c r="G2411" s="11" t="n">
        <v>290.1634106</v>
      </c>
      <c r="H2411" s="13">
        <f>F2411*1000</f>
        <v/>
      </c>
      <c r="I2411" s="14">
        <f>G2411-273.15</f>
        <v/>
      </c>
      <c r="K2411" s="15" t="n">
        <v>2007</v>
      </c>
      <c r="L2411" s="15" t="n">
        <v>9</v>
      </c>
      <c r="M2411" s="15" t="n">
        <v>7</v>
      </c>
      <c r="N2411" s="16" t="n">
        <v>1.072183341e-05</v>
      </c>
      <c r="O2411" s="11" t="n">
        <v>287.5398957</v>
      </c>
      <c r="P2411" s="13">
        <f>N2411*86400</f>
        <v/>
      </c>
      <c r="Q2411" s="14">
        <f>O2411-273.15</f>
        <v/>
      </c>
    </row>
    <row r="2412">
      <c r="A2412" s="9" t="n">
        <v>39299</v>
      </c>
      <c r="B2412" s="7">
        <f>YEAR(A2412)</f>
        <v/>
      </c>
      <c r="C2412" s="7">
        <f>MONTH(A2412)</f>
        <v/>
      </c>
      <c r="D2412" s="10" t="n">
        <v>0</v>
      </c>
      <c r="E2412" s="11" t="n">
        <v>14.35702661</v>
      </c>
      <c r="F2412" s="12" t="n">
        <v>0.001885363846</v>
      </c>
      <c r="G2412" s="11" t="n">
        <v>289.1624594</v>
      </c>
      <c r="H2412" s="13">
        <f>F2412*1000</f>
        <v/>
      </c>
      <c r="I2412" s="14">
        <f>G2412-273.15</f>
        <v/>
      </c>
      <c r="K2412" s="15" t="n">
        <v>2007</v>
      </c>
      <c r="L2412" s="15" t="n">
        <v>9</v>
      </c>
      <c r="M2412" s="15" t="n">
        <v>8</v>
      </c>
      <c r="N2412" s="16" t="n">
        <v>0.0001722215356</v>
      </c>
      <c r="O2412" s="11" t="n">
        <v>286.3664244</v>
      </c>
      <c r="P2412" s="13">
        <f>N2412*86400</f>
        <v/>
      </c>
      <c r="Q2412" s="14">
        <f>O2412-273.15</f>
        <v/>
      </c>
    </row>
    <row r="2413">
      <c r="A2413" s="9" t="n">
        <v>39300</v>
      </c>
      <c r="B2413" s="7">
        <f>YEAR(A2413)</f>
        <v/>
      </c>
      <c r="C2413" s="7">
        <f>MONTH(A2413)</f>
        <v/>
      </c>
      <c r="D2413" s="10" t="n">
        <v>4.267180991</v>
      </c>
      <c r="E2413" s="11" t="n">
        <v>17.38469008</v>
      </c>
      <c r="F2413" s="12" t="n">
        <v>0.003644571038</v>
      </c>
      <c r="G2413" s="11" t="n">
        <v>290.3309061</v>
      </c>
      <c r="H2413" s="13">
        <f>F2413*1000</f>
        <v/>
      </c>
      <c r="I2413" s="14">
        <f>G2413-273.15</f>
        <v/>
      </c>
      <c r="K2413" s="15" t="n">
        <v>2007</v>
      </c>
      <c r="L2413" s="15" t="n">
        <v>9</v>
      </c>
      <c r="M2413" s="15" t="n">
        <v>9</v>
      </c>
      <c r="N2413" s="16" t="n">
        <v>1.560228793e-05</v>
      </c>
      <c r="O2413" s="11" t="n">
        <v>287.9573428</v>
      </c>
      <c r="P2413" s="13">
        <f>N2413*86400</f>
        <v/>
      </c>
      <c r="Q2413" s="14">
        <f>O2413-273.15</f>
        <v/>
      </c>
    </row>
    <row r="2414">
      <c r="A2414" s="9" t="n">
        <v>39301</v>
      </c>
      <c r="B2414" s="7">
        <f>YEAR(A2414)</f>
        <v/>
      </c>
      <c r="C2414" s="7">
        <f>MONTH(A2414)</f>
        <v/>
      </c>
      <c r="D2414" s="10" t="n">
        <v>0</v>
      </c>
      <c r="E2414" s="11" t="n">
        <v>17.24876436</v>
      </c>
      <c r="F2414" s="12" t="n">
        <v>0.0003611411975</v>
      </c>
      <c r="G2414" s="11" t="n">
        <v>290.340046</v>
      </c>
      <c r="H2414" s="13">
        <f>F2414*1000</f>
        <v/>
      </c>
      <c r="I2414" s="14">
        <f>G2414-273.15</f>
        <v/>
      </c>
      <c r="K2414" s="15" t="n">
        <v>2007</v>
      </c>
      <c r="L2414" s="15" t="n">
        <v>9</v>
      </c>
      <c r="M2414" s="15" t="n">
        <v>10</v>
      </c>
      <c r="N2414" s="16" t="n">
        <v>8.604376579e-07</v>
      </c>
      <c r="O2414" s="11" t="n">
        <v>287.0457814</v>
      </c>
      <c r="P2414" s="13">
        <f>N2414*86400</f>
        <v/>
      </c>
      <c r="Q2414" s="14">
        <f>O2414-273.15</f>
        <v/>
      </c>
    </row>
    <row r="2415">
      <c r="A2415" s="9" t="n">
        <v>39302</v>
      </c>
      <c r="B2415" s="7">
        <f>YEAR(A2415)</f>
        <v/>
      </c>
      <c r="C2415" s="7">
        <f>MONTH(A2415)</f>
        <v/>
      </c>
      <c r="D2415" s="10" t="n">
        <v>0</v>
      </c>
      <c r="E2415" s="11" t="n">
        <v>17.61295345</v>
      </c>
      <c r="F2415" s="12" t="n">
        <v>0</v>
      </c>
      <c r="G2415" s="11" t="n">
        <v>290.5179626</v>
      </c>
      <c r="H2415" s="13">
        <f>F2415*1000</f>
        <v/>
      </c>
      <c r="I2415" s="14">
        <f>G2415-273.15</f>
        <v/>
      </c>
      <c r="K2415" s="15" t="n">
        <v>2007</v>
      </c>
      <c r="L2415" s="15" t="n">
        <v>9</v>
      </c>
      <c r="M2415" s="15" t="n">
        <v>11</v>
      </c>
      <c r="N2415" s="16" t="n">
        <v>0.0001717067358</v>
      </c>
      <c r="O2415" s="11" t="n">
        <v>288.2266167</v>
      </c>
      <c r="P2415" s="13">
        <f>N2415*86400</f>
        <v/>
      </c>
      <c r="Q2415" s="14">
        <f>O2415-273.15</f>
        <v/>
      </c>
    </row>
    <row r="2416">
      <c r="A2416" s="9" t="n">
        <v>39303</v>
      </c>
      <c r="B2416" s="7">
        <f>YEAR(A2416)</f>
        <v/>
      </c>
      <c r="C2416" s="7">
        <f>MONTH(A2416)</f>
        <v/>
      </c>
      <c r="D2416" s="10" t="n">
        <v>5.421767156</v>
      </c>
      <c r="E2416" s="11" t="n">
        <v>18.72207091</v>
      </c>
      <c r="F2416" s="12" t="n">
        <v>0.02272703552</v>
      </c>
      <c r="G2416" s="11" t="n">
        <v>290.9438392</v>
      </c>
      <c r="H2416" s="13">
        <f>F2416*1000</f>
        <v/>
      </c>
      <c r="I2416" s="14">
        <f>G2416-273.15</f>
        <v/>
      </c>
      <c r="K2416" s="15" t="n">
        <v>2007</v>
      </c>
      <c r="L2416" s="15" t="n">
        <v>9</v>
      </c>
      <c r="M2416" s="15" t="n">
        <v>12</v>
      </c>
      <c r="N2416" s="16" t="n">
        <v>1.868096666e-05</v>
      </c>
      <c r="O2416" s="11" t="n">
        <v>286.7015119</v>
      </c>
      <c r="P2416" s="13">
        <f>N2416*86400</f>
        <v/>
      </c>
      <c r="Q2416" s="14">
        <f>O2416-273.15</f>
        <v/>
      </c>
    </row>
    <row r="2417">
      <c r="A2417" s="9" t="n">
        <v>39304</v>
      </c>
      <c r="B2417" s="7">
        <f>YEAR(A2417)</f>
        <v/>
      </c>
      <c r="C2417" s="7">
        <f>MONTH(A2417)</f>
        <v/>
      </c>
      <c r="D2417" s="10" t="n">
        <v>3.524691622</v>
      </c>
      <c r="E2417" s="11" t="n">
        <v>17.0394679</v>
      </c>
      <c r="F2417" s="12" t="n">
        <v>0.005063492576</v>
      </c>
      <c r="G2417" s="11" t="n">
        <v>291.135596</v>
      </c>
      <c r="H2417" s="13">
        <f>F2417*1000</f>
        <v/>
      </c>
      <c r="I2417" s="14">
        <f>G2417-273.15</f>
        <v/>
      </c>
      <c r="K2417" s="15" t="n">
        <v>2007</v>
      </c>
      <c r="L2417" s="15" t="n">
        <v>9</v>
      </c>
      <c r="M2417" s="15" t="n">
        <v>13</v>
      </c>
      <c r="N2417" s="16" t="n">
        <v>2.843522353e-05</v>
      </c>
      <c r="O2417" s="11" t="n">
        <v>283.2370508</v>
      </c>
      <c r="P2417" s="13">
        <f>N2417*86400</f>
        <v/>
      </c>
      <c r="Q2417" s="14">
        <f>O2417-273.15</f>
        <v/>
      </c>
    </row>
    <row r="2418">
      <c r="A2418" s="9" t="n">
        <v>39305</v>
      </c>
      <c r="B2418" s="7">
        <f>YEAR(A2418)</f>
        <v/>
      </c>
      <c r="C2418" s="7">
        <f>MONTH(A2418)</f>
        <v/>
      </c>
      <c r="D2418" s="10" t="n">
        <v>17.37849505</v>
      </c>
      <c r="E2418" s="11" t="n">
        <v>17.38583452</v>
      </c>
      <c r="F2418" s="12" t="n">
        <v>0.004582978167</v>
      </c>
      <c r="G2418" s="11" t="n">
        <v>290.8294716</v>
      </c>
      <c r="H2418" s="13">
        <f>F2418*1000</f>
        <v/>
      </c>
      <c r="I2418" s="14">
        <f>G2418-273.15</f>
        <v/>
      </c>
      <c r="K2418" s="15" t="n">
        <v>2007</v>
      </c>
      <c r="L2418" s="15" t="n">
        <v>9</v>
      </c>
      <c r="M2418" s="15" t="n">
        <v>14</v>
      </c>
      <c r="N2418" s="16" t="n">
        <v>0</v>
      </c>
      <c r="O2418" s="11" t="n">
        <v>282.1357545</v>
      </c>
      <c r="P2418" s="13">
        <f>N2418*86400</f>
        <v/>
      </c>
      <c r="Q2418" s="14">
        <f>O2418-273.15</f>
        <v/>
      </c>
    </row>
    <row r="2419">
      <c r="A2419" s="9" t="n">
        <v>39306</v>
      </c>
      <c r="B2419" s="7">
        <f>YEAR(A2419)</f>
        <v/>
      </c>
      <c r="C2419" s="7">
        <f>MONTH(A2419)</f>
        <v/>
      </c>
      <c r="D2419" s="10" t="n">
        <v>0</v>
      </c>
      <c r="E2419" s="11" t="n">
        <v>17.83720832</v>
      </c>
      <c r="F2419" s="12" t="n">
        <v>0</v>
      </c>
      <c r="G2419" s="11" t="n">
        <v>291.9124048</v>
      </c>
      <c r="H2419" s="13">
        <f>F2419*1000</f>
        <v/>
      </c>
      <c r="I2419" s="14">
        <f>G2419-273.15</f>
        <v/>
      </c>
      <c r="K2419" s="15" t="n">
        <v>2007</v>
      </c>
      <c r="L2419" s="15" t="n">
        <v>9</v>
      </c>
      <c r="M2419" s="15" t="n">
        <v>15</v>
      </c>
      <c r="N2419" s="16" t="n">
        <v>8.775751429e-07</v>
      </c>
      <c r="O2419" s="11" t="n">
        <v>285.1346759</v>
      </c>
      <c r="P2419" s="13">
        <f>N2419*86400</f>
        <v/>
      </c>
      <c r="Q2419" s="14">
        <f>O2419-273.15</f>
        <v/>
      </c>
    </row>
    <row r="2420">
      <c r="A2420" s="9" t="n">
        <v>39307</v>
      </c>
      <c r="B2420" s="7">
        <f>YEAR(A2420)</f>
        <v/>
      </c>
      <c r="C2420" s="7">
        <f>MONTH(A2420)</f>
        <v/>
      </c>
      <c r="D2420" s="10" t="n">
        <v>2.250613049</v>
      </c>
      <c r="E2420" s="11" t="n">
        <v>17.28891545</v>
      </c>
      <c r="F2420" s="12" t="n">
        <v>0.00743488121</v>
      </c>
      <c r="G2420" s="11" t="n">
        <v>292.1790999</v>
      </c>
      <c r="H2420" s="13">
        <f>F2420*1000</f>
        <v/>
      </c>
      <c r="I2420" s="14">
        <f>G2420-273.15</f>
        <v/>
      </c>
      <c r="K2420" s="15" t="n">
        <v>2007</v>
      </c>
      <c r="L2420" s="15" t="n">
        <v>9</v>
      </c>
      <c r="M2420" s="15" t="n">
        <v>16</v>
      </c>
      <c r="N2420" s="16" t="n">
        <v>7.336510223e-07</v>
      </c>
      <c r="O2420" s="11" t="n">
        <v>285.8056773</v>
      </c>
      <c r="P2420" s="13">
        <f>N2420*86400</f>
        <v/>
      </c>
      <c r="Q2420" s="14">
        <f>O2420-273.15</f>
        <v/>
      </c>
    </row>
    <row r="2421">
      <c r="A2421" s="9" t="n">
        <v>39308</v>
      </c>
      <c r="B2421" s="7">
        <f>YEAR(A2421)</f>
        <v/>
      </c>
      <c r="C2421" s="7">
        <f>MONTH(A2421)</f>
        <v/>
      </c>
      <c r="D2421" s="10" t="n">
        <v>2.019633554</v>
      </c>
      <c r="E2421" s="11" t="n">
        <v>17.57216285</v>
      </c>
      <c r="F2421" s="12" t="n">
        <v>0.0010975924</v>
      </c>
      <c r="G2421" s="11" t="n">
        <v>292.3463391</v>
      </c>
      <c r="H2421" s="13">
        <f>F2421*1000</f>
        <v/>
      </c>
      <c r="I2421" s="14">
        <f>G2421-273.15</f>
        <v/>
      </c>
      <c r="K2421" s="15" t="n">
        <v>2007</v>
      </c>
      <c r="L2421" s="15" t="n">
        <v>9</v>
      </c>
      <c r="M2421" s="15" t="n">
        <v>17</v>
      </c>
      <c r="N2421" s="16" t="n">
        <v>0</v>
      </c>
      <c r="O2421" s="11" t="n">
        <v>286.1085384</v>
      </c>
      <c r="P2421" s="13">
        <f>N2421*86400</f>
        <v/>
      </c>
      <c r="Q2421" s="14">
        <f>O2421-273.15</f>
        <v/>
      </c>
    </row>
    <row r="2422">
      <c r="A2422" s="9" t="n">
        <v>39309</v>
      </c>
      <c r="B2422" s="7">
        <f>YEAR(A2422)</f>
        <v/>
      </c>
      <c r="C2422" s="7">
        <f>MONTH(A2422)</f>
        <v/>
      </c>
      <c r="D2422" s="10" t="n">
        <v>0</v>
      </c>
      <c r="E2422" s="11" t="n">
        <v>14.3652959</v>
      </c>
      <c r="F2422" s="12" t="n">
        <v>0</v>
      </c>
      <c r="G2422" s="11" t="n">
        <v>290.7726713</v>
      </c>
      <c r="H2422" s="13">
        <f>F2422*1000</f>
        <v/>
      </c>
      <c r="I2422" s="14">
        <f>G2422-273.15</f>
        <v/>
      </c>
      <c r="K2422" s="15" t="n">
        <v>2007</v>
      </c>
      <c r="L2422" s="15" t="n">
        <v>9</v>
      </c>
      <c r="M2422" s="15" t="n">
        <v>18</v>
      </c>
      <c r="N2422" s="16" t="n">
        <v>0</v>
      </c>
      <c r="O2422" s="11" t="n">
        <v>285.7967135</v>
      </c>
      <c r="P2422" s="13">
        <f>N2422*86400</f>
        <v/>
      </c>
      <c r="Q2422" s="14">
        <f>O2422-273.15</f>
        <v/>
      </c>
    </row>
    <row r="2423">
      <c r="A2423" s="9" t="n">
        <v>39310</v>
      </c>
      <c r="B2423" s="7">
        <f>YEAR(A2423)</f>
        <v/>
      </c>
      <c r="C2423" s="7">
        <f>MONTH(A2423)</f>
        <v/>
      </c>
      <c r="D2423" s="10" t="n">
        <v>0</v>
      </c>
      <c r="E2423" s="11" t="n">
        <v>11.74148084</v>
      </c>
      <c r="F2423" s="12" t="n">
        <v>0</v>
      </c>
      <c r="G2423" s="11" t="n">
        <v>288.4062428</v>
      </c>
      <c r="H2423" s="13">
        <f>F2423*1000</f>
        <v/>
      </c>
      <c r="I2423" s="14">
        <f>G2423-273.15</f>
        <v/>
      </c>
      <c r="K2423" s="15" t="n">
        <v>2007</v>
      </c>
      <c r="L2423" s="15" t="n">
        <v>9</v>
      </c>
      <c r="M2423" s="15" t="n">
        <v>19</v>
      </c>
      <c r="N2423" s="16" t="n">
        <v>0.0001267605709</v>
      </c>
      <c r="O2423" s="11" t="n">
        <v>285.954453</v>
      </c>
      <c r="P2423" s="13">
        <f>N2423*86400</f>
        <v/>
      </c>
      <c r="Q2423" s="14">
        <f>O2423-273.15</f>
        <v/>
      </c>
    </row>
    <row r="2424">
      <c r="A2424" s="9" t="n">
        <v>39311</v>
      </c>
      <c r="B2424" s="7">
        <f>YEAR(A2424)</f>
        <v/>
      </c>
      <c r="C2424" s="7">
        <f>MONTH(A2424)</f>
        <v/>
      </c>
      <c r="D2424" s="10" t="n">
        <v>0.01587142562</v>
      </c>
      <c r="E2424" s="11" t="n">
        <v>9.729279005</v>
      </c>
      <c r="F2424" s="12" t="n">
        <v>0.003160373348</v>
      </c>
      <c r="G2424" s="11" t="n">
        <v>285.7459905</v>
      </c>
      <c r="H2424" s="13">
        <f>F2424*1000</f>
        <v/>
      </c>
      <c r="I2424" s="14">
        <f>G2424-273.15</f>
        <v/>
      </c>
      <c r="K2424" s="15" t="n">
        <v>2007</v>
      </c>
      <c r="L2424" s="15" t="n">
        <v>9</v>
      </c>
      <c r="M2424" s="15" t="n">
        <v>20</v>
      </c>
      <c r="N2424" s="16" t="n">
        <v>3.396759895e-05</v>
      </c>
      <c r="O2424" s="11" t="n">
        <v>285.9725287</v>
      </c>
      <c r="P2424" s="13">
        <f>N2424*86400</f>
        <v/>
      </c>
      <c r="Q2424" s="14">
        <f>O2424-273.15</f>
        <v/>
      </c>
    </row>
    <row r="2425">
      <c r="A2425" s="9" t="n">
        <v>39312</v>
      </c>
      <c r="B2425" s="7">
        <f>YEAR(A2425)</f>
        <v/>
      </c>
      <c r="C2425" s="7">
        <f>MONTH(A2425)</f>
        <v/>
      </c>
      <c r="D2425" s="10" t="n">
        <v>0.9986637747</v>
      </c>
      <c r="E2425" s="11" t="n">
        <v>12.23195466</v>
      </c>
      <c r="F2425" s="12" t="n">
        <v>0.0008106856513000001</v>
      </c>
      <c r="G2425" s="11" t="n">
        <v>288.4490977</v>
      </c>
      <c r="H2425" s="13">
        <f>F2425*1000</f>
        <v/>
      </c>
      <c r="I2425" s="14">
        <f>G2425-273.15</f>
        <v/>
      </c>
      <c r="K2425" s="15" t="n">
        <v>2007</v>
      </c>
      <c r="L2425" s="15" t="n">
        <v>9</v>
      </c>
      <c r="M2425" s="15" t="n">
        <v>21</v>
      </c>
      <c r="N2425" s="16" t="n">
        <v>0</v>
      </c>
      <c r="O2425" s="11" t="n">
        <v>287.7849833</v>
      </c>
      <c r="P2425" s="13">
        <f>N2425*86400</f>
        <v/>
      </c>
      <c r="Q2425" s="14">
        <f>O2425-273.15</f>
        <v/>
      </c>
    </row>
    <row r="2426">
      <c r="A2426" s="9" t="n">
        <v>39313</v>
      </c>
      <c r="B2426" s="7">
        <f>YEAR(A2426)</f>
        <v/>
      </c>
      <c r="C2426" s="7">
        <f>MONTH(A2426)</f>
        <v/>
      </c>
      <c r="D2426" s="10" t="n">
        <v>0</v>
      </c>
      <c r="E2426" s="11" t="n">
        <v>12.50414328</v>
      </c>
      <c r="F2426" s="12" t="n">
        <v>0</v>
      </c>
      <c r="G2426" s="11" t="n">
        <v>288.5083822</v>
      </c>
      <c r="H2426" s="13">
        <f>F2426*1000</f>
        <v/>
      </c>
      <c r="I2426" s="14">
        <f>G2426-273.15</f>
        <v/>
      </c>
      <c r="K2426" s="15" t="n">
        <v>2007</v>
      </c>
      <c r="L2426" s="15" t="n">
        <v>9</v>
      </c>
      <c r="M2426" s="15" t="n">
        <v>22</v>
      </c>
      <c r="N2426" s="16" t="n">
        <v>0.000100350331</v>
      </c>
      <c r="O2426" s="11" t="n">
        <v>289.7581</v>
      </c>
      <c r="P2426" s="13">
        <f>N2426*86400</f>
        <v/>
      </c>
      <c r="Q2426" s="14">
        <f>O2426-273.15</f>
        <v/>
      </c>
    </row>
    <row r="2427">
      <c r="A2427" s="9" t="n">
        <v>39314</v>
      </c>
      <c r="B2427" s="7">
        <f>YEAR(A2427)</f>
        <v/>
      </c>
      <c r="C2427" s="7">
        <f>MONTH(A2427)</f>
        <v/>
      </c>
      <c r="D2427" s="10" t="n">
        <v>4.028984906</v>
      </c>
      <c r="E2427" s="11" t="n">
        <v>13.26078136</v>
      </c>
      <c r="F2427" s="12" t="n">
        <v>0</v>
      </c>
      <c r="G2427" s="11" t="n">
        <v>289.9985792</v>
      </c>
      <c r="H2427" s="13">
        <f>F2427*1000</f>
        <v/>
      </c>
      <c r="I2427" s="14">
        <f>G2427-273.15</f>
        <v/>
      </c>
      <c r="K2427" s="15" t="n">
        <v>2007</v>
      </c>
      <c r="L2427" s="15" t="n">
        <v>9</v>
      </c>
      <c r="M2427" s="15" t="n">
        <v>23</v>
      </c>
      <c r="N2427" s="16" t="n">
        <v>2.001393446e-05</v>
      </c>
      <c r="O2427" s="11" t="n">
        <v>287.9025111</v>
      </c>
      <c r="P2427" s="13">
        <f>N2427*86400</f>
        <v/>
      </c>
      <c r="Q2427" s="14">
        <f>O2427-273.15</f>
        <v/>
      </c>
    </row>
    <row r="2428">
      <c r="A2428" s="9" t="n">
        <v>39315</v>
      </c>
      <c r="B2428" s="7">
        <f>YEAR(A2428)</f>
        <v/>
      </c>
      <c r="C2428" s="7">
        <f>MONTH(A2428)</f>
        <v/>
      </c>
      <c r="D2428" s="10" t="n">
        <v>18.30745003</v>
      </c>
      <c r="E2428" s="11" t="n">
        <v>13.08492907</v>
      </c>
      <c r="F2428" s="12" t="n">
        <v>0.003765875858</v>
      </c>
      <c r="G2428" s="11" t="n">
        <v>288.9667642</v>
      </c>
      <c r="H2428" s="13">
        <f>F2428*1000</f>
        <v/>
      </c>
      <c r="I2428" s="14">
        <f>G2428-273.15</f>
        <v/>
      </c>
      <c r="K2428" s="15" t="n">
        <v>2007</v>
      </c>
      <c r="L2428" s="15" t="n">
        <v>9</v>
      </c>
      <c r="M2428" s="15" t="n">
        <v>24</v>
      </c>
      <c r="N2428" s="16" t="n">
        <v>1.487344658e-05</v>
      </c>
      <c r="O2428" s="11" t="n">
        <v>286.3240313</v>
      </c>
      <c r="P2428" s="13">
        <f>N2428*86400</f>
        <v/>
      </c>
      <c r="Q2428" s="14">
        <f>O2428-273.15</f>
        <v/>
      </c>
    </row>
    <row r="2429">
      <c r="A2429" s="9" t="n">
        <v>39316</v>
      </c>
      <c r="B2429" s="7">
        <f>YEAR(A2429)</f>
        <v/>
      </c>
      <c r="C2429" s="7">
        <f>MONTH(A2429)</f>
        <v/>
      </c>
      <c r="D2429" s="10" t="n">
        <v>4.412012059</v>
      </c>
      <c r="E2429" s="11" t="n">
        <v>12.66229788</v>
      </c>
      <c r="F2429" s="12" t="n">
        <v>0.0001718052535</v>
      </c>
      <c r="G2429" s="11" t="n">
        <v>287.6277916</v>
      </c>
      <c r="H2429" s="13">
        <f>F2429*1000</f>
        <v/>
      </c>
      <c r="I2429" s="14">
        <f>G2429-273.15</f>
        <v/>
      </c>
      <c r="K2429" s="15" t="n">
        <v>2007</v>
      </c>
      <c r="L2429" s="15" t="n">
        <v>9</v>
      </c>
      <c r="M2429" s="15" t="n">
        <v>25</v>
      </c>
      <c r="N2429" s="16" t="n">
        <v>9.210416721e-07</v>
      </c>
      <c r="O2429" s="11" t="n">
        <v>285.0637167</v>
      </c>
      <c r="P2429" s="13">
        <f>N2429*86400</f>
        <v/>
      </c>
      <c r="Q2429" s="14">
        <f>O2429-273.15</f>
        <v/>
      </c>
    </row>
    <row r="2430">
      <c r="A2430" s="9" t="n">
        <v>39317</v>
      </c>
      <c r="B2430" s="7">
        <f>YEAR(A2430)</f>
        <v/>
      </c>
      <c r="C2430" s="7">
        <f>MONTH(A2430)</f>
        <v/>
      </c>
      <c r="D2430" s="10" t="n">
        <v>0</v>
      </c>
      <c r="E2430" s="11" t="n">
        <v>11.2498522</v>
      </c>
      <c r="F2430" s="12" t="n">
        <v>0.0001470824772</v>
      </c>
      <c r="G2430" s="11" t="n">
        <v>286.9720968</v>
      </c>
      <c r="H2430" s="13">
        <f>F2430*1000</f>
        <v/>
      </c>
      <c r="I2430" s="14">
        <f>G2430-273.15</f>
        <v/>
      </c>
      <c r="K2430" s="15" t="n">
        <v>2007</v>
      </c>
      <c r="L2430" s="15" t="n">
        <v>9</v>
      </c>
      <c r="M2430" s="15" t="n">
        <v>26</v>
      </c>
      <c r="N2430" s="16" t="n">
        <v>0</v>
      </c>
      <c r="O2430" s="11" t="n">
        <v>286.1768024</v>
      </c>
      <c r="P2430" s="13">
        <f>N2430*86400</f>
        <v/>
      </c>
      <c r="Q2430" s="14">
        <f>O2430-273.15</f>
        <v/>
      </c>
    </row>
    <row r="2431">
      <c r="A2431" s="9" t="n">
        <v>39318</v>
      </c>
      <c r="B2431" s="7">
        <f>YEAR(A2431)</f>
        <v/>
      </c>
      <c r="C2431" s="7">
        <f>MONTH(A2431)</f>
        <v/>
      </c>
      <c r="D2431" s="10" t="n">
        <v>0</v>
      </c>
      <c r="E2431" s="11" t="n">
        <v>13.75582168</v>
      </c>
      <c r="F2431" s="12" t="n">
        <v>0</v>
      </c>
      <c r="G2431" s="11" t="n">
        <v>289.1240703</v>
      </c>
      <c r="H2431" s="13">
        <f>F2431*1000</f>
        <v/>
      </c>
      <c r="I2431" s="14">
        <f>G2431-273.15</f>
        <v/>
      </c>
      <c r="K2431" s="15" t="n">
        <v>2007</v>
      </c>
      <c r="L2431" s="15" t="n">
        <v>9</v>
      </c>
      <c r="M2431" s="15" t="n">
        <v>27</v>
      </c>
      <c r="N2431" s="16" t="n">
        <v>0</v>
      </c>
      <c r="O2431" s="11" t="n">
        <v>285.9617323</v>
      </c>
      <c r="P2431" s="13">
        <f>N2431*86400</f>
        <v/>
      </c>
      <c r="Q2431" s="14">
        <f>O2431-273.15</f>
        <v/>
      </c>
    </row>
    <row r="2432">
      <c r="A2432" s="9" t="n">
        <v>39319</v>
      </c>
      <c r="B2432" s="7">
        <f>YEAR(A2432)</f>
        <v/>
      </c>
      <c r="C2432" s="7">
        <f>MONTH(A2432)</f>
        <v/>
      </c>
      <c r="D2432" s="10" t="n">
        <v>4.500311941</v>
      </c>
      <c r="E2432" s="11" t="n">
        <v>12.14388515</v>
      </c>
      <c r="F2432" s="12" t="n">
        <v>0.003129791444</v>
      </c>
      <c r="G2432" s="11" t="n">
        <v>287.0686507</v>
      </c>
      <c r="H2432" s="13">
        <f>F2432*1000</f>
        <v/>
      </c>
      <c r="I2432" s="14">
        <f>G2432-273.15</f>
        <v/>
      </c>
      <c r="K2432" s="15" t="n">
        <v>2007</v>
      </c>
      <c r="L2432" s="15" t="n">
        <v>9</v>
      </c>
      <c r="M2432" s="15" t="n">
        <v>28</v>
      </c>
      <c r="N2432" s="16" t="n">
        <v>0</v>
      </c>
      <c r="O2432" s="11" t="n">
        <v>286.6364372</v>
      </c>
      <c r="P2432" s="13">
        <f>N2432*86400</f>
        <v/>
      </c>
      <c r="Q2432" s="14">
        <f>O2432-273.15</f>
        <v/>
      </c>
    </row>
    <row r="2433">
      <c r="A2433" s="9" t="n">
        <v>39320</v>
      </c>
      <c r="B2433" s="7">
        <f>YEAR(A2433)</f>
        <v/>
      </c>
      <c r="C2433" s="7">
        <f>MONTH(A2433)</f>
        <v/>
      </c>
      <c r="D2433" s="10" t="n">
        <v>0</v>
      </c>
      <c r="E2433" s="11" t="n">
        <v>12.49403046</v>
      </c>
      <c r="F2433" s="12" t="n">
        <v>0.0004883889554999999</v>
      </c>
      <c r="G2433" s="11" t="n">
        <v>285.5569369</v>
      </c>
      <c r="H2433" s="13">
        <f>F2433*1000</f>
        <v/>
      </c>
      <c r="I2433" s="14">
        <f>G2433-273.15</f>
        <v/>
      </c>
      <c r="K2433" s="15" t="n">
        <v>2007</v>
      </c>
      <c r="L2433" s="15" t="n">
        <v>9</v>
      </c>
      <c r="M2433" s="15" t="n">
        <v>29</v>
      </c>
      <c r="N2433" s="16" t="n">
        <v>0</v>
      </c>
      <c r="O2433" s="11" t="n">
        <v>284.8949598</v>
      </c>
      <c r="P2433" s="13">
        <f>N2433*86400</f>
        <v/>
      </c>
      <c r="Q2433" s="14">
        <f>O2433-273.15</f>
        <v/>
      </c>
    </row>
    <row r="2434">
      <c r="A2434" s="9" t="n">
        <v>39321</v>
      </c>
      <c r="B2434" s="7">
        <f>YEAR(A2434)</f>
        <v/>
      </c>
      <c r="C2434" s="7">
        <f>MONTH(A2434)</f>
        <v/>
      </c>
      <c r="D2434" s="10" t="n">
        <v>0</v>
      </c>
      <c r="E2434" s="11" t="n">
        <v>15.18275716</v>
      </c>
      <c r="F2434" s="12" t="n">
        <v>0.0001799875231</v>
      </c>
      <c r="G2434" s="11" t="n">
        <v>289.2001669</v>
      </c>
      <c r="H2434" s="13">
        <f>F2434*1000</f>
        <v/>
      </c>
      <c r="I2434" s="14">
        <f>G2434-273.15</f>
        <v/>
      </c>
      <c r="K2434" s="15" t="n">
        <v>2007</v>
      </c>
      <c r="L2434" s="15" t="n">
        <v>9</v>
      </c>
      <c r="M2434" s="15" t="n">
        <v>30</v>
      </c>
      <c r="N2434" s="16" t="n">
        <v>0</v>
      </c>
      <c r="O2434" s="11" t="n">
        <v>283.2121991</v>
      </c>
      <c r="P2434" s="13">
        <f>N2434*86400</f>
        <v/>
      </c>
      <c r="Q2434" s="14">
        <f>O2434-273.15</f>
        <v/>
      </c>
    </row>
    <row r="2435">
      <c r="A2435" s="9" t="n">
        <v>39322</v>
      </c>
      <c r="B2435" s="7">
        <f>YEAR(A2435)</f>
        <v/>
      </c>
      <c r="C2435" s="7">
        <f>MONTH(A2435)</f>
        <v/>
      </c>
      <c r="D2435" s="10" t="n">
        <v>13.84561686</v>
      </c>
      <c r="E2435" s="11" t="n">
        <v>17.77711641</v>
      </c>
      <c r="F2435" s="12" t="n">
        <v>0.007913222575</v>
      </c>
      <c r="G2435" s="11" t="n">
        <v>291.240255</v>
      </c>
      <c r="H2435" s="13">
        <f>F2435*1000</f>
        <v/>
      </c>
      <c r="I2435" s="14">
        <f>G2435-273.15</f>
        <v/>
      </c>
      <c r="K2435" s="15" t="n">
        <v>2007</v>
      </c>
      <c r="L2435" s="15" t="n">
        <v>10</v>
      </c>
      <c r="M2435" s="15" t="n">
        <v>1</v>
      </c>
      <c r="N2435" s="16" t="n">
        <v>2.037705301e-05</v>
      </c>
      <c r="O2435" s="11" t="n">
        <v>283.8221321</v>
      </c>
      <c r="P2435" s="13">
        <f>N2435*86400</f>
        <v/>
      </c>
      <c r="Q2435" s="14">
        <f>O2435-273.15</f>
        <v/>
      </c>
    </row>
    <row r="2436">
      <c r="A2436" s="9" t="n">
        <v>39323</v>
      </c>
      <c r="B2436" s="7">
        <f>YEAR(A2436)</f>
        <v/>
      </c>
      <c r="C2436" s="7">
        <f>MONTH(A2436)</f>
        <v/>
      </c>
      <c r="D2436" s="10" t="n">
        <v>1.482718395</v>
      </c>
      <c r="E2436" s="11" t="n">
        <v>15.46186207</v>
      </c>
      <c r="F2436" s="12" t="n">
        <v>0.0002009971391</v>
      </c>
      <c r="G2436" s="11" t="n">
        <v>288.8155683</v>
      </c>
      <c r="H2436" s="13">
        <f>F2436*1000</f>
        <v/>
      </c>
      <c r="I2436" s="14">
        <f>G2436-273.15</f>
        <v/>
      </c>
      <c r="K2436" s="15" t="n">
        <v>2007</v>
      </c>
      <c r="L2436" s="15" t="n">
        <v>10</v>
      </c>
      <c r="M2436" s="15" t="n">
        <v>2</v>
      </c>
      <c r="N2436" s="16" t="n">
        <v>0.0001017356629</v>
      </c>
      <c r="O2436" s="11" t="n">
        <v>284.8365817</v>
      </c>
      <c r="P2436" s="13">
        <f>N2436*86400</f>
        <v/>
      </c>
      <c r="Q2436" s="14">
        <f>O2436-273.15</f>
        <v/>
      </c>
    </row>
    <row r="2437">
      <c r="A2437" s="9" t="n">
        <v>39324</v>
      </c>
      <c r="B2437" s="7">
        <f>YEAR(A2437)</f>
        <v/>
      </c>
      <c r="C2437" s="7">
        <f>MONTH(A2437)</f>
        <v/>
      </c>
      <c r="D2437" s="10" t="n">
        <v>0</v>
      </c>
      <c r="E2437" s="11" t="n">
        <v>17.6854469</v>
      </c>
      <c r="F2437" s="12" t="n">
        <v>0</v>
      </c>
      <c r="G2437" s="11" t="n">
        <v>291.0839461</v>
      </c>
      <c r="H2437" s="13">
        <f>F2437*1000</f>
        <v/>
      </c>
      <c r="I2437" s="14">
        <f>G2437-273.15</f>
        <v/>
      </c>
      <c r="K2437" s="15" t="n">
        <v>2007</v>
      </c>
      <c r="L2437" s="15" t="n">
        <v>10</v>
      </c>
      <c r="M2437" s="15" t="n">
        <v>3</v>
      </c>
      <c r="N2437" s="16" t="n">
        <v>0</v>
      </c>
      <c r="O2437" s="11" t="n">
        <v>284.2418377</v>
      </c>
      <c r="P2437" s="13">
        <f>N2437*86400</f>
        <v/>
      </c>
      <c r="Q2437" s="14">
        <f>O2437-273.15</f>
        <v/>
      </c>
    </row>
    <row r="2438">
      <c r="A2438" s="9" t="n">
        <v>39325</v>
      </c>
      <c r="B2438" s="7">
        <f>YEAR(A2438)</f>
        <v/>
      </c>
      <c r="C2438" s="7">
        <f>MONTH(A2438)</f>
        <v/>
      </c>
      <c r="D2438" s="10" t="n">
        <v>0</v>
      </c>
      <c r="E2438" s="11" t="n">
        <v>17.10115926</v>
      </c>
      <c r="F2438" s="12" t="n">
        <v>0</v>
      </c>
      <c r="G2438" s="11" t="n">
        <v>290.1581257</v>
      </c>
      <c r="H2438" s="13">
        <f>F2438*1000</f>
        <v/>
      </c>
      <c r="I2438" s="14">
        <f>G2438-273.15</f>
        <v/>
      </c>
      <c r="K2438" s="15" t="n">
        <v>2007</v>
      </c>
      <c r="L2438" s="15" t="n">
        <v>10</v>
      </c>
      <c r="M2438" s="15" t="n">
        <v>4</v>
      </c>
      <c r="N2438" s="16" t="n">
        <v>0</v>
      </c>
      <c r="O2438" s="11" t="n">
        <v>284.0937713</v>
      </c>
      <c r="P2438" s="13">
        <f>N2438*86400</f>
        <v/>
      </c>
      <c r="Q2438" s="14">
        <f>O2438-273.15</f>
        <v/>
      </c>
    </row>
    <row r="2439">
      <c r="A2439" s="9" t="n">
        <v>39326</v>
      </c>
      <c r="B2439" s="7">
        <f>YEAR(A2439)</f>
        <v/>
      </c>
      <c r="C2439" s="7">
        <f>MONTH(A2439)</f>
        <v/>
      </c>
      <c r="D2439" s="10" t="n">
        <v>0</v>
      </c>
      <c r="E2439" s="11" t="n">
        <v>15.64741317</v>
      </c>
      <c r="F2439" s="12" t="n">
        <v>0.0001353760602</v>
      </c>
      <c r="G2439" s="11" t="n">
        <v>289.6587482</v>
      </c>
      <c r="H2439" s="13">
        <f>F2439*1000</f>
        <v/>
      </c>
      <c r="I2439" s="14">
        <f>G2439-273.15</f>
        <v/>
      </c>
      <c r="K2439" s="15" t="n">
        <v>2007</v>
      </c>
      <c r="L2439" s="15" t="n">
        <v>10</v>
      </c>
      <c r="M2439" s="15" t="n">
        <v>5</v>
      </c>
      <c r="N2439" s="16" t="n">
        <v>0</v>
      </c>
      <c r="O2439" s="11" t="n">
        <v>284.8584994</v>
      </c>
      <c r="P2439" s="13">
        <f>N2439*86400</f>
        <v/>
      </c>
      <c r="Q2439" s="14">
        <f>O2439-273.15</f>
        <v/>
      </c>
    </row>
    <row r="2440">
      <c r="A2440" s="9" t="n">
        <v>39327</v>
      </c>
      <c r="B2440" s="7">
        <f>YEAR(A2440)</f>
        <v/>
      </c>
      <c r="C2440" s="7">
        <f>MONTH(A2440)</f>
        <v/>
      </c>
      <c r="D2440" s="10" t="n">
        <v>0</v>
      </c>
      <c r="E2440" s="11" t="n">
        <v>14.45898288</v>
      </c>
      <c r="F2440" s="12" t="n">
        <v>0.0002088215043</v>
      </c>
      <c r="G2440" s="11" t="n">
        <v>288.7026153</v>
      </c>
      <c r="H2440" s="13">
        <f>F2440*1000</f>
        <v/>
      </c>
      <c r="I2440" s="14">
        <f>G2440-273.15</f>
        <v/>
      </c>
      <c r="K2440" s="15" t="n">
        <v>2007</v>
      </c>
      <c r="L2440" s="15" t="n">
        <v>10</v>
      </c>
      <c r="M2440" s="15" t="n">
        <v>6</v>
      </c>
      <c r="N2440" s="16" t="n">
        <v>0</v>
      </c>
      <c r="O2440" s="11" t="n">
        <v>285.9224171</v>
      </c>
      <c r="P2440" s="13">
        <f>N2440*86400</f>
        <v/>
      </c>
      <c r="Q2440" s="14">
        <f>O2440-273.15</f>
        <v/>
      </c>
    </row>
    <row r="2441">
      <c r="A2441" s="9" t="n">
        <v>39328</v>
      </c>
      <c r="B2441" s="7">
        <f>YEAR(A2441)</f>
        <v/>
      </c>
      <c r="C2441" s="7">
        <f>MONTH(A2441)</f>
        <v/>
      </c>
      <c r="D2441" s="10" t="n">
        <v>0</v>
      </c>
      <c r="E2441" s="11" t="n">
        <v>13.53321331</v>
      </c>
      <c r="F2441" s="12" t="n">
        <v>0</v>
      </c>
      <c r="G2441" s="11" t="n">
        <v>287.7176034</v>
      </c>
      <c r="H2441" s="13">
        <f>F2441*1000</f>
        <v/>
      </c>
      <c r="I2441" s="14">
        <f>G2441-273.15</f>
        <v/>
      </c>
      <c r="K2441" s="15" t="n">
        <v>2007</v>
      </c>
      <c r="L2441" s="15" t="n">
        <v>10</v>
      </c>
      <c r="M2441" s="15" t="n">
        <v>7</v>
      </c>
      <c r="N2441" s="16" t="n">
        <v>1.520713924e-05</v>
      </c>
      <c r="O2441" s="11" t="n">
        <v>286.3712163</v>
      </c>
      <c r="P2441" s="13">
        <f>N2441*86400</f>
        <v/>
      </c>
      <c r="Q2441" s="14">
        <f>O2441-273.15</f>
        <v/>
      </c>
    </row>
    <row r="2442">
      <c r="A2442" s="9" t="n">
        <v>39329</v>
      </c>
      <c r="B2442" s="7">
        <f>YEAR(A2442)</f>
        <v/>
      </c>
      <c r="C2442" s="7">
        <f>MONTH(A2442)</f>
        <v/>
      </c>
      <c r="D2442" s="10" t="n">
        <v>0</v>
      </c>
      <c r="E2442" s="11" t="n">
        <v>13.67152775</v>
      </c>
      <c r="F2442" s="12" t="n">
        <v>0.0009110987303</v>
      </c>
      <c r="G2442" s="11" t="n">
        <v>288.0870457</v>
      </c>
      <c r="H2442" s="13">
        <f>F2442*1000</f>
        <v/>
      </c>
      <c r="I2442" s="14">
        <f>G2442-273.15</f>
        <v/>
      </c>
      <c r="K2442" s="15" t="n">
        <v>2007</v>
      </c>
      <c r="L2442" s="15" t="n">
        <v>10</v>
      </c>
      <c r="M2442" s="15" t="n">
        <v>8</v>
      </c>
      <c r="N2442" s="16" t="n">
        <v>3.113956145e-05</v>
      </c>
      <c r="O2442" s="11" t="n">
        <v>285.0364898</v>
      </c>
      <c r="P2442" s="13">
        <f>N2442*86400</f>
        <v/>
      </c>
      <c r="Q2442" s="14">
        <f>O2442-273.15</f>
        <v/>
      </c>
    </row>
    <row r="2443">
      <c r="A2443" s="9" t="n">
        <v>39330</v>
      </c>
      <c r="B2443" s="7">
        <f>YEAR(A2443)</f>
        <v/>
      </c>
      <c r="C2443" s="7">
        <f>MONTH(A2443)</f>
        <v/>
      </c>
      <c r="D2443" s="10" t="n">
        <v>0</v>
      </c>
      <c r="E2443" s="11" t="n">
        <v>12.22189215</v>
      </c>
      <c r="F2443" s="12" t="n">
        <v>0.0001936460439</v>
      </c>
      <c r="G2443" s="11" t="n">
        <v>287.5300108</v>
      </c>
      <c r="H2443" s="13">
        <f>F2443*1000</f>
        <v/>
      </c>
      <c r="I2443" s="14">
        <f>G2443-273.15</f>
        <v/>
      </c>
      <c r="K2443" s="15" t="n">
        <v>2007</v>
      </c>
      <c r="L2443" s="15" t="n">
        <v>10</v>
      </c>
      <c r="M2443" s="15" t="n">
        <v>9</v>
      </c>
      <c r="N2443" s="16" t="n">
        <v>8.413258156999999e-06</v>
      </c>
      <c r="O2443" s="11" t="n">
        <v>283.6925902</v>
      </c>
      <c r="P2443" s="13">
        <f>N2443*86400</f>
        <v/>
      </c>
      <c r="Q2443" s="14">
        <f>O2443-273.15</f>
        <v/>
      </c>
    </row>
    <row r="2444">
      <c r="A2444" s="9" t="n">
        <v>39331</v>
      </c>
      <c r="B2444" s="7">
        <f>YEAR(A2444)</f>
        <v/>
      </c>
      <c r="C2444" s="7">
        <f>MONTH(A2444)</f>
        <v/>
      </c>
      <c r="D2444" s="10" t="n">
        <v>10.9284641</v>
      </c>
      <c r="E2444" s="11" t="n">
        <v>11.0166746</v>
      </c>
      <c r="F2444" s="12" t="n">
        <v>0</v>
      </c>
      <c r="G2444" s="11" t="n">
        <v>286.9826628</v>
      </c>
      <c r="H2444" s="13">
        <f>F2444*1000</f>
        <v/>
      </c>
      <c r="I2444" s="14">
        <f>G2444-273.15</f>
        <v/>
      </c>
      <c r="K2444" s="15" t="n">
        <v>2007</v>
      </c>
      <c r="L2444" s="15" t="n">
        <v>10</v>
      </c>
      <c r="M2444" s="15" t="n">
        <v>10</v>
      </c>
      <c r="N2444" s="16" t="n">
        <v>9.575756403e-05</v>
      </c>
      <c r="O2444" s="11" t="n">
        <v>282.8613617</v>
      </c>
      <c r="P2444" s="13">
        <f>N2444*86400</f>
        <v/>
      </c>
      <c r="Q2444" s="14">
        <f>O2444-273.15</f>
        <v/>
      </c>
    </row>
    <row r="2445">
      <c r="A2445" s="9" t="n">
        <v>39332</v>
      </c>
      <c r="B2445" s="7">
        <f>YEAR(A2445)</f>
        <v/>
      </c>
      <c r="C2445" s="7">
        <f>MONTH(A2445)</f>
        <v/>
      </c>
      <c r="D2445" s="10" t="n">
        <v>0</v>
      </c>
      <c r="E2445" s="11" t="n">
        <v>10.65295048</v>
      </c>
      <c r="F2445" s="12" t="n">
        <v>0</v>
      </c>
      <c r="G2445" s="11" t="n">
        <v>286.5118055</v>
      </c>
      <c r="H2445" s="13">
        <f>F2445*1000</f>
        <v/>
      </c>
      <c r="I2445" s="14">
        <f>G2445-273.15</f>
        <v/>
      </c>
      <c r="K2445" s="15" t="n">
        <v>2007</v>
      </c>
      <c r="L2445" s="15" t="n">
        <v>10</v>
      </c>
      <c r="M2445" s="15" t="n">
        <v>11</v>
      </c>
      <c r="N2445" s="16" t="n">
        <v>1.033838695e-06</v>
      </c>
      <c r="O2445" s="11" t="n">
        <v>278.6258374</v>
      </c>
      <c r="P2445" s="13">
        <f>N2445*86400</f>
        <v/>
      </c>
      <c r="Q2445" s="14">
        <f>O2445-273.15</f>
        <v/>
      </c>
    </row>
    <row r="2446">
      <c r="A2446" s="9" t="n">
        <v>39333</v>
      </c>
      <c r="B2446" s="7">
        <f>YEAR(A2446)</f>
        <v/>
      </c>
      <c r="C2446" s="7">
        <f>MONTH(A2446)</f>
        <v/>
      </c>
      <c r="D2446" s="10" t="n">
        <v>0</v>
      </c>
      <c r="E2446" s="11" t="n">
        <v>10.01115709</v>
      </c>
      <c r="F2446" s="12" t="n">
        <v>0.006190767622</v>
      </c>
      <c r="G2446" s="11" t="n">
        <v>286.4071987</v>
      </c>
      <c r="H2446" s="13">
        <f>F2446*1000</f>
        <v/>
      </c>
      <c r="I2446" s="14">
        <f>G2446-273.15</f>
        <v/>
      </c>
      <c r="K2446" s="15" t="n">
        <v>2007</v>
      </c>
      <c r="L2446" s="15" t="n">
        <v>10</v>
      </c>
      <c r="M2446" s="15" t="n">
        <v>12</v>
      </c>
      <c r="N2446" s="16" t="n">
        <v>2.153506383e-07</v>
      </c>
      <c r="O2446" s="11" t="n">
        <v>280.6164799</v>
      </c>
      <c r="P2446" s="13">
        <f>N2446*86400</f>
        <v/>
      </c>
      <c r="Q2446" s="14">
        <f>O2446-273.15</f>
        <v/>
      </c>
    </row>
    <row r="2447">
      <c r="A2447" s="9" t="n">
        <v>39334</v>
      </c>
      <c r="B2447" s="7">
        <f>YEAR(A2447)</f>
        <v/>
      </c>
      <c r="C2447" s="7">
        <f>MONTH(A2447)</f>
        <v/>
      </c>
      <c r="D2447" s="10" t="n">
        <v>0</v>
      </c>
      <c r="E2447" s="11" t="n">
        <v>11.5038366</v>
      </c>
      <c r="F2447" s="12" t="n">
        <v>0</v>
      </c>
      <c r="G2447" s="11" t="n">
        <v>287.4013784</v>
      </c>
      <c r="H2447" s="13">
        <f>F2447*1000</f>
        <v/>
      </c>
      <c r="I2447" s="14">
        <f>G2447-273.15</f>
        <v/>
      </c>
      <c r="K2447" s="15" t="n">
        <v>2007</v>
      </c>
      <c r="L2447" s="15" t="n">
        <v>10</v>
      </c>
      <c r="M2447" s="15" t="n">
        <v>13</v>
      </c>
      <c r="N2447" s="16" t="n">
        <v>3.673240156e-05</v>
      </c>
      <c r="O2447" s="11" t="n">
        <v>280.3991454</v>
      </c>
      <c r="P2447" s="13">
        <f>N2447*86400</f>
        <v/>
      </c>
      <c r="Q2447" s="14">
        <f>O2447-273.15</f>
        <v/>
      </c>
    </row>
    <row r="2448">
      <c r="A2448" s="9" t="n">
        <v>39335</v>
      </c>
      <c r="B2448" s="7">
        <f>YEAR(A2448)</f>
        <v/>
      </c>
      <c r="C2448" s="7">
        <f>MONTH(A2448)</f>
        <v/>
      </c>
      <c r="D2448" s="10" t="n">
        <v>4.994060409</v>
      </c>
      <c r="E2448" s="11" t="n">
        <v>9.969727939</v>
      </c>
      <c r="F2448" s="12" t="n">
        <v>0.01406316239</v>
      </c>
      <c r="G2448" s="11" t="n">
        <v>287.3539246</v>
      </c>
      <c r="H2448" s="13">
        <f>F2448*1000</f>
        <v/>
      </c>
      <c r="I2448" s="14">
        <f>G2448-273.15</f>
        <v/>
      </c>
      <c r="K2448" s="15" t="n">
        <v>2007</v>
      </c>
      <c r="L2448" s="15" t="n">
        <v>10</v>
      </c>
      <c r="M2448" s="15" t="n">
        <v>14</v>
      </c>
      <c r="N2448" s="16" t="n">
        <v>3.328252185e-05</v>
      </c>
      <c r="O2448" s="11" t="n">
        <v>278.762308</v>
      </c>
      <c r="P2448" s="13">
        <f>N2448*86400</f>
        <v/>
      </c>
      <c r="Q2448" s="14">
        <f>O2448-273.15</f>
        <v/>
      </c>
    </row>
    <row r="2449">
      <c r="A2449" s="9" t="n">
        <v>39336</v>
      </c>
      <c r="B2449" s="7">
        <f>YEAR(A2449)</f>
        <v/>
      </c>
      <c r="C2449" s="7">
        <f>MONTH(A2449)</f>
        <v/>
      </c>
      <c r="D2449" s="10" t="n">
        <v>0</v>
      </c>
      <c r="E2449" s="11" t="n">
        <v>11.20839159</v>
      </c>
      <c r="F2449" s="12" t="n">
        <v>0</v>
      </c>
      <c r="G2449" s="11" t="n">
        <v>288.3212014</v>
      </c>
      <c r="H2449" s="13">
        <f>F2449*1000</f>
        <v/>
      </c>
      <c r="I2449" s="14">
        <f>G2449-273.15</f>
        <v/>
      </c>
      <c r="K2449" s="15" t="n">
        <v>2007</v>
      </c>
      <c r="L2449" s="15" t="n">
        <v>10</v>
      </c>
      <c r="M2449" s="15" t="n">
        <v>15</v>
      </c>
      <c r="N2449" s="16" t="n">
        <v>1.066601659e-05</v>
      </c>
      <c r="O2449" s="11" t="n">
        <v>280.3412704</v>
      </c>
      <c r="P2449" s="13">
        <f>N2449*86400</f>
        <v/>
      </c>
      <c r="Q2449" s="14">
        <f>O2449-273.15</f>
        <v/>
      </c>
    </row>
    <row r="2450">
      <c r="A2450" s="9" t="n">
        <v>39337</v>
      </c>
      <c r="B2450" s="7">
        <f>YEAR(A2450)</f>
        <v/>
      </c>
      <c r="C2450" s="7">
        <f>MONTH(A2450)</f>
        <v/>
      </c>
      <c r="D2450" s="10" t="n">
        <v>0</v>
      </c>
      <c r="E2450" s="11" t="n">
        <v>9.213928163</v>
      </c>
      <c r="F2450" s="12" t="n">
        <v>0</v>
      </c>
      <c r="G2450" s="11" t="n">
        <v>286.3785742</v>
      </c>
      <c r="H2450" s="13">
        <f>F2450*1000</f>
        <v/>
      </c>
      <c r="I2450" s="14">
        <f>G2450-273.15</f>
        <v/>
      </c>
      <c r="K2450" s="15" t="n">
        <v>2007</v>
      </c>
      <c r="L2450" s="15" t="n">
        <v>10</v>
      </c>
      <c r="M2450" s="15" t="n">
        <v>16</v>
      </c>
      <c r="N2450" s="16" t="n">
        <v>5.424604464e-05</v>
      </c>
      <c r="O2450" s="11" t="n">
        <v>282.0359384</v>
      </c>
      <c r="P2450" s="13">
        <f>N2450*86400</f>
        <v/>
      </c>
      <c r="Q2450" s="14">
        <f>O2450-273.15</f>
        <v/>
      </c>
    </row>
    <row r="2451">
      <c r="A2451" s="9" t="n">
        <v>39338</v>
      </c>
      <c r="B2451" s="7">
        <f>YEAR(A2451)</f>
        <v/>
      </c>
      <c r="C2451" s="7">
        <f>MONTH(A2451)</f>
        <v/>
      </c>
      <c r="D2451" s="10" t="n">
        <v>0</v>
      </c>
      <c r="E2451" s="11" t="n">
        <v>9.973194031</v>
      </c>
      <c r="F2451" s="12" t="n">
        <v>0</v>
      </c>
      <c r="G2451" s="11" t="n">
        <v>286.6399632</v>
      </c>
      <c r="H2451" s="13">
        <f>F2451*1000</f>
        <v/>
      </c>
      <c r="I2451" s="14">
        <f>G2451-273.15</f>
        <v/>
      </c>
      <c r="K2451" s="15" t="n">
        <v>2007</v>
      </c>
      <c r="L2451" s="15" t="n">
        <v>10</v>
      </c>
      <c r="M2451" s="15" t="n">
        <v>17</v>
      </c>
      <c r="N2451" s="16" t="n">
        <v>0.0001599495749</v>
      </c>
      <c r="O2451" s="11" t="n">
        <v>282.6562514</v>
      </c>
      <c r="P2451" s="13">
        <f>N2451*86400</f>
        <v/>
      </c>
      <c r="Q2451" s="14">
        <f>O2451-273.15</f>
        <v/>
      </c>
    </row>
    <row r="2452">
      <c r="A2452" s="9" t="n">
        <v>39339</v>
      </c>
      <c r="B2452" s="7">
        <f>YEAR(A2452)</f>
        <v/>
      </c>
      <c r="C2452" s="7">
        <f>MONTH(A2452)</f>
        <v/>
      </c>
      <c r="D2452" s="10" t="n">
        <v>0</v>
      </c>
      <c r="E2452" s="11" t="n">
        <v>10.48415909</v>
      </c>
      <c r="F2452" s="12" t="n">
        <v>0</v>
      </c>
      <c r="G2452" s="11" t="n">
        <v>285.657022</v>
      </c>
      <c r="H2452" s="13">
        <f>F2452*1000</f>
        <v/>
      </c>
      <c r="I2452" s="14">
        <f>G2452-273.15</f>
        <v/>
      </c>
      <c r="K2452" s="15" t="n">
        <v>2007</v>
      </c>
      <c r="L2452" s="15" t="n">
        <v>10</v>
      </c>
      <c r="M2452" s="15" t="n">
        <v>18</v>
      </c>
      <c r="N2452" s="16" t="n">
        <v>0.0001827387985</v>
      </c>
      <c r="O2452" s="11" t="n">
        <v>281.5243626</v>
      </c>
      <c r="P2452" s="13">
        <f>N2452*86400</f>
        <v/>
      </c>
      <c r="Q2452" s="14">
        <f>O2452-273.15</f>
        <v/>
      </c>
    </row>
    <row r="2453">
      <c r="A2453" s="9" t="n">
        <v>39340</v>
      </c>
      <c r="B2453" s="7">
        <f>YEAR(A2453)</f>
        <v/>
      </c>
      <c r="C2453" s="7">
        <f>MONTH(A2453)</f>
        <v/>
      </c>
      <c r="D2453" s="10" t="n">
        <v>0</v>
      </c>
      <c r="E2453" s="11" t="n">
        <v>10.15557036</v>
      </c>
      <c r="F2453" s="12" t="n">
        <v>0.000485370247</v>
      </c>
      <c r="G2453" s="11" t="n">
        <v>285.295247</v>
      </c>
      <c r="H2453" s="13">
        <f>F2453*1000</f>
        <v/>
      </c>
      <c r="I2453" s="14">
        <f>G2453-273.15</f>
        <v/>
      </c>
      <c r="K2453" s="15" t="n">
        <v>2007</v>
      </c>
      <c r="L2453" s="15" t="n">
        <v>10</v>
      </c>
      <c r="M2453" s="15" t="n">
        <v>19</v>
      </c>
      <c r="N2453" s="16" t="n">
        <v>2.125472848e-06</v>
      </c>
      <c r="O2453" s="11" t="n">
        <v>281.7457489</v>
      </c>
      <c r="P2453" s="13">
        <f>N2453*86400</f>
        <v/>
      </c>
      <c r="Q2453" s="14">
        <f>O2453-273.15</f>
        <v/>
      </c>
    </row>
    <row r="2454">
      <c r="A2454" s="9" t="n">
        <v>39341</v>
      </c>
      <c r="B2454" s="7">
        <f>YEAR(A2454)</f>
        <v/>
      </c>
      <c r="C2454" s="7">
        <f>MONTH(A2454)</f>
        <v/>
      </c>
      <c r="D2454" s="10" t="n">
        <v>0</v>
      </c>
      <c r="E2454" s="11" t="n">
        <v>8.984537671</v>
      </c>
      <c r="F2454" s="12" t="n">
        <v>0</v>
      </c>
      <c r="G2454" s="11" t="n">
        <v>283.9152865</v>
      </c>
      <c r="H2454" s="13">
        <f>F2454*1000</f>
        <v/>
      </c>
      <c r="I2454" s="14">
        <f>G2454-273.15</f>
        <v/>
      </c>
      <c r="K2454" s="15" t="n">
        <v>2007</v>
      </c>
      <c r="L2454" s="15" t="n">
        <v>10</v>
      </c>
      <c r="M2454" s="15" t="n">
        <v>20</v>
      </c>
      <c r="N2454" s="16" t="n">
        <v>0</v>
      </c>
      <c r="O2454" s="11" t="n">
        <v>280.6266529</v>
      </c>
      <c r="P2454" s="13">
        <f>N2454*86400</f>
        <v/>
      </c>
      <c r="Q2454" s="14">
        <f>O2454-273.15</f>
        <v/>
      </c>
    </row>
    <row r="2455">
      <c r="A2455" s="9" t="n">
        <v>39342</v>
      </c>
      <c r="B2455" s="7">
        <f>YEAR(A2455)</f>
        <v/>
      </c>
      <c r="C2455" s="7">
        <f>MONTH(A2455)</f>
        <v/>
      </c>
      <c r="D2455" s="10" t="n">
        <v>3.217371198</v>
      </c>
      <c r="E2455" s="11" t="n">
        <v>9.833753708</v>
      </c>
      <c r="F2455" s="12" t="n">
        <v>0.0002725503891</v>
      </c>
      <c r="G2455" s="11" t="n">
        <v>285.6784244</v>
      </c>
      <c r="H2455" s="13">
        <f>F2455*1000</f>
        <v/>
      </c>
      <c r="I2455" s="14">
        <f>G2455-273.15</f>
        <v/>
      </c>
      <c r="K2455" s="15" t="n">
        <v>2007</v>
      </c>
      <c r="L2455" s="15" t="n">
        <v>10</v>
      </c>
      <c r="M2455" s="15" t="n">
        <v>21</v>
      </c>
      <c r="N2455" s="16" t="n">
        <v>0</v>
      </c>
      <c r="O2455" s="11" t="n">
        <v>280.212626</v>
      </c>
      <c r="P2455" s="13">
        <f>N2455*86400</f>
        <v/>
      </c>
      <c r="Q2455" s="14">
        <f>O2455-273.15</f>
        <v/>
      </c>
    </row>
    <row r="2456">
      <c r="A2456" s="9" t="n">
        <v>39343</v>
      </c>
      <c r="B2456" s="7">
        <f>YEAR(A2456)</f>
        <v/>
      </c>
      <c r="C2456" s="7">
        <f>MONTH(A2456)</f>
        <v/>
      </c>
      <c r="D2456" s="10" t="n">
        <v>9.491248601000001</v>
      </c>
      <c r="E2456" s="11" t="n">
        <v>9.190161097000001</v>
      </c>
      <c r="F2456" s="12" t="n">
        <v>0.004753160306</v>
      </c>
      <c r="G2456" s="11" t="n">
        <v>284.5716532</v>
      </c>
      <c r="H2456" s="13">
        <f>F2456*1000</f>
        <v/>
      </c>
      <c r="I2456" s="14">
        <f>G2456-273.15</f>
        <v/>
      </c>
      <c r="K2456" s="15" t="n">
        <v>2007</v>
      </c>
      <c r="L2456" s="15" t="n">
        <v>10</v>
      </c>
      <c r="M2456" s="15" t="n">
        <v>22</v>
      </c>
      <c r="N2456" s="16" t="n">
        <v>0</v>
      </c>
      <c r="O2456" s="11" t="n">
        <v>281.1203903</v>
      </c>
      <c r="P2456" s="13">
        <f>N2456*86400</f>
        <v/>
      </c>
      <c r="Q2456" s="14">
        <f>O2456-273.15</f>
        <v/>
      </c>
    </row>
    <row r="2457">
      <c r="A2457" s="9" t="n">
        <v>39344</v>
      </c>
      <c r="B2457" s="7">
        <f>YEAR(A2457)</f>
        <v/>
      </c>
      <c r="C2457" s="7">
        <f>MONTH(A2457)</f>
        <v/>
      </c>
      <c r="D2457" s="10" t="n">
        <v>30.80825495</v>
      </c>
      <c r="E2457" s="11" t="n">
        <v>10.16389365</v>
      </c>
      <c r="F2457" s="12" t="n">
        <v>0.008139347216999999</v>
      </c>
      <c r="G2457" s="11" t="n">
        <v>285.1126474</v>
      </c>
      <c r="H2457" s="13">
        <f>F2457*1000</f>
        <v/>
      </c>
      <c r="I2457" s="14">
        <f>G2457-273.15</f>
        <v/>
      </c>
      <c r="K2457" s="15" t="n">
        <v>2007</v>
      </c>
      <c r="L2457" s="15" t="n">
        <v>10</v>
      </c>
      <c r="M2457" s="15" t="n">
        <v>23</v>
      </c>
      <c r="N2457" s="16" t="n">
        <v>1.604232163e-07</v>
      </c>
      <c r="O2457" s="11" t="n">
        <v>278.7365514</v>
      </c>
      <c r="P2457" s="13">
        <f>N2457*86400</f>
        <v/>
      </c>
      <c r="Q2457" s="14">
        <f>O2457-273.15</f>
        <v/>
      </c>
    </row>
    <row r="2458">
      <c r="A2458" s="9" t="n">
        <v>39345</v>
      </c>
      <c r="B2458" s="7">
        <f>YEAR(A2458)</f>
        <v/>
      </c>
      <c r="C2458" s="7">
        <f>MONTH(A2458)</f>
        <v/>
      </c>
      <c r="D2458" s="10" t="n">
        <v>0</v>
      </c>
      <c r="E2458" s="11" t="n">
        <v>8.579672180999999</v>
      </c>
      <c r="F2458" s="12" t="n">
        <v>0</v>
      </c>
      <c r="G2458" s="11" t="n">
        <v>283.7670297</v>
      </c>
      <c r="H2458" s="13">
        <f>F2458*1000</f>
        <v/>
      </c>
      <c r="I2458" s="14">
        <f>G2458-273.15</f>
        <v/>
      </c>
      <c r="K2458" s="15" t="n">
        <v>2007</v>
      </c>
      <c r="L2458" s="15" t="n">
        <v>10</v>
      </c>
      <c r="M2458" s="15" t="n">
        <v>24</v>
      </c>
      <c r="N2458" s="16" t="n">
        <v>0</v>
      </c>
      <c r="O2458" s="11" t="n">
        <v>280.0355197</v>
      </c>
      <c r="P2458" s="13">
        <f>N2458*86400</f>
        <v/>
      </c>
      <c r="Q2458" s="14">
        <f>O2458-273.15</f>
        <v/>
      </c>
    </row>
    <row r="2459">
      <c r="A2459" s="9" t="n">
        <v>39346</v>
      </c>
      <c r="B2459" s="7">
        <f>YEAR(A2459)</f>
        <v/>
      </c>
      <c r="C2459" s="7">
        <f>MONTH(A2459)</f>
        <v/>
      </c>
      <c r="D2459" s="10" t="n">
        <v>0</v>
      </c>
      <c r="E2459" s="11" t="n">
        <v>9.396222269000001</v>
      </c>
      <c r="F2459" s="12" t="n">
        <v>0</v>
      </c>
      <c r="G2459" s="11" t="n">
        <v>285.5085391</v>
      </c>
      <c r="H2459" s="13">
        <f>F2459*1000</f>
        <v/>
      </c>
      <c r="I2459" s="14">
        <f>G2459-273.15</f>
        <v/>
      </c>
      <c r="K2459" s="15" t="n">
        <v>2007</v>
      </c>
      <c r="L2459" s="15" t="n">
        <v>10</v>
      </c>
      <c r="M2459" s="15" t="n">
        <v>25</v>
      </c>
      <c r="N2459" s="16" t="n">
        <v>0</v>
      </c>
      <c r="O2459" s="11" t="n">
        <v>280.740083</v>
      </c>
      <c r="P2459" s="13">
        <f>N2459*86400</f>
        <v/>
      </c>
      <c r="Q2459" s="14">
        <f>O2459-273.15</f>
        <v/>
      </c>
    </row>
    <row r="2460">
      <c r="A2460" s="9" t="n">
        <v>39347</v>
      </c>
      <c r="B2460" s="7">
        <f>YEAR(A2460)</f>
        <v/>
      </c>
      <c r="C2460" s="7">
        <f>MONTH(A2460)</f>
        <v/>
      </c>
      <c r="D2460" s="10" t="n">
        <v>0</v>
      </c>
      <c r="E2460" s="11" t="n">
        <v>9.489396182</v>
      </c>
      <c r="F2460" s="12" t="n">
        <v>0</v>
      </c>
      <c r="G2460" s="11" t="n">
        <v>286.0115582</v>
      </c>
      <c r="H2460" s="13">
        <f>F2460*1000</f>
        <v/>
      </c>
      <c r="I2460" s="14">
        <f>G2460-273.15</f>
        <v/>
      </c>
      <c r="K2460" s="15" t="n">
        <v>2007</v>
      </c>
      <c r="L2460" s="15" t="n">
        <v>10</v>
      </c>
      <c r="M2460" s="15" t="n">
        <v>26</v>
      </c>
      <c r="N2460" s="16" t="n">
        <v>0</v>
      </c>
      <c r="O2460" s="11" t="n">
        <v>282.0293909</v>
      </c>
      <c r="P2460" s="13">
        <f>N2460*86400</f>
        <v/>
      </c>
      <c r="Q2460" s="14">
        <f>O2460-273.15</f>
        <v/>
      </c>
    </row>
    <row r="2461">
      <c r="A2461" s="9" t="n">
        <v>39348</v>
      </c>
      <c r="B2461" s="7">
        <f>YEAR(A2461)</f>
        <v/>
      </c>
      <c r="C2461" s="7">
        <f>MONTH(A2461)</f>
        <v/>
      </c>
      <c r="D2461" s="10" t="n">
        <v>29.87120947</v>
      </c>
      <c r="E2461" s="11" t="n">
        <v>9.416831861</v>
      </c>
      <c r="F2461" s="12" t="n">
        <v>0.009759727467999999</v>
      </c>
      <c r="G2461" s="11" t="n">
        <v>286.1337613</v>
      </c>
      <c r="H2461" s="13">
        <f>F2461*1000</f>
        <v/>
      </c>
      <c r="I2461" s="14">
        <f>G2461-273.15</f>
        <v/>
      </c>
      <c r="K2461" s="15" t="n">
        <v>2007</v>
      </c>
      <c r="L2461" s="15" t="n">
        <v>10</v>
      </c>
      <c r="M2461" s="15" t="n">
        <v>27</v>
      </c>
      <c r="N2461" s="16" t="n">
        <v>5.719409754e-07</v>
      </c>
      <c r="O2461" s="11" t="n">
        <v>280.1484382</v>
      </c>
      <c r="P2461" s="13">
        <f>N2461*86400</f>
        <v/>
      </c>
      <c r="Q2461" s="14">
        <f>O2461-273.15</f>
        <v/>
      </c>
    </row>
    <row r="2462">
      <c r="A2462" s="9" t="n">
        <v>39349</v>
      </c>
      <c r="B2462" s="7">
        <f>YEAR(A2462)</f>
        <v/>
      </c>
      <c r="C2462" s="7">
        <f>MONTH(A2462)</f>
        <v/>
      </c>
      <c r="D2462" s="10" t="n">
        <v>0</v>
      </c>
      <c r="E2462" s="11" t="n">
        <v>8.315707327</v>
      </c>
      <c r="F2462" s="12" t="n">
        <v>0</v>
      </c>
      <c r="G2462" s="11" t="n">
        <v>283.941624</v>
      </c>
      <c r="H2462" s="13">
        <f>F2462*1000</f>
        <v/>
      </c>
      <c r="I2462" s="14">
        <f>G2462-273.15</f>
        <v/>
      </c>
      <c r="K2462" s="15" t="n">
        <v>2007</v>
      </c>
      <c r="L2462" s="15" t="n">
        <v>10</v>
      </c>
      <c r="M2462" s="15" t="n">
        <v>28</v>
      </c>
      <c r="N2462" s="16" t="n">
        <v>0</v>
      </c>
      <c r="O2462" s="11" t="n">
        <v>279.5674784</v>
      </c>
      <c r="P2462" s="13">
        <f>N2462*86400</f>
        <v/>
      </c>
      <c r="Q2462" s="14">
        <f>O2462-273.15</f>
        <v/>
      </c>
    </row>
    <row r="2463">
      <c r="A2463" s="9" t="n">
        <v>39350</v>
      </c>
      <c r="B2463" s="7">
        <f>YEAR(A2463)</f>
        <v/>
      </c>
      <c r="C2463" s="7">
        <f>MONTH(A2463)</f>
        <v/>
      </c>
      <c r="D2463" s="10" t="n">
        <v>0</v>
      </c>
      <c r="E2463" s="11" t="n">
        <v>11.2780244</v>
      </c>
      <c r="F2463" s="12" t="n">
        <v>0</v>
      </c>
      <c r="G2463" s="11" t="n">
        <v>286.0985062</v>
      </c>
      <c r="H2463" s="13">
        <f>F2463*1000</f>
        <v/>
      </c>
      <c r="I2463" s="14">
        <f>G2463-273.15</f>
        <v/>
      </c>
      <c r="K2463" s="15" t="n">
        <v>2007</v>
      </c>
      <c r="L2463" s="15" t="n">
        <v>10</v>
      </c>
      <c r="M2463" s="15" t="n">
        <v>29</v>
      </c>
      <c r="N2463" s="16" t="n">
        <v>0</v>
      </c>
      <c r="O2463" s="11" t="n">
        <v>279.009409</v>
      </c>
      <c r="P2463" s="13">
        <f>N2463*86400</f>
        <v/>
      </c>
      <c r="Q2463" s="14">
        <f>O2463-273.15</f>
        <v/>
      </c>
    </row>
    <row r="2464">
      <c r="A2464" s="9" t="n">
        <v>39351</v>
      </c>
      <c r="B2464" s="7">
        <f>YEAR(A2464)</f>
        <v/>
      </c>
      <c r="C2464" s="7">
        <f>MONTH(A2464)</f>
        <v/>
      </c>
      <c r="D2464" s="10" t="n">
        <v>0</v>
      </c>
      <c r="E2464" s="11" t="n">
        <v>9.699135166</v>
      </c>
      <c r="F2464" s="12" t="n">
        <v>0</v>
      </c>
      <c r="G2464" s="11" t="n">
        <v>284.8047889</v>
      </c>
      <c r="H2464" s="13">
        <f>F2464*1000</f>
        <v/>
      </c>
      <c r="I2464" s="14">
        <f>G2464-273.15</f>
        <v/>
      </c>
      <c r="K2464" s="15" t="n">
        <v>2007</v>
      </c>
      <c r="L2464" s="15" t="n">
        <v>10</v>
      </c>
      <c r="M2464" s="15" t="n">
        <v>30</v>
      </c>
      <c r="N2464" s="16" t="n">
        <v>0</v>
      </c>
      <c r="O2464" s="11" t="n">
        <v>280.6708029</v>
      </c>
      <c r="P2464" s="13">
        <f>N2464*86400</f>
        <v/>
      </c>
      <c r="Q2464" s="14">
        <f>O2464-273.15</f>
        <v/>
      </c>
    </row>
    <row r="2465">
      <c r="A2465" s="9" t="n">
        <v>39352</v>
      </c>
      <c r="B2465" s="7">
        <f>YEAR(A2465)</f>
        <v/>
      </c>
      <c r="C2465" s="7">
        <f>MONTH(A2465)</f>
        <v/>
      </c>
      <c r="D2465" s="10" t="n">
        <v>0</v>
      </c>
      <c r="E2465" s="11" t="n">
        <v>8.446235756</v>
      </c>
      <c r="F2465" s="12" t="n">
        <v>0</v>
      </c>
      <c r="G2465" s="11" t="n">
        <v>283.2525767</v>
      </c>
      <c r="H2465" s="13">
        <f>F2465*1000</f>
        <v/>
      </c>
      <c r="I2465" s="14">
        <f>G2465-273.15</f>
        <v/>
      </c>
      <c r="K2465" s="15" t="n">
        <v>2007</v>
      </c>
      <c r="L2465" s="15" t="n">
        <v>11</v>
      </c>
      <c r="M2465" s="15" t="n">
        <v>1</v>
      </c>
      <c r="N2465" s="16" t="n">
        <v>0</v>
      </c>
      <c r="O2465" s="11" t="n">
        <v>282.6713705</v>
      </c>
      <c r="P2465" s="13">
        <f>N2465*86400</f>
        <v/>
      </c>
      <c r="Q2465" s="14">
        <f>O2465-273.15</f>
        <v/>
      </c>
    </row>
    <row r="2466">
      <c r="A2466" s="9" t="n">
        <v>39353</v>
      </c>
      <c r="B2466" s="7">
        <f>YEAR(A2466)</f>
        <v/>
      </c>
      <c r="C2466" s="7">
        <f>MONTH(A2466)</f>
        <v/>
      </c>
      <c r="D2466" s="10" t="n">
        <v>0</v>
      </c>
      <c r="E2466" s="11" t="n">
        <v>5.406233446</v>
      </c>
      <c r="F2466" s="12" t="n">
        <v>0</v>
      </c>
      <c r="G2466" s="11" t="n">
        <v>280.4716854</v>
      </c>
      <c r="H2466" s="13">
        <f>F2466*1000</f>
        <v/>
      </c>
      <c r="I2466" s="14">
        <f>G2466-273.15</f>
        <v/>
      </c>
      <c r="K2466" s="15" t="n">
        <v>2007</v>
      </c>
      <c r="L2466" s="15" t="n">
        <v>11</v>
      </c>
      <c r="M2466" s="15" t="n">
        <v>2</v>
      </c>
      <c r="N2466" s="16" t="n">
        <v>3.168536019e-05</v>
      </c>
      <c r="O2466" s="11" t="n">
        <v>280.6821642</v>
      </c>
      <c r="P2466" s="13">
        <f>N2466*86400</f>
        <v/>
      </c>
      <c r="Q2466" s="14">
        <f>O2466-273.15</f>
        <v/>
      </c>
    </row>
    <row r="2467">
      <c r="A2467" s="9" t="n">
        <v>39354</v>
      </c>
      <c r="B2467" s="7">
        <f>YEAR(A2467)</f>
        <v/>
      </c>
      <c r="C2467" s="7">
        <f>MONTH(A2467)</f>
        <v/>
      </c>
      <c r="D2467" s="10" t="n">
        <v>13.29409961</v>
      </c>
      <c r="E2467" s="11" t="n">
        <v>8.297148561</v>
      </c>
      <c r="F2467" s="12" t="n">
        <v>0.006858664093</v>
      </c>
      <c r="G2467" s="11" t="n">
        <v>282.0228776</v>
      </c>
      <c r="H2467" s="13">
        <f>F2467*1000</f>
        <v/>
      </c>
      <c r="I2467" s="14">
        <f>G2467-273.15</f>
        <v/>
      </c>
      <c r="K2467" s="15" t="n">
        <v>2007</v>
      </c>
      <c r="L2467" s="15" t="n">
        <v>11</v>
      </c>
      <c r="M2467" s="15" t="n">
        <v>3</v>
      </c>
      <c r="N2467" s="16" t="n">
        <v>3.016598806e-06</v>
      </c>
      <c r="O2467" s="11" t="n">
        <v>278.7322451</v>
      </c>
      <c r="P2467" s="13">
        <f>N2467*86400</f>
        <v/>
      </c>
      <c r="Q2467" s="14">
        <f>O2467-273.15</f>
        <v/>
      </c>
    </row>
    <row r="2468">
      <c r="A2468" s="9" t="n">
        <v>39355</v>
      </c>
      <c r="B2468" s="7">
        <f>YEAR(A2468)</f>
        <v/>
      </c>
      <c r="C2468" s="7">
        <f>MONTH(A2468)</f>
        <v/>
      </c>
      <c r="D2468" s="10" t="n">
        <v>5.01446007</v>
      </c>
      <c r="E2468" s="11" t="n">
        <v>9.138779577999999</v>
      </c>
      <c r="F2468" s="12" t="n">
        <v>0.002386771559</v>
      </c>
      <c r="G2468" s="11" t="n">
        <v>283.4588904</v>
      </c>
      <c r="H2468" s="13">
        <f>F2468*1000</f>
        <v/>
      </c>
      <c r="I2468" s="14">
        <f>G2468-273.15</f>
        <v/>
      </c>
      <c r="K2468" s="15" t="n">
        <v>2007</v>
      </c>
      <c r="L2468" s="15" t="n">
        <v>11</v>
      </c>
      <c r="M2468" s="15" t="n">
        <v>4</v>
      </c>
      <c r="N2468" s="16" t="n">
        <v>0</v>
      </c>
      <c r="O2468" s="11" t="n">
        <v>280.1310365</v>
      </c>
      <c r="P2468" s="13">
        <f>N2468*86400</f>
        <v/>
      </c>
      <c r="Q2468" s="14">
        <f>O2468-273.15</f>
        <v/>
      </c>
    </row>
    <row r="2469">
      <c r="A2469" s="9" t="n">
        <v>39356</v>
      </c>
      <c r="B2469" s="7">
        <f>YEAR(A2469)</f>
        <v/>
      </c>
      <c r="C2469" s="7">
        <f>MONTH(A2469)</f>
        <v/>
      </c>
      <c r="D2469" s="10" t="n">
        <v>1.107900569</v>
      </c>
      <c r="E2469" s="11" t="n">
        <v>9.051815981000001</v>
      </c>
      <c r="F2469" s="12" t="n">
        <v>0.005546296748</v>
      </c>
      <c r="G2469" s="11" t="n">
        <v>283.1440294</v>
      </c>
      <c r="H2469" s="13">
        <f>F2469*1000</f>
        <v/>
      </c>
      <c r="I2469" s="14">
        <f>G2469-273.15</f>
        <v/>
      </c>
      <c r="K2469" s="15" t="n">
        <v>2007</v>
      </c>
      <c r="L2469" s="15" t="n">
        <v>11</v>
      </c>
      <c r="M2469" s="15" t="n">
        <v>5</v>
      </c>
      <c r="N2469" s="16" t="n">
        <v>2.251300673e-05</v>
      </c>
      <c r="O2469" s="11" t="n">
        <v>281.0990861</v>
      </c>
      <c r="P2469" s="13">
        <f>N2469*86400</f>
        <v/>
      </c>
      <c r="Q2469" s="14">
        <f>O2469-273.15</f>
        <v/>
      </c>
    </row>
    <row r="2470">
      <c r="A2470" s="9" t="n">
        <v>39357</v>
      </c>
      <c r="B2470" s="7">
        <f>YEAR(A2470)</f>
        <v/>
      </c>
      <c r="C2470" s="7">
        <f>MONTH(A2470)</f>
        <v/>
      </c>
      <c r="D2470" s="10" t="n">
        <v>0</v>
      </c>
      <c r="E2470" s="11" t="n">
        <v>10.50264793</v>
      </c>
      <c r="F2470" s="12" t="n">
        <v>0</v>
      </c>
      <c r="G2470" s="11" t="n">
        <v>284.9470101</v>
      </c>
      <c r="H2470" s="13">
        <f>F2470*1000</f>
        <v/>
      </c>
      <c r="I2470" s="14">
        <f>G2470-273.15</f>
        <v/>
      </c>
      <c r="K2470" s="15" t="n">
        <v>2007</v>
      </c>
      <c r="L2470" s="15" t="n">
        <v>11</v>
      </c>
      <c r="M2470" s="15" t="n">
        <v>6</v>
      </c>
      <c r="N2470" s="16" t="n">
        <v>3.434083142e-05</v>
      </c>
      <c r="O2470" s="11" t="n">
        <v>281.1830209</v>
      </c>
      <c r="P2470" s="13">
        <f>N2470*86400</f>
        <v/>
      </c>
      <c r="Q2470" s="14">
        <f>O2470-273.15</f>
        <v/>
      </c>
    </row>
    <row r="2471">
      <c r="A2471" s="9" t="n">
        <v>39358</v>
      </c>
      <c r="B2471" s="7">
        <f>YEAR(A2471)</f>
        <v/>
      </c>
      <c r="C2471" s="7">
        <f>MONTH(A2471)</f>
        <v/>
      </c>
      <c r="D2471" s="10" t="n">
        <v>0</v>
      </c>
      <c r="E2471" s="11" t="n">
        <v>9.265982018000001</v>
      </c>
      <c r="F2471" s="12" t="n">
        <v>0</v>
      </c>
      <c r="G2471" s="11" t="n">
        <v>283.7547595</v>
      </c>
      <c r="H2471" s="13">
        <f>F2471*1000</f>
        <v/>
      </c>
      <c r="I2471" s="14">
        <f>G2471-273.15</f>
        <v/>
      </c>
      <c r="K2471" s="15" t="n">
        <v>2007</v>
      </c>
      <c r="L2471" s="15" t="n">
        <v>11</v>
      </c>
      <c r="M2471" s="15" t="n">
        <v>7</v>
      </c>
      <c r="N2471" s="16" t="n">
        <v>3.078942787e-05</v>
      </c>
      <c r="O2471" s="11" t="n">
        <v>281.5007735</v>
      </c>
      <c r="P2471" s="13">
        <f>N2471*86400</f>
        <v/>
      </c>
      <c r="Q2471" s="14">
        <f>O2471-273.15</f>
        <v/>
      </c>
    </row>
    <row r="2472">
      <c r="A2472" s="9" t="n">
        <v>39359</v>
      </c>
      <c r="B2472" s="7">
        <f>YEAR(A2472)</f>
        <v/>
      </c>
      <c r="C2472" s="7">
        <f>MONTH(A2472)</f>
        <v/>
      </c>
      <c r="D2472" s="10" t="n">
        <v>0</v>
      </c>
      <c r="E2472" s="11" t="n">
        <v>9.421589214000001</v>
      </c>
      <c r="F2472" s="12" t="n">
        <v>0</v>
      </c>
      <c r="G2472" s="11" t="n">
        <v>283.4341515</v>
      </c>
      <c r="H2472" s="13">
        <f>F2472*1000</f>
        <v/>
      </c>
      <c r="I2472" s="14">
        <f>G2472-273.15</f>
        <v/>
      </c>
      <c r="K2472" s="15" t="n">
        <v>2007</v>
      </c>
      <c r="L2472" s="15" t="n">
        <v>11</v>
      </c>
      <c r="M2472" s="15" t="n">
        <v>8</v>
      </c>
      <c r="N2472" s="16" t="n">
        <v>1.003686476e-05</v>
      </c>
      <c r="O2472" s="11" t="n">
        <v>281.7408993</v>
      </c>
      <c r="P2472" s="13">
        <f>N2472*86400</f>
        <v/>
      </c>
      <c r="Q2472" s="14">
        <f>O2472-273.15</f>
        <v/>
      </c>
    </row>
    <row r="2473">
      <c r="A2473" s="9" t="n">
        <v>39360</v>
      </c>
      <c r="B2473" s="7">
        <f>YEAR(A2473)</f>
        <v/>
      </c>
      <c r="C2473" s="7">
        <f>MONTH(A2473)</f>
        <v/>
      </c>
      <c r="D2473" s="10" t="n">
        <v>2.228611969</v>
      </c>
      <c r="E2473" s="11" t="n">
        <v>8.977480402999999</v>
      </c>
      <c r="F2473" s="12" t="n">
        <v>0</v>
      </c>
      <c r="G2473" s="11" t="n">
        <v>284.3038343</v>
      </c>
      <c r="H2473" s="13">
        <f>F2473*1000</f>
        <v/>
      </c>
      <c r="I2473" s="14">
        <f>G2473-273.15</f>
        <v/>
      </c>
      <c r="K2473" s="15" t="n">
        <v>2007</v>
      </c>
      <c r="L2473" s="15" t="n">
        <v>11</v>
      </c>
      <c r="M2473" s="15" t="n">
        <v>9</v>
      </c>
      <c r="N2473" s="16" t="n">
        <v>0</v>
      </c>
      <c r="O2473" s="11" t="n">
        <v>279.4534637</v>
      </c>
      <c r="P2473" s="13">
        <f>N2473*86400</f>
        <v/>
      </c>
      <c r="Q2473" s="14">
        <f>O2473-273.15</f>
        <v/>
      </c>
    </row>
    <row r="2474">
      <c r="A2474" s="9" t="n">
        <v>39361</v>
      </c>
      <c r="B2474" s="7">
        <f>YEAR(A2474)</f>
        <v/>
      </c>
      <c r="C2474" s="7">
        <f>MONTH(A2474)</f>
        <v/>
      </c>
      <c r="D2474" s="10" t="n">
        <v>0</v>
      </c>
      <c r="E2474" s="11" t="n">
        <v>11.4428908</v>
      </c>
      <c r="F2474" s="12" t="n">
        <v>0</v>
      </c>
      <c r="G2474" s="11" t="n">
        <v>285.8921166</v>
      </c>
      <c r="H2474" s="13">
        <f>F2474*1000</f>
        <v/>
      </c>
      <c r="I2474" s="14">
        <f>G2474-273.15</f>
        <v/>
      </c>
      <c r="K2474" s="15" t="n">
        <v>2007</v>
      </c>
      <c r="L2474" s="15" t="n">
        <v>11</v>
      </c>
      <c r="M2474" s="15" t="n">
        <v>10</v>
      </c>
      <c r="N2474" s="16" t="n">
        <v>0</v>
      </c>
      <c r="O2474" s="11" t="n">
        <v>281.1114199</v>
      </c>
      <c r="P2474" s="13">
        <f>N2474*86400</f>
        <v/>
      </c>
      <c r="Q2474" s="14">
        <f>O2474-273.15</f>
        <v/>
      </c>
    </row>
    <row r="2475">
      <c r="A2475" s="9" t="n">
        <v>39362</v>
      </c>
      <c r="B2475" s="7">
        <f>YEAR(A2475)</f>
        <v/>
      </c>
      <c r="C2475" s="7">
        <f>MONTH(A2475)</f>
        <v/>
      </c>
      <c r="D2475" s="10" t="n">
        <v>0</v>
      </c>
      <c r="E2475" s="11" t="n">
        <v>12.45739695</v>
      </c>
      <c r="F2475" s="12" t="n">
        <v>0</v>
      </c>
      <c r="G2475" s="11" t="n">
        <v>287.9520084</v>
      </c>
      <c r="H2475" s="13">
        <f>F2475*1000</f>
        <v/>
      </c>
      <c r="I2475" s="14">
        <f>G2475-273.15</f>
        <v/>
      </c>
      <c r="K2475" s="15" t="n">
        <v>2007</v>
      </c>
      <c r="L2475" s="15" t="n">
        <v>11</v>
      </c>
      <c r="M2475" s="15" t="n">
        <v>11</v>
      </c>
      <c r="N2475" s="16" t="n">
        <v>4.228802023e-05</v>
      </c>
      <c r="O2475" s="11" t="n">
        <v>280.6059059</v>
      </c>
      <c r="P2475" s="13">
        <f>N2475*86400</f>
        <v/>
      </c>
      <c r="Q2475" s="14">
        <f>O2475-273.15</f>
        <v/>
      </c>
    </row>
    <row r="2476">
      <c r="A2476" s="9" t="n">
        <v>39363</v>
      </c>
      <c r="B2476" s="7">
        <f>YEAR(A2476)</f>
        <v/>
      </c>
      <c r="C2476" s="7">
        <f>MONTH(A2476)</f>
        <v/>
      </c>
      <c r="D2476" s="10" t="n">
        <v>0</v>
      </c>
      <c r="E2476" s="11" t="n">
        <v>11.07872402</v>
      </c>
      <c r="F2476" s="12" t="n">
        <v>0</v>
      </c>
      <c r="G2476" s="11" t="n">
        <v>286.9572933</v>
      </c>
      <c r="H2476" s="13">
        <f>F2476*1000</f>
        <v/>
      </c>
      <c r="I2476" s="14">
        <f>G2476-273.15</f>
        <v/>
      </c>
      <c r="K2476" s="15" t="n">
        <v>2007</v>
      </c>
      <c r="L2476" s="15" t="n">
        <v>11</v>
      </c>
      <c r="M2476" s="15" t="n">
        <v>12</v>
      </c>
      <c r="N2476" s="16" t="n">
        <v>1.625467372e-05</v>
      </c>
      <c r="O2476" s="11" t="n">
        <v>283.571997</v>
      </c>
      <c r="P2476" s="13">
        <f>N2476*86400</f>
        <v/>
      </c>
      <c r="Q2476" s="14">
        <f>O2476-273.15</f>
        <v/>
      </c>
    </row>
    <row r="2477">
      <c r="A2477" s="9" t="n">
        <v>39364</v>
      </c>
      <c r="B2477" s="7">
        <f>YEAR(A2477)</f>
        <v/>
      </c>
      <c r="C2477" s="7">
        <f>MONTH(A2477)</f>
        <v/>
      </c>
      <c r="D2477" s="10" t="n">
        <v>0</v>
      </c>
      <c r="E2477" s="11" t="n">
        <v>8.785974864</v>
      </c>
      <c r="F2477" s="12" t="n">
        <v>0</v>
      </c>
      <c r="G2477" s="11" t="n">
        <v>284.0067877</v>
      </c>
      <c r="H2477" s="13">
        <f>F2477*1000</f>
        <v/>
      </c>
      <c r="I2477" s="14">
        <f>G2477-273.15</f>
        <v/>
      </c>
      <c r="K2477" s="15" t="n">
        <v>2007</v>
      </c>
      <c r="L2477" s="15" t="n">
        <v>11</v>
      </c>
      <c r="M2477" s="15" t="n">
        <v>13</v>
      </c>
      <c r="N2477" s="16" t="n">
        <v>0</v>
      </c>
      <c r="O2477" s="11" t="n">
        <v>284.0275564</v>
      </c>
      <c r="P2477" s="13">
        <f>N2477*86400</f>
        <v/>
      </c>
      <c r="Q2477" s="14">
        <f>O2477-273.15</f>
        <v/>
      </c>
    </row>
    <row r="2478">
      <c r="A2478" s="9" t="n">
        <v>39365</v>
      </c>
      <c r="B2478" s="7">
        <f>YEAR(A2478)</f>
        <v/>
      </c>
      <c r="C2478" s="7">
        <f>MONTH(A2478)</f>
        <v/>
      </c>
      <c r="D2478" s="10" t="n">
        <v>0</v>
      </c>
      <c r="E2478" s="11" t="n">
        <v>11.17223542</v>
      </c>
      <c r="F2478" s="12" t="n">
        <v>0</v>
      </c>
      <c r="G2478" s="11" t="n">
        <v>285.3292547</v>
      </c>
      <c r="H2478" s="13">
        <f>F2478*1000</f>
        <v/>
      </c>
      <c r="I2478" s="14">
        <f>G2478-273.15</f>
        <v/>
      </c>
      <c r="K2478" s="15" t="n">
        <v>2007</v>
      </c>
      <c r="L2478" s="15" t="n">
        <v>11</v>
      </c>
      <c r="M2478" s="15" t="n">
        <v>14</v>
      </c>
      <c r="N2478" s="16" t="n">
        <v>0</v>
      </c>
      <c r="O2478" s="11" t="n">
        <v>284.5927595</v>
      </c>
      <c r="P2478" s="13">
        <f>N2478*86400</f>
        <v/>
      </c>
      <c r="Q2478" s="14">
        <f>O2478-273.15</f>
        <v/>
      </c>
    </row>
    <row r="2479">
      <c r="A2479" s="9" t="n">
        <v>39366</v>
      </c>
      <c r="B2479" s="7">
        <f>YEAR(A2479)</f>
        <v/>
      </c>
      <c r="C2479" s="7">
        <f>MONTH(A2479)</f>
        <v/>
      </c>
      <c r="D2479" s="10" t="n">
        <v>0</v>
      </c>
      <c r="E2479" s="11" t="n">
        <v>8.584204074000001</v>
      </c>
      <c r="F2479" s="12" t="n">
        <v>0</v>
      </c>
      <c r="G2479" s="11" t="n">
        <v>282.7898819</v>
      </c>
      <c r="H2479" s="13">
        <f>F2479*1000</f>
        <v/>
      </c>
      <c r="I2479" s="14">
        <f>G2479-273.15</f>
        <v/>
      </c>
      <c r="K2479" s="15" t="n">
        <v>2007</v>
      </c>
      <c r="L2479" s="15" t="n">
        <v>11</v>
      </c>
      <c r="M2479" s="15" t="n">
        <v>15</v>
      </c>
      <c r="N2479" s="16" t="n">
        <v>0</v>
      </c>
      <c r="O2479" s="11" t="n">
        <v>283.0320206</v>
      </c>
      <c r="P2479" s="13">
        <f>N2479*86400</f>
        <v/>
      </c>
      <c r="Q2479" s="14">
        <f>O2479-273.15</f>
        <v/>
      </c>
    </row>
    <row r="2480">
      <c r="A2480" s="9" t="n">
        <v>39367</v>
      </c>
      <c r="B2480" s="7">
        <f>YEAR(A2480)</f>
        <v/>
      </c>
      <c r="C2480" s="7">
        <f>MONTH(A2480)</f>
        <v/>
      </c>
      <c r="D2480" s="10" t="n">
        <v>0</v>
      </c>
      <c r="E2480" s="11" t="n">
        <v>8.568532545</v>
      </c>
      <c r="F2480" s="12" t="n">
        <v>0.002810917565</v>
      </c>
      <c r="G2480" s="11" t="n">
        <v>282.9389414</v>
      </c>
      <c r="H2480" s="13">
        <f>F2480*1000</f>
        <v/>
      </c>
      <c r="I2480" s="14">
        <f>G2480-273.15</f>
        <v/>
      </c>
      <c r="K2480" s="15" t="n">
        <v>2007</v>
      </c>
      <c r="L2480" s="15" t="n">
        <v>11</v>
      </c>
      <c r="M2480" s="15" t="n">
        <v>16</v>
      </c>
      <c r="N2480" s="16" t="n">
        <v>0</v>
      </c>
      <c r="O2480" s="11" t="n">
        <v>283.982182</v>
      </c>
      <c r="P2480" s="13">
        <f>N2480*86400</f>
        <v/>
      </c>
      <c r="Q2480" s="14">
        <f>O2480-273.15</f>
        <v/>
      </c>
    </row>
    <row r="2481">
      <c r="A2481" s="9" t="n">
        <v>39368</v>
      </c>
      <c r="B2481" s="7">
        <f>YEAR(A2481)</f>
        <v/>
      </c>
      <c r="C2481" s="7">
        <f>MONTH(A2481)</f>
        <v/>
      </c>
      <c r="D2481" s="10" t="n">
        <v>7.475967558</v>
      </c>
      <c r="E2481" s="11" t="n">
        <v>7.351695811</v>
      </c>
      <c r="F2481" s="12" t="n">
        <v>0.008618253257999999</v>
      </c>
      <c r="G2481" s="11" t="n">
        <v>282.3271227</v>
      </c>
      <c r="H2481" s="13">
        <f>F2481*1000</f>
        <v/>
      </c>
      <c r="I2481" s="14">
        <f>G2481-273.15</f>
        <v/>
      </c>
      <c r="K2481" s="15" t="n">
        <v>2007</v>
      </c>
      <c r="L2481" s="15" t="n">
        <v>11</v>
      </c>
      <c r="M2481" s="15" t="n">
        <v>17</v>
      </c>
      <c r="N2481" s="16" t="n">
        <v>0</v>
      </c>
      <c r="O2481" s="11" t="n">
        <v>284.430778</v>
      </c>
      <c r="P2481" s="13">
        <f>N2481*86400</f>
        <v/>
      </c>
      <c r="Q2481" s="14">
        <f>O2481-273.15</f>
        <v/>
      </c>
    </row>
    <row r="2482">
      <c r="A2482" s="9" t="n">
        <v>39369</v>
      </c>
      <c r="B2482" s="7">
        <f>YEAR(A2482)</f>
        <v/>
      </c>
      <c r="C2482" s="7">
        <f>MONTH(A2482)</f>
        <v/>
      </c>
      <c r="D2482" s="10" t="n">
        <v>0</v>
      </c>
      <c r="E2482" s="11" t="n">
        <v>8.964507569</v>
      </c>
      <c r="F2482" s="12" t="n">
        <v>0.000588830152</v>
      </c>
      <c r="G2482" s="11" t="n">
        <v>283.5561444</v>
      </c>
      <c r="H2482" s="13">
        <f>F2482*1000</f>
        <v/>
      </c>
      <c r="I2482" s="14">
        <f>G2482-273.15</f>
        <v/>
      </c>
      <c r="K2482" s="15" t="n">
        <v>2007</v>
      </c>
      <c r="L2482" s="15" t="n">
        <v>11</v>
      </c>
      <c r="M2482" s="15" t="n">
        <v>18</v>
      </c>
      <c r="N2482" s="16" t="n">
        <v>0</v>
      </c>
      <c r="O2482" s="11" t="n">
        <v>283.9168827</v>
      </c>
      <c r="P2482" s="13">
        <f>N2482*86400</f>
        <v/>
      </c>
      <c r="Q2482" s="14">
        <f>O2482-273.15</f>
        <v/>
      </c>
    </row>
    <row r="2483">
      <c r="A2483" s="9" t="n">
        <v>39370</v>
      </c>
      <c r="B2483" s="7">
        <f>YEAR(A2483)</f>
        <v/>
      </c>
      <c r="C2483" s="7">
        <f>MONTH(A2483)</f>
        <v/>
      </c>
      <c r="D2483" s="10" t="n">
        <v>0</v>
      </c>
      <c r="E2483" s="11" t="n">
        <v>7.803294844</v>
      </c>
      <c r="F2483" s="12" t="n">
        <v>0</v>
      </c>
      <c r="G2483" s="11" t="n">
        <v>282.9882212</v>
      </c>
      <c r="H2483" s="13">
        <f>F2483*1000</f>
        <v/>
      </c>
      <c r="I2483" s="14">
        <f>G2483-273.15</f>
        <v/>
      </c>
      <c r="K2483" s="15" t="n">
        <v>2007</v>
      </c>
      <c r="L2483" s="15" t="n">
        <v>11</v>
      </c>
      <c r="M2483" s="15" t="n">
        <v>19</v>
      </c>
      <c r="N2483" s="16" t="n">
        <v>1.845125716e-08</v>
      </c>
      <c r="O2483" s="11" t="n">
        <v>283.680064</v>
      </c>
      <c r="P2483" s="13">
        <f>N2483*86400</f>
        <v/>
      </c>
      <c r="Q2483" s="14">
        <f>O2483-273.15</f>
        <v/>
      </c>
    </row>
    <row r="2484">
      <c r="A2484" s="9" t="n">
        <v>39371</v>
      </c>
      <c r="B2484" s="7">
        <f>YEAR(A2484)</f>
        <v/>
      </c>
      <c r="C2484" s="7">
        <f>MONTH(A2484)</f>
        <v/>
      </c>
      <c r="D2484" s="10" t="n">
        <v>1.684509678</v>
      </c>
      <c r="E2484" s="11" t="n">
        <v>7.505439011</v>
      </c>
      <c r="F2484" s="12" t="n">
        <v>0.0005313488246</v>
      </c>
      <c r="G2484" s="11" t="n">
        <v>282.9330306</v>
      </c>
      <c r="H2484" s="13">
        <f>F2484*1000</f>
        <v/>
      </c>
      <c r="I2484" s="14">
        <f>G2484-273.15</f>
        <v/>
      </c>
      <c r="K2484" s="15" t="n">
        <v>2007</v>
      </c>
      <c r="L2484" s="15" t="n">
        <v>11</v>
      </c>
      <c r="M2484" s="15" t="n">
        <v>20</v>
      </c>
      <c r="N2484" s="16" t="n">
        <v>0</v>
      </c>
      <c r="O2484" s="11" t="n">
        <v>281.6878728</v>
      </c>
      <c r="P2484" s="13">
        <f>N2484*86400</f>
        <v/>
      </c>
      <c r="Q2484" s="14">
        <f>O2484-273.15</f>
        <v/>
      </c>
    </row>
    <row r="2485">
      <c r="A2485" s="9" t="n">
        <v>39372</v>
      </c>
      <c r="B2485" s="7">
        <f>YEAR(A2485)</f>
        <v/>
      </c>
      <c r="C2485" s="7">
        <f>MONTH(A2485)</f>
        <v/>
      </c>
      <c r="D2485" s="10" t="n">
        <v>0</v>
      </c>
      <c r="E2485" s="11" t="n">
        <v>8.64341668</v>
      </c>
      <c r="F2485" s="12" t="n">
        <v>0</v>
      </c>
      <c r="G2485" s="11" t="n">
        <v>284.3075167</v>
      </c>
      <c r="H2485" s="13">
        <f>F2485*1000</f>
        <v/>
      </c>
      <c r="I2485" s="14">
        <f>G2485-273.15</f>
        <v/>
      </c>
      <c r="K2485" s="15" t="n">
        <v>2007</v>
      </c>
      <c r="L2485" s="15" t="n">
        <v>11</v>
      </c>
      <c r="M2485" s="15" t="n">
        <v>21</v>
      </c>
      <c r="N2485" s="16" t="n">
        <v>0</v>
      </c>
      <c r="O2485" s="11" t="n">
        <v>281.3876695</v>
      </c>
      <c r="P2485" s="13">
        <f>N2485*86400</f>
        <v/>
      </c>
      <c r="Q2485" s="14">
        <f>O2485-273.15</f>
        <v/>
      </c>
    </row>
    <row r="2486">
      <c r="A2486" s="9" t="n">
        <v>39373</v>
      </c>
      <c r="B2486" s="7">
        <f>YEAR(A2486)</f>
        <v/>
      </c>
      <c r="C2486" s="7">
        <f>MONTH(A2486)</f>
        <v/>
      </c>
      <c r="D2486" s="10" t="n">
        <v>3.283178319</v>
      </c>
      <c r="E2486" s="11" t="n">
        <v>9.180581719999999</v>
      </c>
      <c r="F2486" s="12" t="n">
        <v>0.0018901415</v>
      </c>
      <c r="G2486" s="11" t="n">
        <v>284.1551228</v>
      </c>
      <c r="H2486" s="13">
        <f>F2486*1000</f>
        <v/>
      </c>
      <c r="I2486" s="14">
        <f>G2486-273.15</f>
        <v/>
      </c>
      <c r="K2486" s="15" t="n">
        <v>2007</v>
      </c>
      <c r="L2486" s="15" t="n">
        <v>11</v>
      </c>
      <c r="M2486" s="15" t="n">
        <v>22</v>
      </c>
      <c r="N2486" s="16" t="n">
        <v>3.296534833e-06</v>
      </c>
      <c r="O2486" s="11" t="n">
        <v>281.414563</v>
      </c>
      <c r="P2486" s="13">
        <f>N2486*86400</f>
        <v/>
      </c>
      <c r="Q2486" s="14">
        <f>O2486-273.15</f>
        <v/>
      </c>
    </row>
    <row r="2487">
      <c r="A2487" s="9" t="n">
        <v>39374</v>
      </c>
      <c r="B2487" s="7">
        <f>YEAR(A2487)</f>
        <v/>
      </c>
      <c r="C2487" s="7">
        <f>MONTH(A2487)</f>
        <v/>
      </c>
      <c r="D2487" s="10" t="n">
        <v>0</v>
      </c>
      <c r="E2487" s="11" t="n">
        <v>8.543696628999999</v>
      </c>
      <c r="F2487" s="12" t="n">
        <v>0</v>
      </c>
      <c r="G2487" s="11" t="n">
        <v>284.1638525</v>
      </c>
      <c r="H2487" s="13">
        <f>F2487*1000</f>
        <v/>
      </c>
      <c r="I2487" s="14">
        <f>G2487-273.15</f>
        <v/>
      </c>
      <c r="K2487" s="15" t="n">
        <v>2007</v>
      </c>
      <c r="L2487" s="15" t="n">
        <v>11</v>
      </c>
      <c r="M2487" s="15" t="n">
        <v>23</v>
      </c>
      <c r="N2487" s="16" t="n">
        <v>1.794065835e-06</v>
      </c>
      <c r="O2487" s="11" t="n">
        <v>281.4333646</v>
      </c>
      <c r="P2487" s="13">
        <f>N2487*86400</f>
        <v/>
      </c>
      <c r="Q2487" s="14">
        <f>O2487-273.15</f>
        <v/>
      </c>
    </row>
    <row r="2488">
      <c r="A2488" s="9" t="n">
        <v>39375</v>
      </c>
      <c r="B2488" s="7">
        <f>YEAR(A2488)</f>
        <v/>
      </c>
      <c r="C2488" s="7">
        <f>MONTH(A2488)</f>
        <v/>
      </c>
      <c r="D2488" s="10" t="n">
        <v>0</v>
      </c>
      <c r="E2488" s="11" t="n">
        <v>9.445571187000001</v>
      </c>
      <c r="F2488" s="12" t="n">
        <v>0</v>
      </c>
      <c r="G2488" s="11" t="n">
        <v>284.1725805</v>
      </c>
      <c r="H2488" s="13">
        <f>F2488*1000</f>
        <v/>
      </c>
      <c r="I2488" s="14">
        <f>G2488-273.15</f>
        <v/>
      </c>
      <c r="K2488" s="15" t="n">
        <v>2007</v>
      </c>
      <c r="L2488" s="15" t="n">
        <v>11</v>
      </c>
      <c r="M2488" s="15" t="n">
        <v>24</v>
      </c>
      <c r="N2488" s="16" t="n">
        <v>0</v>
      </c>
      <c r="O2488" s="11" t="n">
        <v>282.2697263</v>
      </c>
      <c r="P2488" s="13">
        <f>N2488*86400</f>
        <v/>
      </c>
      <c r="Q2488" s="14">
        <f>O2488-273.15</f>
        <v/>
      </c>
    </row>
    <row r="2489">
      <c r="A2489" s="9" t="n">
        <v>39376</v>
      </c>
      <c r="B2489" s="7">
        <f>YEAR(A2489)</f>
        <v/>
      </c>
      <c r="C2489" s="7">
        <f>MONTH(A2489)</f>
        <v/>
      </c>
      <c r="D2489" s="10" t="n">
        <v>0.07083468831</v>
      </c>
      <c r="E2489" s="11" t="n">
        <v>10.84482989</v>
      </c>
      <c r="F2489" s="12" t="n">
        <v>0.001856289006</v>
      </c>
      <c r="G2489" s="11" t="n">
        <v>284.8096456</v>
      </c>
      <c r="H2489" s="13">
        <f>F2489*1000</f>
        <v/>
      </c>
      <c r="I2489" s="14">
        <f>G2489-273.15</f>
        <v/>
      </c>
      <c r="K2489" s="15" t="n">
        <v>2007</v>
      </c>
      <c r="L2489" s="15" t="n">
        <v>11</v>
      </c>
      <c r="M2489" s="15" t="n">
        <v>25</v>
      </c>
      <c r="N2489" s="16" t="n">
        <v>7.56478341e-06</v>
      </c>
      <c r="O2489" s="11" t="n">
        <v>279.5771306</v>
      </c>
      <c r="P2489" s="13">
        <f>N2489*86400</f>
        <v/>
      </c>
      <c r="Q2489" s="14">
        <f>O2489-273.15</f>
        <v/>
      </c>
    </row>
    <row r="2490">
      <c r="A2490" s="9" t="n">
        <v>39377</v>
      </c>
      <c r="B2490" s="7">
        <f>YEAR(A2490)</f>
        <v/>
      </c>
      <c r="C2490" s="7">
        <f>MONTH(A2490)</f>
        <v/>
      </c>
      <c r="D2490" s="10" t="n">
        <v>0</v>
      </c>
      <c r="E2490" s="11" t="n">
        <v>8.551175301000001</v>
      </c>
      <c r="F2490" s="12" t="n">
        <v>0.003378147108</v>
      </c>
      <c r="G2490" s="11" t="n">
        <v>282.8514651</v>
      </c>
      <c r="H2490" s="13">
        <f>F2490*1000</f>
        <v/>
      </c>
      <c r="I2490" s="14">
        <f>G2490-273.15</f>
        <v/>
      </c>
      <c r="K2490" s="15" t="n">
        <v>2007</v>
      </c>
      <c r="L2490" s="15" t="n">
        <v>11</v>
      </c>
      <c r="M2490" s="15" t="n">
        <v>26</v>
      </c>
      <c r="N2490" s="16" t="n">
        <v>3.234663992e-06</v>
      </c>
      <c r="O2490" s="11" t="n">
        <v>279.6878614</v>
      </c>
      <c r="P2490" s="13">
        <f>N2490*86400</f>
        <v/>
      </c>
      <c r="Q2490" s="14">
        <f>O2490-273.15</f>
        <v/>
      </c>
    </row>
    <row r="2491">
      <c r="A2491" s="9" t="n">
        <v>39378</v>
      </c>
      <c r="B2491" s="7">
        <f>YEAR(A2491)</f>
        <v/>
      </c>
      <c r="C2491" s="7">
        <f>MONTH(A2491)</f>
        <v/>
      </c>
      <c r="D2491" s="10" t="n">
        <v>0</v>
      </c>
      <c r="E2491" s="11" t="n">
        <v>8.816575144</v>
      </c>
      <c r="F2491" s="12" t="n">
        <v>0.002969171179</v>
      </c>
      <c r="G2491" s="11" t="n">
        <v>283.0689595</v>
      </c>
      <c r="H2491" s="13">
        <f>F2491*1000</f>
        <v/>
      </c>
      <c r="I2491" s="14">
        <f>G2491-273.15</f>
        <v/>
      </c>
      <c r="K2491" s="15" t="n">
        <v>2007</v>
      </c>
      <c r="L2491" s="15" t="n">
        <v>11</v>
      </c>
      <c r="M2491" s="15" t="n">
        <v>27</v>
      </c>
      <c r="N2491" s="16" t="n">
        <v>3.670698074e-06</v>
      </c>
      <c r="O2491" s="11" t="n">
        <v>279.031078</v>
      </c>
      <c r="P2491" s="13">
        <f>N2491*86400</f>
        <v/>
      </c>
      <c r="Q2491" s="14">
        <f>O2491-273.15</f>
        <v/>
      </c>
    </row>
    <row r="2492">
      <c r="A2492" s="9" t="n">
        <v>39379</v>
      </c>
      <c r="B2492" s="7">
        <f>YEAR(A2492)</f>
        <v/>
      </c>
      <c r="C2492" s="7">
        <f>MONTH(A2492)</f>
        <v/>
      </c>
      <c r="D2492" s="10" t="n">
        <v>0</v>
      </c>
      <c r="E2492" s="11" t="n">
        <v>6.306723742</v>
      </c>
      <c r="F2492" s="12" t="n">
        <v>0</v>
      </c>
      <c r="G2492" s="11" t="n">
        <v>282.0765109</v>
      </c>
      <c r="H2492" s="13">
        <f>F2492*1000</f>
        <v/>
      </c>
      <c r="I2492" s="14">
        <f>G2492-273.15</f>
        <v/>
      </c>
      <c r="K2492" s="15" t="n">
        <v>2007</v>
      </c>
      <c r="L2492" s="15" t="n">
        <v>11</v>
      </c>
      <c r="M2492" s="15" t="n">
        <v>28</v>
      </c>
      <c r="N2492" s="16" t="n">
        <v>0.0001261905621</v>
      </c>
      <c r="O2492" s="11" t="n">
        <v>280.7728335</v>
      </c>
      <c r="P2492" s="13">
        <f>N2492*86400</f>
        <v/>
      </c>
      <c r="Q2492" s="14">
        <f>O2492-273.15</f>
        <v/>
      </c>
    </row>
    <row r="2493">
      <c r="A2493" s="9" t="n">
        <v>39380</v>
      </c>
      <c r="B2493" s="7">
        <f>YEAR(A2493)</f>
        <v/>
      </c>
      <c r="C2493" s="7">
        <f>MONTH(A2493)</f>
        <v/>
      </c>
      <c r="D2493" s="10" t="n">
        <v>0</v>
      </c>
      <c r="E2493" s="11" t="n">
        <v>6.492875486</v>
      </c>
      <c r="F2493" s="12" t="n">
        <v>0.0001890380706</v>
      </c>
      <c r="G2493" s="11" t="n">
        <v>282.4017521</v>
      </c>
      <c r="H2493" s="13">
        <f>F2493*1000</f>
        <v/>
      </c>
      <c r="I2493" s="14">
        <f>G2493-273.15</f>
        <v/>
      </c>
      <c r="K2493" s="15" t="n">
        <v>2007</v>
      </c>
      <c r="L2493" s="15" t="n">
        <v>11</v>
      </c>
      <c r="M2493" s="15" t="n">
        <v>29</v>
      </c>
      <c r="N2493" s="16" t="n">
        <v>0</v>
      </c>
      <c r="O2493" s="11" t="n">
        <v>280.9822167</v>
      </c>
      <c r="P2493" s="13">
        <f>N2493*86400</f>
        <v/>
      </c>
      <c r="Q2493" s="14">
        <f>O2493-273.15</f>
        <v/>
      </c>
    </row>
    <row r="2494">
      <c r="A2494" s="9" t="n">
        <v>39381</v>
      </c>
      <c r="B2494" s="7">
        <f>YEAR(A2494)</f>
        <v/>
      </c>
      <c r="C2494" s="7">
        <f>MONTH(A2494)</f>
        <v/>
      </c>
      <c r="D2494" s="10" t="n">
        <v>3.82115485</v>
      </c>
      <c r="E2494" s="11" t="n">
        <v>5.884426283</v>
      </c>
      <c r="F2494" s="12" t="n">
        <v>0.004300399512</v>
      </c>
      <c r="G2494" s="11" t="n">
        <v>281.137545</v>
      </c>
      <c r="H2494" s="13">
        <f>F2494*1000</f>
        <v/>
      </c>
      <c r="I2494" s="14">
        <f>G2494-273.15</f>
        <v/>
      </c>
      <c r="K2494" s="15" t="n">
        <v>2007</v>
      </c>
      <c r="L2494" s="15" t="n">
        <v>11</v>
      </c>
      <c r="M2494" s="15" t="n">
        <v>30</v>
      </c>
      <c r="N2494" s="16" t="n">
        <v>0</v>
      </c>
      <c r="O2494" s="11" t="n">
        <v>278.9365672</v>
      </c>
      <c r="P2494" s="13">
        <f>N2494*86400</f>
        <v/>
      </c>
      <c r="Q2494" s="14">
        <f>O2494-273.15</f>
        <v/>
      </c>
    </row>
    <row r="2495">
      <c r="A2495" s="9" t="n">
        <v>39382</v>
      </c>
      <c r="B2495" s="7">
        <f>YEAR(A2495)</f>
        <v/>
      </c>
      <c r="C2495" s="7">
        <f>MONTH(A2495)</f>
        <v/>
      </c>
      <c r="D2495" s="10" t="n">
        <v>0</v>
      </c>
      <c r="E2495" s="11" t="n">
        <v>4.126103295</v>
      </c>
      <c r="F2495" s="12" t="n">
        <v>0</v>
      </c>
      <c r="G2495" s="11" t="n">
        <v>281.2871347</v>
      </c>
      <c r="H2495" s="13">
        <f>F2495*1000</f>
        <v/>
      </c>
      <c r="I2495" s="14">
        <f>G2495-273.15</f>
        <v/>
      </c>
      <c r="K2495" s="15" t="n">
        <v>2007</v>
      </c>
      <c r="L2495" s="15" t="n">
        <v>12</v>
      </c>
      <c r="M2495" s="15" t="n">
        <v>1</v>
      </c>
      <c r="N2495" s="16" t="n">
        <v>3.290961823e-05</v>
      </c>
      <c r="O2495" s="11" t="n">
        <v>281.3574788</v>
      </c>
      <c r="P2495" s="13">
        <f>N2495*86400</f>
        <v/>
      </c>
      <c r="Q2495" s="14">
        <f>O2495-273.15</f>
        <v/>
      </c>
    </row>
    <row r="2496">
      <c r="A2496" s="9" t="n">
        <v>39383</v>
      </c>
      <c r="B2496" s="7">
        <f>YEAR(A2496)</f>
        <v/>
      </c>
      <c r="C2496" s="7">
        <f>MONTH(A2496)</f>
        <v/>
      </c>
      <c r="D2496" s="10" t="n">
        <v>0</v>
      </c>
      <c r="E2496" s="11" t="n">
        <v>5.117976117</v>
      </c>
      <c r="F2496" s="12" t="n">
        <v>0.0004422223156</v>
      </c>
      <c r="G2496" s="11" t="n">
        <v>281.4881017</v>
      </c>
      <c r="H2496" s="13">
        <f>F2496*1000</f>
        <v/>
      </c>
      <c r="I2496" s="14">
        <f>G2496-273.15</f>
        <v/>
      </c>
      <c r="K2496" s="15" t="n">
        <v>2007</v>
      </c>
      <c r="L2496" s="15" t="n">
        <v>12</v>
      </c>
      <c r="M2496" s="15" t="n">
        <v>2</v>
      </c>
      <c r="N2496" s="16" t="n">
        <v>1.379420547e-05</v>
      </c>
      <c r="O2496" s="11" t="n">
        <v>278.071656</v>
      </c>
      <c r="P2496" s="13">
        <f>N2496*86400</f>
        <v/>
      </c>
      <c r="Q2496" s="14">
        <f>O2496-273.15</f>
        <v/>
      </c>
    </row>
    <row r="2497">
      <c r="A2497" s="9" t="n">
        <v>39384</v>
      </c>
      <c r="B2497" s="7">
        <f>YEAR(A2497)</f>
        <v/>
      </c>
      <c r="C2497" s="7">
        <f>MONTH(A2497)</f>
        <v/>
      </c>
      <c r="D2497" s="10" t="n">
        <v>0</v>
      </c>
      <c r="E2497" s="11" t="n">
        <v>4.892601004</v>
      </c>
      <c r="F2497" s="12" t="n">
        <v>0</v>
      </c>
      <c r="G2497" s="11" t="n">
        <v>280.3189421</v>
      </c>
      <c r="H2497" s="13">
        <f>F2497*1000</f>
        <v/>
      </c>
      <c r="I2497" s="14">
        <f>G2497-273.15</f>
        <v/>
      </c>
      <c r="K2497" s="15" t="n">
        <v>2007</v>
      </c>
      <c r="L2497" s="15" t="n">
        <v>12</v>
      </c>
      <c r="M2497" s="15" t="n">
        <v>3</v>
      </c>
      <c r="N2497" s="16" t="n">
        <v>9.098586231e-05</v>
      </c>
      <c r="O2497" s="11" t="n">
        <v>277.0982719</v>
      </c>
      <c r="P2497" s="13">
        <f>N2497*86400</f>
        <v/>
      </c>
      <c r="Q2497" s="14">
        <f>O2497-273.15</f>
        <v/>
      </c>
    </row>
    <row r="2498">
      <c r="A2498" s="9" t="n">
        <v>39385</v>
      </c>
      <c r="B2498" s="7">
        <f>YEAR(A2498)</f>
        <v/>
      </c>
      <c r="C2498" s="7">
        <f>MONTH(A2498)</f>
        <v/>
      </c>
      <c r="D2498" s="10" t="n">
        <v>0</v>
      </c>
      <c r="E2498" s="11" t="n">
        <v>8.498535904000001</v>
      </c>
      <c r="F2498" s="12" t="n">
        <v>0</v>
      </c>
      <c r="G2498" s="11" t="n">
        <v>283.2637391</v>
      </c>
      <c r="H2498" s="13">
        <f>F2498*1000</f>
        <v/>
      </c>
      <c r="I2498" s="14">
        <f>G2498-273.15</f>
        <v/>
      </c>
      <c r="K2498" s="15" t="n">
        <v>2007</v>
      </c>
      <c r="L2498" s="15" t="n">
        <v>12</v>
      </c>
      <c r="M2498" s="15" t="n">
        <v>4</v>
      </c>
      <c r="N2498" s="16" t="n">
        <v>5.003957908e-05</v>
      </c>
      <c r="O2498" s="11" t="n">
        <v>278.2633832</v>
      </c>
      <c r="P2498" s="13">
        <f>N2498*86400</f>
        <v/>
      </c>
      <c r="Q2498" s="14">
        <f>O2498-273.15</f>
        <v/>
      </c>
    </row>
    <row r="2499">
      <c r="A2499" s="9" t="n">
        <v>39386</v>
      </c>
      <c r="B2499" s="7">
        <f>YEAR(A2499)</f>
        <v/>
      </c>
      <c r="C2499" s="7">
        <f>MONTH(A2499)</f>
        <v/>
      </c>
      <c r="D2499" s="10" t="n">
        <v>0</v>
      </c>
      <c r="E2499" s="11" t="n">
        <v>8.182128081</v>
      </c>
      <c r="F2499" s="12" t="n">
        <v>0</v>
      </c>
      <c r="G2499" s="11" t="n">
        <v>282.6304379</v>
      </c>
      <c r="H2499" s="13">
        <f>F2499*1000</f>
        <v/>
      </c>
      <c r="I2499" s="14">
        <f>G2499-273.15</f>
        <v/>
      </c>
      <c r="K2499" s="15" t="n">
        <v>2007</v>
      </c>
      <c r="L2499" s="15" t="n">
        <v>12</v>
      </c>
      <c r="M2499" s="15" t="n">
        <v>5</v>
      </c>
      <c r="N2499" s="16" t="n">
        <v>0</v>
      </c>
      <c r="O2499" s="11" t="n">
        <v>277.0531204</v>
      </c>
      <c r="P2499" s="13">
        <f>N2499*86400</f>
        <v/>
      </c>
      <c r="Q2499" s="14">
        <f>O2499-273.15</f>
        <v/>
      </c>
    </row>
    <row r="2500">
      <c r="A2500" s="9" t="n">
        <v>39387</v>
      </c>
      <c r="B2500" s="7">
        <f>YEAR(A2500)</f>
        <v/>
      </c>
      <c r="C2500" s="7">
        <f>MONTH(A2500)</f>
        <v/>
      </c>
      <c r="D2500" s="10" t="n">
        <v>0</v>
      </c>
      <c r="E2500" s="11" t="n">
        <v>6.907825099</v>
      </c>
      <c r="F2500" s="12" t="n">
        <v>0</v>
      </c>
      <c r="G2500" s="11" t="n">
        <v>281.5815513</v>
      </c>
      <c r="H2500" s="13">
        <f>F2500*1000</f>
        <v/>
      </c>
      <c r="I2500" s="14">
        <f>G2500-273.15</f>
        <v/>
      </c>
      <c r="K2500" s="15" t="n">
        <v>2007</v>
      </c>
      <c r="L2500" s="15" t="n">
        <v>12</v>
      </c>
      <c r="M2500" s="15" t="n">
        <v>6</v>
      </c>
      <c r="N2500" s="16" t="n">
        <v>0</v>
      </c>
      <c r="O2500" s="11" t="n">
        <v>279.8106803</v>
      </c>
      <c r="P2500" s="13">
        <f>N2500*86400</f>
        <v/>
      </c>
      <c r="Q2500" s="14">
        <f>O2500-273.15</f>
        <v/>
      </c>
    </row>
    <row r="2501">
      <c r="A2501" s="9" t="n">
        <v>39388</v>
      </c>
      <c r="B2501" s="7">
        <f>YEAR(A2501)</f>
        <v/>
      </c>
      <c r="C2501" s="7">
        <f>MONTH(A2501)</f>
        <v/>
      </c>
      <c r="D2501" s="10" t="n">
        <v>0</v>
      </c>
      <c r="E2501" s="11" t="n">
        <v>7.618725827</v>
      </c>
      <c r="F2501" s="12" t="n">
        <v>0</v>
      </c>
      <c r="G2501" s="11" t="n">
        <v>281.4830893</v>
      </c>
      <c r="H2501" s="13">
        <f>F2501*1000</f>
        <v/>
      </c>
      <c r="I2501" s="14">
        <f>G2501-273.15</f>
        <v/>
      </c>
      <c r="K2501" s="15" t="n">
        <v>2007</v>
      </c>
      <c r="L2501" s="15" t="n">
        <v>12</v>
      </c>
      <c r="M2501" s="15" t="n">
        <v>7</v>
      </c>
      <c r="N2501" s="16" t="n">
        <v>3.609553276e-09</v>
      </c>
      <c r="O2501" s="11" t="n">
        <v>280.6998909</v>
      </c>
      <c r="P2501" s="13">
        <f>N2501*86400</f>
        <v/>
      </c>
      <c r="Q2501" s="14">
        <f>O2501-273.15</f>
        <v/>
      </c>
    </row>
    <row r="2502">
      <c r="A2502" s="9" t="n">
        <v>39389</v>
      </c>
      <c r="B2502" s="7">
        <f>YEAR(A2502)</f>
        <v/>
      </c>
      <c r="C2502" s="7">
        <f>MONTH(A2502)</f>
        <v/>
      </c>
      <c r="D2502" s="10" t="n">
        <v>0</v>
      </c>
      <c r="E2502" s="11" t="n">
        <v>6.00077886</v>
      </c>
      <c r="F2502" s="12" t="n">
        <v>0</v>
      </c>
      <c r="G2502" s="11" t="n">
        <v>280.3542043</v>
      </c>
      <c r="H2502" s="13">
        <f>F2502*1000</f>
        <v/>
      </c>
      <c r="I2502" s="14">
        <f>G2502-273.15</f>
        <v/>
      </c>
      <c r="K2502" s="15" t="n">
        <v>2007</v>
      </c>
      <c r="L2502" s="15" t="n">
        <v>12</v>
      </c>
      <c r="M2502" s="15" t="n">
        <v>8</v>
      </c>
      <c r="N2502" s="16" t="n">
        <v>3.067290848e-05</v>
      </c>
      <c r="O2502" s="11" t="n">
        <v>279.3002067</v>
      </c>
      <c r="P2502" s="13">
        <f>N2502*86400</f>
        <v/>
      </c>
      <c r="Q2502" s="14">
        <f>O2502-273.15</f>
        <v/>
      </c>
    </row>
    <row r="2503">
      <c r="A2503" s="9" t="n">
        <v>39390</v>
      </c>
      <c r="B2503" s="7">
        <f>YEAR(A2503)</f>
        <v/>
      </c>
      <c r="C2503" s="7">
        <f>MONTH(A2503)</f>
        <v/>
      </c>
      <c r="D2503" s="10" t="n">
        <v>0</v>
      </c>
      <c r="E2503" s="11" t="n">
        <v>6.110251333</v>
      </c>
      <c r="F2503" s="12" t="n">
        <v>0</v>
      </c>
      <c r="G2503" s="11" t="n">
        <v>280.9193489</v>
      </c>
      <c r="H2503" s="13">
        <f>F2503*1000</f>
        <v/>
      </c>
      <c r="I2503" s="14">
        <f>G2503-273.15</f>
        <v/>
      </c>
      <c r="K2503" s="15" t="n">
        <v>2007</v>
      </c>
      <c r="L2503" s="15" t="n">
        <v>12</v>
      </c>
      <c r="M2503" s="15" t="n">
        <v>9</v>
      </c>
      <c r="N2503" s="16" t="n">
        <v>9.031869231999999e-06</v>
      </c>
      <c r="O2503" s="11" t="n">
        <v>279.9377357</v>
      </c>
      <c r="P2503" s="13">
        <f>N2503*86400</f>
        <v/>
      </c>
      <c r="Q2503" s="14">
        <f>O2503-273.15</f>
        <v/>
      </c>
    </row>
    <row r="2504">
      <c r="A2504" s="9" t="n">
        <v>39391</v>
      </c>
      <c r="B2504" s="7">
        <f>YEAR(A2504)</f>
        <v/>
      </c>
      <c r="C2504" s="7">
        <f>MONTH(A2504)</f>
        <v/>
      </c>
      <c r="D2504" s="10" t="n">
        <v>0</v>
      </c>
      <c r="E2504" s="11" t="n">
        <v>4.817230212</v>
      </c>
      <c r="F2504" s="12" t="n">
        <v>0</v>
      </c>
      <c r="G2504" s="11" t="n">
        <v>279.9061537</v>
      </c>
      <c r="H2504" s="13">
        <f>F2504*1000</f>
        <v/>
      </c>
      <c r="I2504" s="14">
        <f>G2504-273.15</f>
        <v/>
      </c>
      <c r="K2504" s="15" t="n">
        <v>2007</v>
      </c>
      <c r="L2504" s="15" t="n">
        <v>12</v>
      </c>
      <c r="M2504" s="15" t="n">
        <v>10</v>
      </c>
      <c r="N2504" s="16" t="n">
        <v>0</v>
      </c>
      <c r="O2504" s="11" t="n">
        <v>279.8726728</v>
      </c>
      <c r="P2504" s="13">
        <f>N2504*86400</f>
        <v/>
      </c>
      <c r="Q2504" s="14">
        <f>O2504-273.15</f>
        <v/>
      </c>
    </row>
    <row r="2505">
      <c r="A2505" s="9" t="n">
        <v>39392</v>
      </c>
      <c r="B2505" s="7">
        <f>YEAR(A2505)</f>
        <v/>
      </c>
      <c r="C2505" s="7">
        <f>MONTH(A2505)</f>
        <v/>
      </c>
      <c r="D2505" s="10" t="n">
        <v>0</v>
      </c>
      <c r="E2505" s="11" t="n">
        <v>3.386384566</v>
      </c>
      <c r="F2505" s="12" t="n">
        <v>0</v>
      </c>
      <c r="G2505" s="11" t="n">
        <v>277.8813339</v>
      </c>
      <c r="H2505" s="13">
        <f>F2505*1000</f>
        <v/>
      </c>
      <c r="I2505" s="14">
        <f>G2505-273.15</f>
        <v/>
      </c>
      <c r="K2505" s="15" t="n">
        <v>2007</v>
      </c>
      <c r="L2505" s="15" t="n">
        <v>12</v>
      </c>
      <c r="M2505" s="15" t="n">
        <v>11</v>
      </c>
      <c r="N2505" s="16" t="n">
        <v>0</v>
      </c>
      <c r="O2505" s="11" t="n">
        <v>280.2606815</v>
      </c>
      <c r="P2505" s="13">
        <f>N2505*86400</f>
        <v/>
      </c>
      <c r="Q2505" s="14">
        <f>O2505-273.15</f>
        <v/>
      </c>
    </row>
    <row r="2506">
      <c r="A2506" s="9" t="n">
        <v>39393</v>
      </c>
      <c r="B2506" s="7">
        <f>YEAR(A2506)</f>
        <v/>
      </c>
      <c r="C2506" s="7">
        <f>MONTH(A2506)</f>
        <v/>
      </c>
      <c r="D2506" s="10" t="n">
        <v>0</v>
      </c>
      <c r="E2506" s="11" t="n">
        <v>2.613714669</v>
      </c>
      <c r="F2506" s="12" t="n">
        <v>0.001948555398</v>
      </c>
      <c r="G2506" s="11" t="n">
        <v>277.6363484</v>
      </c>
      <c r="H2506" s="13">
        <f>F2506*1000</f>
        <v/>
      </c>
      <c r="I2506" s="14">
        <f>G2506-273.15</f>
        <v/>
      </c>
      <c r="K2506" s="15" t="n">
        <v>2007</v>
      </c>
      <c r="L2506" s="15" t="n">
        <v>12</v>
      </c>
      <c r="M2506" s="15" t="n">
        <v>12</v>
      </c>
      <c r="N2506" s="16" t="n">
        <v>0</v>
      </c>
      <c r="O2506" s="11" t="n">
        <v>281.1771305</v>
      </c>
      <c r="P2506" s="13">
        <f>N2506*86400</f>
        <v/>
      </c>
      <c r="Q2506" s="14">
        <f>O2506-273.15</f>
        <v/>
      </c>
    </row>
    <row r="2507">
      <c r="A2507" s="9" t="n">
        <v>39394</v>
      </c>
      <c r="B2507" s="7">
        <f>YEAR(A2507)</f>
        <v/>
      </c>
      <c r="C2507" s="7">
        <f>MONTH(A2507)</f>
        <v/>
      </c>
      <c r="D2507" s="10" t="n">
        <v>0</v>
      </c>
      <c r="E2507" s="11" t="n">
        <v>3.285873914</v>
      </c>
      <c r="F2507" s="12" t="n">
        <v>0</v>
      </c>
      <c r="G2507" s="11" t="n">
        <v>278.6335883</v>
      </c>
      <c r="H2507" s="13">
        <f>F2507*1000</f>
        <v/>
      </c>
      <c r="I2507" s="14">
        <f>G2507-273.15</f>
        <v/>
      </c>
      <c r="K2507" s="15" t="n">
        <v>2007</v>
      </c>
      <c r="L2507" s="15" t="n">
        <v>12</v>
      </c>
      <c r="M2507" s="15" t="n">
        <v>13</v>
      </c>
      <c r="N2507" s="16" t="n">
        <v>0</v>
      </c>
      <c r="O2507" s="11" t="n">
        <v>281.0397593</v>
      </c>
      <c r="P2507" s="13">
        <f>N2507*86400</f>
        <v/>
      </c>
      <c r="Q2507" s="14">
        <f>O2507-273.15</f>
        <v/>
      </c>
    </row>
    <row r="2508">
      <c r="A2508" s="9" t="n">
        <v>39395</v>
      </c>
      <c r="B2508" s="7">
        <f>YEAR(A2508)</f>
        <v/>
      </c>
      <c r="C2508" s="7">
        <f>MONTH(A2508)</f>
        <v/>
      </c>
      <c r="D2508" s="10" t="n">
        <v>0</v>
      </c>
      <c r="E2508" s="11" t="n">
        <v>4.721438103</v>
      </c>
      <c r="F2508" s="12" t="n">
        <v>0</v>
      </c>
      <c r="G2508" s="11" t="n">
        <v>279.3904485</v>
      </c>
      <c r="H2508" s="13">
        <f>F2508*1000</f>
        <v/>
      </c>
      <c r="I2508" s="14">
        <f>G2508-273.15</f>
        <v/>
      </c>
      <c r="K2508" s="15" t="n">
        <v>2007</v>
      </c>
      <c r="L2508" s="15" t="n">
        <v>12</v>
      </c>
      <c r="M2508" s="15" t="n">
        <v>14</v>
      </c>
      <c r="N2508" s="16" t="n">
        <v>4.220062918e-05</v>
      </c>
      <c r="O2508" s="11" t="n">
        <v>279.2263062</v>
      </c>
      <c r="P2508" s="13">
        <f>N2508*86400</f>
        <v/>
      </c>
      <c r="Q2508" s="14">
        <f>O2508-273.15</f>
        <v/>
      </c>
    </row>
    <row r="2509">
      <c r="A2509" s="9" t="n">
        <v>39396</v>
      </c>
      <c r="B2509" s="7">
        <f>YEAR(A2509)</f>
        <v/>
      </c>
      <c r="C2509" s="7">
        <f>MONTH(A2509)</f>
        <v/>
      </c>
      <c r="D2509" s="10" t="n">
        <v>0</v>
      </c>
      <c r="E2509" s="11" t="n">
        <v>2.411168272</v>
      </c>
      <c r="F2509" s="12" t="n">
        <v>9.052669212e-05</v>
      </c>
      <c r="G2509" s="11" t="n">
        <v>277.7233534</v>
      </c>
      <c r="H2509" s="13">
        <f>F2509*1000</f>
        <v/>
      </c>
      <c r="I2509" s="14">
        <f>G2509-273.15</f>
        <v/>
      </c>
      <c r="K2509" s="15" t="n">
        <v>2007</v>
      </c>
      <c r="L2509" s="15" t="n">
        <v>12</v>
      </c>
      <c r="M2509" s="15" t="n">
        <v>15</v>
      </c>
      <c r="N2509" s="16" t="n">
        <v>0</v>
      </c>
      <c r="O2509" s="11" t="n">
        <v>279.7711146</v>
      </c>
      <c r="P2509" s="13">
        <f>N2509*86400</f>
        <v/>
      </c>
      <c r="Q2509" s="14">
        <f>O2509-273.15</f>
        <v/>
      </c>
    </row>
    <row r="2510">
      <c r="A2510" s="9" t="n">
        <v>39397</v>
      </c>
      <c r="B2510" s="7">
        <f>YEAR(A2510)</f>
        <v/>
      </c>
      <c r="C2510" s="7">
        <f>MONTH(A2510)</f>
        <v/>
      </c>
      <c r="D2510" s="10" t="n">
        <v>2.423788102</v>
      </c>
      <c r="E2510" s="11" t="n">
        <v>3.306382795</v>
      </c>
      <c r="F2510" s="12" t="n">
        <v>0</v>
      </c>
      <c r="G2510" s="11" t="n">
        <v>278.8343536</v>
      </c>
      <c r="H2510" s="13">
        <f>F2510*1000</f>
        <v/>
      </c>
      <c r="I2510" s="14">
        <f>G2510-273.15</f>
        <v/>
      </c>
      <c r="K2510" s="15" t="n">
        <v>2007</v>
      </c>
      <c r="L2510" s="15" t="n">
        <v>12</v>
      </c>
      <c r="M2510" s="15" t="n">
        <v>16</v>
      </c>
      <c r="N2510" s="16" t="n">
        <v>2.364312894e-05</v>
      </c>
      <c r="O2510" s="11" t="n">
        <v>278.5077864</v>
      </c>
      <c r="P2510" s="13">
        <f>N2510*86400</f>
        <v/>
      </c>
      <c r="Q2510" s="14">
        <f>O2510-273.15</f>
        <v/>
      </c>
    </row>
    <row r="2511">
      <c r="A2511" s="9" t="n">
        <v>39398</v>
      </c>
      <c r="B2511" s="7">
        <f>YEAR(A2511)</f>
        <v/>
      </c>
      <c r="C2511" s="7">
        <f>MONTH(A2511)</f>
        <v/>
      </c>
      <c r="D2511" s="10" t="n">
        <v>0</v>
      </c>
      <c r="E2511" s="11" t="n">
        <v>5.540054236</v>
      </c>
      <c r="F2511" s="12" t="n">
        <v>0</v>
      </c>
      <c r="G2511" s="11" t="n">
        <v>280.4718453</v>
      </c>
      <c r="H2511" s="13">
        <f>F2511*1000</f>
        <v/>
      </c>
      <c r="I2511" s="14">
        <f>G2511-273.15</f>
        <v/>
      </c>
      <c r="K2511" s="15" t="n">
        <v>2007</v>
      </c>
      <c r="L2511" s="15" t="n">
        <v>12</v>
      </c>
      <c r="M2511" s="15" t="n">
        <v>17</v>
      </c>
      <c r="N2511" s="16" t="n">
        <v>3.170849962e-05</v>
      </c>
      <c r="O2511" s="11" t="n">
        <v>279.4970179</v>
      </c>
      <c r="P2511" s="13">
        <f>N2511*86400</f>
        <v/>
      </c>
      <c r="Q2511" s="14">
        <f>O2511-273.15</f>
        <v/>
      </c>
    </row>
    <row r="2512">
      <c r="A2512" s="9" t="n">
        <v>39399</v>
      </c>
      <c r="B2512" s="7">
        <f>YEAR(A2512)</f>
        <v/>
      </c>
      <c r="C2512" s="7">
        <f>MONTH(A2512)</f>
        <v/>
      </c>
      <c r="D2512" s="10" t="n">
        <v>0</v>
      </c>
      <c r="E2512" s="11" t="n">
        <v>7.467694587</v>
      </c>
      <c r="F2512" s="12" t="n">
        <v>0</v>
      </c>
      <c r="G2512" s="11" t="n">
        <v>280.9910804</v>
      </c>
      <c r="H2512" s="13">
        <f>F2512*1000</f>
        <v/>
      </c>
      <c r="I2512" s="14">
        <f>G2512-273.15</f>
        <v/>
      </c>
      <c r="K2512" s="15" t="n">
        <v>2007</v>
      </c>
      <c r="L2512" s="15" t="n">
        <v>12</v>
      </c>
      <c r="M2512" s="15" t="n">
        <v>18</v>
      </c>
      <c r="N2512" s="16" t="n">
        <v>3.02194039e-06</v>
      </c>
      <c r="O2512" s="11" t="n">
        <v>279.9680667</v>
      </c>
      <c r="P2512" s="13">
        <f>N2512*86400</f>
        <v/>
      </c>
      <c r="Q2512" s="14">
        <f>O2512-273.15</f>
        <v/>
      </c>
    </row>
    <row r="2513">
      <c r="A2513" s="9" t="n">
        <v>39400</v>
      </c>
      <c r="B2513" s="7">
        <f>YEAR(A2513)</f>
        <v/>
      </c>
      <c r="C2513" s="7">
        <f>MONTH(A2513)</f>
        <v/>
      </c>
      <c r="D2513" s="10" t="n">
        <v>0</v>
      </c>
      <c r="E2513" s="11" t="n">
        <v>6.05221517</v>
      </c>
      <c r="F2513" s="12" t="n">
        <v>0.0003543779689</v>
      </c>
      <c r="G2513" s="11" t="n">
        <v>280.4356893</v>
      </c>
      <c r="H2513" s="13">
        <f>F2513*1000</f>
        <v/>
      </c>
      <c r="I2513" s="14">
        <f>G2513-273.15</f>
        <v/>
      </c>
      <c r="K2513" s="15" t="n">
        <v>2007</v>
      </c>
      <c r="L2513" s="15" t="n">
        <v>12</v>
      </c>
      <c r="M2513" s="15" t="n">
        <v>19</v>
      </c>
      <c r="N2513" s="16" t="n">
        <v>6.593475855e-06</v>
      </c>
      <c r="O2513" s="11" t="n">
        <v>281.4799919</v>
      </c>
      <c r="P2513" s="13">
        <f>N2513*86400</f>
        <v/>
      </c>
      <c r="Q2513" s="14">
        <f>O2513-273.15</f>
        <v/>
      </c>
    </row>
    <row r="2514">
      <c r="A2514" s="9" t="n">
        <v>39401</v>
      </c>
      <c r="B2514" s="7">
        <f>YEAR(A2514)</f>
        <v/>
      </c>
      <c r="C2514" s="7">
        <f>MONTH(A2514)</f>
        <v/>
      </c>
      <c r="D2514" s="10" t="n">
        <v>0</v>
      </c>
      <c r="E2514" s="11" t="n">
        <v>4.179887321</v>
      </c>
      <c r="F2514" s="12" t="n">
        <v>0.0002105599235</v>
      </c>
      <c r="G2514" s="11" t="n">
        <v>279.0030467</v>
      </c>
      <c r="H2514" s="13">
        <f>F2514*1000</f>
        <v/>
      </c>
      <c r="I2514" s="14">
        <f>G2514-273.15</f>
        <v/>
      </c>
      <c r="K2514" s="15" t="n">
        <v>2007</v>
      </c>
      <c r="L2514" s="15" t="n">
        <v>12</v>
      </c>
      <c r="M2514" s="15" t="n">
        <v>20</v>
      </c>
      <c r="N2514" s="16" t="n">
        <v>4.580460918e-08</v>
      </c>
      <c r="O2514" s="11" t="n">
        <v>281.8779701</v>
      </c>
      <c r="P2514" s="13">
        <f>N2514*86400</f>
        <v/>
      </c>
      <c r="Q2514" s="14">
        <f>O2514-273.15</f>
        <v/>
      </c>
    </row>
    <row r="2515">
      <c r="A2515" s="9" t="n">
        <v>39402</v>
      </c>
      <c r="B2515" s="7">
        <f>YEAR(A2515)</f>
        <v/>
      </c>
      <c r="C2515" s="7">
        <f>MONTH(A2515)</f>
        <v/>
      </c>
      <c r="D2515" s="10" t="n">
        <v>0</v>
      </c>
      <c r="E2515" s="11" t="n">
        <v>2.866872972</v>
      </c>
      <c r="F2515" s="12" t="n">
        <v>0</v>
      </c>
      <c r="G2515" s="11" t="n">
        <v>277.3422629</v>
      </c>
      <c r="H2515" s="13">
        <f>F2515*1000</f>
        <v/>
      </c>
      <c r="I2515" s="14">
        <f>G2515-273.15</f>
        <v/>
      </c>
      <c r="K2515" s="15" t="n">
        <v>2007</v>
      </c>
      <c r="L2515" s="15" t="n">
        <v>12</v>
      </c>
      <c r="M2515" s="15" t="n">
        <v>21</v>
      </c>
      <c r="N2515" s="16" t="n">
        <v>0</v>
      </c>
      <c r="O2515" s="11" t="n">
        <v>281.5941579</v>
      </c>
      <c r="P2515" s="13">
        <f>N2515*86400</f>
        <v/>
      </c>
      <c r="Q2515" s="14">
        <f>O2515-273.15</f>
        <v/>
      </c>
    </row>
    <row r="2516">
      <c r="A2516" s="9" t="n">
        <v>39403</v>
      </c>
      <c r="B2516" s="7">
        <f>YEAR(A2516)</f>
        <v/>
      </c>
      <c r="C2516" s="7">
        <f>MONTH(A2516)</f>
        <v/>
      </c>
      <c r="D2516" s="10" t="n">
        <v>2.066751436</v>
      </c>
      <c r="E2516" s="11" t="n">
        <v>4.859899081</v>
      </c>
      <c r="F2516" s="12" t="n">
        <v>0</v>
      </c>
      <c r="G2516" s="11" t="n">
        <v>279.752923</v>
      </c>
      <c r="H2516" s="13">
        <f>F2516*1000</f>
        <v/>
      </c>
      <c r="I2516" s="14">
        <f>G2516-273.15</f>
        <v/>
      </c>
      <c r="K2516" s="15" t="n">
        <v>2007</v>
      </c>
      <c r="L2516" s="15" t="n">
        <v>12</v>
      </c>
      <c r="M2516" s="15" t="n">
        <v>22</v>
      </c>
      <c r="N2516" s="16" t="n">
        <v>0</v>
      </c>
      <c r="O2516" s="11" t="n">
        <v>279.8436012</v>
      </c>
      <c r="P2516" s="13">
        <f>N2516*86400</f>
        <v/>
      </c>
      <c r="Q2516" s="14">
        <f>O2516-273.15</f>
        <v/>
      </c>
    </row>
    <row r="2517">
      <c r="A2517" s="9" t="n">
        <v>39404</v>
      </c>
      <c r="B2517" s="7">
        <f>YEAR(A2517)</f>
        <v/>
      </c>
      <c r="C2517" s="7">
        <f>MONTH(A2517)</f>
        <v/>
      </c>
      <c r="D2517" s="10" t="n">
        <v>1.428792216</v>
      </c>
      <c r="E2517" s="11" t="n">
        <v>4.463039816</v>
      </c>
      <c r="F2517" s="12" t="n">
        <v>6.603897674e-05</v>
      </c>
      <c r="G2517" s="11" t="n">
        <v>278.6042269</v>
      </c>
      <c r="H2517" s="13">
        <f>F2517*1000</f>
        <v/>
      </c>
      <c r="I2517" s="14">
        <f>G2517-273.15</f>
        <v/>
      </c>
      <c r="K2517" s="15" t="n">
        <v>2007</v>
      </c>
      <c r="L2517" s="15" t="n">
        <v>12</v>
      </c>
      <c r="M2517" s="15" t="n">
        <v>23</v>
      </c>
      <c r="N2517" s="16" t="n">
        <v>0</v>
      </c>
      <c r="O2517" s="11" t="n">
        <v>281.0928011</v>
      </c>
      <c r="P2517" s="13">
        <f>N2517*86400</f>
        <v/>
      </c>
      <c r="Q2517" s="14">
        <f>O2517-273.15</f>
        <v/>
      </c>
    </row>
    <row r="2518">
      <c r="A2518" s="9" t="n">
        <v>39405</v>
      </c>
      <c r="B2518" s="7">
        <f>YEAR(A2518)</f>
        <v/>
      </c>
      <c r="C2518" s="7">
        <f>MONTH(A2518)</f>
        <v/>
      </c>
      <c r="D2518" s="10" t="n">
        <v>0</v>
      </c>
      <c r="E2518" s="11" t="n">
        <v>3.946607997</v>
      </c>
      <c r="F2518" s="12" t="n">
        <v>0</v>
      </c>
      <c r="G2518" s="11" t="n">
        <v>278.2593501</v>
      </c>
      <c r="H2518" s="13">
        <f>F2518*1000</f>
        <v/>
      </c>
      <c r="I2518" s="14">
        <f>G2518-273.15</f>
        <v/>
      </c>
      <c r="K2518" s="15" t="n">
        <v>2007</v>
      </c>
      <c r="L2518" s="15" t="n">
        <v>12</v>
      </c>
      <c r="M2518" s="15" t="n">
        <v>24</v>
      </c>
      <c r="N2518" s="16" t="n">
        <v>0</v>
      </c>
      <c r="O2518" s="11" t="n">
        <v>281.2213725</v>
      </c>
      <c r="P2518" s="13">
        <f>N2518*86400</f>
        <v/>
      </c>
      <c r="Q2518" s="14">
        <f>O2518-273.15</f>
        <v/>
      </c>
    </row>
    <row r="2519">
      <c r="A2519" s="9" t="n">
        <v>39406</v>
      </c>
      <c r="B2519" s="7">
        <f>YEAR(A2519)</f>
        <v/>
      </c>
      <c r="C2519" s="7">
        <f>MONTH(A2519)</f>
        <v/>
      </c>
      <c r="D2519" s="10" t="n">
        <v>0</v>
      </c>
      <c r="E2519" s="11" t="n">
        <v>4.362241945</v>
      </c>
      <c r="F2519" s="12" t="n">
        <v>0.001928022553</v>
      </c>
      <c r="G2519" s="11" t="n">
        <v>278.6750407</v>
      </c>
      <c r="H2519" s="13">
        <f>F2519*1000</f>
        <v/>
      </c>
      <c r="I2519" s="14">
        <f>G2519-273.15</f>
        <v/>
      </c>
      <c r="K2519" s="15" t="n">
        <v>2007</v>
      </c>
      <c r="L2519" s="15" t="n">
        <v>12</v>
      </c>
      <c r="M2519" s="15" t="n">
        <v>25</v>
      </c>
      <c r="N2519" s="16" t="n">
        <v>0</v>
      </c>
      <c r="O2519" s="11" t="n">
        <v>280.7819869</v>
      </c>
      <c r="P2519" s="13">
        <f>N2519*86400</f>
        <v/>
      </c>
      <c r="Q2519" s="14">
        <f>O2519-273.15</f>
        <v/>
      </c>
    </row>
    <row r="2520">
      <c r="A2520" s="9" t="n">
        <v>39407</v>
      </c>
      <c r="B2520" s="7">
        <f>YEAR(A2520)</f>
        <v/>
      </c>
      <c r="C2520" s="7">
        <f>MONTH(A2520)</f>
        <v/>
      </c>
      <c r="D2520" s="10" t="n">
        <v>0</v>
      </c>
      <c r="E2520" s="11" t="n">
        <v>4.963349835</v>
      </c>
      <c r="F2520" s="12" t="n">
        <v>0</v>
      </c>
      <c r="G2520" s="11" t="n">
        <v>278.3479546</v>
      </c>
      <c r="H2520" s="13">
        <f>F2520*1000</f>
        <v/>
      </c>
      <c r="I2520" s="14">
        <f>G2520-273.15</f>
        <v/>
      </c>
      <c r="K2520" s="15" t="n">
        <v>2007</v>
      </c>
      <c r="L2520" s="15" t="n">
        <v>12</v>
      </c>
      <c r="M2520" s="15" t="n">
        <v>26</v>
      </c>
      <c r="N2520" s="16" t="n">
        <v>0</v>
      </c>
      <c r="O2520" s="11" t="n">
        <v>280.9293753</v>
      </c>
      <c r="P2520" s="13">
        <f>N2520*86400</f>
        <v/>
      </c>
      <c r="Q2520" s="14">
        <f>O2520-273.15</f>
        <v/>
      </c>
    </row>
    <row r="2521">
      <c r="A2521" s="9" t="n">
        <v>39408</v>
      </c>
      <c r="B2521" s="7">
        <f>YEAR(A2521)</f>
        <v/>
      </c>
      <c r="C2521" s="7">
        <f>MONTH(A2521)</f>
        <v/>
      </c>
      <c r="D2521" s="10" t="n">
        <v>0</v>
      </c>
      <c r="E2521" s="11" t="n">
        <v>6.227048433</v>
      </c>
      <c r="F2521" s="12" t="n">
        <v>0</v>
      </c>
      <c r="G2521" s="11" t="n">
        <v>279.951291</v>
      </c>
      <c r="H2521" s="13">
        <f>F2521*1000</f>
        <v/>
      </c>
      <c r="I2521" s="14">
        <f>G2521-273.15</f>
        <v/>
      </c>
      <c r="K2521" s="15" t="n">
        <v>2007</v>
      </c>
      <c r="L2521" s="15" t="n">
        <v>12</v>
      </c>
      <c r="M2521" s="15" t="n">
        <v>27</v>
      </c>
      <c r="N2521" s="16" t="n">
        <v>0</v>
      </c>
      <c r="O2521" s="11" t="n">
        <v>282.0214352</v>
      </c>
      <c r="P2521" s="13">
        <f>N2521*86400</f>
        <v/>
      </c>
      <c r="Q2521" s="14">
        <f>O2521-273.15</f>
        <v/>
      </c>
    </row>
    <row r="2522">
      <c r="A2522" s="9" t="n">
        <v>39409</v>
      </c>
      <c r="B2522" s="7">
        <f>YEAR(A2522)</f>
        <v/>
      </c>
      <c r="C2522" s="7">
        <f>MONTH(A2522)</f>
        <v/>
      </c>
      <c r="D2522" s="10" t="n">
        <v>0</v>
      </c>
      <c r="E2522" s="11" t="n">
        <v>7.443674344</v>
      </c>
      <c r="F2522" s="12" t="n">
        <v>0</v>
      </c>
      <c r="G2522" s="11" t="n">
        <v>281.3235421</v>
      </c>
      <c r="H2522" s="13">
        <f>F2522*1000</f>
        <v/>
      </c>
      <c r="I2522" s="14">
        <f>G2522-273.15</f>
        <v/>
      </c>
      <c r="K2522" s="15" t="n">
        <v>2007</v>
      </c>
      <c r="L2522" s="15" t="n">
        <v>12</v>
      </c>
      <c r="M2522" s="15" t="n">
        <v>28</v>
      </c>
      <c r="N2522" s="16" t="n">
        <v>1.884091716e-05</v>
      </c>
      <c r="O2522" s="11" t="n">
        <v>282.4535633</v>
      </c>
      <c r="P2522" s="13">
        <f>N2522*86400</f>
        <v/>
      </c>
      <c r="Q2522" s="14">
        <f>O2522-273.15</f>
        <v/>
      </c>
    </row>
    <row r="2523">
      <c r="A2523" s="9" t="n">
        <v>39410</v>
      </c>
      <c r="B2523" s="7">
        <f>YEAR(A2523)</f>
        <v/>
      </c>
      <c r="C2523" s="7">
        <f>MONTH(A2523)</f>
        <v/>
      </c>
      <c r="D2523" s="10" t="n">
        <v>0</v>
      </c>
      <c r="E2523" s="11" t="n">
        <v>5.227223731</v>
      </c>
      <c r="F2523" s="12" t="n">
        <v>0</v>
      </c>
      <c r="G2523" s="11" t="n">
        <v>280.2758106</v>
      </c>
      <c r="H2523" s="13">
        <f>F2523*1000</f>
        <v/>
      </c>
      <c r="I2523" s="14">
        <f>G2523-273.15</f>
        <v/>
      </c>
      <c r="K2523" s="15" t="n">
        <v>2007</v>
      </c>
      <c r="L2523" s="15" t="n">
        <v>12</v>
      </c>
      <c r="M2523" s="15" t="n">
        <v>29</v>
      </c>
      <c r="N2523" s="16" t="n">
        <v>0</v>
      </c>
      <c r="O2523" s="11" t="n">
        <v>279.854444</v>
      </c>
      <c r="P2523" s="13">
        <f>N2523*86400</f>
        <v/>
      </c>
      <c r="Q2523" s="14">
        <f>O2523-273.15</f>
        <v/>
      </c>
    </row>
    <row r="2524">
      <c r="A2524" s="9" t="n">
        <v>39411</v>
      </c>
      <c r="B2524" s="7">
        <f>YEAR(A2524)</f>
        <v/>
      </c>
      <c r="C2524" s="7">
        <f>MONTH(A2524)</f>
        <v/>
      </c>
      <c r="D2524" s="10" t="n">
        <v>0</v>
      </c>
      <c r="E2524" s="11" t="n">
        <v>5.861185219</v>
      </c>
      <c r="F2524" s="12" t="n">
        <v>0</v>
      </c>
      <c r="G2524" s="11" t="n">
        <v>280.9838724</v>
      </c>
      <c r="H2524" s="13">
        <f>F2524*1000</f>
        <v/>
      </c>
      <c r="I2524" s="14">
        <f>G2524-273.15</f>
        <v/>
      </c>
      <c r="K2524" s="15" t="n">
        <v>2007</v>
      </c>
      <c r="L2524" s="15" t="n">
        <v>12</v>
      </c>
      <c r="M2524" s="15" t="n">
        <v>30</v>
      </c>
      <c r="N2524" s="16" t="n">
        <v>0</v>
      </c>
      <c r="O2524" s="11" t="n">
        <v>280.7480908</v>
      </c>
      <c r="P2524" s="13">
        <f>N2524*86400</f>
        <v/>
      </c>
      <c r="Q2524" s="14">
        <f>O2524-273.15</f>
        <v/>
      </c>
    </row>
    <row r="2525">
      <c r="A2525" s="9" t="n">
        <v>39412</v>
      </c>
      <c r="B2525" s="7">
        <f>YEAR(A2525)</f>
        <v/>
      </c>
      <c r="C2525" s="7">
        <f>MONTH(A2525)</f>
        <v/>
      </c>
      <c r="D2525" s="10" t="n">
        <v>0</v>
      </c>
      <c r="E2525" s="11" t="n">
        <v>4.76702201</v>
      </c>
      <c r="F2525" s="12" t="n">
        <v>0</v>
      </c>
      <c r="G2525" s="11" t="n">
        <v>280.7466092</v>
      </c>
      <c r="H2525" s="13">
        <f>F2525*1000</f>
        <v/>
      </c>
      <c r="I2525" s="14">
        <f>G2525-273.15</f>
        <v/>
      </c>
      <c r="K2525" s="15" t="n">
        <v>2008</v>
      </c>
      <c r="L2525" s="15" t="n">
        <v>1</v>
      </c>
      <c r="M2525" s="15" t="n">
        <v>1</v>
      </c>
      <c r="N2525" s="16" t="n">
        <v>1.297110774e-06</v>
      </c>
      <c r="O2525" s="11" t="n">
        <v>280.5605023</v>
      </c>
      <c r="P2525" s="13">
        <f>N2525*86400</f>
        <v/>
      </c>
      <c r="Q2525" s="14">
        <f>O2525-273.15</f>
        <v/>
      </c>
    </row>
    <row r="2526">
      <c r="A2526" s="9" t="n">
        <v>39413</v>
      </c>
      <c r="B2526" s="7">
        <f>YEAR(A2526)</f>
        <v/>
      </c>
      <c r="C2526" s="7">
        <f>MONTH(A2526)</f>
        <v/>
      </c>
      <c r="D2526" s="10" t="n">
        <v>0</v>
      </c>
      <c r="E2526" s="11" t="n">
        <v>6.136815614</v>
      </c>
      <c r="F2526" s="12" t="n">
        <v>0</v>
      </c>
      <c r="G2526" s="11" t="n">
        <v>281.7550226</v>
      </c>
      <c r="H2526" s="13">
        <f>F2526*1000</f>
        <v/>
      </c>
      <c r="I2526" s="14">
        <f>G2526-273.15</f>
        <v/>
      </c>
      <c r="K2526" s="15" t="n">
        <v>2008</v>
      </c>
      <c r="L2526" s="15" t="n">
        <v>1</v>
      </c>
      <c r="M2526" s="15" t="n">
        <v>2</v>
      </c>
      <c r="N2526" s="16" t="n">
        <v>4.157163856e-07</v>
      </c>
      <c r="O2526" s="11" t="n">
        <v>279.5457569</v>
      </c>
      <c r="P2526" s="13">
        <f>N2526*86400</f>
        <v/>
      </c>
      <c r="Q2526" s="14">
        <f>O2526-273.15</f>
        <v/>
      </c>
    </row>
    <row r="2527">
      <c r="A2527" s="9" t="n">
        <v>39414</v>
      </c>
      <c r="B2527" s="7">
        <f>YEAR(A2527)</f>
        <v/>
      </c>
      <c r="C2527" s="7">
        <f>MONTH(A2527)</f>
        <v/>
      </c>
      <c r="D2527" s="10" t="n">
        <v>0</v>
      </c>
      <c r="E2527" s="11" t="n">
        <v>3.647170235</v>
      </c>
      <c r="F2527" s="12" t="n">
        <v>0</v>
      </c>
      <c r="G2527" s="11" t="n">
        <v>278.0563864</v>
      </c>
      <c r="H2527" s="13">
        <f>F2527*1000</f>
        <v/>
      </c>
      <c r="I2527" s="14">
        <f>G2527-273.15</f>
        <v/>
      </c>
      <c r="K2527" s="15" t="n">
        <v>2008</v>
      </c>
      <c r="L2527" s="15" t="n">
        <v>1</v>
      </c>
      <c r="M2527" s="15" t="n">
        <v>3</v>
      </c>
      <c r="N2527" s="16" t="n">
        <v>5.035799962e-06</v>
      </c>
      <c r="O2527" s="11" t="n">
        <v>281.14237</v>
      </c>
      <c r="P2527" s="13">
        <f>N2527*86400</f>
        <v/>
      </c>
      <c r="Q2527" s="14">
        <f>O2527-273.15</f>
        <v/>
      </c>
    </row>
    <row r="2528">
      <c r="A2528" s="9" t="n">
        <v>39415</v>
      </c>
      <c r="B2528" s="7">
        <f>YEAR(A2528)</f>
        <v/>
      </c>
      <c r="C2528" s="7">
        <f>MONTH(A2528)</f>
        <v/>
      </c>
      <c r="D2528" s="10" t="n">
        <v>0</v>
      </c>
      <c r="E2528" s="11" t="n">
        <v>2.845270579</v>
      </c>
      <c r="F2528" s="12" t="n">
        <v>0.001061457811</v>
      </c>
      <c r="G2528" s="11" t="n">
        <v>279.0489509</v>
      </c>
      <c r="H2528" s="13">
        <f>F2528*1000</f>
        <v/>
      </c>
      <c r="I2528" s="14">
        <f>G2528-273.15</f>
        <v/>
      </c>
      <c r="K2528" s="15" t="n">
        <v>2008</v>
      </c>
      <c r="L2528" s="15" t="n">
        <v>1</v>
      </c>
      <c r="M2528" s="15" t="n">
        <v>4</v>
      </c>
      <c r="N2528" s="16" t="n">
        <v>9.247335798e-06</v>
      </c>
      <c r="O2528" s="11" t="n">
        <v>281.1222472</v>
      </c>
      <c r="P2528" s="13">
        <f>N2528*86400</f>
        <v/>
      </c>
      <c r="Q2528" s="14">
        <f>O2528-273.15</f>
        <v/>
      </c>
    </row>
    <row r="2529">
      <c r="A2529" s="9" t="n">
        <v>39416</v>
      </c>
      <c r="B2529" s="7">
        <f>YEAR(A2529)</f>
        <v/>
      </c>
      <c r="C2529" s="7">
        <f>MONTH(A2529)</f>
        <v/>
      </c>
      <c r="D2529" s="10" t="n">
        <v>5.36133626</v>
      </c>
      <c r="E2529" s="11" t="n">
        <v>3.072127495</v>
      </c>
      <c r="F2529" s="12" t="n">
        <v>0.004806216107</v>
      </c>
      <c r="G2529" s="11" t="n">
        <v>279.2032529</v>
      </c>
      <c r="H2529" s="13">
        <f>F2529*1000</f>
        <v/>
      </c>
      <c r="I2529" s="14">
        <f>G2529-273.15</f>
        <v/>
      </c>
      <c r="K2529" s="15" t="n">
        <v>2008</v>
      </c>
      <c r="L2529" s="15" t="n">
        <v>1</v>
      </c>
      <c r="M2529" s="15" t="n">
        <v>5</v>
      </c>
      <c r="N2529" s="16" t="n">
        <v>1.601273136e-06</v>
      </c>
      <c r="O2529" s="11" t="n">
        <v>281.1135131</v>
      </c>
      <c r="P2529" s="13">
        <f>N2529*86400</f>
        <v/>
      </c>
      <c r="Q2529" s="14">
        <f>O2529-273.15</f>
        <v/>
      </c>
    </row>
    <row r="2530">
      <c r="A2530" s="9" t="n">
        <v>39417</v>
      </c>
      <c r="B2530" s="7">
        <f>YEAR(A2530)</f>
        <v/>
      </c>
      <c r="C2530" s="7">
        <f>MONTH(A2530)</f>
        <v/>
      </c>
      <c r="D2530" s="10" t="n">
        <v>0</v>
      </c>
      <c r="E2530" s="11" t="n">
        <v>2.193588064</v>
      </c>
      <c r="F2530" s="12" t="n">
        <v>0.0002131580075</v>
      </c>
      <c r="G2530" s="11" t="n">
        <v>278.3117531</v>
      </c>
      <c r="H2530" s="13">
        <f>F2530*1000</f>
        <v/>
      </c>
      <c r="I2530" s="14">
        <f>G2530-273.15</f>
        <v/>
      </c>
      <c r="K2530" s="15" t="n">
        <v>2008</v>
      </c>
      <c r="L2530" s="15" t="n">
        <v>1</v>
      </c>
      <c r="M2530" s="15" t="n">
        <v>6</v>
      </c>
      <c r="N2530" s="16" t="n">
        <v>1.473930827e-06</v>
      </c>
      <c r="O2530" s="11" t="n">
        <v>280.2408084</v>
      </c>
      <c r="P2530" s="13">
        <f>N2530*86400</f>
        <v/>
      </c>
      <c r="Q2530" s="14">
        <f>O2530-273.15</f>
        <v/>
      </c>
    </row>
    <row r="2531">
      <c r="A2531" s="9" t="n">
        <v>39418</v>
      </c>
      <c r="B2531" s="7">
        <f>YEAR(A2531)</f>
        <v/>
      </c>
      <c r="C2531" s="7">
        <f>MONTH(A2531)</f>
        <v/>
      </c>
      <c r="D2531" s="10" t="n">
        <v>0</v>
      </c>
      <c r="E2531" s="11" t="n">
        <v>4.880169613</v>
      </c>
      <c r="F2531" s="12" t="n">
        <v>0</v>
      </c>
      <c r="G2531" s="11" t="n">
        <v>280.4765099</v>
      </c>
      <c r="H2531" s="13">
        <f>F2531*1000</f>
        <v/>
      </c>
      <c r="I2531" s="14">
        <f>G2531-273.15</f>
        <v/>
      </c>
      <c r="K2531" s="15" t="n">
        <v>2008</v>
      </c>
      <c r="L2531" s="15" t="n">
        <v>1</v>
      </c>
      <c r="M2531" s="15" t="n">
        <v>7</v>
      </c>
      <c r="N2531" s="16" t="n">
        <v>0</v>
      </c>
      <c r="O2531" s="11" t="n">
        <v>279.6164462</v>
      </c>
      <c r="P2531" s="13">
        <f>N2531*86400</f>
        <v/>
      </c>
      <c r="Q2531" s="14">
        <f>O2531-273.15</f>
        <v/>
      </c>
    </row>
    <row r="2532">
      <c r="A2532" s="9" t="n">
        <v>39419</v>
      </c>
      <c r="B2532" s="7">
        <f>YEAR(A2532)</f>
        <v/>
      </c>
      <c r="C2532" s="7">
        <f>MONTH(A2532)</f>
        <v/>
      </c>
      <c r="D2532" s="10" t="n">
        <v>0</v>
      </c>
      <c r="E2532" s="11" t="n">
        <v>4.256901591</v>
      </c>
      <c r="F2532" s="12" t="n">
        <v>0</v>
      </c>
      <c r="G2532" s="11" t="n">
        <v>279.8755423</v>
      </c>
      <c r="H2532" s="13">
        <f>F2532*1000</f>
        <v/>
      </c>
      <c r="I2532" s="14">
        <f>G2532-273.15</f>
        <v/>
      </c>
      <c r="K2532" s="15" t="n">
        <v>2008</v>
      </c>
      <c r="L2532" s="15" t="n">
        <v>1</v>
      </c>
      <c r="M2532" s="15" t="n">
        <v>8</v>
      </c>
      <c r="N2532" s="16" t="n">
        <v>0</v>
      </c>
      <c r="O2532" s="11" t="n">
        <v>280.2345567</v>
      </c>
      <c r="P2532" s="13">
        <f>N2532*86400</f>
        <v/>
      </c>
      <c r="Q2532" s="14">
        <f>O2532-273.15</f>
        <v/>
      </c>
    </row>
    <row r="2533">
      <c r="A2533" s="9" t="n">
        <v>39420</v>
      </c>
      <c r="B2533" s="7">
        <f>YEAR(A2533)</f>
        <v/>
      </c>
      <c r="C2533" s="7">
        <f>MONTH(A2533)</f>
        <v/>
      </c>
      <c r="D2533" s="10" t="n">
        <v>0</v>
      </c>
      <c r="E2533" s="11" t="n">
        <v>2.387963928</v>
      </c>
      <c r="F2533" s="12" t="n">
        <v>0</v>
      </c>
      <c r="G2533" s="11" t="n">
        <v>278.7514218</v>
      </c>
      <c r="H2533" s="13">
        <f>F2533*1000</f>
        <v/>
      </c>
      <c r="I2533" s="14">
        <f>G2533-273.15</f>
        <v/>
      </c>
      <c r="K2533" s="15" t="n">
        <v>2008</v>
      </c>
      <c r="L2533" s="15" t="n">
        <v>1</v>
      </c>
      <c r="M2533" s="15" t="n">
        <v>9</v>
      </c>
      <c r="N2533" s="16" t="n">
        <v>1.105982405e-05</v>
      </c>
      <c r="O2533" s="11" t="n">
        <v>279.6641239</v>
      </c>
      <c r="P2533" s="13">
        <f>N2533*86400</f>
        <v/>
      </c>
      <c r="Q2533" s="14">
        <f>O2533-273.15</f>
        <v/>
      </c>
    </row>
    <row r="2534">
      <c r="A2534" s="9" t="n">
        <v>39421</v>
      </c>
      <c r="B2534" s="7">
        <f>YEAR(A2534)</f>
        <v/>
      </c>
      <c r="C2534" s="7">
        <f>MONTH(A2534)</f>
        <v/>
      </c>
      <c r="D2534" s="10" t="n">
        <v>0</v>
      </c>
      <c r="E2534" s="11" t="n">
        <v>3.548168727</v>
      </c>
      <c r="F2534" s="12" t="n">
        <v>0</v>
      </c>
      <c r="G2534" s="11" t="n">
        <v>280.3333599</v>
      </c>
      <c r="H2534" s="13">
        <f>F2534*1000</f>
        <v/>
      </c>
      <c r="I2534" s="14">
        <f>G2534-273.15</f>
        <v/>
      </c>
      <c r="K2534" s="15" t="n">
        <v>2008</v>
      </c>
      <c r="L2534" s="15" t="n">
        <v>1</v>
      </c>
      <c r="M2534" s="15" t="n">
        <v>10</v>
      </c>
      <c r="N2534" s="16" t="n">
        <v>0</v>
      </c>
      <c r="O2534" s="11" t="n">
        <v>280.3660869</v>
      </c>
      <c r="P2534" s="13">
        <f>N2534*86400</f>
        <v/>
      </c>
      <c r="Q2534" s="14">
        <f>O2534-273.15</f>
        <v/>
      </c>
    </row>
    <row r="2535">
      <c r="A2535" s="9" t="n">
        <v>39422</v>
      </c>
      <c r="B2535" s="7">
        <f>YEAR(A2535)</f>
        <v/>
      </c>
      <c r="C2535" s="7">
        <f>MONTH(A2535)</f>
        <v/>
      </c>
      <c r="D2535" s="10" t="n">
        <v>0</v>
      </c>
      <c r="E2535" s="11" t="n">
        <v>3.745431753</v>
      </c>
      <c r="F2535" s="12" t="n">
        <v>0</v>
      </c>
      <c r="G2535" s="11" t="n">
        <v>280.3685344</v>
      </c>
      <c r="H2535" s="13">
        <f>F2535*1000</f>
        <v/>
      </c>
      <c r="I2535" s="14">
        <f>G2535-273.15</f>
        <v/>
      </c>
      <c r="K2535" s="15" t="n">
        <v>2008</v>
      </c>
      <c r="L2535" s="15" t="n">
        <v>1</v>
      </c>
      <c r="M2535" s="15" t="n">
        <v>11</v>
      </c>
      <c r="N2535" s="16" t="n">
        <v>0</v>
      </c>
      <c r="O2535" s="11" t="n">
        <v>279.3417362</v>
      </c>
      <c r="P2535" s="13">
        <f>N2535*86400</f>
        <v/>
      </c>
      <c r="Q2535" s="14">
        <f>O2535-273.15</f>
        <v/>
      </c>
    </row>
    <row r="2536">
      <c r="A2536" s="9" t="n">
        <v>39423</v>
      </c>
      <c r="B2536" s="7">
        <f>YEAR(A2536)</f>
        <v/>
      </c>
      <c r="C2536" s="7">
        <f>MONTH(A2536)</f>
        <v/>
      </c>
      <c r="D2536" s="10" t="n">
        <v>0</v>
      </c>
      <c r="E2536" s="11" t="n">
        <v>3.048820427</v>
      </c>
      <c r="F2536" s="12" t="n">
        <v>0</v>
      </c>
      <c r="G2536" s="11" t="n">
        <v>279.6144333</v>
      </c>
      <c r="H2536" s="13">
        <f>F2536*1000</f>
        <v/>
      </c>
      <c r="I2536" s="14">
        <f>G2536-273.15</f>
        <v/>
      </c>
      <c r="K2536" s="15" t="n">
        <v>2008</v>
      </c>
      <c r="L2536" s="15" t="n">
        <v>1</v>
      </c>
      <c r="M2536" s="15" t="n">
        <v>12</v>
      </c>
      <c r="N2536" s="16" t="n">
        <v>0</v>
      </c>
      <c r="O2536" s="11" t="n">
        <v>279.5525888</v>
      </c>
      <c r="P2536" s="13">
        <f>N2536*86400</f>
        <v/>
      </c>
      <c r="Q2536" s="14">
        <f>O2536-273.15</f>
        <v/>
      </c>
    </row>
    <row r="2537">
      <c r="A2537" s="9" t="n">
        <v>39424</v>
      </c>
      <c r="B2537" s="7">
        <f>YEAR(A2537)</f>
        <v/>
      </c>
      <c r="C2537" s="7">
        <f>MONTH(A2537)</f>
        <v/>
      </c>
      <c r="D2537" s="10" t="n">
        <v>0</v>
      </c>
      <c r="E2537" s="11" t="n">
        <v>2.014056635</v>
      </c>
      <c r="F2537" s="12" t="n">
        <v>0</v>
      </c>
      <c r="G2537" s="11" t="n">
        <v>277.6260514</v>
      </c>
      <c r="H2537" s="13">
        <f>F2537*1000</f>
        <v/>
      </c>
      <c r="I2537" s="14">
        <f>G2537-273.15</f>
        <v/>
      </c>
      <c r="K2537" s="15" t="n">
        <v>2008</v>
      </c>
      <c r="L2537" s="15" t="n">
        <v>1</v>
      </c>
      <c r="M2537" s="15" t="n">
        <v>13</v>
      </c>
      <c r="N2537" s="16" t="n">
        <v>4.189319427e-06</v>
      </c>
      <c r="O2537" s="11" t="n">
        <v>280.9816229</v>
      </c>
      <c r="P2537" s="13">
        <f>N2537*86400</f>
        <v/>
      </c>
      <c r="Q2537" s="14">
        <f>O2537-273.15</f>
        <v/>
      </c>
    </row>
    <row r="2538">
      <c r="A2538" s="9" t="n">
        <v>39425</v>
      </c>
      <c r="B2538" s="7">
        <f>YEAR(A2538)</f>
        <v/>
      </c>
      <c r="C2538" s="7">
        <f>MONTH(A2538)</f>
        <v/>
      </c>
      <c r="D2538" s="10" t="n">
        <v>0</v>
      </c>
      <c r="E2538" s="11" t="n">
        <v>1.206198496</v>
      </c>
      <c r="F2538" s="12" t="n">
        <v>0.004524063404</v>
      </c>
      <c r="G2538" s="11" t="n">
        <v>276.7066317</v>
      </c>
      <c r="H2538" s="13">
        <f>F2538*1000</f>
        <v/>
      </c>
      <c r="I2538" s="14">
        <f>G2538-273.15</f>
        <v/>
      </c>
      <c r="K2538" s="15" t="n">
        <v>2008</v>
      </c>
      <c r="L2538" s="15" t="n">
        <v>1</v>
      </c>
      <c r="M2538" s="15" t="n">
        <v>14</v>
      </c>
      <c r="N2538" s="16" t="n">
        <v>0</v>
      </c>
      <c r="O2538" s="11" t="n">
        <v>281.2976694</v>
      </c>
      <c r="P2538" s="13">
        <f>N2538*86400</f>
        <v/>
      </c>
      <c r="Q2538" s="14">
        <f>O2538-273.15</f>
        <v/>
      </c>
    </row>
    <row r="2539">
      <c r="A2539" s="9" t="n">
        <v>39426</v>
      </c>
      <c r="B2539" s="7">
        <f>YEAR(A2539)</f>
        <v/>
      </c>
      <c r="C2539" s="7">
        <f>MONTH(A2539)</f>
        <v/>
      </c>
      <c r="D2539" s="10" t="n">
        <v>0</v>
      </c>
      <c r="E2539" s="11" t="n">
        <v>0.8451539903</v>
      </c>
      <c r="F2539" s="12" t="n">
        <v>0</v>
      </c>
      <c r="G2539" s="11" t="n">
        <v>276.8001229</v>
      </c>
      <c r="H2539" s="13">
        <f>F2539*1000</f>
        <v/>
      </c>
      <c r="I2539" s="14">
        <f>G2539-273.15</f>
        <v/>
      </c>
      <c r="K2539" s="15" t="n">
        <v>2008</v>
      </c>
      <c r="L2539" s="15" t="n">
        <v>1</v>
      </c>
      <c r="M2539" s="15" t="n">
        <v>15</v>
      </c>
      <c r="N2539" s="16" t="n">
        <v>0</v>
      </c>
      <c r="O2539" s="11" t="n">
        <v>282.3616537</v>
      </c>
      <c r="P2539" s="13">
        <f>N2539*86400</f>
        <v/>
      </c>
      <c r="Q2539" s="14">
        <f>O2539-273.15</f>
        <v/>
      </c>
    </row>
    <row r="2540">
      <c r="A2540" s="9" t="n">
        <v>39427</v>
      </c>
      <c r="B2540" s="7">
        <f>YEAR(A2540)</f>
        <v/>
      </c>
      <c r="C2540" s="7">
        <f>MONTH(A2540)</f>
        <v/>
      </c>
      <c r="D2540" s="10" t="n">
        <v>0</v>
      </c>
      <c r="E2540" s="11" t="n">
        <v>2.656030351</v>
      </c>
      <c r="F2540" s="12" t="n">
        <v>0</v>
      </c>
      <c r="G2540" s="11" t="n">
        <v>278.198405</v>
      </c>
      <c r="H2540" s="13">
        <f>F2540*1000</f>
        <v/>
      </c>
      <c r="I2540" s="14">
        <f>G2540-273.15</f>
        <v/>
      </c>
      <c r="K2540" s="15" t="n">
        <v>2008</v>
      </c>
      <c r="L2540" s="15" t="n">
        <v>1</v>
      </c>
      <c r="M2540" s="15" t="n">
        <v>16</v>
      </c>
      <c r="N2540" s="16" t="n">
        <v>0</v>
      </c>
      <c r="O2540" s="11" t="n">
        <v>282.4598502</v>
      </c>
      <c r="P2540" s="13">
        <f>N2540*86400</f>
        <v/>
      </c>
      <c r="Q2540" s="14">
        <f>O2540-273.15</f>
        <v/>
      </c>
    </row>
    <row r="2541">
      <c r="A2541" s="9" t="n">
        <v>39428</v>
      </c>
      <c r="B2541" s="7">
        <f>YEAR(A2541)</f>
        <v/>
      </c>
      <c r="C2541" s="7">
        <f>MONTH(A2541)</f>
        <v/>
      </c>
      <c r="D2541" s="10" t="n">
        <v>0</v>
      </c>
      <c r="E2541" s="11" t="n">
        <v>4.465085835</v>
      </c>
      <c r="F2541" s="12" t="n">
        <v>0.0008924531827</v>
      </c>
      <c r="G2541" s="11" t="n">
        <v>278.8805415</v>
      </c>
      <c r="H2541" s="13">
        <f>F2541*1000</f>
        <v/>
      </c>
      <c r="I2541" s="14">
        <f>G2541-273.15</f>
        <v/>
      </c>
      <c r="K2541" s="15" t="n">
        <v>2008</v>
      </c>
      <c r="L2541" s="15" t="n">
        <v>1</v>
      </c>
      <c r="M2541" s="15" t="n">
        <v>17</v>
      </c>
      <c r="N2541" s="16" t="n">
        <v>0</v>
      </c>
      <c r="O2541" s="11" t="n">
        <v>281.3124836</v>
      </c>
      <c r="P2541" s="13">
        <f>N2541*86400</f>
        <v/>
      </c>
      <c r="Q2541" s="14">
        <f>O2541-273.15</f>
        <v/>
      </c>
    </row>
    <row r="2542">
      <c r="A2542" s="9" t="n">
        <v>39429</v>
      </c>
      <c r="B2542" s="7">
        <f>YEAR(A2542)</f>
        <v/>
      </c>
      <c r="C2542" s="7">
        <f>MONTH(A2542)</f>
        <v/>
      </c>
      <c r="D2542" s="10" t="n">
        <v>0</v>
      </c>
      <c r="E2542" s="11" t="n">
        <v>5.249941669</v>
      </c>
      <c r="F2542" s="12" t="n">
        <v>0.0003036536949</v>
      </c>
      <c r="G2542" s="11" t="n">
        <v>280.783337</v>
      </c>
      <c r="H2542" s="13">
        <f>F2542*1000</f>
        <v/>
      </c>
      <c r="I2542" s="14">
        <f>G2542-273.15</f>
        <v/>
      </c>
      <c r="K2542" s="15" t="n">
        <v>2008</v>
      </c>
      <c r="L2542" s="15" t="n">
        <v>1</v>
      </c>
      <c r="M2542" s="15" t="n">
        <v>18</v>
      </c>
      <c r="N2542" s="16" t="n">
        <v>3.754936455e-05</v>
      </c>
      <c r="O2542" s="11" t="n">
        <v>280.208855</v>
      </c>
      <c r="P2542" s="13">
        <f>N2542*86400</f>
        <v/>
      </c>
      <c r="Q2542" s="14">
        <f>O2542-273.15</f>
        <v/>
      </c>
    </row>
    <row r="2543">
      <c r="A2543" s="9" t="n">
        <v>39430</v>
      </c>
      <c r="B2543" s="7">
        <f>YEAR(A2543)</f>
        <v/>
      </c>
      <c r="C2543" s="7">
        <f>MONTH(A2543)</f>
        <v/>
      </c>
      <c r="D2543" s="10" t="n">
        <v>0</v>
      </c>
      <c r="E2543" s="11" t="n">
        <v>3.660331271</v>
      </c>
      <c r="F2543" s="12" t="n">
        <v>0</v>
      </c>
      <c r="G2543" s="11" t="n">
        <v>279.0378254</v>
      </c>
      <c r="H2543" s="13">
        <f>F2543*1000</f>
        <v/>
      </c>
      <c r="I2543" s="14">
        <f>G2543-273.15</f>
        <v/>
      </c>
      <c r="K2543" s="15" t="n">
        <v>2008</v>
      </c>
      <c r="L2543" s="15" t="n">
        <v>1</v>
      </c>
      <c r="M2543" s="15" t="n">
        <v>19</v>
      </c>
      <c r="N2543" s="16" t="n">
        <v>3.957346325e-06</v>
      </c>
      <c r="O2543" s="11" t="n">
        <v>282.2083491</v>
      </c>
      <c r="P2543" s="13">
        <f>N2543*86400</f>
        <v/>
      </c>
      <c r="Q2543" s="14">
        <f>O2543-273.15</f>
        <v/>
      </c>
    </row>
    <row r="2544">
      <c r="A2544" s="9" t="n">
        <v>39431</v>
      </c>
      <c r="B2544" s="7">
        <f>YEAR(A2544)</f>
        <v/>
      </c>
      <c r="C2544" s="7">
        <f>MONTH(A2544)</f>
        <v/>
      </c>
      <c r="D2544" s="10" t="n">
        <v>0</v>
      </c>
      <c r="E2544" s="11" t="n">
        <v>3.983697784</v>
      </c>
      <c r="F2544" s="12" t="n">
        <v>0</v>
      </c>
      <c r="G2544" s="11" t="n">
        <v>278.6777509</v>
      </c>
      <c r="H2544" s="13">
        <f>F2544*1000</f>
        <v/>
      </c>
      <c r="I2544" s="14">
        <f>G2544-273.15</f>
        <v/>
      </c>
      <c r="K2544" s="15" t="n">
        <v>2008</v>
      </c>
      <c r="L2544" s="15" t="n">
        <v>1</v>
      </c>
      <c r="M2544" s="15" t="n">
        <v>20</v>
      </c>
      <c r="N2544" s="16" t="n">
        <v>3.744320459e-06</v>
      </c>
      <c r="O2544" s="11" t="n">
        <v>282.7194542</v>
      </c>
      <c r="P2544" s="13">
        <f>N2544*86400</f>
        <v/>
      </c>
      <c r="Q2544" s="14">
        <f>O2544-273.15</f>
        <v/>
      </c>
    </row>
    <row r="2545">
      <c r="A2545" s="9" t="n">
        <v>39432</v>
      </c>
      <c r="B2545" s="7">
        <f>YEAR(A2545)</f>
        <v/>
      </c>
      <c r="C2545" s="7">
        <f>MONTH(A2545)</f>
        <v/>
      </c>
      <c r="D2545" s="10" t="n">
        <v>0</v>
      </c>
      <c r="E2545" s="11" t="n">
        <v>3.732473063</v>
      </c>
      <c r="F2545" s="12" t="n">
        <v>0</v>
      </c>
      <c r="G2545" s="11" t="n">
        <v>278.7296121</v>
      </c>
      <c r="H2545" s="13">
        <f>F2545*1000</f>
        <v/>
      </c>
      <c r="I2545" s="14">
        <f>G2545-273.15</f>
        <v/>
      </c>
      <c r="K2545" s="15" t="n">
        <v>2008</v>
      </c>
      <c r="L2545" s="15" t="n">
        <v>1</v>
      </c>
      <c r="M2545" s="15" t="n">
        <v>21</v>
      </c>
      <c r="N2545" s="16" t="n">
        <v>0</v>
      </c>
      <c r="O2545" s="11" t="n">
        <v>283.7307457</v>
      </c>
      <c r="P2545" s="13">
        <f>N2545*86400</f>
        <v/>
      </c>
      <c r="Q2545" s="14">
        <f>O2545-273.15</f>
        <v/>
      </c>
    </row>
    <row r="2546">
      <c r="A2546" s="9" t="n">
        <v>39433</v>
      </c>
      <c r="B2546" s="7">
        <f>YEAR(A2546)</f>
        <v/>
      </c>
      <c r="C2546" s="7">
        <f>MONTH(A2546)</f>
        <v/>
      </c>
      <c r="D2546" s="10" t="n">
        <v>0</v>
      </c>
      <c r="E2546" s="11" t="n">
        <v>4.622220634</v>
      </c>
      <c r="F2546" s="12" t="n">
        <v>0</v>
      </c>
      <c r="G2546" s="11" t="n">
        <v>279.9245252</v>
      </c>
      <c r="H2546" s="13">
        <f>F2546*1000</f>
        <v/>
      </c>
      <c r="I2546" s="14">
        <f>G2546-273.15</f>
        <v/>
      </c>
      <c r="K2546" s="15" t="n">
        <v>2008</v>
      </c>
      <c r="L2546" s="15" t="n">
        <v>1</v>
      </c>
      <c r="M2546" s="15" t="n">
        <v>22</v>
      </c>
      <c r="N2546" s="16" t="n">
        <v>8.492306061000001e-06</v>
      </c>
      <c r="O2546" s="11" t="n">
        <v>281.607887</v>
      </c>
      <c r="P2546" s="13">
        <f>N2546*86400</f>
        <v/>
      </c>
      <c r="Q2546" s="14">
        <f>O2546-273.15</f>
        <v/>
      </c>
    </row>
    <row r="2547">
      <c r="A2547" s="9" t="n">
        <v>39434</v>
      </c>
      <c r="B2547" s="7">
        <f>YEAR(A2547)</f>
        <v/>
      </c>
      <c r="C2547" s="7">
        <f>MONTH(A2547)</f>
        <v/>
      </c>
      <c r="D2547" s="10" t="n">
        <v>0</v>
      </c>
      <c r="E2547" s="11" t="n">
        <v>2.396846027</v>
      </c>
      <c r="F2547" s="12" t="n">
        <v>0</v>
      </c>
      <c r="G2547" s="11" t="n">
        <v>277.5358085</v>
      </c>
      <c r="H2547" s="13">
        <f>F2547*1000</f>
        <v/>
      </c>
      <c r="I2547" s="14">
        <f>G2547-273.15</f>
        <v/>
      </c>
      <c r="K2547" s="15" t="n">
        <v>2008</v>
      </c>
      <c r="L2547" s="15" t="n">
        <v>1</v>
      </c>
      <c r="M2547" s="15" t="n">
        <v>23</v>
      </c>
      <c r="N2547" s="16" t="n">
        <v>0</v>
      </c>
      <c r="O2547" s="11" t="n">
        <v>283.6091706</v>
      </c>
      <c r="P2547" s="13">
        <f>N2547*86400</f>
        <v/>
      </c>
      <c r="Q2547" s="14">
        <f>O2547-273.15</f>
        <v/>
      </c>
    </row>
    <row r="2548">
      <c r="A2548" s="9" t="n">
        <v>39435</v>
      </c>
      <c r="B2548" s="7">
        <f>YEAR(A2548)</f>
        <v/>
      </c>
      <c r="C2548" s="7">
        <f>MONTH(A2548)</f>
        <v/>
      </c>
      <c r="D2548" s="10" t="n">
        <v>0</v>
      </c>
      <c r="E2548" s="11" t="n">
        <v>4.601584896</v>
      </c>
      <c r="F2548" s="12" t="n">
        <v>0</v>
      </c>
      <c r="G2548" s="11" t="n">
        <v>278.6099617</v>
      </c>
      <c r="H2548" s="13">
        <f>F2548*1000</f>
        <v/>
      </c>
      <c r="I2548" s="14">
        <f>G2548-273.15</f>
        <v/>
      </c>
      <c r="K2548" s="15" t="n">
        <v>2008</v>
      </c>
      <c r="L2548" s="15" t="n">
        <v>1</v>
      </c>
      <c r="M2548" s="15" t="n">
        <v>24</v>
      </c>
      <c r="N2548" s="16" t="n">
        <v>1.607000859e-05</v>
      </c>
      <c r="O2548" s="11" t="n">
        <v>284.4686839</v>
      </c>
      <c r="P2548" s="13">
        <f>N2548*86400</f>
        <v/>
      </c>
      <c r="Q2548" s="14">
        <f>O2548-273.15</f>
        <v/>
      </c>
    </row>
    <row r="2549">
      <c r="A2549" s="9" t="n">
        <v>39436</v>
      </c>
      <c r="B2549" s="7">
        <f>YEAR(A2549)</f>
        <v/>
      </c>
      <c r="C2549" s="7">
        <f>MONTH(A2549)</f>
        <v/>
      </c>
      <c r="D2549" s="10" t="n">
        <v>0</v>
      </c>
      <c r="E2549" s="11" t="n">
        <v>2.443972225</v>
      </c>
      <c r="F2549" s="12" t="n">
        <v>0</v>
      </c>
      <c r="G2549" s="11" t="n">
        <v>277.941716</v>
      </c>
      <c r="H2549" s="13">
        <f>F2549*1000</f>
        <v/>
      </c>
      <c r="I2549" s="14">
        <f>G2549-273.15</f>
        <v/>
      </c>
      <c r="K2549" s="15" t="n">
        <v>2008</v>
      </c>
      <c r="L2549" s="15" t="n">
        <v>1</v>
      </c>
      <c r="M2549" s="15" t="n">
        <v>25</v>
      </c>
      <c r="N2549" s="16" t="n">
        <v>0</v>
      </c>
      <c r="O2549" s="11" t="n">
        <v>281.9325499</v>
      </c>
      <c r="P2549" s="13">
        <f>N2549*86400</f>
        <v/>
      </c>
      <c r="Q2549" s="14">
        <f>O2549-273.15</f>
        <v/>
      </c>
    </row>
    <row r="2550">
      <c r="A2550" s="9" t="n">
        <v>39437</v>
      </c>
      <c r="B2550" s="7">
        <f>YEAR(A2550)</f>
        <v/>
      </c>
      <c r="C2550" s="7">
        <f>MONTH(A2550)</f>
        <v/>
      </c>
      <c r="D2550" s="10" t="n">
        <v>0</v>
      </c>
      <c r="E2550" s="11" t="n">
        <v>2.608631832</v>
      </c>
      <c r="F2550" s="12" t="n">
        <v>0</v>
      </c>
      <c r="G2550" s="11" t="n">
        <v>277.0180978</v>
      </c>
      <c r="H2550" s="13">
        <f>F2550*1000</f>
        <v/>
      </c>
      <c r="I2550" s="14">
        <f>G2550-273.15</f>
        <v/>
      </c>
      <c r="K2550" s="15" t="n">
        <v>2008</v>
      </c>
      <c r="L2550" s="15" t="n">
        <v>1</v>
      </c>
      <c r="M2550" s="15" t="n">
        <v>26</v>
      </c>
      <c r="N2550" s="16" t="n">
        <v>0</v>
      </c>
      <c r="O2550" s="11" t="n">
        <v>280.2756153</v>
      </c>
      <c r="P2550" s="13">
        <f>N2550*86400</f>
        <v/>
      </c>
      <c r="Q2550" s="14">
        <f>O2550-273.15</f>
        <v/>
      </c>
    </row>
    <row r="2551">
      <c r="A2551" s="9" t="n">
        <v>39438</v>
      </c>
      <c r="B2551" s="7">
        <f>YEAR(A2551)</f>
        <v/>
      </c>
      <c r="C2551" s="7">
        <f>MONTH(A2551)</f>
        <v/>
      </c>
      <c r="D2551" s="10" t="n">
        <v>0</v>
      </c>
      <c r="E2551" s="11" t="n">
        <v>2.232348958</v>
      </c>
      <c r="F2551" s="12" t="n">
        <v>0</v>
      </c>
      <c r="G2551" s="11" t="n">
        <v>276.9761684</v>
      </c>
      <c r="H2551" s="13">
        <f>F2551*1000</f>
        <v/>
      </c>
      <c r="I2551" s="14">
        <f>G2551-273.15</f>
        <v/>
      </c>
      <c r="K2551" s="15" t="n">
        <v>2008</v>
      </c>
      <c r="L2551" s="15" t="n">
        <v>1</v>
      </c>
      <c r="M2551" s="15" t="n">
        <v>27</v>
      </c>
      <c r="N2551" s="16" t="n">
        <v>0</v>
      </c>
      <c r="O2551" s="11" t="n">
        <v>282.1604224</v>
      </c>
      <c r="P2551" s="13">
        <f>N2551*86400</f>
        <v/>
      </c>
      <c r="Q2551" s="14">
        <f>O2551-273.15</f>
        <v/>
      </c>
    </row>
    <row r="2552">
      <c r="A2552" s="9" t="n">
        <v>39439</v>
      </c>
      <c r="B2552" s="7">
        <f>YEAR(A2552)</f>
        <v/>
      </c>
      <c r="C2552" s="7">
        <f>MONTH(A2552)</f>
        <v/>
      </c>
      <c r="D2552" s="10" t="n">
        <v>0</v>
      </c>
      <c r="E2552" s="11" t="n">
        <v>3.309938423</v>
      </c>
      <c r="F2552" s="12" t="n">
        <v>0</v>
      </c>
      <c r="G2552" s="11" t="n">
        <v>278.2116566</v>
      </c>
      <c r="H2552" s="13">
        <f>F2552*1000</f>
        <v/>
      </c>
      <c r="I2552" s="14">
        <f>G2552-273.15</f>
        <v/>
      </c>
      <c r="K2552" s="15" t="n">
        <v>2008</v>
      </c>
      <c r="L2552" s="15" t="n">
        <v>1</v>
      </c>
      <c r="M2552" s="15" t="n">
        <v>28</v>
      </c>
      <c r="N2552" s="16" t="n">
        <v>2.494714561e-06</v>
      </c>
      <c r="O2552" s="11" t="n">
        <v>281.391635</v>
      </c>
      <c r="P2552" s="13">
        <f>N2552*86400</f>
        <v/>
      </c>
      <c r="Q2552" s="14">
        <f>O2552-273.15</f>
        <v/>
      </c>
    </row>
    <row r="2553">
      <c r="A2553" s="9" t="n">
        <v>39440</v>
      </c>
      <c r="B2553" s="7">
        <f>YEAR(A2553)</f>
        <v/>
      </c>
      <c r="C2553" s="7">
        <f>MONTH(A2553)</f>
        <v/>
      </c>
      <c r="D2553" s="10" t="n">
        <v>0</v>
      </c>
      <c r="E2553" s="11" t="n">
        <v>2.856080646</v>
      </c>
      <c r="F2553" s="12" t="n">
        <v>0</v>
      </c>
      <c r="G2553" s="11" t="n">
        <v>278.2799753</v>
      </c>
      <c r="H2553" s="13">
        <f>F2553*1000</f>
        <v/>
      </c>
      <c r="I2553" s="14">
        <f>G2553-273.15</f>
        <v/>
      </c>
      <c r="K2553" s="15" t="n">
        <v>2008</v>
      </c>
      <c r="L2553" s="15" t="n">
        <v>1</v>
      </c>
      <c r="M2553" s="15" t="n">
        <v>29</v>
      </c>
      <c r="N2553" s="16" t="n">
        <v>5.174840697e-05</v>
      </c>
      <c r="O2553" s="11" t="n">
        <v>283.2752648</v>
      </c>
      <c r="P2553" s="13">
        <f>N2553*86400</f>
        <v/>
      </c>
      <c r="Q2553" s="14">
        <f>O2553-273.15</f>
        <v/>
      </c>
    </row>
    <row r="2554">
      <c r="A2554" s="9" t="n">
        <v>39441</v>
      </c>
      <c r="B2554" s="7">
        <f>YEAR(A2554)</f>
        <v/>
      </c>
      <c r="C2554" s="7">
        <f>MONTH(A2554)</f>
        <v/>
      </c>
      <c r="D2554" s="10" t="n">
        <v>0</v>
      </c>
      <c r="E2554" s="11" t="n">
        <v>0.6484419529</v>
      </c>
      <c r="F2554" s="12" t="n">
        <v>0</v>
      </c>
      <c r="G2554" s="11" t="n">
        <v>275.8359351</v>
      </c>
      <c r="H2554" s="13">
        <f>F2554*1000</f>
        <v/>
      </c>
      <c r="I2554" s="14">
        <f>G2554-273.15</f>
        <v/>
      </c>
      <c r="K2554" s="15" t="n">
        <v>2008</v>
      </c>
      <c r="L2554" s="15" t="n">
        <v>1</v>
      </c>
      <c r="M2554" s="15" t="n">
        <v>30</v>
      </c>
      <c r="N2554" s="16" t="n">
        <v>1.155532354e-05</v>
      </c>
      <c r="O2554" s="11" t="n">
        <v>281.0516515</v>
      </c>
      <c r="P2554" s="13">
        <f>N2554*86400</f>
        <v/>
      </c>
      <c r="Q2554" s="14">
        <f>O2554-273.15</f>
        <v/>
      </c>
    </row>
    <row r="2555">
      <c r="A2555" s="9" t="n">
        <v>39442</v>
      </c>
      <c r="B2555" s="7">
        <f>YEAR(A2555)</f>
        <v/>
      </c>
      <c r="C2555" s="7">
        <f>MONTH(A2555)</f>
        <v/>
      </c>
      <c r="D2555" s="10" t="n">
        <v>0</v>
      </c>
      <c r="E2555" s="11" t="n">
        <v>2.326536095</v>
      </c>
      <c r="F2555" s="12" t="n">
        <v>0</v>
      </c>
      <c r="G2555" s="11" t="n">
        <v>278.0751623</v>
      </c>
      <c r="H2555" s="13">
        <f>F2555*1000</f>
        <v/>
      </c>
      <c r="I2555" s="14">
        <f>G2555-273.15</f>
        <v/>
      </c>
      <c r="K2555" s="15" t="n">
        <v>2008</v>
      </c>
      <c r="L2555" s="15" t="n">
        <v>2</v>
      </c>
      <c r="M2555" s="15" t="n">
        <v>1</v>
      </c>
      <c r="N2555" s="16" t="n">
        <v>2.718115482e-05</v>
      </c>
      <c r="O2555" s="11" t="n">
        <v>282.66031</v>
      </c>
      <c r="P2555" s="13">
        <f>N2555*86400</f>
        <v/>
      </c>
      <c r="Q2555" s="14">
        <f>O2555-273.15</f>
        <v/>
      </c>
    </row>
    <row r="2556">
      <c r="A2556" s="9" t="n">
        <v>39443</v>
      </c>
      <c r="B2556" s="7">
        <f>YEAR(A2556)</f>
        <v/>
      </c>
      <c r="C2556" s="7">
        <f>MONTH(A2556)</f>
        <v/>
      </c>
      <c r="D2556" s="10" t="n">
        <v>0</v>
      </c>
      <c r="E2556" s="11" t="n">
        <v>4.286281547</v>
      </c>
      <c r="F2556" s="12" t="n">
        <v>0</v>
      </c>
      <c r="G2556" s="11" t="n">
        <v>280.1683649</v>
      </c>
      <c r="H2556" s="13">
        <f>F2556*1000</f>
        <v/>
      </c>
      <c r="I2556" s="14">
        <f>G2556-273.15</f>
        <v/>
      </c>
      <c r="K2556" s="15" t="n">
        <v>2008</v>
      </c>
      <c r="L2556" s="15" t="n">
        <v>2</v>
      </c>
      <c r="M2556" s="15" t="n">
        <v>2</v>
      </c>
      <c r="N2556" s="16" t="n">
        <v>5.321909763e-05</v>
      </c>
      <c r="O2556" s="11" t="n">
        <v>283.3205257</v>
      </c>
      <c r="P2556" s="13">
        <f>N2556*86400</f>
        <v/>
      </c>
      <c r="Q2556" s="14">
        <f>O2556-273.15</f>
        <v/>
      </c>
    </row>
    <row r="2557">
      <c r="A2557" s="9" t="n">
        <v>39444</v>
      </c>
      <c r="B2557" s="7">
        <f>YEAR(A2557)</f>
        <v/>
      </c>
      <c r="C2557" s="7">
        <f>MONTH(A2557)</f>
        <v/>
      </c>
      <c r="D2557" s="10" t="n">
        <v>0</v>
      </c>
      <c r="E2557" s="11" t="n">
        <v>7.439737969</v>
      </c>
      <c r="F2557" s="12" t="n">
        <v>0</v>
      </c>
      <c r="G2557" s="11" t="n">
        <v>283.8213626</v>
      </c>
      <c r="H2557" s="13">
        <f>F2557*1000</f>
        <v/>
      </c>
      <c r="I2557" s="14">
        <f>G2557-273.15</f>
        <v/>
      </c>
      <c r="K2557" s="15" t="n">
        <v>2008</v>
      </c>
      <c r="L2557" s="15" t="n">
        <v>2</v>
      </c>
      <c r="M2557" s="15" t="n">
        <v>3</v>
      </c>
      <c r="N2557" s="16" t="n">
        <v>2.676782847e-05</v>
      </c>
      <c r="O2557" s="11" t="n">
        <v>283.3947009</v>
      </c>
      <c r="P2557" s="13">
        <f>N2557*86400</f>
        <v/>
      </c>
      <c r="Q2557" s="14">
        <f>O2557-273.15</f>
        <v/>
      </c>
    </row>
    <row r="2558">
      <c r="A2558" s="9" t="n">
        <v>39445</v>
      </c>
      <c r="B2558" s="7">
        <f>YEAR(A2558)</f>
        <v/>
      </c>
      <c r="C2558" s="7">
        <f>MONTH(A2558)</f>
        <v/>
      </c>
      <c r="D2558" s="10" t="n">
        <v>1.240547781</v>
      </c>
      <c r="E2558" s="11" t="n">
        <v>5.834216426</v>
      </c>
      <c r="F2558" s="12" t="n">
        <v>0.001015486479</v>
      </c>
      <c r="G2558" s="11" t="n">
        <v>281.3315856</v>
      </c>
      <c r="H2558" s="13">
        <f>F2558*1000</f>
        <v/>
      </c>
      <c r="I2558" s="14">
        <f>G2558-273.15</f>
        <v/>
      </c>
      <c r="K2558" s="15" t="n">
        <v>2008</v>
      </c>
      <c r="L2558" s="15" t="n">
        <v>2</v>
      </c>
      <c r="M2558" s="15" t="n">
        <v>4</v>
      </c>
      <c r="N2558" s="16" t="n">
        <v>9.428156759e-06</v>
      </c>
      <c r="O2558" s="11" t="n">
        <v>281.1267378</v>
      </c>
      <c r="P2558" s="13">
        <f>N2558*86400</f>
        <v/>
      </c>
      <c r="Q2558" s="14">
        <f>O2558-273.15</f>
        <v/>
      </c>
    </row>
    <row r="2559">
      <c r="A2559" s="9" t="n">
        <v>39446</v>
      </c>
      <c r="B2559" s="7">
        <f>YEAR(A2559)</f>
        <v/>
      </c>
      <c r="C2559" s="7">
        <f>MONTH(A2559)</f>
        <v/>
      </c>
      <c r="D2559" s="10" t="n">
        <v>0</v>
      </c>
      <c r="E2559" s="11" t="n">
        <v>4.583991993</v>
      </c>
      <c r="F2559" s="12" t="n">
        <v>0</v>
      </c>
      <c r="G2559" s="11" t="n">
        <v>280.7101732</v>
      </c>
      <c r="H2559" s="13">
        <f>F2559*1000</f>
        <v/>
      </c>
      <c r="I2559" s="14">
        <f>G2559-273.15</f>
        <v/>
      </c>
      <c r="K2559" s="15" t="n">
        <v>2008</v>
      </c>
      <c r="L2559" s="15" t="n">
        <v>2</v>
      </c>
      <c r="M2559" s="15" t="n">
        <v>5</v>
      </c>
      <c r="N2559" s="16" t="n">
        <v>1.918297674e-06</v>
      </c>
      <c r="O2559" s="11" t="n">
        <v>281.4617184</v>
      </c>
      <c r="P2559" s="13">
        <f>N2559*86400</f>
        <v/>
      </c>
      <c r="Q2559" s="14">
        <f>O2559-273.15</f>
        <v/>
      </c>
    </row>
    <row r="2560">
      <c r="A2560" s="9" t="n">
        <v>39447</v>
      </c>
      <c r="B2560" s="7">
        <f>YEAR(A2560)</f>
        <v/>
      </c>
      <c r="C2560" s="7">
        <f>MONTH(A2560)</f>
        <v/>
      </c>
      <c r="D2560" s="10" t="n">
        <v>0</v>
      </c>
      <c r="E2560" s="11" t="n">
        <v>5.41454053</v>
      </c>
      <c r="F2560" s="12" t="n">
        <v>0</v>
      </c>
      <c r="G2560" s="11" t="n">
        <v>281.532884</v>
      </c>
      <c r="H2560" s="13">
        <f>F2560*1000</f>
        <v/>
      </c>
      <c r="I2560" s="14">
        <f>G2560-273.15</f>
        <v/>
      </c>
      <c r="K2560" s="15" t="n">
        <v>2008</v>
      </c>
      <c r="L2560" s="15" t="n">
        <v>2</v>
      </c>
      <c r="M2560" s="15" t="n">
        <v>6</v>
      </c>
      <c r="N2560" s="16" t="n">
        <v>0</v>
      </c>
      <c r="O2560" s="11" t="n">
        <v>282.6596225</v>
      </c>
      <c r="P2560" s="13">
        <f>N2560*86400</f>
        <v/>
      </c>
      <c r="Q2560" s="14">
        <f>O2560-273.15</f>
        <v/>
      </c>
    </row>
    <row r="2561">
      <c r="A2561" s="9" t="n">
        <v>39448</v>
      </c>
      <c r="B2561" s="7">
        <f>YEAR(A2561)</f>
        <v/>
      </c>
      <c r="C2561" s="7">
        <f>MONTH(A2561)</f>
        <v/>
      </c>
      <c r="D2561" s="10" t="n">
        <v>0</v>
      </c>
      <c r="E2561" s="11" t="n">
        <v>3.619596894</v>
      </c>
      <c r="F2561" s="12" t="n">
        <v>0</v>
      </c>
      <c r="G2561" s="11" t="n">
        <v>279.4366578</v>
      </c>
      <c r="H2561" s="13">
        <f>F2561*1000</f>
        <v/>
      </c>
      <c r="I2561" s="14">
        <f>G2561-273.15</f>
        <v/>
      </c>
      <c r="K2561" s="15" t="n">
        <v>2008</v>
      </c>
      <c r="L2561" s="15" t="n">
        <v>2</v>
      </c>
      <c r="M2561" s="15" t="n">
        <v>7</v>
      </c>
      <c r="N2561" s="16" t="n">
        <v>0</v>
      </c>
      <c r="O2561" s="11" t="n">
        <v>279.9483992</v>
      </c>
      <c r="P2561" s="13">
        <f>N2561*86400</f>
        <v/>
      </c>
      <c r="Q2561" s="14">
        <f>O2561-273.15</f>
        <v/>
      </c>
    </row>
    <row r="2562">
      <c r="A2562" s="9" t="n">
        <v>39449</v>
      </c>
      <c r="B2562" s="7">
        <f>YEAR(A2562)</f>
        <v/>
      </c>
      <c r="C2562" s="7">
        <f>MONTH(A2562)</f>
        <v/>
      </c>
      <c r="D2562" s="10" t="n">
        <v>0</v>
      </c>
      <c r="E2562" s="11" t="n">
        <v>3.619891271</v>
      </c>
      <c r="F2562" s="12" t="n">
        <v>0</v>
      </c>
      <c r="G2562" s="11" t="n">
        <v>280.2116373</v>
      </c>
      <c r="H2562" s="13">
        <f>F2562*1000</f>
        <v/>
      </c>
      <c r="I2562" s="14">
        <f>G2562-273.15</f>
        <v/>
      </c>
      <c r="K2562" s="15" t="n">
        <v>2008</v>
      </c>
      <c r="L2562" s="15" t="n">
        <v>2</v>
      </c>
      <c r="M2562" s="15" t="n">
        <v>8</v>
      </c>
      <c r="N2562" s="16" t="n">
        <v>1.334395837e-06</v>
      </c>
      <c r="O2562" s="11" t="n">
        <v>281.4066523</v>
      </c>
      <c r="P2562" s="13">
        <f>N2562*86400</f>
        <v/>
      </c>
      <c r="Q2562" s="14">
        <f>O2562-273.15</f>
        <v/>
      </c>
    </row>
    <row r="2563">
      <c r="A2563" s="9" t="n">
        <v>39450</v>
      </c>
      <c r="B2563" s="7">
        <f>YEAR(A2563)</f>
        <v/>
      </c>
      <c r="C2563" s="7">
        <f>MONTH(A2563)</f>
        <v/>
      </c>
      <c r="D2563" s="10" t="n">
        <v>0</v>
      </c>
      <c r="E2563" s="11" t="n">
        <v>1.90782852</v>
      </c>
      <c r="F2563" s="12" t="n">
        <v>0</v>
      </c>
      <c r="G2563" s="11" t="n">
        <v>278.3705697</v>
      </c>
      <c r="H2563" s="13">
        <f>F2563*1000</f>
        <v/>
      </c>
      <c r="I2563" s="14">
        <f>G2563-273.15</f>
        <v/>
      </c>
      <c r="K2563" s="15" t="n">
        <v>2008</v>
      </c>
      <c r="L2563" s="15" t="n">
        <v>2</v>
      </c>
      <c r="M2563" s="15" t="n">
        <v>9</v>
      </c>
      <c r="N2563" s="16" t="n">
        <v>0</v>
      </c>
      <c r="O2563" s="11" t="n">
        <v>283.3507197</v>
      </c>
      <c r="P2563" s="13">
        <f>N2563*86400</f>
        <v/>
      </c>
      <c r="Q2563" s="14">
        <f>O2563-273.15</f>
        <v/>
      </c>
    </row>
    <row r="2564">
      <c r="A2564" s="9" t="n">
        <v>39451</v>
      </c>
      <c r="B2564" s="7">
        <f>YEAR(A2564)</f>
        <v/>
      </c>
      <c r="C2564" s="7">
        <f>MONTH(A2564)</f>
        <v/>
      </c>
      <c r="D2564" s="10" t="n">
        <v>0</v>
      </c>
      <c r="E2564" s="11" t="n">
        <v>4.581014409</v>
      </c>
      <c r="F2564" s="12" t="n">
        <v>0</v>
      </c>
      <c r="G2564" s="11" t="n">
        <v>279.5074159</v>
      </c>
      <c r="H2564" s="13">
        <f>F2564*1000</f>
        <v/>
      </c>
      <c r="I2564" s="14">
        <f>G2564-273.15</f>
        <v/>
      </c>
      <c r="K2564" s="15" t="n">
        <v>2008</v>
      </c>
      <c r="L2564" s="15" t="n">
        <v>2</v>
      </c>
      <c r="M2564" s="15" t="n">
        <v>10</v>
      </c>
      <c r="N2564" s="16" t="n">
        <v>0</v>
      </c>
      <c r="O2564" s="11" t="n">
        <v>282.4248747</v>
      </c>
      <c r="P2564" s="13">
        <f>N2564*86400</f>
        <v/>
      </c>
      <c r="Q2564" s="14">
        <f>O2564-273.15</f>
        <v/>
      </c>
    </row>
    <row r="2565">
      <c r="A2565" s="9" t="n">
        <v>39452</v>
      </c>
      <c r="B2565" s="7">
        <f>YEAR(A2565)</f>
        <v/>
      </c>
      <c r="C2565" s="7">
        <f>MONTH(A2565)</f>
        <v/>
      </c>
      <c r="D2565" s="10" t="n">
        <v>0</v>
      </c>
      <c r="E2565" s="11" t="n">
        <v>4.312492997</v>
      </c>
      <c r="F2565" s="12" t="n">
        <v>0</v>
      </c>
      <c r="G2565" s="11" t="n">
        <v>278.204666</v>
      </c>
      <c r="H2565" s="13">
        <f>F2565*1000</f>
        <v/>
      </c>
      <c r="I2565" s="14">
        <f>G2565-273.15</f>
        <v/>
      </c>
      <c r="K2565" s="15" t="n">
        <v>2008</v>
      </c>
      <c r="L2565" s="15" t="n">
        <v>2</v>
      </c>
      <c r="M2565" s="15" t="n">
        <v>11</v>
      </c>
      <c r="N2565" s="16" t="n">
        <v>9.752465331e-08</v>
      </c>
      <c r="O2565" s="11" t="n">
        <v>282.0101062</v>
      </c>
      <c r="P2565" s="13">
        <f>N2565*86400</f>
        <v/>
      </c>
      <c r="Q2565" s="14">
        <f>O2565-273.15</f>
        <v/>
      </c>
    </row>
    <row r="2566">
      <c r="A2566" s="9" t="n">
        <v>39453</v>
      </c>
      <c r="B2566" s="7">
        <f>YEAR(A2566)</f>
        <v/>
      </c>
      <c r="C2566" s="7">
        <f>MONTH(A2566)</f>
        <v/>
      </c>
      <c r="D2566" s="10" t="n">
        <v>0</v>
      </c>
      <c r="E2566" s="11" t="n">
        <v>3.145349864</v>
      </c>
      <c r="F2566" s="12" t="n">
        <v>0</v>
      </c>
      <c r="G2566" s="11" t="n">
        <v>278.5819751</v>
      </c>
      <c r="H2566" s="13">
        <f>F2566*1000</f>
        <v/>
      </c>
      <c r="I2566" s="14">
        <f>G2566-273.15</f>
        <v/>
      </c>
      <c r="K2566" s="15" t="n">
        <v>2008</v>
      </c>
      <c r="L2566" s="15" t="n">
        <v>2</v>
      </c>
      <c r="M2566" s="15" t="n">
        <v>12</v>
      </c>
      <c r="N2566" s="16" t="n">
        <v>7.587149675e-07</v>
      </c>
      <c r="O2566" s="11" t="n">
        <v>280.9547321</v>
      </c>
      <c r="P2566" s="13">
        <f>N2566*86400</f>
        <v/>
      </c>
      <c r="Q2566" s="14">
        <f>O2566-273.15</f>
        <v/>
      </c>
    </row>
    <row r="2567">
      <c r="A2567" s="9" t="n">
        <v>39454</v>
      </c>
      <c r="B2567" s="7">
        <f>YEAR(A2567)</f>
        <v/>
      </c>
      <c r="C2567" s="7">
        <f>MONTH(A2567)</f>
        <v/>
      </c>
      <c r="D2567" s="10" t="n">
        <v>0</v>
      </c>
      <c r="E2567" s="11" t="n">
        <v>2.467931943</v>
      </c>
      <c r="F2567" s="12" t="n">
        <v>0</v>
      </c>
      <c r="G2567" s="11" t="n">
        <v>278.3693773</v>
      </c>
      <c r="H2567" s="13">
        <f>F2567*1000</f>
        <v/>
      </c>
      <c r="I2567" s="14">
        <f>G2567-273.15</f>
        <v/>
      </c>
      <c r="K2567" s="15" t="n">
        <v>2008</v>
      </c>
      <c r="L2567" s="15" t="n">
        <v>2</v>
      </c>
      <c r="M2567" s="15" t="n">
        <v>13</v>
      </c>
      <c r="N2567" s="16" t="n">
        <v>0</v>
      </c>
      <c r="O2567" s="11" t="n">
        <v>280.6925792</v>
      </c>
      <c r="P2567" s="13">
        <f>N2567*86400</f>
        <v/>
      </c>
      <c r="Q2567" s="14">
        <f>O2567-273.15</f>
        <v/>
      </c>
    </row>
    <row r="2568">
      <c r="A2568" s="9" t="n">
        <v>39455</v>
      </c>
      <c r="B2568" s="7">
        <f>YEAR(A2568)</f>
        <v/>
      </c>
      <c r="C2568" s="7">
        <f>MONTH(A2568)</f>
        <v/>
      </c>
      <c r="D2568" s="10" t="n">
        <v>0</v>
      </c>
      <c r="E2568" s="11" t="n">
        <v>1.392170141</v>
      </c>
      <c r="F2568" s="12" t="n">
        <v>0</v>
      </c>
      <c r="G2568" s="11" t="n">
        <v>278.7340236</v>
      </c>
      <c r="H2568" s="13">
        <f>F2568*1000</f>
        <v/>
      </c>
      <c r="I2568" s="14">
        <f>G2568-273.15</f>
        <v/>
      </c>
      <c r="K2568" s="15" t="n">
        <v>2008</v>
      </c>
      <c r="L2568" s="15" t="n">
        <v>2</v>
      </c>
      <c r="M2568" s="15" t="n">
        <v>14</v>
      </c>
      <c r="N2568" s="16" t="n">
        <v>0</v>
      </c>
      <c r="O2568" s="11" t="n">
        <v>282.09391</v>
      </c>
      <c r="P2568" s="13">
        <f>N2568*86400</f>
        <v/>
      </c>
      <c r="Q2568" s="14">
        <f>O2568-273.15</f>
        <v/>
      </c>
    </row>
    <row r="2569">
      <c r="A2569" s="9" t="n">
        <v>39456</v>
      </c>
      <c r="B2569" s="7">
        <f>YEAR(A2569)</f>
        <v/>
      </c>
      <c r="C2569" s="7">
        <f>MONTH(A2569)</f>
        <v/>
      </c>
      <c r="D2569" s="10" t="n">
        <v>0</v>
      </c>
      <c r="E2569" s="11" t="n">
        <v>4.005702067</v>
      </c>
      <c r="F2569" s="12" t="n">
        <v>0</v>
      </c>
      <c r="G2569" s="11" t="n">
        <v>279.897927</v>
      </c>
      <c r="H2569" s="13">
        <f>F2569*1000</f>
        <v/>
      </c>
      <c r="I2569" s="14">
        <f>G2569-273.15</f>
        <v/>
      </c>
      <c r="K2569" s="15" t="n">
        <v>2008</v>
      </c>
      <c r="L2569" s="15" t="n">
        <v>2</v>
      </c>
      <c r="M2569" s="15" t="n">
        <v>15</v>
      </c>
      <c r="N2569" s="16" t="n">
        <v>0</v>
      </c>
      <c r="O2569" s="11" t="n">
        <v>282.8103491</v>
      </c>
      <c r="P2569" s="13">
        <f>N2569*86400</f>
        <v/>
      </c>
      <c r="Q2569" s="14">
        <f>O2569-273.15</f>
        <v/>
      </c>
    </row>
    <row r="2570">
      <c r="A2570" s="9" t="n">
        <v>39457</v>
      </c>
      <c r="B2570" s="7">
        <f>YEAR(A2570)</f>
        <v/>
      </c>
      <c r="C2570" s="7">
        <f>MONTH(A2570)</f>
        <v/>
      </c>
      <c r="D2570" s="10" t="n">
        <v>0</v>
      </c>
      <c r="E2570" s="11" t="n">
        <v>2.204382144</v>
      </c>
      <c r="F2570" s="12" t="n">
        <v>0</v>
      </c>
      <c r="G2570" s="11" t="n">
        <v>279.5454134</v>
      </c>
      <c r="H2570" s="13">
        <f>F2570*1000</f>
        <v/>
      </c>
      <c r="I2570" s="14">
        <f>G2570-273.15</f>
        <v/>
      </c>
      <c r="K2570" s="15" t="n">
        <v>2008</v>
      </c>
      <c r="L2570" s="15" t="n">
        <v>2</v>
      </c>
      <c r="M2570" s="15" t="n">
        <v>16</v>
      </c>
      <c r="N2570" s="16" t="n">
        <v>1.765808791e-05</v>
      </c>
      <c r="O2570" s="11" t="n">
        <v>280.9025958</v>
      </c>
      <c r="P2570" s="13">
        <f>N2570*86400</f>
        <v/>
      </c>
      <c r="Q2570" s="14">
        <f>O2570-273.15</f>
        <v/>
      </c>
    </row>
    <row r="2571">
      <c r="A2571" s="9" t="n">
        <v>39458</v>
      </c>
      <c r="B2571" s="7">
        <f>YEAR(A2571)</f>
        <v/>
      </c>
      <c r="C2571" s="7">
        <f>MONTH(A2571)</f>
        <v/>
      </c>
      <c r="D2571" s="10" t="n">
        <v>0</v>
      </c>
      <c r="E2571" s="11" t="n">
        <v>0.7550276312</v>
      </c>
      <c r="F2571" s="12" t="n">
        <v>0</v>
      </c>
      <c r="G2571" s="11" t="n">
        <v>277.9847541</v>
      </c>
      <c r="H2571" s="13">
        <f>F2571*1000</f>
        <v/>
      </c>
      <c r="I2571" s="14">
        <f>G2571-273.15</f>
        <v/>
      </c>
      <c r="K2571" s="15" t="n">
        <v>2008</v>
      </c>
      <c r="L2571" s="15" t="n">
        <v>2</v>
      </c>
      <c r="M2571" s="15" t="n">
        <v>17</v>
      </c>
      <c r="N2571" s="16" t="n">
        <v>0</v>
      </c>
      <c r="O2571" s="11" t="n">
        <v>281.1631667</v>
      </c>
      <c r="P2571" s="13">
        <f>N2571*86400</f>
        <v/>
      </c>
      <c r="Q2571" s="14">
        <f>O2571-273.15</f>
        <v/>
      </c>
    </row>
    <row r="2572">
      <c r="A2572" s="9" t="n">
        <v>39459</v>
      </c>
      <c r="B2572" s="7">
        <f>YEAR(A2572)</f>
        <v/>
      </c>
      <c r="C2572" s="7">
        <f>MONTH(A2572)</f>
        <v/>
      </c>
      <c r="D2572" s="10" t="n">
        <v>0</v>
      </c>
      <c r="E2572" s="11" t="n">
        <v>-0.5871868015</v>
      </c>
      <c r="F2572" s="12" t="n">
        <v>0</v>
      </c>
      <c r="G2572" s="11" t="n">
        <v>276.7316839</v>
      </c>
      <c r="H2572" s="13">
        <f>F2572*1000</f>
        <v/>
      </c>
      <c r="I2572" s="14">
        <f>G2572-273.15</f>
        <v/>
      </c>
      <c r="K2572" s="15" t="n">
        <v>2008</v>
      </c>
      <c r="L2572" s="15" t="n">
        <v>2</v>
      </c>
      <c r="M2572" s="15" t="n">
        <v>18</v>
      </c>
      <c r="N2572" s="16" t="n">
        <v>0</v>
      </c>
      <c r="O2572" s="11" t="n">
        <v>283.4661571</v>
      </c>
      <c r="P2572" s="13">
        <f>N2572*86400</f>
        <v/>
      </c>
      <c r="Q2572" s="14">
        <f>O2572-273.15</f>
        <v/>
      </c>
    </row>
    <row r="2573">
      <c r="A2573" s="9" t="n">
        <v>39460</v>
      </c>
      <c r="B2573" s="7">
        <f>YEAR(A2573)</f>
        <v/>
      </c>
      <c r="C2573" s="7">
        <f>MONTH(A2573)</f>
        <v/>
      </c>
      <c r="D2573" s="10" t="n">
        <v>0</v>
      </c>
      <c r="E2573" s="11" t="n">
        <v>-0.6992642318</v>
      </c>
      <c r="F2573" s="12" t="n">
        <v>0</v>
      </c>
      <c r="G2573" s="11" t="n">
        <v>276.7905435</v>
      </c>
      <c r="H2573" s="13">
        <f>F2573*1000</f>
        <v/>
      </c>
      <c r="I2573" s="14">
        <f>G2573-273.15</f>
        <v/>
      </c>
      <c r="K2573" s="15" t="n">
        <v>2008</v>
      </c>
      <c r="L2573" s="15" t="n">
        <v>2</v>
      </c>
      <c r="M2573" s="15" t="n">
        <v>19</v>
      </c>
      <c r="N2573" s="16" t="n">
        <v>0</v>
      </c>
      <c r="O2573" s="11" t="n">
        <v>282.6940576</v>
      </c>
      <c r="P2573" s="13">
        <f>N2573*86400</f>
        <v/>
      </c>
      <c r="Q2573" s="14">
        <f>O2573-273.15</f>
        <v/>
      </c>
    </row>
    <row r="2574">
      <c r="A2574" s="9" t="n">
        <v>39461</v>
      </c>
      <c r="B2574" s="7">
        <f>YEAR(A2574)</f>
        <v/>
      </c>
      <c r="C2574" s="7">
        <f>MONTH(A2574)</f>
        <v/>
      </c>
      <c r="D2574" s="10" t="n">
        <v>0</v>
      </c>
      <c r="E2574" s="11" t="n">
        <v>0.9796733355</v>
      </c>
      <c r="F2574" s="12" t="n">
        <v>0</v>
      </c>
      <c r="G2574" s="11" t="n">
        <v>278.1106387</v>
      </c>
      <c r="H2574" s="13">
        <f>F2574*1000</f>
        <v/>
      </c>
      <c r="I2574" s="14">
        <f>G2574-273.15</f>
        <v/>
      </c>
      <c r="K2574" s="15" t="n">
        <v>2008</v>
      </c>
      <c r="L2574" s="15" t="n">
        <v>2</v>
      </c>
      <c r="M2574" s="15" t="n">
        <v>20</v>
      </c>
      <c r="N2574" s="16" t="n">
        <v>0</v>
      </c>
      <c r="O2574" s="11" t="n">
        <v>280.1188631</v>
      </c>
      <c r="P2574" s="13">
        <f>N2574*86400</f>
        <v/>
      </c>
      <c r="Q2574" s="14">
        <f>O2574-273.15</f>
        <v/>
      </c>
    </row>
    <row r="2575">
      <c r="A2575" s="9" t="n">
        <v>39462</v>
      </c>
      <c r="B2575" s="7">
        <f>YEAR(A2575)</f>
        <v/>
      </c>
      <c r="C2575" s="7">
        <f>MONTH(A2575)</f>
        <v/>
      </c>
      <c r="D2575" s="10" t="n">
        <v>0</v>
      </c>
      <c r="E2575" s="11" t="n">
        <v>4.333409412</v>
      </c>
      <c r="F2575" s="12" t="n">
        <v>0</v>
      </c>
      <c r="G2575" s="11" t="n">
        <v>281.0183691</v>
      </c>
      <c r="H2575" s="13">
        <f>F2575*1000</f>
        <v/>
      </c>
      <c r="I2575" s="14">
        <f>G2575-273.15</f>
        <v/>
      </c>
      <c r="K2575" s="15" t="n">
        <v>2008</v>
      </c>
      <c r="L2575" s="15" t="n">
        <v>2</v>
      </c>
      <c r="M2575" s="15" t="n">
        <v>21</v>
      </c>
      <c r="N2575" s="16" t="n">
        <v>4.611857403e-07</v>
      </c>
      <c r="O2575" s="11" t="n">
        <v>280.3161202</v>
      </c>
      <c r="P2575" s="13">
        <f>N2575*86400</f>
        <v/>
      </c>
      <c r="Q2575" s="14">
        <f>O2575-273.15</f>
        <v/>
      </c>
    </row>
    <row r="2576">
      <c r="A2576" s="9" t="n">
        <v>39463</v>
      </c>
      <c r="B2576" s="7">
        <f>YEAR(A2576)</f>
        <v/>
      </c>
      <c r="C2576" s="7">
        <f>MONTH(A2576)</f>
        <v/>
      </c>
      <c r="D2576" s="10" t="n">
        <v>0</v>
      </c>
      <c r="E2576" s="11" t="n">
        <v>-0.3080255196</v>
      </c>
      <c r="F2576" s="12" t="n">
        <v>0</v>
      </c>
      <c r="G2576" s="11" t="n">
        <v>276.5409914</v>
      </c>
      <c r="H2576" s="13">
        <f>F2576*1000</f>
        <v/>
      </c>
      <c r="I2576" s="14">
        <f>G2576-273.15</f>
        <v/>
      </c>
      <c r="K2576" s="15" t="n">
        <v>2008</v>
      </c>
      <c r="L2576" s="15" t="n">
        <v>2</v>
      </c>
      <c r="M2576" s="15" t="n">
        <v>22</v>
      </c>
      <c r="N2576" s="16" t="n">
        <v>1.918868933e-06</v>
      </c>
      <c r="O2576" s="11" t="n">
        <v>282.5982429</v>
      </c>
      <c r="P2576" s="13">
        <f>N2576*86400</f>
        <v/>
      </c>
      <c r="Q2576" s="14">
        <f>O2576-273.15</f>
        <v/>
      </c>
    </row>
    <row r="2577">
      <c r="A2577" s="9" t="n">
        <v>39464</v>
      </c>
      <c r="B2577" s="7">
        <f>YEAR(A2577)</f>
        <v/>
      </c>
      <c r="C2577" s="7">
        <f>MONTH(A2577)</f>
        <v/>
      </c>
      <c r="D2577" s="10" t="n">
        <v>0</v>
      </c>
      <c r="E2577" s="11" t="n">
        <v>2.191919111</v>
      </c>
      <c r="F2577" s="12" t="n">
        <v>0</v>
      </c>
      <c r="G2577" s="11" t="n">
        <v>278.1758217</v>
      </c>
      <c r="H2577" s="13">
        <f>F2577*1000</f>
        <v/>
      </c>
      <c r="I2577" s="14">
        <f>G2577-273.15</f>
        <v/>
      </c>
      <c r="K2577" s="15" t="n">
        <v>2008</v>
      </c>
      <c r="L2577" s="15" t="n">
        <v>2</v>
      </c>
      <c r="M2577" s="15" t="n">
        <v>23</v>
      </c>
      <c r="N2577" s="16" t="n">
        <v>9.404151743e-06</v>
      </c>
      <c r="O2577" s="11" t="n">
        <v>282.7744506</v>
      </c>
      <c r="P2577" s="13">
        <f>N2577*86400</f>
        <v/>
      </c>
      <c r="Q2577" s="14">
        <f>O2577-273.15</f>
        <v/>
      </c>
    </row>
    <row r="2578">
      <c r="A2578" s="9" t="n">
        <v>39465</v>
      </c>
      <c r="B2578" s="7">
        <f>YEAR(A2578)</f>
        <v/>
      </c>
      <c r="C2578" s="7">
        <f>MONTH(A2578)</f>
        <v/>
      </c>
      <c r="D2578" s="10" t="n">
        <v>0</v>
      </c>
      <c r="E2578" s="11" t="n">
        <v>1.418161365</v>
      </c>
      <c r="F2578" s="12" t="n">
        <v>1.575388641e-05</v>
      </c>
      <c r="G2578" s="11" t="n">
        <v>276.9481168</v>
      </c>
      <c r="H2578" s="13">
        <f>F2578*1000</f>
        <v/>
      </c>
      <c r="I2578" s="14">
        <f>G2578-273.15</f>
        <v/>
      </c>
      <c r="K2578" s="15" t="n">
        <v>2008</v>
      </c>
      <c r="L2578" s="15" t="n">
        <v>2</v>
      </c>
      <c r="M2578" s="15" t="n">
        <v>24</v>
      </c>
      <c r="N2578" s="16" t="n">
        <v>0</v>
      </c>
      <c r="O2578" s="11" t="n">
        <v>284.2307255</v>
      </c>
      <c r="P2578" s="13">
        <f>N2578*86400</f>
        <v/>
      </c>
      <c r="Q2578" s="14">
        <f>O2578-273.15</f>
        <v/>
      </c>
    </row>
    <row r="2579">
      <c r="A2579" s="9" t="n">
        <v>39466</v>
      </c>
      <c r="B2579" s="7">
        <f>YEAR(A2579)</f>
        <v/>
      </c>
      <c r="C2579" s="7">
        <f>MONTH(A2579)</f>
        <v/>
      </c>
      <c r="D2579" s="10" t="n">
        <v>0</v>
      </c>
      <c r="E2579" s="11" t="n">
        <v>1.945297169</v>
      </c>
      <c r="F2579" s="12" t="n">
        <v>0.0004502352101</v>
      </c>
      <c r="G2579" s="11" t="n">
        <v>277.3158765</v>
      </c>
      <c r="H2579" s="13">
        <f>F2579*1000</f>
        <v/>
      </c>
      <c r="I2579" s="14">
        <f>G2579-273.15</f>
        <v/>
      </c>
      <c r="K2579" s="15" t="n">
        <v>2008</v>
      </c>
      <c r="L2579" s="15" t="n">
        <v>2</v>
      </c>
      <c r="M2579" s="15" t="n">
        <v>25</v>
      </c>
      <c r="N2579" s="16" t="n">
        <v>0</v>
      </c>
      <c r="O2579" s="11" t="n">
        <v>282.575429</v>
      </c>
      <c r="P2579" s="13">
        <f>N2579*86400</f>
        <v/>
      </c>
      <c r="Q2579" s="14">
        <f>O2579-273.15</f>
        <v/>
      </c>
    </row>
    <row r="2580">
      <c r="A2580" s="9" t="n">
        <v>39467</v>
      </c>
      <c r="B2580" s="7">
        <f>YEAR(A2580)</f>
        <v/>
      </c>
      <c r="C2580" s="7">
        <f>MONTH(A2580)</f>
        <v/>
      </c>
      <c r="D2580" s="10" t="n">
        <v>0</v>
      </c>
      <c r="E2580" s="11" t="n">
        <v>3.742155455</v>
      </c>
      <c r="F2580" s="12" t="n">
        <v>0</v>
      </c>
      <c r="G2580" s="11" t="n">
        <v>277.9813507</v>
      </c>
      <c r="H2580" s="13">
        <f>F2580*1000</f>
        <v/>
      </c>
      <c r="I2580" s="14">
        <f>G2580-273.15</f>
        <v/>
      </c>
      <c r="K2580" s="15" t="n">
        <v>2008</v>
      </c>
      <c r="L2580" s="15" t="n">
        <v>2</v>
      </c>
      <c r="M2580" s="15" t="n">
        <v>26</v>
      </c>
      <c r="N2580" s="16" t="n">
        <v>0</v>
      </c>
      <c r="O2580" s="11" t="n">
        <v>283.786355</v>
      </c>
      <c r="P2580" s="13">
        <f>N2580*86400</f>
        <v/>
      </c>
      <c r="Q2580" s="14">
        <f>O2580-273.15</f>
        <v/>
      </c>
    </row>
    <row r="2581">
      <c r="A2581" s="9" t="n">
        <v>39468</v>
      </c>
      <c r="B2581" s="7">
        <f>YEAR(A2581)</f>
        <v/>
      </c>
      <c r="C2581" s="7">
        <f>MONTH(A2581)</f>
        <v/>
      </c>
      <c r="D2581" s="10" t="n">
        <v>0</v>
      </c>
      <c r="E2581" s="11" t="n">
        <v>1.6312066</v>
      </c>
      <c r="F2581" s="12" t="n">
        <v>0</v>
      </c>
      <c r="G2581" s="11" t="n">
        <v>276.4850983</v>
      </c>
      <c r="H2581" s="13">
        <f>F2581*1000</f>
        <v/>
      </c>
      <c r="I2581" s="14">
        <f>G2581-273.15</f>
        <v/>
      </c>
      <c r="K2581" s="15" t="n">
        <v>2008</v>
      </c>
      <c r="L2581" s="15" t="n">
        <v>2</v>
      </c>
      <c r="M2581" s="15" t="n">
        <v>27</v>
      </c>
      <c r="N2581" s="16" t="n">
        <v>3.80900646e-06</v>
      </c>
      <c r="O2581" s="11" t="n">
        <v>283.7565481</v>
      </c>
      <c r="P2581" s="13">
        <f>N2581*86400</f>
        <v/>
      </c>
      <c r="Q2581" s="14">
        <f>O2581-273.15</f>
        <v/>
      </c>
    </row>
    <row r="2582">
      <c r="A2582" s="9" t="n">
        <v>39469</v>
      </c>
      <c r="B2582" s="7">
        <f>YEAR(A2582)</f>
        <v/>
      </c>
      <c r="C2582" s="7">
        <f>MONTH(A2582)</f>
        <v/>
      </c>
      <c r="D2582" s="10" t="n">
        <v>0</v>
      </c>
      <c r="E2582" s="11" t="n">
        <v>1.433394699</v>
      </c>
      <c r="F2582" s="12" t="n">
        <v>0</v>
      </c>
      <c r="G2582" s="11" t="n">
        <v>276.5711825</v>
      </c>
      <c r="H2582" s="13">
        <f>F2582*1000</f>
        <v/>
      </c>
      <c r="I2582" s="14">
        <f>G2582-273.15</f>
        <v/>
      </c>
      <c r="K2582" s="15" t="n">
        <v>2008</v>
      </c>
      <c r="L2582" s="15" t="n">
        <v>2</v>
      </c>
      <c r="M2582" s="15" t="n">
        <v>28</v>
      </c>
      <c r="N2582" s="16" t="n">
        <v>0</v>
      </c>
      <c r="O2582" s="11" t="n">
        <v>282.4486705</v>
      </c>
      <c r="P2582" s="13">
        <f>N2582*86400</f>
        <v/>
      </c>
      <c r="Q2582" s="14">
        <f>O2582-273.15</f>
        <v/>
      </c>
    </row>
    <row r="2583">
      <c r="A2583" s="9" t="n">
        <v>39470</v>
      </c>
      <c r="B2583" s="7">
        <f>YEAR(A2583)</f>
        <v/>
      </c>
      <c r="C2583" s="7">
        <f>MONTH(A2583)</f>
        <v/>
      </c>
      <c r="D2583" s="10" t="n">
        <v>0</v>
      </c>
      <c r="E2583" s="11" t="n">
        <v>4.18988283</v>
      </c>
      <c r="F2583" s="12" t="n">
        <v>0</v>
      </c>
      <c r="G2583" s="11" t="n">
        <v>278.8060694</v>
      </c>
      <c r="H2583" s="13">
        <f>F2583*1000</f>
        <v/>
      </c>
      <c r="I2583" s="14">
        <f>G2583-273.15</f>
        <v/>
      </c>
      <c r="K2583" s="15" t="n">
        <v>2008</v>
      </c>
      <c r="L2583" s="15" t="n">
        <v>2</v>
      </c>
      <c r="M2583" s="15" t="n">
        <v>29</v>
      </c>
      <c r="N2583" s="16" t="n">
        <v>4.68658268e-05</v>
      </c>
      <c r="O2583" s="11" t="n">
        <v>282.1251941</v>
      </c>
      <c r="P2583" s="13">
        <f>N2583*86400</f>
        <v/>
      </c>
      <c r="Q2583" s="14">
        <f>O2583-273.15</f>
        <v/>
      </c>
    </row>
    <row r="2584">
      <c r="A2584" s="9" t="n">
        <v>39471</v>
      </c>
      <c r="B2584" s="7">
        <f>YEAR(A2584)</f>
        <v/>
      </c>
      <c r="C2584" s="7">
        <f>MONTH(A2584)</f>
        <v/>
      </c>
      <c r="D2584" s="10" t="n">
        <v>0</v>
      </c>
      <c r="E2584" s="11" t="n">
        <v>2.844981232</v>
      </c>
      <c r="F2584" s="12" t="n">
        <v>0</v>
      </c>
      <c r="G2584" s="11" t="n">
        <v>277.1509247</v>
      </c>
      <c r="H2584" s="13">
        <f>F2584*1000</f>
        <v/>
      </c>
      <c r="I2584" s="14">
        <f>G2584-273.15</f>
        <v/>
      </c>
      <c r="K2584" s="15" t="n">
        <v>2008</v>
      </c>
      <c r="L2584" s="15" t="n">
        <v>2</v>
      </c>
      <c r="M2584" s="15" t="n">
        <v>30</v>
      </c>
      <c r="N2584" s="16" t="n">
        <v>1.297762477e-07</v>
      </c>
      <c r="O2584" s="11" t="n">
        <v>283.9977472</v>
      </c>
      <c r="P2584" s="13">
        <f>N2584*86400</f>
        <v/>
      </c>
      <c r="Q2584" s="14">
        <f>O2584-273.15</f>
        <v/>
      </c>
    </row>
    <row r="2585">
      <c r="A2585" s="9" t="n">
        <v>39472</v>
      </c>
      <c r="B2585" s="7">
        <f>YEAR(A2585)</f>
        <v/>
      </c>
      <c r="C2585" s="7">
        <f>MONTH(A2585)</f>
        <v/>
      </c>
      <c r="D2585" s="10" t="n">
        <v>0</v>
      </c>
      <c r="E2585" s="11" t="n">
        <v>3.546128082</v>
      </c>
      <c r="F2585" s="12" t="n">
        <v>0</v>
      </c>
      <c r="G2585" s="11" t="n">
        <v>276.939507</v>
      </c>
      <c r="H2585" s="13">
        <f>F2585*1000</f>
        <v/>
      </c>
      <c r="I2585" s="14">
        <f>G2585-273.15</f>
        <v/>
      </c>
      <c r="K2585" s="15" t="n">
        <v>2008</v>
      </c>
      <c r="L2585" s="15" t="n">
        <v>3</v>
      </c>
      <c r="M2585" s="15" t="n">
        <v>1</v>
      </c>
      <c r="N2585" s="16" t="n">
        <v>0</v>
      </c>
      <c r="O2585" s="11" t="n">
        <v>285.2181875</v>
      </c>
      <c r="P2585" s="13">
        <f>N2585*86400</f>
        <v/>
      </c>
      <c r="Q2585" s="14">
        <f>O2585-273.15</f>
        <v/>
      </c>
    </row>
    <row r="2586">
      <c r="A2586" s="9" t="n">
        <v>39473</v>
      </c>
      <c r="B2586" s="7">
        <f>YEAR(A2586)</f>
        <v/>
      </c>
      <c r="C2586" s="7">
        <f>MONTH(A2586)</f>
        <v/>
      </c>
      <c r="D2586" s="10" t="n">
        <v>0</v>
      </c>
      <c r="E2586" s="11" t="n">
        <v>5.364319119</v>
      </c>
      <c r="F2586" s="12" t="n">
        <v>0</v>
      </c>
      <c r="G2586" s="11" t="n">
        <v>278.6623187</v>
      </c>
      <c r="H2586" s="13">
        <f>F2586*1000</f>
        <v/>
      </c>
      <c r="I2586" s="14">
        <f>G2586-273.15</f>
        <v/>
      </c>
      <c r="K2586" s="15" t="n">
        <v>2008</v>
      </c>
      <c r="L2586" s="15" t="n">
        <v>3</v>
      </c>
      <c r="M2586" s="15" t="n">
        <v>2</v>
      </c>
      <c r="N2586" s="16" t="n">
        <v>0</v>
      </c>
      <c r="O2586" s="11" t="n">
        <v>287.6141918</v>
      </c>
      <c r="P2586" s="13">
        <f>N2586*86400</f>
        <v/>
      </c>
      <c r="Q2586" s="14">
        <f>O2586-273.15</f>
        <v/>
      </c>
    </row>
    <row r="2587">
      <c r="A2587" s="9" t="n">
        <v>39474</v>
      </c>
      <c r="B2587" s="7">
        <f>YEAR(A2587)</f>
        <v/>
      </c>
      <c r="C2587" s="7">
        <f>MONTH(A2587)</f>
        <v/>
      </c>
      <c r="D2587" s="10" t="n">
        <v>0</v>
      </c>
      <c r="E2587" s="11" t="n">
        <v>2.732995616</v>
      </c>
      <c r="F2587" s="12" t="n">
        <v>0</v>
      </c>
      <c r="G2587" s="11" t="n">
        <v>277.0530199</v>
      </c>
      <c r="H2587" s="13">
        <f>F2587*1000</f>
        <v/>
      </c>
      <c r="I2587" s="14">
        <f>G2587-273.15</f>
        <v/>
      </c>
      <c r="K2587" s="15" t="n">
        <v>2008</v>
      </c>
      <c r="L2587" s="15" t="n">
        <v>3</v>
      </c>
      <c r="M2587" s="15" t="n">
        <v>3</v>
      </c>
      <c r="N2587" s="16" t="n">
        <v>4.902620934e-05</v>
      </c>
      <c r="O2587" s="11" t="n">
        <v>287.5615201</v>
      </c>
      <c r="P2587" s="13">
        <f>N2587*86400</f>
        <v/>
      </c>
      <c r="Q2587" s="14">
        <f>O2587-273.15</f>
        <v/>
      </c>
    </row>
    <row r="2588">
      <c r="A2588" s="9" t="n">
        <v>39475</v>
      </c>
      <c r="B2588" s="7">
        <f>YEAR(A2588)</f>
        <v/>
      </c>
      <c r="C2588" s="7">
        <f>MONTH(A2588)</f>
        <v/>
      </c>
      <c r="D2588" s="10" t="n">
        <v>0</v>
      </c>
      <c r="E2588" s="11" t="n">
        <v>4.630061205</v>
      </c>
      <c r="F2588" s="12" t="n">
        <v>0</v>
      </c>
      <c r="G2588" s="11" t="n">
        <v>279.1664435</v>
      </c>
      <c r="H2588" s="13">
        <f>F2588*1000</f>
        <v/>
      </c>
      <c r="I2588" s="14">
        <f>G2588-273.15</f>
        <v/>
      </c>
      <c r="K2588" s="15" t="n">
        <v>2008</v>
      </c>
      <c r="L2588" s="15" t="n">
        <v>3</v>
      </c>
      <c r="M2588" s="15" t="n">
        <v>4</v>
      </c>
      <c r="N2588" s="16" t="n">
        <v>3.956747607e-05</v>
      </c>
      <c r="O2588" s="11" t="n">
        <v>288.069393</v>
      </c>
      <c r="P2588" s="13">
        <f>N2588*86400</f>
        <v/>
      </c>
      <c r="Q2588" s="14">
        <f>O2588-273.15</f>
        <v/>
      </c>
    </row>
    <row r="2589">
      <c r="A2589" s="9" t="n">
        <v>39476</v>
      </c>
      <c r="B2589" s="7">
        <f>YEAR(A2589)</f>
        <v/>
      </c>
      <c r="C2589" s="7">
        <f>MONTH(A2589)</f>
        <v/>
      </c>
      <c r="D2589" s="10" t="n">
        <v>0</v>
      </c>
      <c r="E2589" s="11" t="n">
        <v>3.315478879</v>
      </c>
      <c r="F2589" s="12" t="n">
        <v>0</v>
      </c>
      <c r="G2589" s="11" t="n">
        <v>278.2997851</v>
      </c>
      <c r="H2589" s="13">
        <f>F2589*1000</f>
        <v/>
      </c>
      <c r="I2589" s="14">
        <f>G2589-273.15</f>
        <v/>
      </c>
      <c r="K2589" s="15" t="n">
        <v>2008</v>
      </c>
      <c r="L2589" s="15" t="n">
        <v>3</v>
      </c>
      <c r="M2589" s="15" t="n">
        <v>5</v>
      </c>
      <c r="N2589" s="16" t="n">
        <v>0</v>
      </c>
      <c r="O2589" s="11" t="n">
        <v>284.662956</v>
      </c>
      <c r="P2589" s="13">
        <f>N2589*86400</f>
        <v/>
      </c>
      <c r="Q2589" s="14">
        <f>O2589-273.15</f>
        <v/>
      </c>
    </row>
    <row r="2590">
      <c r="A2590" s="9" t="n">
        <v>39477</v>
      </c>
      <c r="B2590" s="7">
        <f>YEAR(A2590)</f>
        <v/>
      </c>
      <c r="C2590" s="7">
        <f>MONTH(A2590)</f>
        <v/>
      </c>
      <c r="D2590" s="10" t="n">
        <v>0.605283523</v>
      </c>
      <c r="E2590" s="11" t="n">
        <v>3.724165039</v>
      </c>
      <c r="F2590" s="12" t="n">
        <v>0.001160404389</v>
      </c>
      <c r="G2590" s="11" t="n">
        <v>278.9774225</v>
      </c>
      <c r="H2590" s="13">
        <f>F2590*1000</f>
        <v/>
      </c>
      <c r="I2590" s="14">
        <f>G2590-273.15</f>
        <v/>
      </c>
      <c r="K2590" s="15" t="n">
        <v>2008</v>
      </c>
      <c r="L2590" s="15" t="n">
        <v>3</v>
      </c>
      <c r="M2590" s="15" t="n">
        <v>6</v>
      </c>
      <c r="N2590" s="16" t="n">
        <v>2.700853598e-07</v>
      </c>
      <c r="O2590" s="11" t="n">
        <v>282.3889745</v>
      </c>
      <c r="P2590" s="13">
        <f>N2590*86400</f>
        <v/>
      </c>
      <c r="Q2590" s="14">
        <f>O2590-273.15</f>
        <v/>
      </c>
    </row>
    <row r="2591">
      <c r="A2591" s="9" t="n">
        <v>39478</v>
      </c>
      <c r="B2591" s="7">
        <f>YEAR(A2591)</f>
        <v/>
      </c>
      <c r="C2591" s="7">
        <f>MONTH(A2591)</f>
        <v/>
      </c>
      <c r="D2591" s="10" t="n">
        <v>0.7519795043</v>
      </c>
      <c r="E2591" s="11" t="n">
        <v>2.337566525</v>
      </c>
      <c r="F2591" s="12" t="n">
        <v>0.0007311440272</v>
      </c>
      <c r="G2591" s="11" t="n">
        <v>277.3637481</v>
      </c>
      <c r="H2591" s="13">
        <f>F2591*1000</f>
        <v/>
      </c>
      <c r="I2591" s="14">
        <f>G2591-273.15</f>
        <v/>
      </c>
      <c r="K2591" s="15" t="n">
        <v>2008</v>
      </c>
      <c r="L2591" s="15" t="n">
        <v>3</v>
      </c>
      <c r="M2591" s="15" t="n">
        <v>7</v>
      </c>
      <c r="N2591" s="16" t="n">
        <v>0</v>
      </c>
      <c r="O2591" s="11" t="n">
        <v>282.3043252</v>
      </c>
      <c r="P2591" s="13">
        <f>N2591*86400</f>
        <v/>
      </c>
      <c r="Q2591" s="14">
        <f>O2591-273.15</f>
        <v/>
      </c>
    </row>
    <row r="2592">
      <c r="A2592" s="9" t="n">
        <v>39479</v>
      </c>
      <c r="B2592" s="7">
        <f>YEAR(A2592)</f>
        <v/>
      </c>
      <c r="C2592" s="7">
        <f>MONTH(A2592)</f>
        <v/>
      </c>
      <c r="D2592" s="10" t="n">
        <v>0</v>
      </c>
      <c r="E2592" s="11" t="n">
        <v>4.776444364</v>
      </c>
      <c r="F2592" s="12" t="n">
        <v>0.002752511619</v>
      </c>
      <c r="G2592" s="11" t="n">
        <v>279.9634218</v>
      </c>
      <c r="H2592" s="13">
        <f>F2592*1000</f>
        <v/>
      </c>
      <c r="I2592" s="14">
        <f>G2592-273.15</f>
        <v/>
      </c>
      <c r="K2592" s="15" t="n">
        <v>2008</v>
      </c>
      <c r="L2592" s="15" t="n">
        <v>3</v>
      </c>
      <c r="M2592" s="15" t="n">
        <v>8</v>
      </c>
      <c r="N2592" s="16" t="n">
        <v>1.271356555e-05</v>
      </c>
      <c r="O2592" s="11" t="n">
        <v>282.8666974</v>
      </c>
      <c r="P2592" s="13">
        <f>N2592*86400</f>
        <v/>
      </c>
      <c r="Q2592" s="14">
        <f>O2592-273.15</f>
        <v/>
      </c>
    </row>
    <row r="2593">
      <c r="A2593" s="9" t="n">
        <v>39480</v>
      </c>
      <c r="B2593" s="7">
        <f>YEAR(A2593)</f>
        <v/>
      </c>
      <c r="C2593" s="7">
        <f>MONTH(A2593)</f>
        <v/>
      </c>
      <c r="D2593" s="10" t="n">
        <v>0.1385061788</v>
      </c>
      <c r="E2593" s="11" t="n">
        <v>5.328569479</v>
      </c>
      <c r="F2593" s="12" t="n">
        <v>0.0002542633892</v>
      </c>
      <c r="G2593" s="11" t="n">
        <v>281.279605</v>
      </c>
      <c r="H2593" s="13">
        <f>F2593*1000</f>
        <v/>
      </c>
      <c r="I2593" s="14">
        <f>G2593-273.15</f>
        <v/>
      </c>
      <c r="K2593" s="15" t="n">
        <v>2008</v>
      </c>
      <c r="L2593" s="15" t="n">
        <v>3</v>
      </c>
      <c r="M2593" s="15" t="n">
        <v>9</v>
      </c>
      <c r="N2593" s="16" t="n">
        <v>4.666494402e-05</v>
      </c>
      <c r="O2593" s="11" t="n">
        <v>283.2835086</v>
      </c>
      <c r="P2593" s="13">
        <f>N2593*86400</f>
        <v/>
      </c>
      <c r="Q2593" s="14">
        <f>O2593-273.15</f>
        <v/>
      </c>
    </row>
    <row r="2594">
      <c r="A2594" s="9" t="n">
        <v>39481</v>
      </c>
      <c r="B2594" s="7">
        <f>YEAR(A2594)</f>
        <v/>
      </c>
      <c r="C2594" s="7">
        <f>MONTH(A2594)</f>
        <v/>
      </c>
      <c r="D2594" s="10" t="n">
        <v>0</v>
      </c>
      <c r="E2594" s="11" t="n">
        <v>2.44628302</v>
      </c>
      <c r="F2594" s="12" t="n">
        <v>0</v>
      </c>
      <c r="G2594" s="11" t="n">
        <v>279.5957723</v>
      </c>
      <c r="H2594" s="13">
        <f>F2594*1000</f>
        <v/>
      </c>
      <c r="I2594" s="14">
        <f>G2594-273.15</f>
        <v/>
      </c>
      <c r="K2594" s="15" t="n">
        <v>2008</v>
      </c>
      <c r="L2594" s="15" t="n">
        <v>3</v>
      </c>
      <c r="M2594" s="15" t="n">
        <v>10</v>
      </c>
      <c r="N2594" s="16" t="n">
        <v>7.626507309e-06</v>
      </c>
      <c r="O2594" s="11" t="n">
        <v>285.7620393</v>
      </c>
      <c r="P2594" s="13">
        <f>N2594*86400</f>
        <v/>
      </c>
      <c r="Q2594" s="14">
        <f>O2594-273.15</f>
        <v/>
      </c>
    </row>
    <row r="2595">
      <c r="A2595" s="9" t="n">
        <v>39482</v>
      </c>
      <c r="B2595" s="7">
        <f>YEAR(A2595)</f>
        <v/>
      </c>
      <c r="C2595" s="7">
        <f>MONTH(A2595)</f>
        <v/>
      </c>
      <c r="D2595" s="10" t="n">
        <v>0</v>
      </c>
      <c r="E2595" s="11" t="n">
        <v>3.985001595</v>
      </c>
      <c r="F2595" s="12" t="n">
        <v>0</v>
      </c>
      <c r="G2595" s="11" t="n">
        <v>280.0762852</v>
      </c>
      <c r="H2595" s="13">
        <f>F2595*1000</f>
        <v/>
      </c>
      <c r="I2595" s="14">
        <f>G2595-273.15</f>
        <v/>
      </c>
      <c r="K2595" s="15" t="n">
        <v>2008</v>
      </c>
      <c r="L2595" s="15" t="n">
        <v>3</v>
      </c>
      <c r="M2595" s="15" t="n">
        <v>11</v>
      </c>
      <c r="N2595" s="16" t="n">
        <v>1.012156943e-05</v>
      </c>
      <c r="O2595" s="11" t="n">
        <v>284.5603341</v>
      </c>
      <c r="P2595" s="13">
        <f>N2595*86400</f>
        <v/>
      </c>
      <c r="Q2595" s="14">
        <f>O2595-273.15</f>
        <v/>
      </c>
    </row>
    <row r="2596">
      <c r="A2596" s="9" t="n">
        <v>39483</v>
      </c>
      <c r="B2596" s="7">
        <f>YEAR(A2596)</f>
        <v/>
      </c>
      <c r="C2596" s="7">
        <f>MONTH(A2596)</f>
        <v/>
      </c>
      <c r="D2596" s="10" t="n">
        <v>0</v>
      </c>
      <c r="E2596" s="11" t="n">
        <v>2.929844651</v>
      </c>
      <c r="F2596" s="12" t="n">
        <v>0.000289491176</v>
      </c>
      <c r="G2596" s="11" t="n">
        <v>278.3071784</v>
      </c>
      <c r="H2596" s="13">
        <f>F2596*1000</f>
        <v/>
      </c>
      <c r="I2596" s="14">
        <f>G2596-273.15</f>
        <v/>
      </c>
      <c r="K2596" s="15" t="n">
        <v>2008</v>
      </c>
      <c r="L2596" s="15" t="n">
        <v>3</v>
      </c>
      <c r="M2596" s="15" t="n">
        <v>12</v>
      </c>
      <c r="N2596" s="16" t="n">
        <v>0</v>
      </c>
      <c r="O2596" s="11" t="n">
        <v>285.7190108</v>
      </c>
      <c r="P2596" s="13">
        <f>N2596*86400</f>
        <v/>
      </c>
      <c r="Q2596" s="14">
        <f>O2596-273.15</f>
        <v/>
      </c>
    </row>
    <row r="2597">
      <c r="A2597" s="9" t="n">
        <v>39484</v>
      </c>
      <c r="B2597" s="7">
        <f>YEAR(A2597)</f>
        <v/>
      </c>
      <c r="C2597" s="7">
        <f>MONTH(A2597)</f>
        <v/>
      </c>
      <c r="D2597" s="10" t="n">
        <v>0</v>
      </c>
      <c r="E2597" s="11" t="n">
        <v>2.682175076</v>
      </c>
      <c r="F2597" s="12" t="n">
        <v>0</v>
      </c>
      <c r="G2597" s="11" t="n">
        <v>278.1909119</v>
      </c>
      <c r="H2597" s="13">
        <f>F2597*1000</f>
        <v/>
      </c>
      <c r="I2597" s="14">
        <f>G2597-273.15</f>
        <v/>
      </c>
      <c r="K2597" s="15" t="n">
        <v>2008</v>
      </c>
      <c r="L2597" s="15" t="n">
        <v>3</v>
      </c>
      <c r="M2597" s="15" t="n">
        <v>13</v>
      </c>
      <c r="N2597" s="16" t="n">
        <v>0</v>
      </c>
      <c r="O2597" s="11" t="n">
        <v>285.0622692</v>
      </c>
      <c r="P2597" s="13">
        <f>N2597*86400</f>
        <v/>
      </c>
      <c r="Q2597" s="14">
        <f>O2597-273.15</f>
        <v/>
      </c>
    </row>
    <row r="2598">
      <c r="A2598" s="9" t="n">
        <v>39485</v>
      </c>
      <c r="B2598" s="7">
        <f>YEAR(A2598)</f>
        <v/>
      </c>
      <c r="C2598" s="7">
        <f>MONTH(A2598)</f>
        <v/>
      </c>
      <c r="D2598" s="10" t="n">
        <v>0</v>
      </c>
      <c r="E2598" s="11" t="n">
        <v>2.464602477</v>
      </c>
      <c r="F2598" s="12" t="n">
        <v>0</v>
      </c>
      <c r="G2598" s="11" t="n">
        <v>278.1860315</v>
      </c>
      <c r="H2598" s="13">
        <f>F2598*1000</f>
        <v/>
      </c>
      <c r="I2598" s="14">
        <f>G2598-273.15</f>
        <v/>
      </c>
      <c r="K2598" s="15" t="n">
        <v>2008</v>
      </c>
      <c r="L2598" s="15" t="n">
        <v>3</v>
      </c>
      <c r="M2598" s="15" t="n">
        <v>14</v>
      </c>
      <c r="N2598" s="16" t="n">
        <v>0</v>
      </c>
      <c r="O2598" s="11" t="n">
        <v>282.3074051</v>
      </c>
      <c r="P2598" s="13">
        <f>N2598*86400</f>
        <v/>
      </c>
      <c r="Q2598" s="14">
        <f>O2598-273.15</f>
        <v/>
      </c>
    </row>
    <row r="2599">
      <c r="A2599" s="9" t="n">
        <v>39486</v>
      </c>
      <c r="B2599" s="7">
        <f>YEAR(A2599)</f>
        <v/>
      </c>
      <c r="C2599" s="7">
        <f>MONTH(A2599)</f>
        <v/>
      </c>
      <c r="D2599" s="10" t="n">
        <v>0</v>
      </c>
      <c r="E2599" s="11" t="n">
        <v>5.773848016</v>
      </c>
      <c r="F2599" s="12" t="n">
        <v>0</v>
      </c>
      <c r="G2599" s="11" t="n">
        <v>280.7995435</v>
      </c>
      <c r="H2599" s="13">
        <f>F2599*1000</f>
        <v/>
      </c>
      <c r="I2599" s="14">
        <f>G2599-273.15</f>
        <v/>
      </c>
      <c r="K2599" s="15" t="n">
        <v>2008</v>
      </c>
      <c r="L2599" s="15" t="n">
        <v>3</v>
      </c>
      <c r="M2599" s="15" t="n">
        <v>15</v>
      </c>
      <c r="N2599" s="16" t="n">
        <v>0</v>
      </c>
      <c r="O2599" s="11" t="n">
        <v>283.6900567</v>
      </c>
      <c r="P2599" s="13">
        <f>N2599*86400</f>
        <v/>
      </c>
      <c r="Q2599" s="14">
        <f>O2599-273.15</f>
        <v/>
      </c>
    </row>
    <row r="2600">
      <c r="A2600" s="9" t="n">
        <v>39487</v>
      </c>
      <c r="B2600" s="7">
        <f>YEAR(A2600)</f>
        <v/>
      </c>
      <c r="C2600" s="7">
        <f>MONTH(A2600)</f>
        <v/>
      </c>
      <c r="D2600" s="10" t="n">
        <v>0</v>
      </c>
      <c r="E2600" s="11" t="n">
        <v>5.837028805</v>
      </c>
      <c r="F2600" s="12" t="n">
        <v>0.002399042742</v>
      </c>
      <c r="G2600" s="11" t="n">
        <v>280.8380824</v>
      </c>
      <c r="H2600" s="13">
        <f>F2600*1000</f>
        <v/>
      </c>
      <c r="I2600" s="14">
        <f>G2600-273.15</f>
        <v/>
      </c>
      <c r="K2600" s="15" t="n">
        <v>2008</v>
      </c>
      <c r="L2600" s="15" t="n">
        <v>3</v>
      </c>
      <c r="M2600" s="15" t="n">
        <v>16</v>
      </c>
      <c r="N2600" s="16" t="n">
        <v>0</v>
      </c>
      <c r="O2600" s="11" t="n">
        <v>285.0947591</v>
      </c>
      <c r="P2600" s="13">
        <f>N2600*86400</f>
        <v/>
      </c>
      <c r="Q2600" s="14">
        <f>O2600-273.15</f>
        <v/>
      </c>
    </row>
    <row r="2601">
      <c r="A2601" s="9" t="n">
        <v>39488</v>
      </c>
      <c r="B2601" s="7">
        <f>YEAR(A2601)</f>
        <v/>
      </c>
      <c r="C2601" s="7">
        <f>MONTH(A2601)</f>
        <v/>
      </c>
      <c r="D2601" s="10" t="n">
        <v>0</v>
      </c>
      <c r="E2601" s="11" t="n">
        <v>5.882439174</v>
      </c>
      <c r="F2601" s="12" t="n">
        <v>0</v>
      </c>
      <c r="G2601" s="11" t="n">
        <v>280.8284367</v>
      </c>
      <c r="H2601" s="13">
        <f>F2601*1000</f>
        <v/>
      </c>
      <c r="I2601" s="14">
        <f>G2601-273.15</f>
        <v/>
      </c>
      <c r="K2601" s="15" t="n">
        <v>2008</v>
      </c>
      <c r="L2601" s="15" t="n">
        <v>3</v>
      </c>
      <c r="M2601" s="15" t="n">
        <v>17</v>
      </c>
      <c r="N2601" s="16" t="n">
        <v>0</v>
      </c>
      <c r="O2601" s="11" t="n">
        <v>282.9171632</v>
      </c>
      <c r="P2601" s="13">
        <f>N2601*86400</f>
        <v/>
      </c>
      <c r="Q2601" s="14">
        <f>O2601-273.15</f>
        <v/>
      </c>
    </row>
    <row r="2602">
      <c r="A2602" s="9" t="n">
        <v>39489</v>
      </c>
      <c r="B2602" s="7">
        <f>YEAR(A2602)</f>
        <v/>
      </c>
      <c r="C2602" s="7">
        <f>MONTH(A2602)</f>
        <v/>
      </c>
      <c r="D2602" s="10" t="n">
        <v>0</v>
      </c>
      <c r="E2602" s="11" t="n">
        <v>8.433881988</v>
      </c>
      <c r="F2602" s="12" t="n">
        <v>0</v>
      </c>
      <c r="G2602" s="11" t="n">
        <v>282.1149225</v>
      </c>
      <c r="H2602" s="13">
        <f>F2602*1000</f>
        <v/>
      </c>
      <c r="I2602" s="14">
        <f>G2602-273.15</f>
        <v/>
      </c>
      <c r="K2602" s="15" t="n">
        <v>2008</v>
      </c>
      <c r="L2602" s="15" t="n">
        <v>3</v>
      </c>
      <c r="M2602" s="15" t="n">
        <v>18</v>
      </c>
      <c r="N2602" s="16" t="n">
        <v>0</v>
      </c>
      <c r="O2602" s="11" t="n">
        <v>284.6198083</v>
      </c>
      <c r="P2602" s="13">
        <f>N2602*86400</f>
        <v/>
      </c>
      <c r="Q2602" s="14">
        <f>O2602-273.15</f>
        <v/>
      </c>
    </row>
    <row r="2603">
      <c r="A2603" s="9" t="n">
        <v>39490</v>
      </c>
      <c r="B2603" s="7">
        <f>YEAR(A2603)</f>
        <v/>
      </c>
      <c r="C2603" s="7">
        <f>MONTH(A2603)</f>
        <v/>
      </c>
      <c r="D2603" s="10" t="n">
        <v>0</v>
      </c>
      <c r="E2603" s="11" t="n">
        <v>9.491444669</v>
      </c>
      <c r="F2603" s="12" t="n">
        <v>9.015965388000001e-05</v>
      </c>
      <c r="G2603" s="11" t="n">
        <v>284.1599921</v>
      </c>
      <c r="H2603" s="13">
        <f>F2603*1000</f>
        <v/>
      </c>
      <c r="I2603" s="14">
        <f>G2603-273.15</f>
        <v/>
      </c>
      <c r="K2603" s="15" t="n">
        <v>2008</v>
      </c>
      <c r="L2603" s="15" t="n">
        <v>3</v>
      </c>
      <c r="M2603" s="15" t="n">
        <v>19</v>
      </c>
      <c r="N2603" s="16" t="n">
        <v>2.188175759e-06</v>
      </c>
      <c r="O2603" s="11" t="n">
        <v>285.3892884</v>
      </c>
      <c r="P2603" s="13">
        <f>N2603*86400</f>
        <v/>
      </c>
      <c r="Q2603" s="14">
        <f>O2603-273.15</f>
        <v/>
      </c>
    </row>
    <row r="2604">
      <c r="A2604" s="9" t="n">
        <v>39491</v>
      </c>
      <c r="B2604" s="7">
        <f>YEAR(A2604)</f>
        <v/>
      </c>
      <c r="C2604" s="7">
        <f>MONTH(A2604)</f>
        <v/>
      </c>
      <c r="D2604" s="10" t="n">
        <v>0</v>
      </c>
      <c r="E2604" s="11" t="n">
        <v>7.903283046</v>
      </c>
      <c r="F2604" s="12" t="n">
        <v>0</v>
      </c>
      <c r="G2604" s="11" t="n">
        <v>281.9754868</v>
      </c>
      <c r="H2604" s="13">
        <f>F2604*1000</f>
        <v/>
      </c>
      <c r="I2604" s="14">
        <f>G2604-273.15</f>
        <v/>
      </c>
      <c r="K2604" s="15" t="n">
        <v>2008</v>
      </c>
      <c r="L2604" s="15" t="n">
        <v>3</v>
      </c>
      <c r="M2604" s="15" t="n">
        <v>20</v>
      </c>
      <c r="N2604" s="16" t="n">
        <v>0</v>
      </c>
      <c r="O2604" s="11" t="n">
        <v>286.3508438</v>
      </c>
      <c r="P2604" s="13">
        <f>N2604*86400</f>
        <v/>
      </c>
      <c r="Q2604" s="14">
        <f>O2604-273.15</f>
        <v/>
      </c>
    </row>
    <row r="2605">
      <c r="A2605" s="9" t="n">
        <v>39492</v>
      </c>
      <c r="B2605" s="7">
        <f>YEAR(A2605)</f>
        <v/>
      </c>
      <c r="C2605" s="7">
        <f>MONTH(A2605)</f>
        <v/>
      </c>
      <c r="D2605" s="10" t="n">
        <v>0</v>
      </c>
      <c r="E2605" s="11" t="n">
        <v>5.037626939</v>
      </c>
      <c r="F2605" s="12" t="n">
        <v>0.0006625112561</v>
      </c>
      <c r="G2605" s="11" t="n">
        <v>278.9022094</v>
      </c>
      <c r="H2605" s="13">
        <f>F2605*1000</f>
        <v/>
      </c>
      <c r="I2605" s="14">
        <f>G2605-273.15</f>
        <v/>
      </c>
      <c r="K2605" s="15" t="n">
        <v>2008</v>
      </c>
      <c r="L2605" s="15" t="n">
        <v>3</v>
      </c>
      <c r="M2605" s="15" t="n">
        <v>21</v>
      </c>
      <c r="N2605" s="16" t="n">
        <v>1.185279035e-06</v>
      </c>
      <c r="O2605" s="11" t="n">
        <v>286.799828</v>
      </c>
      <c r="P2605" s="13">
        <f>N2605*86400</f>
        <v/>
      </c>
      <c r="Q2605" s="14">
        <f>O2605-273.15</f>
        <v/>
      </c>
    </row>
    <row r="2606">
      <c r="A2606" s="9" t="n">
        <v>39493</v>
      </c>
      <c r="B2606" s="7">
        <f>YEAR(A2606)</f>
        <v/>
      </c>
      <c r="C2606" s="7">
        <f>MONTH(A2606)</f>
        <v/>
      </c>
      <c r="D2606" s="10" t="n">
        <v>0</v>
      </c>
      <c r="E2606" s="11" t="n">
        <v>5.762397411</v>
      </c>
      <c r="F2606" s="12" t="n">
        <v>0.0007475424327</v>
      </c>
      <c r="G2606" s="11" t="n">
        <v>279.9161693</v>
      </c>
      <c r="H2606" s="13">
        <f>F2606*1000</f>
        <v/>
      </c>
      <c r="I2606" s="14">
        <f>G2606-273.15</f>
        <v/>
      </c>
      <c r="K2606" s="15" t="n">
        <v>2008</v>
      </c>
      <c r="L2606" s="15" t="n">
        <v>3</v>
      </c>
      <c r="M2606" s="15" t="n">
        <v>22</v>
      </c>
      <c r="N2606" s="16" t="n">
        <v>0</v>
      </c>
      <c r="O2606" s="11" t="n">
        <v>286.5161721</v>
      </c>
      <c r="P2606" s="13">
        <f>N2606*86400</f>
        <v/>
      </c>
      <c r="Q2606" s="14">
        <f>O2606-273.15</f>
        <v/>
      </c>
    </row>
    <row r="2607">
      <c r="A2607" s="9" t="n">
        <v>39494</v>
      </c>
      <c r="B2607" s="7">
        <f>YEAR(A2607)</f>
        <v/>
      </c>
      <c r="C2607" s="7">
        <f>MONTH(A2607)</f>
        <v/>
      </c>
      <c r="D2607" s="10" t="n">
        <v>0</v>
      </c>
      <c r="E2607" s="11" t="n">
        <v>7.505217145</v>
      </c>
      <c r="F2607" s="12" t="n">
        <v>0</v>
      </c>
      <c r="G2607" s="11" t="n">
        <v>282.1851627</v>
      </c>
      <c r="H2607" s="13">
        <f>F2607*1000</f>
        <v/>
      </c>
      <c r="I2607" s="14">
        <f>G2607-273.15</f>
        <v/>
      </c>
      <c r="K2607" s="15" t="n">
        <v>2008</v>
      </c>
      <c r="L2607" s="15" t="n">
        <v>3</v>
      </c>
      <c r="M2607" s="15" t="n">
        <v>23</v>
      </c>
      <c r="N2607" s="16" t="n">
        <v>0</v>
      </c>
      <c r="O2607" s="11" t="n">
        <v>287.0066888</v>
      </c>
      <c r="P2607" s="13">
        <f>N2607*86400</f>
        <v/>
      </c>
      <c r="Q2607" s="14">
        <f>O2607-273.15</f>
        <v/>
      </c>
    </row>
    <row r="2608">
      <c r="A2608" s="9" t="n">
        <v>39495</v>
      </c>
      <c r="B2608" s="7">
        <f>YEAR(A2608)</f>
        <v/>
      </c>
      <c r="C2608" s="7">
        <f>MONTH(A2608)</f>
        <v/>
      </c>
      <c r="D2608" s="10" t="n">
        <v>0</v>
      </c>
      <c r="E2608" s="11" t="n">
        <v>6.716396095</v>
      </c>
      <c r="F2608" s="12" t="n">
        <v>0</v>
      </c>
      <c r="G2608" s="11" t="n">
        <v>282.4978951</v>
      </c>
      <c r="H2608" s="13">
        <f>F2608*1000</f>
        <v/>
      </c>
      <c r="I2608" s="14">
        <f>G2608-273.15</f>
        <v/>
      </c>
      <c r="K2608" s="15" t="n">
        <v>2008</v>
      </c>
      <c r="L2608" s="15" t="n">
        <v>3</v>
      </c>
      <c r="M2608" s="15" t="n">
        <v>24</v>
      </c>
      <c r="N2608" s="16" t="n">
        <v>4.153332317e-05</v>
      </c>
      <c r="O2608" s="11" t="n">
        <v>286.3888787</v>
      </c>
      <c r="P2608" s="13">
        <f>N2608*86400</f>
        <v/>
      </c>
      <c r="Q2608" s="14">
        <f>O2608-273.15</f>
        <v/>
      </c>
    </row>
    <row r="2609">
      <c r="A2609" s="9" t="n">
        <v>39496</v>
      </c>
      <c r="B2609" s="7">
        <f>YEAR(A2609)</f>
        <v/>
      </c>
      <c r="C2609" s="7">
        <f>MONTH(A2609)</f>
        <v/>
      </c>
      <c r="D2609" s="10" t="n">
        <v>0</v>
      </c>
      <c r="E2609" s="11" t="n">
        <v>8.052173495</v>
      </c>
      <c r="F2609" s="12" t="n">
        <v>0</v>
      </c>
      <c r="G2609" s="11" t="n">
        <v>283.0693441</v>
      </c>
      <c r="H2609" s="13">
        <f>F2609*1000</f>
        <v/>
      </c>
      <c r="I2609" s="14">
        <f>G2609-273.15</f>
        <v/>
      </c>
      <c r="K2609" s="15" t="n">
        <v>2008</v>
      </c>
      <c r="L2609" s="15" t="n">
        <v>3</v>
      </c>
      <c r="M2609" s="15" t="n">
        <v>25</v>
      </c>
      <c r="N2609" s="16" t="n">
        <v>4.236371054e-05</v>
      </c>
      <c r="O2609" s="11" t="n">
        <v>286.9239962</v>
      </c>
      <c r="P2609" s="13">
        <f>N2609*86400</f>
        <v/>
      </c>
      <c r="Q2609" s="14">
        <f>O2609-273.15</f>
        <v/>
      </c>
    </row>
    <row r="2610">
      <c r="A2610" s="9" t="n">
        <v>39497</v>
      </c>
      <c r="B2610" s="7">
        <f>YEAR(A2610)</f>
        <v/>
      </c>
      <c r="C2610" s="7">
        <f>MONTH(A2610)</f>
        <v/>
      </c>
      <c r="D2610" s="10" t="n">
        <v>0</v>
      </c>
      <c r="E2610" s="11" t="n">
        <v>6.980536099</v>
      </c>
      <c r="F2610" s="12" t="n">
        <v>0</v>
      </c>
      <c r="G2610" s="11" t="n">
        <v>282.7227426</v>
      </c>
      <c r="H2610" s="13">
        <f>F2610*1000</f>
        <v/>
      </c>
      <c r="I2610" s="14">
        <f>G2610-273.15</f>
        <v/>
      </c>
      <c r="K2610" s="15" t="n">
        <v>2008</v>
      </c>
      <c r="L2610" s="15" t="n">
        <v>3</v>
      </c>
      <c r="M2610" s="15" t="n">
        <v>26</v>
      </c>
      <c r="N2610" s="16" t="n">
        <v>3.984192952e-05</v>
      </c>
      <c r="O2610" s="11" t="n">
        <v>286.7452597</v>
      </c>
      <c r="P2610" s="13">
        <f>N2610*86400</f>
        <v/>
      </c>
      <c r="Q2610" s="14">
        <f>O2610-273.15</f>
        <v/>
      </c>
    </row>
    <row r="2611">
      <c r="A2611" s="9" t="n">
        <v>39498</v>
      </c>
      <c r="B2611" s="7">
        <f>YEAR(A2611)</f>
        <v/>
      </c>
      <c r="C2611" s="7">
        <f>MONTH(A2611)</f>
        <v/>
      </c>
      <c r="D2611" s="10" t="n">
        <v>0</v>
      </c>
      <c r="E2611" s="11" t="n">
        <v>5.686900041</v>
      </c>
      <c r="F2611" s="12" t="n">
        <v>0</v>
      </c>
      <c r="G2611" s="11" t="n">
        <v>281.3890362</v>
      </c>
      <c r="H2611" s="13">
        <f>F2611*1000</f>
        <v/>
      </c>
      <c r="I2611" s="14">
        <f>G2611-273.15</f>
        <v/>
      </c>
      <c r="K2611" s="15" t="n">
        <v>2008</v>
      </c>
      <c r="L2611" s="15" t="n">
        <v>3</v>
      </c>
      <c r="M2611" s="15" t="n">
        <v>27</v>
      </c>
      <c r="N2611" s="16" t="n">
        <v>9.429265077e-06</v>
      </c>
      <c r="O2611" s="11" t="n">
        <v>286.7262545</v>
      </c>
      <c r="P2611" s="13">
        <f>N2611*86400</f>
        <v/>
      </c>
      <c r="Q2611" s="14">
        <f>O2611-273.15</f>
        <v/>
      </c>
    </row>
    <row r="2612">
      <c r="A2612" s="9" t="n">
        <v>39499</v>
      </c>
      <c r="B2612" s="7">
        <f>YEAR(A2612)</f>
        <v/>
      </c>
      <c r="C2612" s="7">
        <f>MONTH(A2612)</f>
        <v/>
      </c>
      <c r="D2612" s="10" t="n">
        <v>0</v>
      </c>
      <c r="E2612" s="11" t="n">
        <v>4.55893432</v>
      </c>
      <c r="F2612" s="12" t="n">
        <v>0</v>
      </c>
      <c r="G2612" s="11" t="n">
        <v>280.4419435</v>
      </c>
      <c r="H2612" s="13">
        <f>F2612*1000</f>
        <v/>
      </c>
      <c r="I2612" s="14">
        <f>G2612-273.15</f>
        <v/>
      </c>
      <c r="K2612" s="15" t="n">
        <v>2008</v>
      </c>
      <c r="L2612" s="15" t="n">
        <v>3</v>
      </c>
      <c r="M2612" s="15" t="n">
        <v>28</v>
      </c>
      <c r="N2612" s="16" t="n">
        <v>0</v>
      </c>
      <c r="O2612" s="11" t="n">
        <v>287.6867544</v>
      </c>
      <c r="P2612" s="13">
        <f>N2612*86400</f>
        <v/>
      </c>
      <c r="Q2612" s="14">
        <f>O2612-273.15</f>
        <v/>
      </c>
    </row>
    <row r="2613">
      <c r="A2613" s="9" t="n">
        <v>39500</v>
      </c>
      <c r="B2613" s="7">
        <f>YEAR(A2613)</f>
        <v/>
      </c>
      <c r="C2613" s="7">
        <f>MONTH(A2613)</f>
        <v/>
      </c>
      <c r="D2613" s="10" t="n">
        <v>0</v>
      </c>
      <c r="E2613" s="11" t="n">
        <v>5.177605588</v>
      </c>
      <c r="F2613" s="12" t="n">
        <v>0.001033908135</v>
      </c>
      <c r="G2613" s="11" t="n">
        <v>280.7630443</v>
      </c>
      <c r="H2613" s="13">
        <f>F2613*1000</f>
        <v/>
      </c>
      <c r="I2613" s="14">
        <f>G2613-273.15</f>
        <v/>
      </c>
      <c r="K2613" s="15" t="n">
        <v>2008</v>
      </c>
      <c r="L2613" s="15" t="n">
        <v>3</v>
      </c>
      <c r="M2613" s="15" t="n">
        <v>29</v>
      </c>
      <c r="N2613" s="16" t="n">
        <v>4.500532727e-06</v>
      </c>
      <c r="O2613" s="11" t="n">
        <v>284.7158911</v>
      </c>
      <c r="P2613" s="13">
        <f>N2613*86400</f>
        <v/>
      </c>
      <c r="Q2613" s="14">
        <f>O2613-273.15</f>
        <v/>
      </c>
    </row>
    <row r="2614">
      <c r="A2614" s="9" t="n">
        <v>39501</v>
      </c>
      <c r="B2614" s="7">
        <f>YEAR(A2614)</f>
        <v/>
      </c>
      <c r="C2614" s="7">
        <f>MONTH(A2614)</f>
        <v/>
      </c>
      <c r="D2614" s="10" t="n">
        <v>0</v>
      </c>
      <c r="E2614" s="11" t="n">
        <v>5.944541303</v>
      </c>
      <c r="F2614" s="12" t="n">
        <v>0</v>
      </c>
      <c r="G2614" s="11" t="n">
        <v>280.6958364</v>
      </c>
      <c r="H2614" s="13">
        <f>F2614*1000</f>
        <v/>
      </c>
      <c r="I2614" s="14">
        <f>G2614-273.15</f>
        <v/>
      </c>
      <c r="K2614" s="15" t="n">
        <v>2008</v>
      </c>
      <c r="L2614" s="15" t="n">
        <v>3</v>
      </c>
      <c r="M2614" s="15" t="n">
        <v>30</v>
      </c>
      <c r="N2614" s="16" t="n">
        <v>7.942486326999999e-09</v>
      </c>
      <c r="O2614" s="11" t="n">
        <v>286.8326018</v>
      </c>
      <c r="P2614" s="13">
        <f>N2614*86400</f>
        <v/>
      </c>
      <c r="Q2614" s="14">
        <f>O2614-273.15</f>
        <v/>
      </c>
    </row>
    <row r="2615">
      <c r="A2615" s="9" t="n">
        <v>39502</v>
      </c>
      <c r="B2615" s="7">
        <f>YEAR(A2615)</f>
        <v/>
      </c>
      <c r="C2615" s="7">
        <f>MONTH(A2615)</f>
        <v/>
      </c>
      <c r="D2615" s="10" t="n">
        <v>0</v>
      </c>
      <c r="E2615" s="11" t="n">
        <v>4.066531882</v>
      </c>
      <c r="F2615" s="12" t="n">
        <v>0</v>
      </c>
      <c r="G2615" s="11" t="n">
        <v>279.7882789</v>
      </c>
      <c r="H2615" s="13">
        <f>F2615*1000</f>
        <v/>
      </c>
      <c r="I2615" s="14">
        <f>G2615-273.15</f>
        <v/>
      </c>
      <c r="K2615" s="15" t="n">
        <v>2008</v>
      </c>
      <c r="L2615" s="15" t="n">
        <v>4</v>
      </c>
      <c r="M2615" s="15" t="n">
        <v>1</v>
      </c>
      <c r="N2615" s="16" t="n">
        <v>0</v>
      </c>
      <c r="O2615" s="11" t="n">
        <v>287.7206497</v>
      </c>
      <c r="P2615" s="13">
        <f>N2615*86400</f>
        <v/>
      </c>
      <c r="Q2615" s="14">
        <f>O2615-273.15</f>
        <v/>
      </c>
    </row>
    <row r="2616">
      <c r="A2616" s="9" t="n">
        <v>39503</v>
      </c>
      <c r="B2616" s="7">
        <f>YEAR(A2616)</f>
        <v/>
      </c>
      <c r="C2616" s="7">
        <f>MONTH(A2616)</f>
        <v/>
      </c>
      <c r="D2616" s="10" t="n">
        <v>0</v>
      </c>
      <c r="E2616" s="11" t="n">
        <v>5.212104292</v>
      </c>
      <c r="F2616" s="12" t="n">
        <v>0.0007354129925</v>
      </c>
      <c r="G2616" s="11" t="n">
        <v>280.4602171</v>
      </c>
      <c r="H2616" s="13">
        <f>F2616*1000</f>
        <v/>
      </c>
      <c r="I2616" s="14">
        <f>G2616-273.15</f>
        <v/>
      </c>
      <c r="K2616" s="15" t="n">
        <v>2008</v>
      </c>
      <c r="L2616" s="15" t="n">
        <v>4</v>
      </c>
      <c r="M2616" s="15" t="n">
        <v>2</v>
      </c>
      <c r="N2616" s="16" t="n">
        <v>7.052648602e-07</v>
      </c>
      <c r="O2616" s="11" t="n">
        <v>286.8825961</v>
      </c>
      <c r="P2616" s="13">
        <f>N2616*86400</f>
        <v/>
      </c>
      <c r="Q2616" s="14">
        <f>O2616-273.15</f>
        <v/>
      </c>
    </row>
    <row r="2617">
      <c r="A2617" s="9" t="n">
        <v>39504</v>
      </c>
      <c r="B2617" s="7">
        <f>YEAR(A2617)</f>
        <v/>
      </c>
      <c r="C2617" s="7">
        <f>MONTH(A2617)</f>
        <v/>
      </c>
      <c r="D2617" s="10" t="n">
        <v>0</v>
      </c>
      <c r="E2617" s="11" t="n">
        <v>5.689773908</v>
      </c>
      <c r="F2617" s="12" t="n">
        <v>0.0003739219284</v>
      </c>
      <c r="G2617" s="11" t="n">
        <v>279.7269375</v>
      </c>
      <c r="H2617" s="13">
        <f>F2617*1000</f>
        <v/>
      </c>
      <c r="I2617" s="14">
        <f>G2617-273.15</f>
        <v/>
      </c>
      <c r="K2617" s="15" t="n">
        <v>2008</v>
      </c>
      <c r="L2617" s="15" t="n">
        <v>4</v>
      </c>
      <c r="M2617" s="15" t="n">
        <v>3</v>
      </c>
      <c r="N2617" s="16" t="n">
        <v>0</v>
      </c>
      <c r="O2617" s="11" t="n">
        <v>287.6465465</v>
      </c>
      <c r="P2617" s="13">
        <f>N2617*86400</f>
        <v/>
      </c>
      <c r="Q2617" s="14">
        <f>O2617-273.15</f>
        <v/>
      </c>
    </row>
    <row r="2618">
      <c r="A2618" s="9" t="n">
        <v>39505</v>
      </c>
      <c r="B2618" s="7">
        <f>YEAR(A2618)</f>
        <v/>
      </c>
      <c r="C2618" s="7">
        <f>MONTH(A2618)</f>
        <v/>
      </c>
      <c r="D2618" s="10" t="n">
        <v>0</v>
      </c>
      <c r="E2618" s="11" t="n">
        <v>6.209454844</v>
      </c>
      <c r="F2618" s="12" t="n">
        <v>0</v>
      </c>
      <c r="G2618" s="11" t="n">
        <v>280.537372</v>
      </c>
      <c r="H2618" s="13">
        <f>F2618*1000</f>
        <v/>
      </c>
      <c r="I2618" s="14">
        <f>G2618-273.15</f>
        <v/>
      </c>
      <c r="K2618" s="15" t="n">
        <v>2008</v>
      </c>
      <c r="L2618" s="15" t="n">
        <v>4</v>
      </c>
      <c r="M2618" s="15" t="n">
        <v>4</v>
      </c>
      <c r="N2618" s="16" t="n">
        <v>0</v>
      </c>
      <c r="O2618" s="11" t="n">
        <v>285.9415174</v>
      </c>
      <c r="P2618" s="13">
        <f>N2618*86400</f>
        <v/>
      </c>
      <c r="Q2618" s="14">
        <f>O2618-273.15</f>
        <v/>
      </c>
    </row>
    <row r="2619">
      <c r="A2619" s="9" t="n">
        <v>39506</v>
      </c>
      <c r="B2619" s="7">
        <f>YEAR(A2619)</f>
        <v/>
      </c>
      <c r="C2619" s="7">
        <f>MONTH(A2619)</f>
        <v/>
      </c>
      <c r="D2619" s="10" t="n">
        <v>0</v>
      </c>
      <c r="E2619" s="11" t="n">
        <v>7.376744941</v>
      </c>
      <c r="F2619" s="12" t="n">
        <v>0</v>
      </c>
      <c r="G2619" s="11" t="n">
        <v>282.3952148</v>
      </c>
      <c r="H2619" s="13">
        <f>F2619*1000</f>
        <v/>
      </c>
      <c r="I2619" s="14">
        <f>G2619-273.15</f>
        <v/>
      </c>
      <c r="K2619" s="15" t="n">
        <v>2008</v>
      </c>
      <c r="L2619" s="15" t="n">
        <v>4</v>
      </c>
      <c r="M2619" s="15" t="n">
        <v>5</v>
      </c>
      <c r="N2619" s="16" t="n">
        <v>2.787457217e-05</v>
      </c>
      <c r="O2619" s="11" t="n">
        <v>286.1771602</v>
      </c>
      <c r="P2619" s="13">
        <f>N2619*86400</f>
        <v/>
      </c>
      <c r="Q2619" s="14">
        <f>O2619-273.15</f>
        <v/>
      </c>
    </row>
    <row r="2620">
      <c r="A2620" s="9" t="n">
        <v>39507</v>
      </c>
      <c r="B2620" s="7">
        <f>YEAR(A2620)</f>
        <v/>
      </c>
      <c r="C2620" s="7">
        <f>MONTH(A2620)</f>
        <v/>
      </c>
      <c r="D2620" s="10" t="n">
        <v>0</v>
      </c>
      <c r="E2620" s="11" t="n">
        <v>7.876986983</v>
      </c>
      <c r="F2620" s="12" t="n">
        <v>0</v>
      </c>
      <c r="G2620" s="11" t="n">
        <v>282.961104</v>
      </c>
      <c r="H2620" s="13">
        <f>F2620*1000</f>
        <v/>
      </c>
      <c r="I2620" s="14">
        <f>G2620-273.15</f>
        <v/>
      </c>
      <c r="K2620" s="15" t="n">
        <v>2008</v>
      </c>
      <c r="L2620" s="15" t="n">
        <v>4</v>
      </c>
      <c r="M2620" s="15" t="n">
        <v>6</v>
      </c>
      <c r="N2620" s="16" t="n">
        <v>2.548133488e-05</v>
      </c>
      <c r="O2620" s="11" t="n">
        <v>284.6346</v>
      </c>
      <c r="P2620" s="13">
        <f>N2620*86400</f>
        <v/>
      </c>
      <c r="Q2620" s="14">
        <f>O2620-273.15</f>
        <v/>
      </c>
    </row>
    <row r="2621">
      <c r="A2621" s="9" t="n">
        <v>39508</v>
      </c>
      <c r="B2621" s="7">
        <f>YEAR(A2621)</f>
        <v/>
      </c>
      <c r="C2621" s="7">
        <f>MONTH(A2621)</f>
        <v/>
      </c>
      <c r="D2621" s="10" t="n">
        <v>0</v>
      </c>
      <c r="E2621" s="11" t="n">
        <v>7.294550471</v>
      </c>
      <c r="F2621" s="12" t="n">
        <v>0</v>
      </c>
      <c r="G2621" s="11" t="n">
        <v>282.7051721</v>
      </c>
      <c r="H2621" s="13">
        <f>F2621*1000</f>
        <v/>
      </c>
      <c r="I2621" s="14">
        <f>G2621-273.15</f>
        <v/>
      </c>
      <c r="K2621" s="15" t="n">
        <v>2008</v>
      </c>
      <c r="L2621" s="15" t="n">
        <v>4</v>
      </c>
      <c r="M2621" s="15" t="n">
        <v>7</v>
      </c>
      <c r="N2621" s="16" t="n">
        <v>1.801046429e-07</v>
      </c>
      <c r="O2621" s="11" t="n">
        <v>284.9899016</v>
      </c>
      <c r="P2621" s="13">
        <f>N2621*86400</f>
        <v/>
      </c>
      <c r="Q2621" s="14">
        <f>O2621-273.15</f>
        <v/>
      </c>
    </row>
    <row r="2622">
      <c r="A2622" s="9" t="n">
        <v>39509</v>
      </c>
      <c r="B2622" s="7">
        <f>YEAR(A2622)</f>
        <v/>
      </c>
      <c r="C2622" s="7">
        <f>MONTH(A2622)</f>
        <v/>
      </c>
      <c r="D2622" s="10" t="n">
        <v>0</v>
      </c>
      <c r="E2622" s="11" t="n">
        <v>7.121963395</v>
      </c>
      <c r="F2622" s="12" t="n">
        <v>0</v>
      </c>
      <c r="G2622" s="11" t="n">
        <v>281.8165699</v>
      </c>
      <c r="H2622" s="13">
        <f>F2622*1000</f>
        <v/>
      </c>
      <c r="I2622" s="14">
        <f>G2622-273.15</f>
        <v/>
      </c>
      <c r="K2622" s="15" t="n">
        <v>2008</v>
      </c>
      <c r="L2622" s="15" t="n">
        <v>4</v>
      </c>
      <c r="M2622" s="15" t="n">
        <v>8</v>
      </c>
      <c r="N2622" s="16" t="n">
        <v>4.74433396e-05</v>
      </c>
      <c r="O2622" s="11" t="n">
        <v>286.2154427</v>
      </c>
      <c r="P2622" s="13">
        <f>N2622*86400</f>
        <v/>
      </c>
      <c r="Q2622" s="14">
        <f>O2622-273.15</f>
        <v/>
      </c>
    </row>
    <row r="2623">
      <c r="A2623" s="9" t="n">
        <v>39510</v>
      </c>
      <c r="B2623" s="7">
        <f>YEAR(A2623)</f>
        <v/>
      </c>
      <c r="C2623" s="7">
        <f>MONTH(A2623)</f>
        <v/>
      </c>
      <c r="D2623" s="10" t="n">
        <v>0</v>
      </c>
      <c r="E2623" s="11" t="n">
        <v>6.211247656</v>
      </c>
      <c r="F2623" s="12" t="n">
        <v>6.104452463e-05</v>
      </c>
      <c r="G2623" s="11" t="n">
        <v>281.5988135</v>
      </c>
      <c r="H2623" s="13">
        <f>F2623*1000</f>
        <v/>
      </c>
      <c r="I2623" s="14">
        <f>G2623-273.15</f>
        <v/>
      </c>
      <c r="K2623" s="15" t="n">
        <v>2008</v>
      </c>
      <c r="L2623" s="15" t="n">
        <v>4</v>
      </c>
      <c r="M2623" s="15" t="n">
        <v>9</v>
      </c>
      <c r="N2623" s="16" t="n">
        <v>0</v>
      </c>
      <c r="O2623" s="11" t="n">
        <v>286.8964891</v>
      </c>
      <c r="P2623" s="13">
        <f>N2623*86400</f>
        <v/>
      </c>
      <c r="Q2623" s="14">
        <f>O2623-273.15</f>
        <v/>
      </c>
    </row>
    <row r="2624">
      <c r="A2624" s="9" t="n">
        <v>39511</v>
      </c>
      <c r="B2624" s="7">
        <f>YEAR(A2624)</f>
        <v/>
      </c>
      <c r="C2624" s="7">
        <f>MONTH(A2624)</f>
        <v/>
      </c>
      <c r="D2624" s="10" t="n">
        <v>0</v>
      </c>
      <c r="E2624" s="11" t="n">
        <v>6.068949465</v>
      </c>
      <c r="F2624" s="12" t="n">
        <v>0</v>
      </c>
      <c r="G2624" s="11" t="n">
        <v>283.0379862</v>
      </c>
      <c r="H2624" s="13">
        <f>F2624*1000</f>
        <v/>
      </c>
      <c r="I2624" s="14">
        <f>G2624-273.15</f>
        <v/>
      </c>
      <c r="K2624" s="15" t="n">
        <v>2008</v>
      </c>
      <c r="L2624" s="15" t="n">
        <v>4</v>
      </c>
      <c r="M2624" s="15" t="n">
        <v>10</v>
      </c>
      <c r="N2624" s="16" t="n">
        <v>0</v>
      </c>
      <c r="O2624" s="11" t="n">
        <v>289.1380005</v>
      </c>
      <c r="P2624" s="13">
        <f>N2624*86400</f>
        <v/>
      </c>
      <c r="Q2624" s="14">
        <f>O2624-273.15</f>
        <v/>
      </c>
    </row>
    <row r="2625">
      <c r="A2625" s="9" t="n">
        <v>39512</v>
      </c>
      <c r="B2625" s="7">
        <f>YEAR(A2625)</f>
        <v/>
      </c>
      <c r="C2625" s="7">
        <f>MONTH(A2625)</f>
        <v/>
      </c>
      <c r="D2625" s="10" t="n">
        <v>0</v>
      </c>
      <c r="E2625" s="11" t="n">
        <v>6.583943251</v>
      </c>
      <c r="F2625" s="12" t="n">
        <v>0</v>
      </c>
      <c r="G2625" s="11" t="n">
        <v>281.6980189</v>
      </c>
      <c r="H2625" s="13">
        <f>F2625*1000</f>
        <v/>
      </c>
      <c r="I2625" s="14">
        <f>G2625-273.15</f>
        <v/>
      </c>
      <c r="K2625" s="15" t="n">
        <v>2008</v>
      </c>
      <c r="L2625" s="15" t="n">
        <v>4</v>
      </c>
      <c r="M2625" s="15" t="n">
        <v>11</v>
      </c>
      <c r="N2625" s="16" t="n">
        <v>1.393565928e-06</v>
      </c>
      <c r="O2625" s="11" t="n">
        <v>287.1365833</v>
      </c>
      <c r="P2625" s="13">
        <f>N2625*86400</f>
        <v/>
      </c>
      <c r="Q2625" s="14">
        <f>O2625-273.15</f>
        <v/>
      </c>
    </row>
    <row r="2626">
      <c r="A2626" s="9" t="n">
        <v>39513</v>
      </c>
      <c r="B2626" s="7">
        <f>YEAR(A2626)</f>
        <v/>
      </c>
      <c r="C2626" s="7">
        <f>MONTH(A2626)</f>
        <v/>
      </c>
      <c r="D2626" s="10" t="n">
        <v>0</v>
      </c>
      <c r="E2626" s="11" t="n">
        <v>9.794580503000001</v>
      </c>
      <c r="F2626" s="12" t="n">
        <v>0</v>
      </c>
      <c r="G2626" s="11" t="n">
        <v>284.8533534</v>
      </c>
      <c r="H2626" s="13">
        <f>F2626*1000</f>
        <v/>
      </c>
      <c r="I2626" s="14">
        <f>G2626-273.15</f>
        <v/>
      </c>
      <c r="K2626" s="15" t="n">
        <v>2008</v>
      </c>
      <c r="L2626" s="15" t="n">
        <v>4</v>
      </c>
      <c r="M2626" s="15" t="n">
        <v>12</v>
      </c>
      <c r="N2626" s="16" t="n">
        <v>0</v>
      </c>
      <c r="O2626" s="11" t="n">
        <v>288.476781</v>
      </c>
      <c r="P2626" s="13">
        <f>N2626*86400</f>
        <v/>
      </c>
      <c r="Q2626" s="14">
        <f>O2626-273.15</f>
        <v/>
      </c>
    </row>
    <row r="2627">
      <c r="A2627" s="9" t="n">
        <v>39514</v>
      </c>
      <c r="B2627" s="7">
        <f>YEAR(A2627)</f>
        <v/>
      </c>
      <c r="C2627" s="7">
        <f>MONTH(A2627)</f>
        <v/>
      </c>
      <c r="D2627" s="10" t="n">
        <v>0</v>
      </c>
      <c r="E2627" s="11" t="n">
        <v>10.54211428</v>
      </c>
      <c r="F2627" s="12" t="n">
        <v>0</v>
      </c>
      <c r="G2627" s="11" t="n">
        <v>285.1795879</v>
      </c>
      <c r="H2627" s="13">
        <f>F2627*1000</f>
        <v/>
      </c>
      <c r="I2627" s="14">
        <f>G2627-273.15</f>
        <v/>
      </c>
      <c r="K2627" s="15" t="n">
        <v>2008</v>
      </c>
      <c r="L2627" s="15" t="n">
        <v>4</v>
      </c>
      <c r="M2627" s="15" t="n">
        <v>13</v>
      </c>
      <c r="N2627" s="16" t="n">
        <v>0</v>
      </c>
      <c r="O2627" s="11" t="n">
        <v>288.9469412</v>
      </c>
      <c r="P2627" s="13">
        <f>N2627*86400</f>
        <v/>
      </c>
      <c r="Q2627" s="14">
        <f>O2627-273.15</f>
        <v/>
      </c>
    </row>
    <row r="2628">
      <c r="A2628" s="9" t="n">
        <v>39515</v>
      </c>
      <c r="B2628" s="7">
        <f>YEAR(A2628)</f>
        <v/>
      </c>
      <c r="C2628" s="7">
        <f>MONTH(A2628)</f>
        <v/>
      </c>
      <c r="D2628" s="10" t="n">
        <v>0</v>
      </c>
      <c r="E2628" s="11" t="n">
        <v>12.47179633</v>
      </c>
      <c r="F2628" s="12" t="n">
        <v>0.0009036665266</v>
      </c>
      <c r="G2628" s="11" t="n">
        <v>286.1211591</v>
      </c>
      <c r="H2628" s="13">
        <f>F2628*1000</f>
        <v/>
      </c>
      <c r="I2628" s="14">
        <f>G2628-273.15</f>
        <v/>
      </c>
      <c r="K2628" s="15" t="n">
        <v>2008</v>
      </c>
      <c r="L2628" s="15" t="n">
        <v>4</v>
      </c>
      <c r="M2628" s="15" t="n">
        <v>14</v>
      </c>
      <c r="N2628" s="16" t="n">
        <v>0</v>
      </c>
      <c r="O2628" s="11" t="n">
        <v>288.037174</v>
      </c>
      <c r="P2628" s="13">
        <f>N2628*86400</f>
        <v/>
      </c>
      <c r="Q2628" s="14">
        <f>O2628-273.15</f>
        <v/>
      </c>
    </row>
    <row r="2629">
      <c r="A2629" s="9" t="n">
        <v>39516</v>
      </c>
      <c r="B2629" s="7">
        <f>YEAR(A2629)</f>
        <v/>
      </c>
      <c r="C2629" s="7">
        <f>MONTH(A2629)</f>
        <v/>
      </c>
      <c r="D2629" s="10" t="n">
        <v>0</v>
      </c>
      <c r="E2629" s="11" t="n">
        <v>11.51785589</v>
      </c>
      <c r="F2629" s="12" t="n">
        <v>0</v>
      </c>
      <c r="G2629" s="11" t="n">
        <v>286.6638118</v>
      </c>
      <c r="H2629" s="13">
        <f>F2629*1000</f>
        <v/>
      </c>
      <c r="I2629" s="14">
        <f>G2629-273.15</f>
        <v/>
      </c>
      <c r="K2629" s="15" t="n">
        <v>2008</v>
      </c>
      <c r="L2629" s="15" t="n">
        <v>4</v>
      </c>
      <c r="M2629" s="15" t="n">
        <v>15</v>
      </c>
      <c r="N2629" s="16" t="n">
        <v>5.015561737e-05</v>
      </c>
      <c r="O2629" s="11" t="n">
        <v>288.0486358</v>
      </c>
      <c r="P2629" s="13">
        <f>N2629*86400</f>
        <v/>
      </c>
      <c r="Q2629" s="14">
        <f>O2629-273.15</f>
        <v/>
      </c>
    </row>
    <row r="2630">
      <c r="A2630" s="9" t="n">
        <v>39517</v>
      </c>
      <c r="B2630" s="7">
        <f>YEAR(A2630)</f>
        <v/>
      </c>
      <c r="C2630" s="7">
        <f>MONTH(A2630)</f>
        <v/>
      </c>
      <c r="D2630" s="10" t="n">
        <v>0</v>
      </c>
      <c r="E2630" s="11" t="n">
        <v>9.429975607999999</v>
      </c>
      <c r="F2630" s="12" t="n">
        <v>0</v>
      </c>
      <c r="G2630" s="11" t="n">
        <v>284.5426754</v>
      </c>
      <c r="H2630" s="13">
        <f>F2630*1000</f>
        <v/>
      </c>
      <c r="I2630" s="14">
        <f>G2630-273.15</f>
        <v/>
      </c>
      <c r="K2630" s="15" t="n">
        <v>2008</v>
      </c>
      <c r="L2630" s="15" t="n">
        <v>4</v>
      </c>
      <c r="M2630" s="15" t="n">
        <v>16</v>
      </c>
      <c r="N2630" s="16" t="n">
        <v>6.402531005e-06</v>
      </c>
      <c r="O2630" s="11" t="n">
        <v>286.2086163</v>
      </c>
      <c r="P2630" s="13">
        <f>N2630*86400</f>
        <v/>
      </c>
      <c r="Q2630" s="14">
        <f>O2630-273.15</f>
        <v/>
      </c>
    </row>
    <row r="2631">
      <c r="A2631" s="9" t="n">
        <v>39518</v>
      </c>
      <c r="B2631" s="7">
        <f>YEAR(A2631)</f>
        <v/>
      </c>
      <c r="C2631" s="7">
        <f>MONTH(A2631)</f>
        <v/>
      </c>
      <c r="D2631" s="10" t="n">
        <v>0</v>
      </c>
      <c r="E2631" s="11" t="n">
        <v>9.29412496</v>
      </c>
      <c r="F2631" s="12" t="n">
        <v>0</v>
      </c>
      <c r="G2631" s="11" t="n">
        <v>284.5182901</v>
      </c>
      <c r="H2631" s="13">
        <f>F2631*1000</f>
        <v/>
      </c>
      <c r="I2631" s="14">
        <f>G2631-273.15</f>
        <v/>
      </c>
      <c r="K2631" s="15" t="n">
        <v>2008</v>
      </c>
      <c r="L2631" s="15" t="n">
        <v>4</v>
      </c>
      <c r="M2631" s="15" t="n">
        <v>17</v>
      </c>
      <c r="N2631" s="16" t="n">
        <v>3.129877409e-05</v>
      </c>
      <c r="O2631" s="11" t="n">
        <v>290.1781166</v>
      </c>
      <c r="P2631" s="13">
        <f>N2631*86400</f>
        <v/>
      </c>
      <c r="Q2631" s="14">
        <f>O2631-273.15</f>
        <v/>
      </c>
    </row>
    <row r="2632">
      <c r="A2632" s="9" t="n">
        <v>39519</v>
      </c>
      <c r="B2632" s="7">
        <f>YEAR(A2632)</f>
        <v/>
      </c>
      <c r="C2632" s="7">
        <f>MONTH(A2632)</f>
        <v/>
      </c>
      <c r="D2632" s="10" t="n">
        <v>0</v>
      </c>
      <c r="E2632" s="11" t="n">
        <v>8.917671464</v>
      </c>
      <c r="F2632" s="12" t="n">
        <v>0</v>
      </c>
      <c r="G2632" s="11" t="n">
        <v>284.0330186</v>
      </c>
      <c r="H2632" s="13">
        <f>F2632*1000</f>
        <v/>
      </c>
      <c r="I2632" s="14">
        <f>G2632-273.15</f>
        <v/>
      </c>
      <c r="K2632" s="15" t="n">
        <v>2008</v>
      </c>
      <c r="L2632" s="15" t="n">
        <v>4</v>
      </c>
      <c r="M2632" s="15" t="n">
        <v>18</v>
      </c>
      <c r="N2632" s="16" t="n">
        <v>0.0001473602153</v>
      </c>
      <c r="O2632" s="11" t="n">
        <v>289.4150768</v>
      </c>
      <c r="P2632" s="13">
        <f>N2632*86400</f>
        <v/>
      </c>
      <c r="Q2632" s="14">
        <f>O2632-273.15</f>
        <v/>
      </c>
    </row>
    <row r="2633">
      <c r="A2633" s="9" t="n">
        <v>39520</v>
      </c>
      <c r="B2633" s="7">
        <f>YEAR(A2633)</f>
        <v/>
      </c>
      <c r="C2633" s="7">
        <f>MONTH(A2633)</f>
        <v/>
      </c>
      <c r="D2633" s="10" t="n">
        <v>0</v>
      </c>
      <c r="E2633" s="11" t="n">
        <v>12.51681757</v>
      </c>
      <c r="F2633" s="12" t="n">
        <v>0</v>
      </c>
      <c r="G2633" s="11" t="n">
        <v>287.4250833</v>
      </c>
      <c r="H2633" s="13">
        <f>F2633*1000</f>
        <v/>
      </c>
      <c r="I2633" s="14">
        <f>G2633-273.15</f>
        <v/>
      </c>
      <c r="K2633" s="15" t="n">
        <v>2008</v>
      </c>
      <c r="L2633" s="15" t="n">
        <v>4</v>
      </c>
      <c r="M2633" s="15" t="n">
        <v>19</v>
      </c>
      <c r="N2633" s="16" t="n">
        <v>0</v>
      </c>
      <c r="O2633" s="11" t="n">
        <v>290.6389448</v>
      </c>
      <c r="P2633" s="13">
        <f>N2633*86400</f>
        <v/>
      </c>
      <c r="Q2633" s="14">
        <f>O2633-273.15</f>
        <v/>
      </c>
    </row>
    <row r="2634">
      <c r="A2634" s="9" t="n">
        <v>39521</v>
      </c>
      <c r="B2634" s="7">
        <f>YEAR(A2634)</f>
        <v/>
      </c>
      <c r="C2634" s="7">
        <f>MONTH(A2634)</f>
        <v/>
      </c>
      <c r="D2634" s="10" t="n">
        <v>0</v>
      </c>
      <c r="E2634" s="11" t="n">
        <v>12.64947238</v>
      </c>
      <c r="F2634" s="12" t="n">
        <v>0</v>
      </c>
      <c r="G2634" s="11" t="n">
        <v>286.8219623</v>
      </c>
      <c r="H2634" s="13">
        <f>F2634*1000</f>
        <v/>
      </c>
      <c r="I2634" s="14">
        <f>G2634-273.15</f>
        <v/>
      </c>
      <c r="K2634" s="15" t="n">
        <v>2008</v>
      </c>
      <c r="L2634" s="15" t="n">
        <v>4</v>
      </c>
      <c r="M2634" s="15" t="n">
        <v>20</v>
      </c>
      <c r="N2634" s="16" t="n">
        <v>2.251206242e-08</v>
      </c>
      <c r="O2634" s="11" t="n">
        <v>289.941225</v>
      </c>
      <c r="P2634" s="13">
        <f>N2634*86400</f>
        <v/>
      </c>
      <c r="Q2634" s="14">
        <f>O2634-273.15</f>
        <v/>
      </c>
    </row>
    <row r="2635">
      <c r="A2635" s="9" t="n">
        <v>39522</v>
      </c>
      <c r="B2635" s="7">
        <f>YEAR(A2635)</f>
        <v/>
      </c>
      <c r="C2635" s="7">
        <f>MONTH(A2635)</f>
        <v/>
      </c>
      <c r="D2635" s="10" t="n">
        <v>4.10801625</v>
      </c>
      <c r="E2635" s="11" t="n">
        <v>12.13899938</v>
      </c>
      <c r="F2635" s="12" t="n">
        <v>0.001169395956</v>
      </c>
      <c r="G2635" s="11" t="n">
        <v>286.7064942</v>
      </c>
      <c r="H2635" s="13">
        <f>F2635*1000</f>
        <v/>
      </c>
      <c r="I2635" s="14">
        <f>G2635-273.15</f>
        <v/>
      </c>
      <c r="K2635" s="15" t="n">
        <v>2008</v>
      </c>
      <c r="L2635" s="15" t="n">
        <v>4</v>
      </c>
      <c r="M2635" s="15" t="n">
        <v>21</v>
      </c>
      <c r="N2635" s="16" t="n">
        <v>0</v>
      </c>
      <c r="O2635" s="11" t="n">
        <v>288.1413708</v>
      </c>
      <c r="P2635" s="13">
        <f>N2635*86400</f>
        <v/>
      </c>
      <c r="Q2635" s="14">
        <f>O2635-273.15</f>
        <v/>
      </c>
    </row>
    <row r="2636">
      <c r="A2636" s="9" t="n">
        <v>39523</v>
      </c>
      <c r="B2636" s="7">
        <f>YEAR(A2636)</f>
        <v/>
      </c>
      <c r="C2636" s="7">
        <f>MONTH(A2636)</f>
        <v/>
      </c>
      <c r="D2636" s="10" t="n">
        <v>0</v>
      </c>
      <c r="E2636" s="11" t="n">
        <v>11.47543979</v>
      </c>
      <c r="F2636" s="12" t="n">
        <v>0</v>
      </c>
      <c r="G2636" s="11" t="n">
        <v>286.0369066</v>
      </c>
      <c r="H2636" s="13">
        <f>F2636*1000</f>
        <v/>
      </c>
      <c r="I2636" s="14">
        <f>G2636-273.15</f>
        <v/>
      </c>
      <c r="K2636" s="15" t="n">
        <v>2008</v>
      </c>
      <c r="L2636" s="15" t="n">
        <v>4</v>
      </c>
      <c r="M2636" s="15" t="n">
        <v>22</v>
      </c>
      <c r="N2636" s="16" t="n">
        <v>0</v>
      </c>
      <c r="O2636" s="11" t="n">
        <v>286.3500379</v>
      </c>
      <c r="P2636" s="13">
        <f>N2636*86400</f>
        <v/>
      </c>
      <c r="Q2636" s="14">
        <f>O2636-273.15</f>
        <v/>
      </c>
    </row>
    <row r="2637">
      <c r="A2637" s="9" t="n">
        <v>39524</v>
      </c>
      <c r="B2637" s="7">
        <f>YEAR(A2637)</f>
        <v/>
      </c>
      <c r="C2637" s="7">
        <f>MONTH(A2637)</f>
        <v/>
      </c>
      <c r="D2637" s="10" t="n">
        <v>0</v>
      </c>
      <c r="E2637" s="11" t="n">
        <v>10.12114842</v>
      </c>
      <c r="F2637" s="12" t="n">
        <v>0</v>
      </c>
      <c r="G2637" s="11" t="n">
        <v>284.5203124</v>
      </c>
      <c r="H2637" s="13">
        <f>F2637*1000</f>
        <v/>
      </c>
      <c r="I2637" s="14">
        <f>G2637-273.15</f>
        <v/>
      </c>
      <c r="K2637" s="15" t="n">
        <v>2008</v>
      </c>
      <c r="L2637" s="15" t="n">
        <v>4</v>
      </c>
      <c r="M2637" s="15" t="n">
        <v>23</v>
      </c>
      <c r="N2637" s="16" t="n">
        <v>4.413454834e-05</v>
      </c>
      <c r="O2637" s="11" t="n">
        <v>286.4444918</v>
      </c>
      <c r="P2637" s="13">
        <f>N2637*86400</f>
        <v/>
      </c>
      <c r="Q2637" s="14">
        <f>O2637-273.15</f>
        <v/>
      </c>
    </row>
    <row r="2638">
      <c r="A2638" s="9" t="n">
        <v>39525</v>
      </c>
      <c r="B2638" s="7">
        <f>YEAR(A2638)</f>
        <v/>
      </c>
      <c r="C2638" s="7">
        <f>MONTH(A2638)</f>
        <v/>
      </c>
      <c r="D2638" s="10" t="n">
        <v>0</v>
      </c>
      <c r="E2638" s="11" t="n">
        <v>10.83212415</v>
      </c>
      <c r="F2638" s="12" t="n">
        <v>0.0002676720569</v>
      </c>
      <c r="G2638" s="11" t="n">
        <v>285.3952369</v>
      </c>
      <c r="H2638" s="13">
        <f>F2638*1000</f>
        <v/>
      </c>
      <c r="I2638" s="14">
        <f>G2638-273.15</f>
        <v/>
      </c>
      <c r="K2638" s="15" t="n">
        <v>2008</v>
      </c>
      <c r="L2638" s="15" t="n">
        <v>4</v>
      </c>
      <c r="M2638" s="15" t="n">
        <v>24</v>
      </c>
      <c r="N2638" s="16" t="n">
        <v>3.550485561e-06</v>
      </c>
      <c r="O2638" s="11" t="n">
        <v>289.1858471</v>
      </c>
      <c r="P2638" s="13">
        <f>N2638*86400</f>
        <v/>
      </c>
      <c r="Q2638" s="14">
        <f>O2638-273.15</f>
        <v/>
      </c>
    </row>
    <row r="2639">
      <c r="A2639" s="9" t="n">
        <v>39526</v>
      </c>
      <c r="B2639" s="7">
        <f>YEAR(A2639)</f>
        <v/>
      </c>
      <c r="C2639" s="7">
        <f>MONTH(A2639)</f>
        <v/>
      </c>
      <c r="D2639" s="10" t="n">
        <v>0</v>
      </c>
      <c r="E2639" s="11" t="n">
        <v>12.25219282</v>
      </c>
      <c r="F2639" s="12" t="n">
        <v>0</v>
      </c>
      <c r="G2639" s="11" t="n">
        <v>286.8519232</v>
      </c>
      <c r="H2639" s="13">
        <f>F2639*1000</f>
        <v/>
      </c>
      <c r="I2639" s="14">
        <f>G2639-273.15</f>
        <v/>
      </c>
      <c r="K2639" s="15" t="n">
        <v>2008</v>
      </c>
      <c r="L2639" s="15" t="n">
        <v>4</v>
      </c>
      <c r="M2639" s="15" t="n">
        <v>25</v>
      </c>
      <c r="N2639" s="16" t="n">
        <v>5.126854293e-05</v>
      </c>
      <c r="O2639" s="11" t="n">
        <v>289.8848455</v>
      </c>
      <c r="P2639" s="13">
        <f>N2639*86400</f>
        <v/>
      </c>
      <c r="Q2639" s="14">
        <f>O2639-273.15</f>
        <v/>
      </c>
    </row>
    <row r="2640">
      <c r="A2640" s="9" t="n">
        <v>39527</v>
      </c>
      <c r="B2640" s="7">
        <f>YEAR(A2640)</f>
        <v/>
      </c>
      <c r="C2640" s="7">
        <f>MONTH(A2640)</f>
        <v/>
      </c>
      <c r="D2640" s="10" t="n">
        <v>8.851722296</v>
      </c>
      <c r="E2640" s="11" t="n">
        <v>12.20656998</v>
      </c>
      <c r="F2640" s="12" t="n">
        <v>0.01111219558</v>
      </c>
      <c r="G2640" s="11" t="n">
        <v>286.5063143</v>
      </c>
      <c r="H2640" s="13">
        <f>F2640*1000</f>
        <v/>
      </c>
      <c r="I2640" s="14">
        <f>G2640-273.15</f>
        <v/>
      </c>
      <c r="K2640" s="15" t="n">
        <v>2008</v>
      </c>
      <c r="L2640" s="15" t="n">
        <v>4</v>
      </c>
      <c r="M2640" s="15" t="n">
        <v>26</v>
      </c>
      <c r="N2640" s="16" t="n">
        <v>0.0001006059774</v>
      </c>
      <c r="O2640" s="11" t="n">
        <v>287.7639231</v>
      </c>
      <c r="P2640" s="13">
        <f>N2640*86400</f>
        <v/>
      </c>
      <c r="Q2640" s="14">
        <f>O2640-273.15</f>
        <v/>
      </c>
    </row>
    <row r="2641">
      <c r="A2641" s="9" t="n">
        <v>39528</v>
      </c>
      <c r="B2641" s="7">
        <f>YEAR(A2641)</f>
        <v/>
      </c>
      <c r="C2641" s="7">
        <f>MONTH(A2641)</f>
        <v/>
      </c>
      <c r="D2641" s="10" t="n">
        <v>4.975345523</v>
      </c>
      <c r="E2641" s="11" t="n">
        <v>10.94160808</v>
      </c>
      <c r="F2641" s="12" t="n">
        <v>0.002965631163</v>
      </c>
      <c r="G2641" s="11" t="n">
        <v>285.2834585</v>
      </c>
      <c r="H2641" s="13">
        <f>F2641*1000</f>
        <v/>
      </c>
      <c r="I2641" s="14">
        <f>G2641-273.15</f>
        <v/>
      </c>
      <c r="K2641" s="15" t="n">
        <v>2008</v>
      </c>
      <c r="L2641" s="15" t="n">
        <v>4</v>
      </c>
      <c r="M2641" s="15" t="n">
        <v>27</v>
      </c>
      <c r="N2641" s="16" t="n">
        <v>9.807669898e-06</v>
      </c>
      <c r="O2641" s="11" t="n">
        <v>289.2379756</v>
      </c>
      <c r="P2641" s="13">
        <f>N2641*86400</f>
        <v/>
      </c>
      <c r="Q2641" s="14">
        <f>O2641-273.15</f>
        <v/>
      </c>
    </row>
    <row r="2642">
      <c r="A2642" s="9" t="n">
        <v>39529</v>
      </c>
      <c r="B2642" s="7">
        <f>YEAR(A2642)</f>
        <v/>
      </c>
      <c r="C2642" s="7">
        <f>MONTH(A2642)</f>
        <v/>
      </c>
      <c r="D2642" s="10" t="n">
        <v>0</v>
      </c>
      <c r="E2642" s="11" t="n">
        <v>8.25576373</v>
      </c>
      <c r="F2642" s="12" t="n">
        <v>0</v>
      </c>
      <c r="G2642" s="11" t="n">
        <v>282.8977445</v>
      </c>
      <c r="H2642" s="13">
        <f>F2642*1000</f>
        <v/>
      </c>
      <c r="I2642" s="14">
        <f>G2642-273.15</f>
        <v/>
      </c>
      <c r="K2642" s="15" t="n">
        <v>2008</v>
      </c>
      <c r="L2642" s="15" t="n">
        <v>4</v>
      </c>
      <c r="M2642" s="15" t="n">
        <v>28</v>
      </c>
      <c r="N2642" s="16" t="n">
        <v>1.212803742e-06</v>
      </c>
      <c r="O2642" s="11" t="n">
        <v>288.6922229</v>
      </c>
      <c r="P2642" s="13">
        <f>N2642*86400</f>
        <v/>
      </c>
      <c r="Q2642" s="14">
        <f>O2642-273.15</f>
        <v/>
      </c>
    </row>
    <row r="2643">
      <c r="A2643" s="9" t="n">
        <v>39530</v>
      </c>
      <c r="B2643" s="7">
        <f>YEAR(A2643)</f>
        <v/>
      </c>
      <c r="C2643" s="7">
        <f>MONTH(A2643)</f>
        <v/>
      </c>
      <c r="D2643" s="10" t="n">
        <v>0</v>
      </c>
      <c r="E2643" s="11" t="n">
        <v>8.719916835999999</v>
      </c>
      <c r="F2643" s="12" t="n">
        <v>0</v>
      </c>
      <c r="G2643" s="11" t="n">
        <v>284.0516519</v>
      </c>
      <c r="H2643" s="13">
        <f>F2643*1000</f>
        <v/>
      </c>
      <c r="I2643" s="14">
        <f>G2643-273.15</f>
        <v/>
      </c>
      <c r="K2643" s="15" t="n">
        <v>2008</v>
      </c>
      <c r="L2643" s="15" t="n">
        <v>4</v>
      </c>
      <c r="M2643" s="15" t="n">
        <v>29</v>
      </c>
      <c r="N2643" s="16" t="n">
        <v>0</v>
      </c>
      <c r="O2643" s="11" t="n">
        <v>289.2886023</v>
      </c>
      <c r="P2643" s="13">
        <f>N2643*86400</f>
        <v/>
      </c>
      <c r="Q2643" s="14">
        <f>O2643-273.15</f>
        <v/>
      </c>
    </row>
    <row r="2644">
      <c r="A2644" s="9" t="n">
        <v>39531</v>
      </c>
      <c r="B2644" s="7">
        <f>YEAR(A2644)</f>
        <v/>
      </c>
      <c r="C2644" s="7">
        <f>MONTH(A2644)</f>
        <v/>
      </c>
      <c r="D2644" s="10" t="n">
        <v>0</v>
      </c>
      <c r="E2644" s="11" t="n">
        <v>10.19940771</v>
      </c>
      <c r="F2644" s="12" t="n">
        <v>0</v>
      </c>
      <c r="G2644" s="11" t="n">
        <v>285.4198628</v>
      </c>
      <c r="H2644" s="13">
        <f>F2644*1000</f>
        <v/>
      </c>
      <c r="I2644" s="14">
        <f>G2644-273.15</f>
        <v/>
      </c>
      <c r="K2644" s="15" t="n">
        <v>2008</v>
      </c>
      <c r="L2644" s="15" t="n">
        <v>4</v>
      </c>
      <c r="M2644" s="15" t="n">
        <v>30</v>
      </c>
      <c r="N2644" s="16" t="n">
        <v>4.338547874e-06</v>
      </c>
      <c r="O2644" s="11" t="n">
        <v>286.42247</v>
      </c>
      <c r="P2644" s="13">
        <f>N2644*86400</f>
        <v/>
      </c>
      <c r="Q2644" s="14">
        <f>O2644-273.15</f>
        <v/>
      </c>
    </row>
    <row r="2645">
      <c r="A2645" s="9" t="n">
        <v>39532</v>
      </c>
      <c r="B2645" s="7">
        <f>YEAR(A2645)</f>
        <v/>
      </c>
      <c r="C2645" s="7">
        <f>MONTH(A2645)</f>
        <v/>
      </c>
      <c r="D2645" s="10" t="n">
        <v>1.327806777</v>
      </c>
      <c r="E2645" s="11" t="n">
        <v>9.316087274999999</v>
      </c>
      <c r="F2645" s="12" t="n">
        <v>0.0006470744814</v>
      </c>
      <c r="G2645" s="11" t="n">
        <v>284.8976623</v>
      </c>
      <c r="H2645" s="13">
        <f>F2645*1000</f>
        <v/>
      </c>
      <c r="I2645" s="14">
        <f>G2645-273.15</f>
        <v/>
      </c>
      <c r="K2645" s="15" t="n">
        <v>2008</v>
      </c>
      <c r="L2645" s="15" t="n">
        <v>5</v>
      </c>
      <c r="M2645" s="15" t="n">
        <v>1</v>
      </c>
      <c r="N2645" s="16" t="n">
        <v>3.256667573e-05</v>
      </c>
      <c r="O2645" s="11" t="n">
        <v>286.9639303</v>
      </c>
      <c r="P2645" s="13">
        <f>N2645*86400</f>
        <v/>
      </c>
      <c r="Q2645" s="14">
        <f>O2645-273.15</f>
        <v/>
      </c>
    </row>
    <row r="2646">
      <c r="A2646" s="9" t="n">
        <v>39533</v>
      </c>
      <c r="B2646" s="7">
        <f>YEAR(A2646)</f>
        <v/>
      </c>
      <c r="C2646" s="7">
        <f>MONTH(A2646)</f>
        <v/>
      </c>
      <c r="D2646" s="10" t="n">
        <v>0</v>
      </c>
      <c r="E2646" s="11" t="n">
        <v>10.46775631</v>
      </c>
      <c r="F2646" s="12" t="n">
        <v>0</v>
      </c>
      <c r="G2646" s="11" t="n">
        <v>286.6795665</v>
      </c>
      <c r="H2646" s="13">
        <f>F2646*1000</f>
        <v/>
      </c>
      <c r="I2646" s="14">
        <f>G2646-273.15</f>
        <v/>
      </c>
      <c r="K2646" s="15" t="n">
        <v>2008</v>
      </c>
      <c r="L2646" s="15" t="n">
        <v>5</v>
      </c>
      <c r="M2646" s="15" t="n">
        <v>2</v>
      </c>
      <c r="N2646" s="16" t="n">
        <v>5.711199633e-06</v>
      </c>
      <c r="O2646" s="11" t="n">
        <v>287.4923807</v>
      </c>
      <c r="P2646" s="13">
        <f>N2646*86400</f>
        <v/>
      </c>
      <c r="Q2646" s="14">
        <f>O2646-273.15</f>
        <v/>
      </c>
    </row>
    <row r="2647">
      <c r="A2647" s="9" t="n">
        <v>39534</v>
      </c>
      <c r="B2647" s="7">
        <f>YEAR(A2647)</f>
        <v/>
      </c>
      <c r="C2647" s="7">
        <f>MONTH(A2647)</f>
        <v/>
      </c>
      <c r="D2647" s="10" t="n">
        <v>0</v>
      </c>
      <c r="E2647" s="11" t="n">
        <v>10.11995591</v>
      </c>
      <c r="F2647" s="12" t="n">
        <v>0</v>
      </c>
      <c r="G2647" s="11" t="n">
        <v>285.7155696</v>
      </c>
      <c r="H2647" s="13">
        <f>F2647*1000</f>
        <v/>
      </c>
      <c r="I2647" s="14">
        <f>G2647-273.15</f>
        <v/>
      </c>
      <c r="K2647" s="15" t="n">
        <v>2008</v>
      </c>
      <c r="L2647" s="15" t="n">
        <v>5</v>
      </c>
      <c r="M2647" s="15" t="n">
        <v>3</v>
      </c>
      <c r="N2647" s="16" t="n">
        <v>0</v>
      </c>
      <c r="O2647" s="11" t="n">
        <v>289.3476544</v>
      </c>
      <c r="P2647" s="13">
        <f>N2647*86400</f>
        <v/>
      </c>
      <c r="Q2647" s="14">
        <f>O2647-273.15</f>
        <v/>
      </c>
    </row>
    <row r="2648">
      <c r="A2648" s="9" t="n">
        <v>39535</v>
      </c>
      <c r="B2648" s="7">
        <f>YEAR(A2648)</f>
        <v/>
      </c>
      <c r="C2648" s="7">
        <f>MONTH(A2648)</f>
        <v/>
      </c>
      <c r="D2648" s="10" t="n">
        <v>0</v>
      </c>
      <c r="E2648" s="11" t="n">
        <v>10.57452537</v>
      </c>
      <c r="F2648" s="12" t="n">
        <v>0</v>
      </c>
      <c r="G2648" s="11" t="n">
        <v>284.6219433</v>
      </c>
      <c r="H2648" s="13">
        <f>F2648*1000</f>
        <v/>
      </c>
      <c r="I2648" s="14">
        <f>G2648-273.15</f>
        <v/>
      </c>
      <c r="K2648" s="15" t="n">
        <v>2008</v>
      </c>
      <c r="L2648" s="15" t="n">
        <v>5</v>
      </c>
      <c r="M2648" s="15" t="n">
        <v>4</v>
      </c>
      <c r="N2648" s="16" t="n">
        <v>1.007366568e-05</v>
      </c>
      <c r="O2648" s="11" t="n">
        <v>290.6166157</v>
      </c>
      <c r="P2648" s="13">
        <f>N2648*86400</f>
        <v/>
      </c>
      <c r="Q2648" s="14">
        <f>O2648-273.15</f>
        <v/>
      </c>
    </row>
    <row r="2649">
      <c r="A2649" s="9" t="n">
        <v>39536</v>
      </c>
      <c r="B2649" s="7">
        <f>YEAR(A2649)</f>
        <v/>
      </c>
      <c r="C2649" s="7">
        <f>MONTH(A2649)</f>
        <v/>
      </c>
      <c r="D2649" s="10" t="n">
        <v>0</v>
      </c>
      <c r="E2649" s="11" t="n">
        <v>10.32935947</v>
      </c>
      <c r="F2649" s="12" t="n">
        <v>0</v>
      </c>
      <c r="G2649" s="11" t="n">
        <v>285.4980814</v>
      </c>
      <c r="H2649" s="13">
        <f>F2649*1000</f>
        <v/>
      </c>
      <c r="I2649" s="14">
        <f>G2649-273.15</f>
        <v/>
      </c>
      <c r="K2649" s="15" t="n">
        <v>2008</v>
      </c>
      <c r="L2649" s="15" t="n">
        <v>5</v>
      </c>
      <c r="M2649" s="15" t="n">
        <v>5</v>
      </c>
      <c r="N2649" s="16" t="n">
        <v>3.010229726e-05</v>
      </c>
      <c r="O2649" s="11" t="n">
        <v>289.4005624</v>
      </c>
      <c r="P2649" s="13">
        <f>N2649*86400</f>
        <v/>
      </c>
      <c r="Q2649" s="14">
        <f>O2649-273.15</f>
        <v/>
      </c>
    </row>
    <row r="2650">
      <c r="A2650" s="9" t="n">
        <v>39537</v>
      </c>
      <c r="B2650" s="7">
        <f>YEAR(A2650)</f>
        <v/>
      </c>
      <c r="C2650" s="7">
        <f>MONTH(A2650)</f>
        <v/>
      </c>
      <c r="D2650" s="10" t="n">
        <v>0</v>
      </c>
      <c r="E2650" s="11" t="n">
        <v>11.48516239</v>
      </c>
      <c r="F2650" s="12" t="n">
        <v>4.256060933e-05</v>
      </c>
      <c r="G2650" s="11" t="n">
        <v>286.2310756</v>
      </c>
      <c r="H2650" s="13">
        <f>F2650*1000</f>
        <v/>
      </c>
      <c r="I2650" s="14">
        <f>G2650-273.15</f>
        <v/>
      </c>
      <c r="K2650" s="15" t="n">
        <v>2008</v>
      </c>
      <c r="L2650" s="15" t="n">
        <v>5</v>
      </c>
      <c r="M2650" s="15" t="n">
        <v>6</v>
      </c>
      <c r="N2650" s="16" t="n">
        <v>0</v>
      </c>
      <c r="O2650" s="11" t="n">
        <v>293.1109065</v>
      </c>
      <c r="P2650" s="13">
        <f>N2650*86400</f>
        <v/>
      </c>
      <c r="Q2650" s="14">
        <f>O2650-273.15</f>
        <v/>
      </c>
    </row>
    <row r="2651">
      <c r="A2651" s="9" t="n">
        <v>39538</v>
      </c>
      <c r="B2651" s="7">
        <f>YEAR(A2651)</f>
        <v/>
      </c>
      <c r="C2651" s="7">
        <f>MONTH(A2651)</f>
        <v/>
      </c>
      <c r="D2651" s="10" t="n">
        <v>0</v>
      </c>
      <c r="E2651" s="11" t="n">
        <v>11.60126312</v>
      </c>
      <c r="F2651" s="12" t="n">
        <v>0</v>
      </c>
      <c r="G2651" s="11" t="n">
        <v>287.4143348</v>
      </c>
      <c r="H2651" s="13">
        <f>F2651*1000</f>
        <v/>
      </c>
      <c r="I2651" s="14">
        <f>G2651-273.15</f>
        <v/>
      </c>
      <c r="K2651" s="15" t="n">
        <v>2008</v>
      </c>
      <c r="L2651" s="15" t="n">
        <v>5</v>
      </c>
      <c r="M2651" s="15" t="n">
        <v>7</v>
      </c>
      <c r="N2651" s="16" t="n">
        <v>0</v>
      </c>
      <c r="O2651" s="11" t="n">
        <v>291.9514847</v>
      </c>
      <c r="P2651" s="13">
        <f>N2651*86400</f>
        <v/>
      </c>
      <c r="Q2651" s="14">
        <f>O2651-273.15</f>
        <v/>
      </c>
    </row>
    <row r="2652">
      <c r="A2652" s="9" t="n">
        <v>39539</v>
      </c>
      <c r="B2652" s="7">
        <f>YEAR(A2652)</f>
        <v/>
      </c>
      <c r="C2652" s="7">
        <f>MONTH(A2652)</f>
        <v/>
      </c>
      <c r="D2652" s="10" t="n">
        <v>0</v>
      </c>
      <c r="E2652" s="11" t="n">
        <v>10.34012689</v>
      </c>
      <c r="F2652" s="12" t="n">
        <v>0</v>
      </c>
      <c r="G2652" s="11" t="n">
        <v>285.9622439</v>
      </c>
      <c r="H2652" s="13">
        <f>F2652*1000</f>
        <v/>
      </c>
      <c r="I2652" s="14">
        <f>G2652-273.15</f>
        <v/>
      </c>
      <c r="K2652" s="15" t="n">
        <v>2008</v>
      </c>
      <c r="L2652" s="15" t="n">
        <v>5</v>
      </c>
      <c r="M2652" s="15" t="n">
        <v>8</v>
      </c>
      <c r="N2652" s="16" t="n">
        <v>0</v>
      </c>
      <c r="O2652" s="11" t="n">
        <v>291.0288301</v>
      </c>
      <c r="P2652" s="13">
        <f>N2652*86400</f>
        <v/>
      </c>
      <c r="Q2652" s="14">
        <f>O2652-273.15</f>
        <v/>
      </c>
    </row>
    <row r="2653">
      <c r="A2653" s="9" t="n">
        <v>39540</v>
      </c>
      <c r="B2653" s="7">
        <f>YEAR(A2653)</f>
        <v/>
      </c>
      <c r="C2653" s="7">
        <f>MONTH(A2653)</f>
        <v/>
      </c>
      <c r="D2653" s="10" t="n">
        <v>0</v>
      </c>
      <c r="E2653" s="11" t="n">
        <v>10.17830313</v>
      </c>
      <c r="F2653" s="12" t="n">
        <v>0</v>
      </c>
      <c r="G2653" s="11" t="n">
        <v>286.4771354</v>
      </c>
      <c r="H2653" s="13">
        <f>F2653*1000</f>
        <v/>
      </c>
      <c r="I2653" s="14">
        <f>G2653-273.15</f>
        <v/>
      </c>
      <c r="K2653" s="15" t="n">
        <v>2008</v>
      </c>
      <c r="L2653" s="15" t="n">
        <v>5</v>
      </c>
      <c r="M2653" s="15" t="n">
        <v>9</v>
      </c>
      <c r="N2653" s="16" t="n">
        <v>2.975294758e-06</v>
      </c>
      <c r="O2653" s="11" t="n">
        <v>291.9634209</v>
      </c>
      <c r="P2653" s="13">
        <f>N2653*86400</f>
        <v/>
      </c>
      <c r="Q2653" s="14">
        <f>O2653-273.15</f>
        <v/>
      </c>
    </row>
    <row r="2654">
      <c r="A2654" s="9" t="n">
        <v>39541</v>
      </c>
      <c r="B2654" s="7">
        <f>YEAR(A2654)</f>
        <v/>
      </c>
      <c r="C2654" s="7">
        <f>MONTH(A2654)</f>
        <v/>
      </c>
      <c r="D2654" s="10" t="n">
        <v>0</v>
      </c>
      <c r="E2654" s="11" t="n">
        <v>10.23147203</v>
      </c>
      <c r="F2654" s="12" t="n">
        <v>0</v>
      </c>
      <c r="G2654" s="11" t="n">
        <v>286.8986358</v>
      </c>
      <c r="H2654" s="13">
        <f>F2654*1000</f>
        <v/>
      </c>
      <c r="I2654" s="14">
        <f>G2654-273.15</f>
        <v/>
      </c>
      <c r="K2654" s="15" t="n">
        <v>2008</v>
      </c>
      <c r="L2654" s="15" t="n">
        <v>5</v>
      </c>
      <c r="M2654" s="15" t="n">
        <v>10</v>
      </c>
      <c r="N2654" s="16" t="n">
        <v>0</v>
      </c>
      <c r="O2654" s="11" t="n">
        <v>290.4293524</v>
      </c>
      <c r="P2654" s="13">
        <f>N2654*86400</f>
        <v/>
      </c>
      <c r="Q2654" s="14">
        <f>O2654-273.15</f>
        <v/>
      </c>
    </row>
    <row r="2655">
      <c r="A2655" s="9" t="n">
        <v>39542</v>
      </c>
      <c r="B2655" s="7">
        <f>YEAR(A2655)</f>
        <v/>
      </c>
      <c r="C2655" s="7">
        <f>MONTH(A2655)</f>
        <v/>
      </c>
      <c r="D2655" s="10" t="n">
        <v>0</v>
      </c>
      <c r="E2655" s="11" t="n">
        <v>9.571375265</v>
      </c>
      <c r="F2655" s="12" t="n">
        <v>0</v>
      </c>
      <c r="G2655" s="11" t="n">
        <v>286.1852319</v>
      </c>
      <c r="H2655" s="13">
        <f>F2655*1000</f>
        <v/>
      </c>
      <c r="I2655" s="14">
        <f>G2655-273.15</f>
        <v/>
      </c>
      <c r="K2655" s="15" t="n">
        <v>2008</v>
      </c>
      <c r="L2655" s="15" t="n">
        <v>5</v>
      </c>
      <c r="M2655" s="15" t="n">
        <v>11</v>
      </c>
      <c r="N2655" s="16" t="n">
        <v>1.264622945e-06</v>
      </c>
      <c r="O2655" s="11" t="n">
        <v>290.2398697</v>
      </c>
      <c r="P2655" s="13">
        <f>N2655*86400</f>
        <v/>
      </c>
      <c r="Q2655" s="14">
        <f>O2655-273.15</f>
        <v/>
      </c>
    </row>
    <row r="2656">
      <c r="A2656" s="9" t="n">
        <v>39543</v>
      </c>
      <c r="B2656" s="7">
        <f>YEAR(A2656)</f>
        <v/>
      </c>
      <c r="C2656" s="7">
        <f>MONTH(A2656)</f>
        <v/>
      </c>
      <c r="D2656" s="10" t="n">
        <v>0</v>
      </c>
      <c r="E2656" s="11" t="n">
        <v>11.27427703</v>
      </c>
      <c r="F2656" s="12" t="n">
        <v>0</v>
      </c>
      <c r="G2656" s="11" t="n">
        <v>287.5303933</v>
      </c>
      <c r="H2656" s="13">
        <f>F2656*1000</f>
        <v/>
      </c>
      <c r="I2656" s="14">
        <f>G2656-273.15</f>
        <v/>
      </c>
      <c r="K2656" s="15" t="n">
        <v>2008</v>
      </c>
      <c r="L2656" s="15" t="n">
        <v>5</v>
      </c>
      <c r="M2656" s="15" t="n">
        <v>12</v>
      </c>
      <c r="N2656" s="16" t="n">
        <v>0</v>
      </c>
      <c r="O2656" s="11" t="n">
        <v>288.5805183</v>
      </c>
      <c r="P2656" s="13">
        <f>N2656*86400</f>
        <v/>
      </c>
      <c r="Q2656" s="14">
        <f>O2656-273.15</f>
        <v/>
      </c>
    </row>
    <row r="2657">
      <c r="A2657" s="9" t="n">
        <v>39544</v>
      </c>
      <c r="B2657" s="7">
        <f>YEAR(A2657)</f>
        <v/>
      </c>
      <c r="C2657" s="7">
        <f>MONTH(A2657)</f>
        <v/>
      </c>
      <c r="D2657" s="10" t="n">
        <v>0</v>
      </c>
      <c r="E2657" s="11" t="n">
        <v>10.00847518</v>
      </c>
      <c r="F2657" s="12" t="n">
        <v>0</v>
      </c>
      <c r="G2657" s="11" t="n">
        <v>286.2582061</v>
      </c>
      <c r="H2657" s="13">
        <f>F2657*1000</f>
        <v/>
      </c>
      <c r="I2657" s="14">
        <f>G2657-273.15</f>
        <v/>
      </c>
      <c r="K2657" s="15" t="n">
        <v>2008</v>
      </c>
      <c r="L2657" s="15" t="n">
        <v>5</v>
      </c>
      <c r="M2657" s="15" t="n">
        <v>13</v>
      </c>
      <c r="N2657" s="16" t="n">
        <v>1.87447582e-06</v>
      </c>
      <c r="O2657" s="11" t="n">
        <v>287.5753726</v>
      </c>
      <c r="P2657" s="13">
        <f>N2657*86400</f>
        <v/>
      </c>
      <c r="Q2657" s="14">
        <f>O2657-273.15</f>
        <v/>
      </c>
    </row>
    <row r="2658">
      <c r="A2658" s="9" t="n">
        <v>39545</v>
      </c>
      <c r="B2658" s="7">
        <f>YEAR(A2658)</f>
        <v/>
      </c>
      <c r="C2658" s="7">
        <f>MONTH(A2658)</f>
        <v/>
      </c>
      <c r="D2658" s="10" t="n">
        <v>0</v>
      </c>
      <c r="E2658" s="11" t="n">
        <v>9.051221053000001</v>
      </c>
      <c r="F2658" s="12" t="n">
        <v>0</v>
      </c>
      <c r="G2658" s="11" t="n">
        <v>285.5125376</v>
      </c>
      <c r="H2658" s="13">
        <f>F2658*1000</f>
        <v/>
      </c>
      <c r="I2658" s="14">
        <f>G2658-273.15</f>
        <v/>
      </c>
      <c r="K2658" s="15" t="n">
        <v>2008</v>
      </c>
      <c r="L2658" s="15" t="n">
        <v>5</v>
      </c>
      <c r="M2658" s="15" t="n">
        <v>14</v>
      </c>
      <c r="N2658" s="16" t="n">
        <v>0</v>
      </c>
      <c r="O2658" s="11" t="n">
        <v>286.5346614</v>
      </c>
      <c r="P2658" s="13">
        <f>N2658*86400</f>
        <v/>
      </c>
      <c r="Q2658" s="14">
        <f>O2658-273.15</f>
        <v/>
      </c>
    </row>
    <row r="2659">
      <c r="A2659" s="9" t="n">
        <v>39546</v>
      </c>
      <c r="B2659" s="7">
        <f>YEAR(A2659)</f>
        <v/>
      </c>
      <c r="C2659" s="7">
        <f>MONTH(A2659)</f>
        <v/>
      </c>
      <c r="D2659" s="10" t="n">
        <v>0</v>
      </c>
      <c r="E2659" s="11" t="n">
        <v>10.75952803</v>
      </c>
      <c r="F2659" s="12" t="n">
        <v>0</v>
      </c>
      <c r="G2659" s="11" t="n">
        <v>287.9291075</v>
      </c>
      <c r="H2659" s="13">
        <f>F2659*1000</f>
        <v/>
      </c>
      <c r="I2659" s="14">
        <f>G2659-273.15</f>
        <v/>
      </c>
      <c r="K2659" s="15" t="n">
        <v>2008</v>
      </c>
      <c r="L2659" s="15" t="n">
        <v>5</v>
      </c>
      <c r="M2659" s="15" t="n">
        <v>15</v>
      </c>
      <c r="N2659" s="16" t="n">
        <v>0</v>
      </c>
      <c r="O2659" s="11" t="n">
        <v>286.3479405</v>
      </c>
      <c r="P2659" s="13">
        <f>N2659*86400</f>
        <v/>
      </c>
      <c r="Q2659" s="14">
        <f>O2659-273.15</f>
        <v/>
      </c>
    </row>
    <row r="2660">
      <c r="A2660" s="9" t="n">
        <v>39547</v>
      </c>
      <c r="B2660" s="7">
        <f>YEAR(A2660)</f>
        <v/>
      </c>
      <c r="C2660" s="7">
        <f>MONTH(A2660)</f>
        <v/>
      </c>
      <c r="D2660" s="10" t="n">
        <v>0</v>
      </c>
      <c r="E2660" s="11" t="n">
        <v>11.62543221</v>
      </c>
      <c r="F2660" s="12" t="n">
        <v>0.001017846665</v>
      </c>
      <c r="G2660" s="11" t="n">
        <v>287.9728523</v>
      </c>
      <c r="H2660" s="13">
        <f>F2660*1000</f>
        <v/>
      </c>
      <c r="I2660" s="14">
        <f>G2660-273.15</f>
        <v/>
      </c>
      <c r="K2660" s="15" t="n">
        <v>2008</v>
      </c>
      <c r="L2660" s="15" t="n">
        <v>5</v>
      </c>
      <c r="M2660" s="15" t="n">
        <v>16</v>
      </c>
      <c r="N2660" s="16" t="n">
        <v>0</v>
      </c>
      <c r="O2660" s="11" t="n">
        <v>287.0673407</v>
      </c>
      <c r="P2660" s="13">
        <f>N2660*86400</f>
        <v/>
      </c>
      <c r="Q2660" s="14">
        <f>O2660-273.15</f>
        <v/>
      </c>
    </row>
    <row r="2661">
      <c r="A2661" s="9" t="n">
        <v>39548</v>
      </c>
      <c r="B2661" s="7">
        <f>YEAR(A2661)</f>
        <v/>
      </c>
      <c r="C2661" s="7">
        <f>MONTH(A2661)</f>
        <v/>
      </c>
      <c r="D2661" s="10" t="n">
        <v>0</v>
      </c>
      <c r="E2661" s="11" t="n">
        <v>11.12811495</v>
      </c>
      <c r="F2661" s="12" t="n">
        <v>0</v>
      </c>
      <c r="G2661" s="11" t="n">
        <v>287.6969731</v>
      </c>
      <c r="H2661" s="13">
        <f>F2661*1000</f>
        <v/>
      </c>
      <c r="I2661" s="14">
        <f>G2661-273.15</f>
        <v/>
      </c>
      <c r="K2661" s="15" t="n">
        <v>2008</v>
      </c>
      <c r="L2661" s="15" t="n">
        <v>5</v>
      </c>
      <c r="M2661" s="15" t="n">
        <v>17</v>
      </c>
      <c r="N2661" s="16" t="n">
        <v>0</v>
      </c>
      <c r="O2661" s="11" t="n">
        <v>288.23521</v>
      </c>
      <c r="P2661" s="13">
        <f>N2661*86400</f>
        <v/>
      </c>
      <c r="Q2661" s="14">
        <f>O2661-273.15</f>
        <v/>
      </c>
    </row>
    <row r="2662">
      <c r="A2662" s="9" t="n">
        <v>39549</v>
      </c>
      <c r="B2662" s="7">
        <f>YEAR(A2662)</f>
        <v/>
      </c>
      <c r="C2662" s="7">
        <f>MONTH(A2662)</f>
        <v/>
      </c>
      <c r="D2662" s="10" t="n">
        <v>6.261467864</v>
      </c>
      <c r="E2662" s="11" t="n">
        <v>10.30568414</v>
      </c>
      <c r="F2662" s="12" t="n">
        <v>0.005396583392</v>
      </c>
      <c r="G2662" s="11" t="n">
        <v>287.6191313</v>
      </c>
      <c r="H2662" s="13">
        <f>F2662*1000</f>
        <v/>
      </c>
      <c r="I2662" s="14">
        <f>G2662-273.15</f>
        <v/>
      </c>
      <c r="K2662" s="15" t="n">
        <v>2008</v>
      </c>
      <c r="L2662" s="15" t="n">
        <v>5</v>
      </c>
      <c r="M2662" s="15" t="n">
        <v>18</v>
      </c>
      <c r="N2662" s="16" t="n">
        <v>1.430169689e-05</v>
      </c>
      <c r="O2662" s="11" t="n">
        <v>290.0231233</v>
      </c>
      <c r="P2662" s="13">
        <f>N2662*86400</f>
        <v/>
      </c>
      <c r="Q2662" s="14">
        <f>O2662-273.15</f>
        <v/>
      </c>
    </row>
    <row r="2663">
      <c r="A2663" s="9" t="n">
        <v>39550</v>
      </c>
      <c r="B2663" s="7">
        <f>YEAR(A2663)</f>
        <v/>
      </c>
      <c r="C2663" s="7">
        <f>MONTH(A2663)</f>
        <v/>
      </c>
      <c r="D2663" s="10" t="n">
        <v>2.373043999</v>
      </c>
      <c r="E2663" s="11" t="n">
        <v>9.993351327999999</v>
      </c>
      <c r="F2663" s="12" t="n">
        <v>0.001225523083</v>
      </c>
      <c r="G2663" s="11" t="n">
        <v>287.0827561</v>
      </c>
      <c r="H2663" s="13">
        <f>F2663*1000</f>
        <v/>
      </c>
      <c r="I2663" s="14">
        <f>G2663-273.15</f>
        <v/>
      </c>
      <c r="K2663" s="15" t="n">
        <v>2008</v>
      </c>
      <c r="L2663" s="15" t="n">
        <v>5</v>
      </c>
      <c r="M2663" s="15" t="n">
        <v>19</v>
      </c>
      <c r="N2663" s="16" t="n">
        <v>1.655535772e-05</v>
      </c>
      <c r="O2663" s="11" t="n">
        <v>287.8805988</v>
      </c>
      <c r="P2663" s="13">
        <f>N2663*86400</f>
        <v/>
      </c>
      <c r="Q2663" s="14">
        <f>O2663-273.15</f>
        <v/>
      </c>
    </row>
    <row r="2664">
      <c r="A2664" s="9" t="n">
        <v>39551</v>
      </c>
      <c r="B2664" s="7">
        <f>YEAR(A2664)</f>
        <v/>
      </c>
      <c r="C2664" s="7">
        <f>MONTH(A2664)</f>
        <v/>
      </c>
      <c r="D2664" s="10" t="n">
        <v>9.396389634</v>
      </c>
      <c r="E2664" s="11" t="n">
        <v>8.988929359</v>
      </c>
      <c r="F2664" s="12" t="n">
        <v>0.004308100161</v>
      </c>
      <c r="G2664" s="11" t="n">
        <v>285.4129522</v>
      </c>
      <c r="H2664" s="13">
        <f>F2664*1000</f>
        <v/>
      </c>
      <c r="I2664" s="14">
        <f>G2664-273.15</f>
        <v/>
      </c>
      <c r="K2664" s="15" t="n">
        <v>2008</v>
      </c>
      <c r="L2664" s="15" t="n">
        <v>5</v>
      </c>
      <c r="M2664" s="15" t="n">
        <v>20</v>
      </c>
      <c r="N2664" s="16" t="n">
        <v>0.0002211604671</v>
      </c>
      <c r="O2664" s="11" t="n">
        <v>289.9618019</v>
      </c>
      <c r="P2664" s="13">
        <f>N2664*86400</f>
        <v/>
      </c>
      <c r="Q2664" s="14">
        <f>O2664-273.15</f>
        <v/>
      </c>
    </row>
    <row r="2665">
      <c r="A2665" s="9" t="n">
        <v>39552</v>
      </c>
      <c r="B2665" s="7">
        <f>YEAR(A2665)</f>
        <v/>
      </c>
      <c r="C2665" s="7">
        <f>MONTH(A2665)</f>
        <v/>
      </c>
      <c r="D2665" s="10" t="n">
        <v>0</v>
      </c>
      <c r="E2665" s="11" t="n">
        <v>11.2469499</v>
      </c>
      <c r="F2665" s="12" t="n">
        <v>0</v>
      </c>
      <c r="G2665" s="11" t="n">
        <v>286.766917</v>
      </c>
      <c r="H2665" s="13">
        <f>F2665*1000</f>
        <v/>
      </c>
      <c r="I2665" s="14">
        <f>G2665-273.15</f>
        <v/>
      </c>
      <c r="K2665" s="15" t="n">
        <v>2008</v>
      </c>
      <c r="L2665" s="15" t="n">
        <v>5</v>
      </c>
      <c r="M2665" s="15" t="n">
        <v>21</v>
      </c>
      <c r="N2665" s="16" t="n">
        <v>2.698578384e-05</v>
      </c>
      <c r="O2665" s="11" t="n">
        <v>289.1413802</v>
      </c>
      <c r="P2665" s="13">
        <f>N2665*86400</f>
        <v/>
      </c>
      <c r="Q2665" s="14">
        <f>O2665-273.15</f>
        <v/>
      </c>
    </row>
    <row r="2666">
      <c r="A2666" s="9" t="n">
        <v>39553</v>
      </c>
      <c r="B2666" s="7">
        <f>YEAR(A2666)</f>
        <v/>
      </c>
      <c r="C2666" s="7">
        <f>MONTH(A2666)</f>
        <v/>
      </c>
      <c r="D2666" s="10" t="n">
        <v>0</v>
      </c>
      <c r="E2666" s="11" t="n">
        <v>11.1687462</v>
      </c>
      <c r="F2666" s="12" t="n">
        <v>0</v>
      </c>
      <c r="G2666" s="11" t="n">
        <v>285.8329692</v>
      </c>
      <c r="H2666" s="13">
        <f>F2666*1000</f>
        <v/>
      </c>
      <c r="I2666" s="14">
        <f>G2666-273.15</f>
        <v/>
      </c>
      <c r="K2666" s="15" t="n">
        <v>2008</v>
      </c>
      <c r="L2666" s="15" t="n">
        <v>5</v>
      </c>
      <c r="M2666" s="15" t="n">
        <v>22</v>
      </c>
      <c r="N2666" s="16" t="n">
        <v>3.053068348e-06</v>
      </c>
      <c r="O2666" s="11" t="n">
        <v>290.2535225</v>
      </c>
      <c r="P2666" s="13">
        <f>N2666*86400</f>
        <v/>
      </c>
      <c r="Q2666" s="14">
        <f>O2666-273.15</f>
        <v/>
      </c>
    </row>
    <row r="2667">
      <c r="A2667" s="9" t="n">
        <v>39554</v>
      </c>
      <c r="B2667" s="7">
        <f>YEAR(A2667)</f>
        <v/>
      </c>
      <c r="C2667" s="7">
        <f>MONTH(A2667)</f>
        <v/>
      </c>
      <c r="D2667" s="10" t="n">
        <v>0</v>
      </c>
      <c r="E2667" s="11" t="n">
        <v>13.53422441</v>
      </c>
      <c r="F2667" s="12" t="n">
        <v>0</v>
      </c>
      <c r="G2667" s="11" t="n">
        <v>287.6722851</v>
      </c>
      <c r="H2667" s="13">
        <f>F2667*1000</f>
        <v/>
      </c>
      <c r="I2667" s="14">
        <f>G2667-273.15</f>
        <v/>
      </c>
      <c r="K2667" s="15" t="n">
        <v>2008</v>
      </c>
      <c r="L2667" s="15" t="n">
        <v>5</v>
      </c>
      <c r="M2667" s="15" t="n">
        <v>23</v>
      </c>
      <c r="N2667" s="16" t="n">
        <v>0</v>
      </c>
      <c r="O2667" s="11" t="n">
        <v>290.4425647</v>
      </c>
      <c r="P2667" s="13">
        <f>N2667*86400</f>
        <v/>
      </c>
      <c r="Q2667" s="14">
        <f>O2667-273.15</f>
        <v/>
      </c>
    </row>
    <row r="2668">
      <c r="A2668" s="9" t="n">
        <v>39555</v>
      </c>
      <c r="B2668" s="7">
        <f>YEAR(A2668)</f>
        <v/>
      </c>
      <c r="C2668" s="7">
        <f>MONTH(A2668)</f>
        <v/>
      </c>
      <c r="D2668" s="10" t="n">
        <v>0</v>
      </c>
      <c r="E2668" s="11" t="n">
        <v>13.06604249</v>
      </c>
      <c r="F2668" s="12" t="n">
        <v>0.000138830469</v>
      </c>
      <c r="G2668" s="11" t="n">
        <v>287.4956142</v>
      </c>
      <c r="H2668" s="13">
        <f>F2668*1000</f>
        <v/>
      </c>
      <c r="I2668" s="14">
        <f>G2668-273.15</f>
        <v/>
      </c>
      <c r="K2668" s="15" t="n">
        <v>2008</v>
      </c>
      <c r="L2668" s="15" t="n">
        <v>5</v>
      </c>
      <c r="M2668" s="15" t="n">
        <v>24</v>
      </c>
      <c r="N2668" s="16" t="n">
        <v>0</v>
      </c>
      <c r="O2668" s="11" t="n">
        <v>290.5665989</v>
      </c>
      <c r="P2668" s="13">
        <f>N2668*86400</f>
        <v/>
      </c>
      <c r="Q2668" s="14">
        <f>O2668-273.15</f>
        <v/>
      </c>
    </row>
    <row r="2669">
      <c r="A2669" s="9" t="n">
        <v>39556</v>
      </c>
      <c r="B2669" s="7">
        <f>YEAR(A2669)</f>
        <v/>
      </c>
      <c r="C2669" s="7">
        <f>MONTH(A2669)</f>
        <v/>
      </c>
      <c r="D2669" s="10" t="n">
        <v>0</v>
      </c>
      <c r="E2669" s="11" t="n">
        <v>17.84198546</v>
      </c>
      <c r="F2669" s="12" t="n">
        <v>0</v>
      </c>
      <c r="G2669" s="11" t="n">
        <v>291.3726843</v>
      </c>
      <c r="H2669" s="13">
        <f>F2669*1000</f>
        <v/>
      </c>
      <c r="I2669" s="14">
        <f>G2669-273.15</f>
        <v/>
      </c>
      <c r="K2669" s="15" t="n">
        <v>2008</v>
      </c>
      <c r="L2669" s="15" t="n">
        <v>5</v>
      </c>
      <c r="M2669" s="15" t="n">
        <v>25</v>
      </c>
      <c r="N2669" s="16" t="n">
        <v>6.539099831e-06</v>
      </c>
      <c r="O2669" s="11" t="n">
        <v>291.3375094</v>
      </c>
      <c r="P2669" s="13">
        <f>N2669*86400</f>
        <v/>
      </c>
      <c r="Q2669" s="14">
        <f>O2669-273.15</f>
        <v/>
      </c>
    </row>
    <row r="2670">
      <c r="A2670" s="9" t="n">
        <v>39557</v>
      </c>
      <c r="B2670" s="7">
        <f>YEAR(A2670)</f>
        <v/>
      </c>
      <c r="C2670" s="7">
        <f>MONTH(A2670)</f>
        <v/>
      </c>
      <c r="D2670" s="10" t="n">
        <v>0</v>
      </c>
      <c r="E2670" s="11" t="n">
        <v>18.34997077</v>
      </c>
      <c r="F2670" s="12" t="n">
        <v>0</v>
      </c>
      <c r="G2670" s="11" t="n">
        <v>292.7642106</v>
      </c>
      <c r="H2670" s="13">
        <f>F2670*1000</f>
        <v/>
      </c>
      <c r="I2670" s="14">
        <f>G2670-273.15</f>
        <v/>
      </c>
      <c r="K2670" s="15" t="n">
        <v>2008</v>
      </c>
      <c r="L2670" s="15" t="n">
        <v>5</v>
      </c>
      <c r="M2670" s="15" t="n">
        <v>26</v>
      </c>
      <c r="N2670" s="16" t="n">
        <v>0</v>
      </c>
      <c r="O2670" s="11" t="n">
        <v>293.1163683</v>
      </c>
      <c r="P2670" s="13">
        <f>N2670*86400</f>
        <v/>
      </c>
      <c r="Q2670" s="14">
        <f>O2670-273.15</f>
        <v/>
      </c>
    </row>
    <row r="2671">
      <c r="A2671" s="9" t="n">
        <v>39558</v>
      </c>
      <c r="B2671" s="7">
        <f>YEAR(A2671)</f>
        <v/>
      </c>
      <c r="C2671" s="7">
        <f>MONTH(A2671)</f>
        <v/>
      </c>
      <c r="D2671" s="10" t="n">
        <v>0</v>
      </c>
      <c r="E2671" s="11" t="n">
        <v>16.52472041</v>
      </c>
      <c r="F2671" s="12" t="n">
        <v>0</v>
      </c>
      <c r="G2671" s="11" t="n">
        <v>290.7708039</v>
      </c>
      <c r="H2671" s="13">
        <f>F2671*1000</f>
        <v/>
      </c>
      <c r="I2671" s="14">
        <f>G2671-273.15</f>
        <v/>
      </c>
      <c r="K2671" s="15" t="n">
        <v>2008</v>
      </c>
      <c r="L2671" s="15" t="n">
        <v>5</v>
      </c>
      <c r="M2671" s="15" t="n">
        <v>27</v>
      </c>
      <c r="N2671" s="16" t="n">
        <v>5.489478098e-06</v>
      </c>
      <c r="O2671" s="11" t="n">
        <v>293.286533</v>
      </c>
      <c r="P2671" s="13">
        <f>N2671*86400</f>
        <v/>
      </c>
      <c r="Q2671" s="14">
        <f>O2671-273.15</f>
        <v/>
      </c>
    </row>
    <row r="2672">
      <c r="A2672" s="9" t="n">
        <v>39559</v>
      </c>
      <c r="B2672" s="7">
        <f>YEAR(A2672)</f>
        <v/>
      </c>
      <c r="C2672" s="7">
        <f>MONTH(A2672)</f>
        <v/>
      </c>
      <c r="D2672" s="10" t="n">
        <v>0</v>
      </c>
      <c r="E2672" s="11" t="n">
        <v>15.68204833</v>
      </c>
      <c r="F2672" s="12" t="n">
        <v>0</v>
      </c>
      <c r="G2672" s="11" t="n">
        <v>290.265557</v>
      </c>
      <c r="H2672" s="13">
        <f>F2672*1000</f>
        <v/>
      </c>
      <c r="I2672" s="14">
        <f>G2672-273.15</f>
        <v/>
      </c>
      <c r="K2672" s="15" t="n">
        <v>2008</v>
      </c>
      <c r="L2672" s="15" t="n">
        <v>5</v>
      </c>
      <c r="M2672" s="15" t="n">
        <v>28</v>
      </c>
      <c r="N2672" s="16" t="n">
        <v>8.105413418e-05</v>
      </c>
      <c r="O2672" s="11" t="n">
        <v>291.4355358</v>
      </c>
      <c r="P2672" s="13">
        <f>N2672*86400</f>
        <v/>
      </c>
      <c r="Q2672" s="14">
        <f>O2672-273.15</f>
        <v/>
      </c>
    </row>
    <row r="2673">
      <c r="A2673" s="9" t="n">
        <v>39560</v>
      </c>
      <c r="B2673" s="7">
        <f>YEAR(A2673)</f>
        <v/>
      </c>
      <c r="C2673" s="7">
        <f>MONTH(A2673)</f>
        <v/>
      </c>
      <c r="D2673" s="10" t="n">
        <v>0</v>
      </c>
      <c r="E2673" s="11" t="n">
        <v>15.06649594</v>
      </c>
      <c r="F2673" s="12" t="n">
        <v>0</v>
      </c>
      <c r="G2673" s="11" t="n">
        <v>290.2903981</v>
      </c>
      <c r="H2673" s="13">
        <f>F2673*1000</f>
        <v/>
      </c>
      <c r="I2673" s="14">
        <f>G2673-273.15</f>
        <v/>
      </c>
      <c r="K2673" s="15" t="n">
        <v>2008</v>
      </c>
      <c r="L2673" s="15" t="n">
        <v>5</v>
      </c>
      <c r="M2673" s="15" t="n">
        <v>29</v>
      </c>
      <c r="N2673" s="16" t="n">
        <v>0.0002209378502</v>
      </c>
      <c r="O2673" s="11" t="n">
        <v>290.1446965</v>
      </c>
      <c r="P2673" s="13">
        <f>N2673*86400</f>
        <v/>
      </c>
      <c r="Q2673" s="14">
        <f>O2673-273.15</f>
        <v/>
      </c>
    </row>
    <row r="2674">
      <c r="A2674" s="9" t="n">
        <v>39561</v>
      </c>
      <c r="B2674" s="7">
        <f>YEAR(A2674)</f>
        <v/>
      </c>
      <c r="C2674" s="7">
        <f>MONTH(A2674)</f>
        <v/>
      </c>
      <c r="D2674" s="10" t="n">
        <v>0</v>
      </c>
      <c r="E2674" s="11" t="n">
        <v>12.85395783</v>
      </c>
      <c r="F2674" s="12" t="n">
        <v>0</v>
      </c>
      <c r="G2674" s="11" t="n">
        <v>288.6193152</v>
      </c>
      <c r="H2674" s="13">
        <f>F2674*1000</f>
        <v/>
      </c>
      <c r="I2674" s="14">
        <f>G2674-273.15</f>
        <v/>
      </c>
      <c r="K2674" s="15" t="n">
        <v>2008</v>
      </c>
      <c r="L2674" s="15" t="n">
        <v>5</v>
      </c>
      <c r="M2674" s="15" t="n">
        <v>30</v>
      </c>
      <c r="N2674" s="16" t="n">
        <v>1.681035873e-10</v>
      </c>
      <c r="O2674" s="11" t="n">
        <v>289.1788774</v>
      </c>
      <c r="P2674" s="13">
        <f>N2674*86400</f>
        <v/>
      </c>
      <c r="Q2674" s="14">
        <f>O2674-273.15</f>
        <v/>
      </c>
    </row>
    <row r="2675">
      <c r="A2675" s="9" t="n">
        <v>39562</v>
      </c>
      <c r="B2675" s="7">
        <f>YEAR(A2675)</f>
        <v/>
      </c>
      <c r="C2675" s="7">
        <f>MONTH(A2675)</f>
        <v/>
      </c>
      <c r="D2675" s="10" t="n">
        <v>0</v>
      </c>
      <c r="E2675" s="11" t="n">
        <v>13.64252162</v>
      </c>
      <c r="F2675" s="12" t="n">
        <v>0</v>
      </c>
      <c r="G2675" s="11" t="n">
        <v>288.5252274</v>
      </c>
      <c r="H2675" s="13">
        <f>F2675*1000</f>
        <v/>
      </c>
      <c r="I2675" s="14">
        <f>G2675-273.15</f>
        <v/>
      </c>
      <c r="K2675" s="15" t="n">
        <v>2008</v>
      </c>
      <c r="L2675" s="15" t="n">
        <v>6</v>
      </c>
      <c r="M2675" s="15" t="n">
        <v>1</v>
      </c>
      <c r="N2675" s="16" t="n">
        <v>0</v>
      </c>
      <c r="O2675" s="11" t="n">
        <v>289.4059732</v>
      </c>
      <c r="P2675" s="13">
        <f>N2675*86400</f>
        <v/>
      </c>
      <c r="Q2675" s="14">
        <f>O2675-273.15</f>
        <v/>
      </c>
    </row>
    <row r="2676">
      <c r="A2676" s="9" t="n">
        <v>39563</v>
      </c>
      <c r="B2676" s="7">
        <f>YEAR(A2676)</f>
        <v/>
      </c>
      <c r="C2676" s="7">
        <f>MONTH(A2676)</f>
        <v/>
      </c>
      <c r="D2676" s="10" t="n">
        <v>0</v>
      </c>
      <c r="E2676" s="11" t="n">
        <v>13.97661643</v>
      </c>
      <c r="F2676" s="12" t="n">
        <v>0</v>
      </c>
      <c r="G2676" s="11" t="n">
        <v>289.701666</v>
      </c>
      <c r="H2676" s="13">
        <f>F2676*1000</f>
        <v/>
      </c>
      <c r="I2676" s="14">
        <f>G2676-273.15</f>
        <v/>
      </c>
      <c r="K2676" s="15" t="n">
        <v>2008</v>
      </c>
      <c r="L2676" s="15" t="n">
        <v>6</v>
      </c>
      <c r="M2676" s="15" t="n">
        <v>2</v>
      </c>
      <c r="N2676" s="16" t="n">
        <v>1.231819367e-07</v>
      </c>
      <c r="O2676" s="11" t="n">
        <v>290.8380363</v>
      </c>
      <c r="P2676" s="13">
        <f>N2676*86400</f>
        <v/>
      </c>
      <c r="Q2676" s="14">
        <f>O2676-273.15</f>
        <v/>
      </c>
    </row>
    <row r="2677">
      <c r="A2677" s="9" t="n">
        <v>39564</v>
      </c>
      <c r="B2677" s="7">
        <f>YEAR(A2677)</f>
        <v/>
      </c>
      <c r="C2677" s="7">
        <f>MONTH(A2677)</f>
        <v/>
      </c>
      <c r="D2677" s="10" t="n">
        <v>0</v>
      </c>
      <c r="E2677" s="11" t="n">
        <v>11.20978881</v>
      </c>
      <c r="F2677" s="12" t="n">
        <v>0.001935199077</v>
      </c>
      <c r="G2677" s="11" t="n">
        <v>286.6485109</v>
      </c>
      <c r="H2677" s="13">
        <f>F2677*1000</f>
        <v/>
      </c>
      <c r="I2677" s="14">
        <f>G2677-273.15</f>
        <v/>
      </c>
      <c r="K2677" s="15" t="n">
        <v>2008</v>
      </c>
      <c r="L2677" s="15" t="n">
        <v>6</v>
      </c>
      <c r="M2677" s="15" t="n">
        <v>3</v>
      </c>
      <c r="N2677" s="16" t="n">
        <v>2.561876835e-06</v>
      </c>
      <c r="O2677" s="11" t="n">
        <v>293.6305833</v>
      </c>
      <c r="P2677" s="13">
        <f>N2677*86400</f>
        <v/>
      </c>
      <c r="Q2677" s="14">
        <f>O2677-273.15</f>
        <v/>
      </c>
    </row>
    <row r="2678">
      <c r="A2678" s="9" t="n">
        <v>39565</v>
      </c>
      <c r="B2678" s="7">
        <f>YEAR(A2678)</f>
        <v/>
      </c>
      <c r="C2678" s="7">
        <f>MONTH(A2678)</f>
        <v/>
      </c>
      <c r="D2678" s="10" t="n">
        <v>0</v>
      </c>
      <c r="E2678" s="11" t="n">
        <v>12.70058513</v>
      </c>
      <c r="F2678" s="12" t="n">
        <v>0</v>
      </c>
      <c r="G2678" s="11" t="n">
        <v>287.5534091</v>
      </c>
      <c r="H2678" s="13">
        <f>F2678*1000</f>
        <v/>
      </c>
      <c r="I2678" s="14">
        <f>G2678-273.15</f>
        <v/>
      </c>
      <c r="K2678" s="15" t="n">
        <v>2008</v>
      </c>
      <c r="L2678" s="15" t="n">
        <v>6</v>
      </c>
      <c r="M2678" s="15" t="n">
        <v>4</v>
      </c>
      <c r="N2678" s="16" t="n">
        <v>7.075662443e-07</v>
      </c>
      <c r="O2678" s="11" t="n">
        <v>294.8793101</v>
      </c>
      <c r="P2678" s="13">
        <f>N2678*86400</f>
        <v/>
      </c>
      <c r="Q2678" s="14">
        <f>O2678-273.15</f>
        <v/>
      </c>
    </row>
    <row r="2679">
      <c r="A2679" s="9" t="n">
        <v>39566</v>
      </c>
      <c r="B2679" s="7">
        <f>YEAR(A2679)</f>
        <v/>
      </c>
      <c r="C2679" s="7">
        <f>MONTH(A2679)</f>
        <v/>
      </c>
      <c r="D2679" s="10" t="n">
        <v>0</v>
      </c>
      <c r="E2679" s="11" t="n">
        <v>14.86104853</v>
      </c>
      <c r="F2679" s="12" t="n">
        <v>0</v>
      </c>
      <c r="G2679" s="11" t="n">
        <v>288.790977</v>
      </c>
      <c r="H2679" s="13">
        <f>F2679*1000</f>
        <v/>
      </c>
      <c r="I2679" s="14">
        <f>G2679-273.15</f>
        <v/>
      </c>
      <c r="K2679" s="15" t="n">
        <v>2008</v>
      </c>
      <c r="L2679" s="15" t="n">
        <v>6</v>
      </c>
      <c r="M2679" s="15" t="n">
        <v>5</v>
      </c>
      <c r="N2679" s="16" t="n">
        <v>0</v>
      </c>
      <c r="O2679" s="11" t="n">
        <v>292.7599109</v>
      </c>
      <c r="P2679" s="13">
        <f>N2679*86400</f>
        <v/>
      </c>
      <c r="Q2679" s="14">
        <f>O2679-273.15</f>
        <v/>
      </c>
    </row>
    <row r="2680">
      <c r="A2680" s="9" t="n">
        <v>39567</v>
      </c>
      <c r="B2680" s="7">
        <f>YEAR(A2680)</f>
        <v/>
      </c>
      <c r="C2680" s="7">
        <f>MONTH(A2680)</f>
        <v/>
      </c>
      <c r="D2680" s="10" t="n">
        <v>0</v>
      </c>
      <c r="E2680" s="11" t="n">
        <v>13.48132636</v>
      </c>
      <c r="F2680" s="12" t="n">
        <v>0</v>
      </c>
      <c r="G2680" s="11" t="n">
        <v>288.0943637</v>
      </c>
      <c r="H2680" s="13">
        <f>F2680*1000</f>
        <v/>
      </c>
      <c r="I2680" s="14">
        <f>G2680-273.15</f>
        <v/>
      </c>
      <c r="K2680" s="15" t="n">
        <v>2008</v>
      </c>
      <c r="L2680" s="15" t="n">
        <v>6</v>
      </c>
      <c r="M2680" s="15" t="n">
        <v>6</v>
      </c>
      <c r="N2680" s="16" t="n">
        <v>0</v>
      </c>
      <c r="O2680" s="11" t="n">
        <v>294.7277421</v>
      </c>
      <c r="P2680" s="13">
        <f>N2680*86400</f>
        <v/>
      </c>
      <c r="Q2680" s="14">
        <f>O2680-273.15</f>
        <v/>
      </c>
    </row>
    <row r="2681">
      <c r="A2681" s="9" t="n">
        <v>39568</v>
      </c>
      <c r="B2681" s="7">
        <f>YEAR(A2681)</f>
        <v/>
      </c>
      <c r="C2681" s="7">
        <f>MONTH(A2681)</f>
        <v/>
      </c>
      <c r="D2681" s="10" t="n">
        <v>0</v>
      </c>
      <c r="E2681" s="11" t="n">
        <v>13.6798605</v>
      </c>
      <c r="F2681" s="12" t="n">
        <v>0</v>
      </c>
      <c r="G2681" s="11" t="n">
        <v>289.0378506</v>
      </c>
      <c r="H2681" s="13">
        <f>F2681*1000</f>
        <v/>
      </c>
      <c r="I2681" s="14">
        <f>G2681-273.15</f>
        <v/>
      </c>
      <c r="K2681" s="15" t="n">
        <v>2008</v>
      </c>
      <c r="L2681" s="15" t="n">
        <v>6</v>
      </c>
      <c r="M2681" s="15" t="n">
        <v>7</v>
      </c>
      <c r="N2681" s="16" t="n">
        <v>7.521730261e-06</v>
      </c>
      <c r="O2681" s="11" t="n">
        <v>294.4005821</v>
      </c>
      <c r="P2681" s="13">
        <f>N2681*86400</f>
        <v/>
      </c>
      <c r="Q2681" s="14">
        <f>O2681-273.15</f>
        <v/>
      </c>
    </row>
    <row r="2682">
      <c r="A2682" s="9" t="n">
        <v>39569</v>
      </c>
      <c r="B2682" s="7">
        <f>YEAR(A2682)</f>
        <v/>
      </c>
      <c r="C2682" s="7">
        <f>MONTH(A2682)</f>
        <v/>
      </c>
      <c r="D2682" s="10" t="n">
        <v>0</v>
      </c>
      <c r="E2682" s="11" t="n">
        <v>15.5001908</v>
      </c>
      <c r="F2682" s="12" t="n">
        <v>0</v>
      </c>
      <c r="G2682" s="11" t="n">
        <v>291.5314963</v>
      </c>
      <c r="H2682" s="13">
        <f>F2682*1000</f>
        <v/>
      </c>
      <c r="I2682" s="14">
        <f>G2682-273.15</f>
        <v/>
      </c>
      <c r="K2682" s="15" t="n">
        <v>2008</v>
      </c>
      <c r="L2682" s="15" t="n">
        <v>6</v>
      </c>
      <c r="M2682" s="15" t="n">
        <v>8</v>
      </c>
      <c r="N2682" s="16" t="n">
        <v>9.590280663e-06</v>
      </c>
      <c r="O2682" s="11" t="n">
        <v>293.6877095</v>
      </c>
      <c r="P2682" s="13">
        <f>N2682*86400</f>
        <v/>
      </c>
      <c r="Q2682" s="14">
        <f>O2682-273.15</f>
        <v/>
      </c>
    </row>
    <row r="2683">
      <c r="A2683" s="9" t="n">
        <v>39570</v>
      </c>
      <c r="B2683" s="7">
        <f>YEAR(A2683)</f>
        <v/>
      </c>
      <c r="C2683" s="7">
        <f>MONTH(A2683)</f>
        <v/>
      </c>
      <c r="D2683" s="10" t="n">
        <v>0</v>
      </c>
      <c r="E2683" s="11" t="n">
        <v>14.29986489</v>
      </c>
      <c r="F2683" s="12" t="n">
        <v>0</v>
      </c>
      <c r="G2683" s="11" t="n">
        <v>290.1793608</v>
      </c>
      <c r="H2683" s="13">
        <f>F2683*1000</f>
        <v/>
      </c>
      <c r="I2683" s="14">
        <f>G2683-273.15</f>
        <v/>
      </c>
      <c r="K2683" s="15" t="n">
        <v>2008</v>
      </c>
      <c r="L2683" s="15" t="n">
        <v>6</v>
      </c>
      <c r="M2683" s="15" t="n">
        <v>9</v>
      </c>
      <c r="N2683" s="16" t="n">
        <v>1.926245222e-06</v>
      </c>
      <c r="O2683" s="11" t="n">
        <v>293.3016119</v>
      </c>
      <c r="P2683" s="13">
        <f>N2683*86400</f>
        <v/>
      </c>
      <c r="Q2683" s="14">
        <f>O2683-273.15</f>
        <v/>
      </c>
    </row>
    <row r="2684">
      <c r="A2684" s="9" t="n">
        <v>39571</v>
      </c>
      <c r="B2684" s="7">
        <f>YEAR(A2684)</f>
        <v/>
      </c>
      <c r="C2684" s="7">
        <f>MONTH(A2684)</f>
        <v/>
      </c>
      <c r="D2684" s="10" t="n">
        <v>0</v>
      </c>
      <c r="E2684" s="11" t="n">
        <v>13.87684908</v>
      </c>
      <c r="F2684" s="12" t="n">
        <v>0</v>
      </c>
      <c r="G2684" s="11" t="n">
        <v>289.6237095</v>
      </c>
      <c r="H2684" s="13">
        <f>F2684*1000</f>
        <v/>
      </c>
      <c r="I2684" s="14">
        <f>G2684-273.15</f>
        <v/>
      </c>
      <c r="K2684" s="15" t="n">
        <v>2008</v>
      </c>
      <c r="L2684" s="15" t="n">
        <v>6</v>
      </c>
      <c r="M2684" s="15" t="n">
        <v>10</v>
      </c>
      <c r="N2684" s="16" t="n">
        <v>3.637545751e-05</v>
      </c>
      <c r="O2684" s="11" t="n">
        <v>291.6867937</v>
      </c>
      <c r="P2684" s="13">
        <f>N2684*86400</f>
        <v/>
      </c>
      <c r="Q2684" s="14">
        <f>O2684-273.15</f>
        <v/>
      </c>
    </row>
    <row r="2685">
      <c r="A2685" s="9" t="n">
        <v>39572</v>
      </c>
      <c r="B2685" s="7">
        <f>YEAR(A2685)</f>
        <v/>
      </c>
      <c r="C2685" s="7">
        <f>MONTH(A2685)</f>
        <v/>
      </c>
      <c r="D2685" s="10" t="n">
        <v>0</v>
      </c>
      <c r="E2685" s="11" t="n">
        <v>12.99773564</v>
      </c>
      <c r="F2685" s="12" t="n">
        <v>0</v>
      </c>
      <c r="G2685" s="11" t="n">
        <v>287.670853</v>
      </c>
      <c r="H2685" s="13">
        <f>F2685*1000</f>
        <v/>
      </c>
      <c r="I2685" s="14">
        <f>G2685-273.15</f>
        <v/>
      </c>
      <c r="K2685" s="15" t="n">
        <v>2008</v>
      </c>
      <c r="L2685" s="15" t="n">
        <v>6</v>
      </c>
      <c r="M2685" s="15" t="n">
        <v>11</v>
      </c>
      <c r="N2685" s="16" t="n">
        <v>0.0001474329901</v>
      </c>
      <c r="O2685" s="11" t="n">
        <v>291.7646311</v>
      </c>
      <c r="P2685" s="13">
        <f>N2685*86400</f>
        <v/>
      </c>
      <c r="Q2685" s="14">
        <f>O2685-273.15</f>
        <v/>
      </c>
    </row>
    <row r="2686">
      <c r="A2686" s="9" t="n">
        <v>39573</v>
      </c>
      <c r="B2686" s="7">
        <f>YEAR(A2686)</f>
        <v/>
      </c>
      <c r="C2686" s="7">
        <f>MONTH(A2686)</f>
        <v/>
      </c>
      <c r="D2686" s="10" t="n">
        <v>0.1395946126</v>
      </c>
      <c r="E2686" s="11" t="n">
        <v>15.89118502</v>
      </c>
      <c r="F2686" s="12" t="n">
        <v>0.001470353254</v>
      </c>
      <c r="G2686" s="11" t="n">
        <v>289.9704186</v>
      </c>
      <c r="H2686" s="13">
        <f>F2686*1000</f>
        <v/>
      </c>
      <c r="I2686" s="14">
        <f>G2686-273.15</f>
        <v/>
      </c>
      <c r="K2686" s="15" t="n">
        <v>2008</v>
      </c>
      <c r="L2686" s="15" t="n">
        <v>6</v>
      </c>
      <c r="M2686" s="15" t="n">
        <v>12</v>
      </c>
      <c r="N2686" s="16" t="n">
        <v>4.726628075e-06</v>
      </c>
      <c r="O2686" s="11" t="n">
        <v>291.3686093</v>
      </c>
      <c r="P2686" s="13">
        <f>N2686*86400</f>
        <v/>
      </c>
      <c r="Q2686" s="14">
        <f>O2686-273.15</f>
        <v/>
      </c>
    </row>
    <row r="2687">
      <c r="A2687" s="9" t="n">
        <v>39574</v>
      </c>
      <c r="B2687" s="7">
        <f>YEAR(A2687)</f>
        <v/>
      </c>
      <c r="C2687" s="7">
        <f>MONTH(A2687)</f>
        <v/>
      </c>
      <c r="D2687" s="10" t="n">
        <v>0</v>
      </c>
      <c r="E2687" s="11" t="n">
        <v>17.05533001</v>
      </c>
      <c r="F2687" s="12" t="n">
        <v>0</v>
      </c>
      <c r="G2687" s="11" t="n">
        <v>291.6461657</v>
      </c>
      <c r="H2687" s="13">
        <f>F2687*1000</f>
        <v/>
      </c>
      <c r="I2687" s="14">
        <f>G2687-273.15</f>
        <v/>
      </c>
      <c r="K2687" s="15" t="n">
        <v>2008</v>
      </c>
      <c r="L2687" s="15" t="n">
        <v>6</v>
      </c>
      <c r="M2687" s="15" t="n">
        <v>13</v>
      </c>
      <c r="N2687" s="16" t="n">
        <v>8.207414913999999e-06</v>
      </c>
      <c r="O2687" s="11" t="n">
        <v>291.6523848</v>
      </c>
      <c r="P2687" s="13">
        <f>N2687*86400</f>
        <v/>
      </c>
      <c r="Q2687" s="14">
        <f>O2687-273.15</f>
        <v/>
      </c>
    </row>
    <row r="2688">
      <c r="A2688" s="9" t="n">
        <v>39575</v>
      </c>
      <c r="B2688" s="7">
        <f>YEAR(A2688)</f>
        <v/>
      </c>
      <c r="C2688" s="7">
        <f>MONTH(A2688)</f>
        <v/>
      </c>
      <c r="D2688" s="10" t="n">
        <v>0</v>
      </c>
      <c r="E2688" s="11" t="n">
        <v>18.35711142</v>
      </c>
      <c r="F2688" s="12" t="n">
        <v>0</v>
      </c>
      <c r="G2688" s="11" t="n">
        <v>292.0352182</v>
      </c>
      <c r="H2688" s="13">
        <f>F2688*1000</f>
        <v/>
      </c>
      <c r="I2688" s="14">
        <f>G2688-273.15</f>
        <v/>
      </c>
      <c r="K2688" s="15" t="n">
        <v>2008</v>
      </c>
      <c r="L2688" s="15" t="n">
        <v>6</v>
      </c>
      <c r="M2688" s="15" t="n">
        <v>14</v>
      </c>
      <c r="N2688" s="16" t="n">
        <v>3.957478453e-05</v>
      </c>
      <c r="O2688" s="11" t="n">
        <v>292.2496684</v>
      </c>
      <c r="P2688" s="13">
        <f>N2688*86400</f>
        <v/>
      </c>
      <c r="Q2688" s="14">
        <f>O2688-273.15</f>
        <v/>
      </c>
    </row>
    <row r="2689">
      <c r="A2689" s="9" t="n">
        <v>39576</v>
      </c>
      <c r="B2689" s="7">
        <f>YEAR(A2689)</f>
        <v/>
      </c>
      <c r="C2689" s="7">
        <f>MONTH(A2689)</f>
        <v/>
      </c>
      <c r="D2689" s="10" t="n">
        <v>0</v>
      </c>
      <c r="E2689" s="11" t="n">
        <v>16.36119231</v>
      </c>
      <c r="F2689" s="12" t="n">
        <v>0</v>
      </c>
      <c r="G2689" s="11" t="n">
        <v>291.4054581</v>
      </c>
      <c r="H2689" s="13">
        <f>F2689*1000</f>
        <v/>
      </c>
      <c r="I2689" s="14">
        <f>G2689-273.15</f>
        <v/>
      </c>
      <c r="K2689" s="15" t="n">
        <v>2008</v>
      </c>
      <c r="L2689" s="15" t="n">
        <v>6</v>
      </c>
      <c r="M2689" s="15" t="n">
        <v>15</v>
      </c>
      <c r="N2689" s="16" t="n">
        <v>1.644889154e-06</v>
      </c>
      <c r="O2689" s="11" t="n">
        <v>291.1786774</v>
      </c>
      <c r="P2689" s="13">
        <f>N2689*86400</f>
        <v/>
      </c>
      <c r="Q2689" s="14">
        <f>O2689-273.15</f>
        <v/>
      </c>
    </row>
    <row r="2690">
      <c r="A2690" s="9" t="n">
        <v>39577</v>
      </c>
      <c r="B2690" s="7">
        <f>YEAR(A2690)</f>
        <v/>
      </c>
      <c r="C2690" s="7">
        <f>MONTH(A2690)</f>
        <v/>
      </c>
      <c r="D2690" s="10" t="n">
        <v>0</v>
      </c>
      <c r="E2690" s="11" t="n">
        <v>17.1612762</v>
      </c>
      <c r="F2690" s="12" t="n">
        <v>0</v>
      </c>
      <c r="G2690" s="11" t="n">
        <v>292.6285656</v>
      </c>
      <c r="H2690" s="13">
        <f>F2690*1000</f>
        <v/>
      </c>
      <c r="I2690" s="14">
        <f>G2690-273.15</f>
        <v/>
      </c>
      <c r="K2690" s="15" t="n">
        <v>2008</v>
      </c>
      <c r="L2690" s="15" t="n">
        <v>6</v>
      </c>
      <c r="M2690" s="15" t="n">
        <v>16</v>
      </c>
      <c r="N2690" s="16" t="n">
        <v>0</v>
      </c>
      <c r="O2690" s="11" t="n">
        <v>292.0176171</v>
      </c>
      <c r="P2690" s="13">
        <f>N2690*86400</f>
        <v/>
      </c>
      <c r="Q2690" s="14">
        <f>O2690-273.15</f>
        <v/>
      </c>
    </row>
    <row r="2691">
      <c r="A2691" s="9" t="n">
        <v>39578</v>
      </c>
      <c r="B2691" s="7">
        <f>YEAR(A2691)</f>
        <v/>
      </c>
      <c r="C2691" s="7">
        <f>MONTH(A2691)</f>
        <v/>
      </c>
      <c r="D2691" s="10" t="n">
        <v>0</v>
      </c>
      <c r="E2691" s="11" t="n">
        <v>16.67874951</v>
      </c>
      <c r="F2691" s="12" t="n">
        <v>0</v>
      </c>
      <c r="G2691" s="11" t="n">
        <v>291.765723</v>
      </c>
      <c r="H2691" s="13">
        <f>F2691*1000</f>
        <v/>
      </c>
      <c r="I2691" s="14">
        <f>G2691-273.15</f>
        <v/>
      </c>
      <c r="K2691" s="15" t="n">
        <v>2008</v>
      </c>
      <c r="L2691" s="15" t="n">
        <v>6</v>
      </c>
      <c r="M2691" s="15" t="n">
        <v>17</v>
      </c>
      <c r="N2691" s="16" t="n">
        <v>1.98044355e-05</v>
      </c>
      <c r="O2691" s="11" t="n">
        <v>290.286537</v>
      </c>
      <c r="P2691" s="13">
        <f>N2691*86400</f>
        <v/>
      </c>
      <c r="Q2691" s="14">
        <f>O2691-273.15</f>
        <v/>
      </c>
    </row>
    <row r="2692">
      <c r="A2692" s="9" t="n">
        <v>39579</v>
      </c>
      <c r="B2692" s="7">
        <f>YEAR(A2692)</f>
        <v/>
      </c>
      <c r="C2692" s="7">
        <f>MONTH(A2692)</f>
        <v/>
      </c>
      <c r="D2692" s="10" t="n">
        <v>0</v>
      </c>
      <c r="E2692" s="11" t="n">
        <v>15.99074905</v>
      </c>
      <c r="F2692" s="12" t="n">
        <v>0</v>
      </c>
      <c r="G2692" s="11" t="n">
        <v>290.8285259</v>
      </c>
      <c r="H2692" s="13">
        <f>F2692*1000</f>
        <v/>
      </c>
      <c r="I2692" s="14">
        <f>G2692-273.15</f>
        <v/>
      </c>
      <c r="K2692" s="15" t="n">
        <v>2008</v>
      </c>
      <c r="L2692" s="15" t="n">
        <v>6</v>
      </c>
      <c r="M2692" s="15" t="n">
        <v>18</v>
      </c>
      <c r="N2692" s="16" t="n">
        <v>8.625032533999999e-06</v>
      </c>
      <c r="O2692" s="11" t="n">
        <v>291.4542059</v>
      </c>
      <c r="P2692" s="13">
        <f>N2692*86400</f>
        <v/>
      </c>
      <c r="Q2692" s="14">
        <f>O2692-273.15</f>
        <v/>
      </c>
    </row>
    <row r="2693">
      <c r="A2693" s="9" t="n">
        <v>39580</v>
      </c>
      <c r="B2693" s="7">
        <f>YEAR(A2693)</f>
        <v/>
      </c>
      <c r="C2693" s="7">
        <f>MONTH(A2693)</f>
        <v/>
      </c>
      <c r="D2693" s="10" t="n">
        <v>0</v>
      </c>
      <c r="E2693" s="11" t="n">
        <v>18.78236843</v>
      </c>
      <c r="F2693" s="12" t="n">
        <v>0</v>
      </c>
      <c r="G2693" s="11" t="n">
        <v>293.3036021</v>
      </c>
      <c r="H2693" s="13">
        <f>F2693*1000</f>
        <v/>
      </c>
      <c r="I2693" s="14">
        <f>G2693-273.15</f>
        <v/>
      </c>
      <c r="K2693" s="15" t="n">
        <v>2008</v>
      </c>
      <c r="L2693" s="15" t="n">
        <v>6</v>
      </c>
      <c r="M2693" s="15" t="n">
        <v>19</v>
      </c>
      <c r="N2693" s="16" t="n">
        <v>1.436995007e-05</v>
      </c>
      <c r="O2693" s="11" t="n">
        <v>292.6685852</v>
      </c>
      <c r="P2693" s="13">
        <f>N2693*86400</f>
        <v/>
      </c>
      <c r="Q2693" s="14">
        <f>O2693-273.15</f>
        <v/>
      </c>
    </row>
    <row r="2694">
      <c r="A2694" s="9" t="n">
        <v>39581</v>
      </c>
      <c r="B2694" s="7">
        <f>YEAR(A2694)</f>
        <v/>
      </c>
      <c r="C2694" s="7">
        <f>MONTH(A2694)</f>
        <v/>
      </c>
      <c r="D2694" s="10" t="n">
        <v>0</v>
      </c>
      <c r="E2694" s="11" t="n">
        <v>17.71913778</v>
      </c>
      <c r="F2694" s="12" t="n">
        <v>0</v>
      </c>
      <c r="G2694" s="11" t="n">
        <v>292.5357946</v>
      </c>
      <c r="H2694" s="13">
        <f>F2694*1000</f>
        <v/>
      </c>
      <c r="I2694" s="14">
        <f>G2694-273.15</f>
        <v/>
      </c>
      <c r="K2694" s="15" t="n">
        <v>2008</v>
      </c>
      <c r="L2694" s="15" t="n">
        <v>6</v>
      </c>
      <c r="M2694" s="15" t="n">
        <v>20</v>
      </c>
      <c r="N2694" s="16" t="n">
        <v>2.289163784e-05</v>
      </c>
      <c r="O2694" s="11" t="n">
        <v>291.1072926</v>
      </c>
      <c r="P2694" s="13">
        <f>N2694*86400</f>
        <v/>
      </c>
      <c r="Q2694" s="14">
        <f>O2694-273.15</f>
        <v/>
      </c>
    </row>
    <row r="2695">
      <c r="A2695" s="9" t="n">
        <v>39582</v>
      </c>
      <c r="B2695" s="7">
        <f>YEAR(A2695)</f>
        <v/>
      </c>
      <c r="C2695" s="7">
        <f>MONTH(A2695)</f>
        <v/>
      </c>
      <c r="D2695" s="10" t="n">
        <v>0</v>
      </c>
      <c r="E2695" s="11" t="n">
        <v>16.12504561</v>
      </c>
      <c r="F2695" s="12" t="n">
        <v>0</v>
      </c>
      <c r="G2695" s="11" t="n">
        <v>290.9422563</v>
      </c>
      <c r="H2695" s="13">
        <f>F2695*1000</f>
        <v/>
      </c>
      <c r="I2695" s="14">
        <f>G2695-273.15</f>
        <v/>
      </c>
      <c r="K2695" s="15" t="n">
        <v>2008</v>
      </c>
      <c r="L2695" s="15" t="n">
        <v>6</v>
      </c>
      <c r="M2695" s="15" t="n">
        <v>21</v>
      </c>
      <c r="N2695" s="16" t="n">
        <v>3.413595094e-05</v>
      </c>
      <c r="O2695" s="11" t="n">
        <v>292.5577166</v>
      </c>
      <c r="P2695" s="13">
        <f>N2695*86400</f>
        <v/>
      </c>
      <c r="Q2695" s="14">
        <f>O2695-273.15</f>
        <v/>
      </c>
    </row>
    <row r="2696">
      <c r="A2696" s="9" t="n">
        <v>39583</v>
      </c>
      <c r="B2696" s="7">
        <f>YEAR(A2696)</f>
        <v/>
      </c>
      <c r="C2696" s="7">
        <f>MONTH(A2696)</f>
        <v/>
      </c>
      <c r="D2696" s="10" t="n">
        <v>0</v>
      </c>
      <c r="E2696" s="11" t="n">
        <v>17.57323345</v>
      </c>
      <c r="F2696" s="12" t="n">
        <v>0</v>
      </c>
      <c r="G2696" s="11" t="n">
        <v>291.0507021</v>
      </c>
      <c r="H2696" s="13">
        <f>F2696*1000</f>
        <v/>
      </c>
      <c r="I2696" s="14">
        <f>G2696-273.15</f>
        <v/>
      </c>
      <c r="K2696" s="15" t="n">
        <v>2008</v>
      </c>
      <c r="L2696" s="15" t="n">
        <v>6</v>
      </c>
      <c r="M2696" s="15" t="n">
        <v>22</v>
      </c>
      <c r="N2696" s="16" t="n">
        <v>0.0001317687979</v>
      </c>
      <c r="O2696" s="11" t="n">
        <v>291.5220807</v>
      </c>
      <c r="P2696" s="13">
        <f>N2696*86400</f>
        <v/>
      </c>
      <c r="Q2696" s="14">
        <f>O2696-273.15</f>
        <v/>
      </c>
    </row>
    <row r="2697">
      <c r="A2697" s="9" t="n">
        <v>39584</v>
      </c>
      <c r="B2697" s="7">
        <f>YEAR(A2697)</f>
        <v/>
      </c>
      <c r="C2697" s="7">
        <f>MONTH(A2697)</f>
        <v/>
      </c>
      <c r="D2697" s="10" t="n">
        <v>0</v>
      </c>
      <c r="E2697" s="11" t="n">
        <v>19.72122463</v>
      </c>
      <c r="F2697" s="12" t="n">
        <v>0</v>
      </c>
      <c r="G2697" s="11" t="n">
        <v>293.1805297</v>
      </c>
      <c r="H2697" s="13">
        <f>F2697*1000</f>
        <v/>
      </c>
      <c r="I2697" s="14">
        <f>G2697-273.15</f>
        <v/>
      </c>
      <c r="K2697" s="15" t="n">
        <v>2008</v>
      </c>
      <c r="L2697" s="15" t="n">
        <v>6</v>
      </c>
      <c r="M2697" s="15" t="n">
        <v>23</v>
      </c>
      <c r="N2697" s="16" t="n">
        <v>0.0002054450266</v>
      </c>
      <c r="O2697" s="11" t="n">
        <v>292.6520466</v>
      </c>
      <c r="P2697" s="13">
        <f>N2697*86400</f>
        <v/>
      </c>
      <c r="Q2697" s="14">
        <f>O2697-273.15</f>
        <v/>
      </c>
    </row>
    <row r="2698">
      <c r="A2698" s="9" t="n">
        <v>39585</v>
      </c>
      <c r="B2698" s="7">
        <f>YEAR(A2698)</f>
        <v/>
      </c>
      <c r="C2698" s="7">
        <f>MONTH(A2698)</f>
        <v/>
      </c>
      <c r="D2698" s="10" t="n">
        <v>0</v>
      </c>
      <c r="E2698" s="11" t="n">
        <v>18.95951376</v>
      </c>
      <c r="F2698" s="12" t="n">
        <v>0</v>
      </c>
      <c r="G2698" s="11" t="n">
        <v>292.8406304</v>
      </c>
      <c r="H2698" s="13">
        <f>F2698*1000</f>
        <v/>
      </c>
      <c r="I2698" s="14">
        <f>G2698-273.15</f>
        <v/>
      </c>
      <c r="K2698" s="15" t="n">
        <v>2008</v>
      </c>
      <c r="L2698" s="15" t="n">
        <v>6</v>
      </c>
      <c r="M2698" s="15" t="n">
        <v>24</v>
      </c>
      <c r="N2698" s="16" t="n">
        <v>0.0001106464624</v>
      </c>
      <c r="O2698" s="11" t="n">
        <v>293.0823353</v>
      </c>
      <c r="P2698" s="13">
        <f>N2698*86400</f>
        <v/>
      </c>
      <c r="Q2698" s="14">
        <f>O2698-273.15</f>
        <v/>
      </c>
    </row>
    <row r="2699">
      <c r="A2699" s="9" t="n">
        <v>39586</v>
      </c>
      <c r="B2699" s="7">
        <f>YEAR(A2699)</f>
        <v/>
      </c>
      <c r="C2699" s="7">
        <f>MONTH(A2699)</f>
        <v/>
      </c>
      <c r="D2699" s="10" t="n">
        <v>0</v>
      </c>
      <c r="E2699" s="11" t="n">
        <v>18.0540995</v>
      </c>
      <c r="F2699" s="12" t="n">
        <v>0</v>
      </c>
      <c r="G2699" s="11" t="n">
        <v>292.2151909</v>
      </c>
      <c r="H2699" s="13">
        <f>F2699*1000</f>
        <v/>
      </c>
      <c r="I2699" s="14">
        <f>G2699-273.15</f>
        <v/>
      </c>
      <c r="K2699" s="15" t="n">
        <v>2008</v>
      </c>
      <c r="L2699" s="15" t="n">
        <v>6</v>
      </c>
      <c r="M2699" s="15" t="n">
        <v>25</v>
      </c>
      <c r="N2699" s="16" t="n">
        <v>0.0001146531747</v>
      </c>
      <c r="O2699" s="11" t="n">
        <v>291.823739</v>
      </c>
      <c r="P2699" s="13">
        <f>N2699*86400</f>
        <v/>
      </c>
      <c r="Q2699" s="14">
        <f>O2699-273.15</f>
        <v/>
      </c>
    </row>
    <row r="2700">
      <c r="A2700" s="9" t="n">
        <v>39587</v>
      </c>
      <c r="B2700" s="7">
        <f>YEAR(A2700)</f>
        <v/>
      </c>
      <c r="C2700" s="7">
        <f>MONTH(A2700)</f>
        <v/>
      </c>
      <c r="D2700" s="10" t="n">
        <v>0</v>
      </c>
      <c r="E2700" s="11" t="n">
        <v>17.46049184</v>
      </c>
      <c r="F2700" s="12" t="n">
        <v>0</v>
      </c>
      <c r="G2700" s="11" t="n">
        <v>292.228054</v>
      </c>
      <c r="H2700" s="13">
        <f>F2700*1000</f>
        <v/>
      </c>
      <c r="I2700" s="14">
        <f>G2700-273.15</f>
        <v/>
      </c>
      <c r="K2700" s="15" t="n">
        <v>2008</v>
      </c>
      <c r="L2700" s="15" t="n">
        <v>6</v>
      </c>
      <c r="M2700" s="15" t="n">
        <v>26</v>
      </c>
      <c r="N2700" s="16" t="n">
        <v>7.544401628e-05</v>
      </c>
      <c r="O2700" s="11" t="n">
        <v>291.5432716</v>
      </c>
      <c r="P2700" s="13">
        <f>N2700*86400</f>
        <v/>
      </c>
      <c r="Q2700" s="14">
        <f>O2700-273.15</f>
        <v/>
      </c>
    </row>
    <row r="2701">
      <c r="A2701" s="9" t="n">
        <v>39588</v>
      </c>
      <c r="B2701" s="7">
        <f>YEAR(A2701)</f>
        <v/>
      </c>
      <c r="C2701" s="7">
        <f>MONTH(A2701)</f>
        <v/>
      </c>
      <c r="D2701" s="10" t="n">
        <v>0</v>
      </c>
      <c r="E2701" s="11" t="n">
        <v>16.29629929</v>
      </c>
      <c r="F2701" s="12" t="n">
        <v>0</v>
      </c>
      <c r="G2701" s="11" t="n">
        <v>291.2943405</v>
      </c>
      <c r="H2701" s="13">
        <f>F2701*1000</f>
        <v/>
      </c>
      <c r="I2701" s="14">
        <f>G2701-273.15</f>
        <v/>
      </c>
      <c r="K2701" s="15" t="n">
        <v>2008</v>
      </c>
      <c r="L2701" s="15" t="n">
        <v>6</v>
      </c>
      <c r="M2701" s="15" t="n">
        <v>27</v>
      </c>
      <c r="N2701" s="16" t="n">
        <v>0.0001482870097</v>
      </c>
      <c r="O2701" s="11" t="n">
        <v>289.6229892</v>
      </c>
      <c r="P2701" s="13">
        <f>N2701*86400</f>
        <v/>
      </c>
      <c r="Q2701" s="14">
        <f>O2701-273.15</f>
        <v/>
      </c>
    </row>
    <row r="2702">
      <c r="A2702" s="9" t="n">
        <v>39589</v>
      </c>
      <c r="B2702" s="7">
        <f>YEAR(A2702)</f>
        <v/>
      </c>
      <c r="C2702" s="7">
        <f>MONTH(A2702)</f>
        <v/>
      </c>
      <c r="D2702" s="10" t="n">
        <v>0</v>
      </c>
      <c r="E2702" s="11" t="n">
        <v>16.22978007</v>
      </c>
      <c r="F2702" s="12" t="n">
        <v>0.0003157685274</v>
      </c>
      <c r="G2702" s="11" t="n">
        <v>291.6839224</v>
      </c>
      <c r="H2702" s="13">
        <f>F2702*1000</f>
        <v/>
      </c>
      <c r="I2702" s="14">
        <f>G2702-273.15</f>
        <v/>
      </c>
      <c r="K2702" s="15" t="n">
        <v>2008</v>
      </c>
      <c r="L2702" s="15" t="n">
        <v>6</v>
      </c>
      <c r="M2702" s="15" t="n">
        <v>28</v>
      </c>
      <c r="N2702" s="16" t="n">
        <v>8.121294599000001e-05</v>
      </c>
      <c r="O2702" s="11" t="n">
        <v>290.24734</v>
      </c>
      <c r="P2702" s="13">
        <f>N2702*86400</f>
        <v/>
      </c>
      <c r="Q2702" s="14">
        <f>O2702-273.15</f>
        <v/>
      </c>
    </row>
    <row r="2703">
      <c r="A2703" s="9" t="n">
        <v>39590</v>
      </c>
      <c r="B2703" s="7">
        <f>YEAR(A2703)</f>
        <v/>
      </c>
      <c r="C2703" s="7">
        <f>MONTH(A2703)</f>
        <v/>
      </c>
      <c r="D2703" s="10" t="n">
        <v>0</v>
      </c>
      <c r="E2703" s="11" t="n">
        <v>17.11175809</v>
      </c>
      <c r="F2703" s="12" t="n">
        <v>0.002863748076</v>
      </c>
      <c r="G2703" s="11" t="n">
        <v>291.805084</v>
      </c>
      <c r="H2703" s="13">
        <f>F2703*1000</f>
        <v/>
      </c>
      <c r="I2703" s="14">
        <f>G2703-273.15</f>
        <v/>
      </c>
      <c r="K2703" s="15" t="n">
        <v>2008</v>
      </c>
      <c r="L2703" s="15" t="n">
        <v>6</v>
      </c>
      <c r="M2703" s="15" t="n">
        <v>29</v>
      </c>
      <c r="N2703" s="16" t="n">
        <v>0.0001272380144</v>
      </c>
      <c r="O2703" s="11" t="n">
        <v>291.871571</v>
      </c>
      <c r="P2703" s="13">
        <f>N2703*86400</f>
        <v/>
      </c>
      <c r="Q2703" s="14">
        <f>O2703-273.15</f>
        <v/>
      </c>
    </row>
    <row r="2704">
      <c r="A2704" s="9" t="n">
        <v>39591</v>
      </c>
      <c r="B2704" s="7">
        <f>YEAR(A2704)</f>
        <v/>
      </c>
      <c r="C2704" s="7">
        <f>MONTH(A2704)</f>
        <v/>
      </c>
      <c r="D2704" s="10" t="n">
        <v>0</v>
      </c>
      <c r="E2704" s="11" t="n">
        <v>19.36967961</v>
      </c>
      <c r="F2704" s="12" t="n">
        <v>0</v>
      </c>
      <c r="G2704" s="11" t="n">
        <v>293.5785573</v>
      </c>
      <c r="H2704" s="13">
        <f>F2704*1000</f>
        <v/>
      </c>
      <c r="I2704" s="14">
        <f>G2704-273.15</f>
        <v/>
      </c>
      <c r="K2704" s="15" t="n">
        <v>2008</v>
      </c>
      <c r="L2704" s="15" t="n">
        <v>6</v>
      </c>
      <c r="M2704" s="15" t="n">
        <v>30</v>
      </c>
      <c r="N2704" s="16" t="n">
        <v>0.0001871232177</v>
      </c>
      <c r="O2704" s="11" t="n">
        <v>292.2575347</v>
      </c>
      <c r="P2704" s="13">
        <f>N2704*86400</f>
        <v/>
      </c>
      <c r="Q2704" s="14">
        <f>O2704-273.15</f>
        <v/>
      </c>
    </row>
    <row r="2705">
      <c r="A2705" s="9" t="n">
        <v>39592</v>
      </c>
      <c r="B2705" s="7">
        <f>YEAR(A2705)</f>
        <v/>
      </c>
      <c r="C2705" s="7">
        <f>MONTH(A2705)</f>
        <v/>
      </c>
      <c r="D2705" s="10" t="n">
        <v>0</v>
      </c>
      <c r="E2705" s="11" t="n">
        <v>18.36456524</v>
      </c>
      <c r="F2705" s="12" t="n">
        <v>0.00209091559</v>
      </c>
      <c r="G2705" s="11" t="n">
        <v>293.2958622</v>
      </c>
      <c r="H2705" s="13">
        <f>F2705*1000</f>
        <v/>
      </c>
      <c r="I2705" s="14">
        <f>G2705-273.15</f>
        <v/>
      </c>
      <c r="K2705" s="15" t="n">
        <v>2008</v>
      </c>
      <c r="L2705" s="15" t="n">
        <v>7</v>
      </c>
      <c r="M2705" s="15" t="n">
        <v>1</v>
      </c>
      <c r="N2705" s="16" t="n">
        <v>2.680921407e-06</v>
      </c>
      <c r="O2705" s="11" t="n">
        <v>290.5143915</v>
      </c>
      <c r="P2705" s="13">
        <f>N2705*86400</f>
        <v/>
      </c>
      <c r="Q2705" s="14">
        <f>O2705-273.15</f>
        <v/>
      </c>
    </row>
    <row r="2706">
      <c r="A2706" s="9" t="n">
        <v>39593</v>
      </c>
      <c r="B2706" s="7">
        <f>YEAR(A2706)</f>
        <v/>
      </c>
      <c r="C2706" s="7">
        <f>MONTH(A2706)</f>
        <v/>
      </c>
      <c r="D2706" s="10" t="n">
        <v>0</v>
      </c>
      <c r="E2706" s="11" t="n">
        <v>19.11498431</v>
      </c>
      <c r="F2706" s="12" t="n">
        <v>0.0002690102631</v>
      </c>
      <c r="G2706" s="11" t="n">
        <v>293.9290969</v>
      </c>
      <c r="H2706" s="13">
        <f>F2706*1000</f>
        <v/>
      </c>
      <c r="I2706" s="14">
        <f>G2706-273.15</f>
        <v/>
      </c>
      <c r="K2706" s="15" t="n">
        <v>2008</v>
      </c>
      <c r="L2706" s="15" t="n">
        <v>7</v>
      </c>
      <c r="M2706" s="15" t="n">
        <v>2</v>
      </c>
      <c r="N2706" s="16" t="n">
        <v>1.324434995e-05</v>
      </c>
      <c r="O2706" s="11" t="n">
        <v>289.5183139</v>
      </c>
      <c r="P2706" s="13">
        <f>N2706*86400</f>
        <v/>
      </c>
      <c r="Q2706" s="14">
        <f>O2706-273.15</f>
        <v/>
      </c>
    </row>
    <row r="2707">
      <c r="A2707" s="9" t="n">
        <v>39594</v>
      </c>
      <c r="B2707" s="7">
        <f>YEAR(A2707)</f>
        <v/>
      </c>
      <c r="C2707" s="7">
        <f>MONTH(A2707)</f>
        <v/>
      </c>
      <c r="D2707" s="10" t="n">
        <v>0</v>
      </c>
      <c r="E2707" s="11" t="n">
        <v>16.77959925</v>
      </c>
      <c r="F2707" s="12" t="n">
        <v>0</v>
      </c>
      <c r="G2707" s="11" t="n">
        <v>292.1524039</v>
      </c>
      <c r="H2707" s="13">
        <f>F2707*1000</f>
        <v/>
      </c>
      <c r="I2707" s="14">
        <f>G2707-273.15</f>
        <v/>
      </c>
      <c r="K2707" s="15" t="n">
        <v>2008</v>
      </c>
      <c r="L2707" s="15" t="n">
        <v>7</v>
      </c>
      <c r="M2707" s="15" t="n">
        <v>3</v>
      </c>
      <c r="N2707" s="16" t="n">
        <v>0.0001065429739</v>
      </c>
      <c r="O2707" s="11" t="n">
        <v>289.9883193</v>
      </c>
      <c r="P2707" s="13">
        <f>N2707*86400</f>
        <v/>
      </c>
      <c r="Q2707" s="14">
        <f>O2707-273.15</f>
        <v/>
      </c>
    </row>
    <row r="2708">
      <c r="A2708" s="9" t="n">
        <v>39595</v>
      </c>
      <c r="B2708" s="7">
        <f>YEAR(A2708)</f>
        <v/>
      </c>
      <c r="C2708" s="7">
        <f>MONTH(A2708)</f>
        <v/>
      </c>
      <c r="D2708" s="10" t="n">
        <v>0</v>
      </c>
      <c r="E2708" s="11" t="n">
        <v>14.45969593</v>
      </c>
      <c r="F2708" s="12" t="n">
        <v>0</v>
      </c>
      <c r="G2708" s="11" t="n">
        <v>289.8083322</v>
      </c>
      <c r="H2708" s="13">
        <f>F2708*1000</f>
        <v/>
      </c>
      <c r="I2708" s="14">
        <f>G2708-273.15</f>
        <v/>
      </c>
      <c r="K2708" s="15" t="n">
        <v>2008</v>
      </c>
      <c r="L2708" s="15" t="n">
        <v>7</v>
      </c>
      <c r="M2708" s="15" t="n">
        <v>4</v>
      </c>
      <c r="N2708" s="16" t="n">
        <v>0.0002330004152</v>
      </c>
      <c r="O2708" s="11" t="n">
        <v>291.5819004</v>
      </c>
      <c r="P2708" s="13">
        <f>N2708*86400</f>
        <v/>
      </c>
      <c r="Q2708" s="14">
        <f>O2708-273.15</f>
        <v/>
      </c>
    </row>
    <row r="2709">
      <c r="A2709" s="9" t="n">
        <v>39596</v>
      </c>
      <c r="B2709" s="7">
        <f>YEAR(A2709)</f>
        <v/>
      </c>
      <c r="C2709" s="7">
        <f>MONTH(A2709)</f>
        <v/>
      </c>
      <c r="D2709" s="10" t="n">
        <v>0</v>
      </c>
      <c r="E2709" s="11" t="n">
        <v>19.17727979</v>
      </c>
      <c r="F2709" s="12" t="n">
        <v>0.0126466211</v>
      </c>
      <c r="G2709" s="11" t="n">
        <v>292.9032627</v>
      </c>
      <c r="H2709" s="13">
        <f>F2709*1000</f>
        <v/>
      </c>
      <c r="I2709" s="14">
        <f>G2709-273.15</f>
        <v/>
      </c>
      <c r="K2709" s="15" t="n">
        <v>2008</v>
      </c>
      <c r="L2709" s="15" t="n">
        <v>7</v>
      </c>
      <c r="M2709" s="15" t="n">
        <v>5</v>
      </c>
      <c r="N2709" s="16" t="n">
        <v>4.076997776e-05</v>
      </c>
      <c r="O2709" s="11" t="n">
        <v>292.2076961</v>
      </c>
      <c r="P2709" s="13">
        <f>N2709*86400</f>
        <v/>
      </c>
      <c r="Q2709" s="14">
        <f>O2709-273.15</f>
        <v/>
      </c>
    </row>
    <row r="2710">
      <c r="A2710" s="9" t="n">
        <v>39597</v>
      </c>
      <c r="B2710" s="7">
        <f>YEAR(A2710)</f>
        <v/>
      </c>
      <c r="C2710" s="7">
        <f>MONTH(A2710)</f>
        <v/>
      </c>
      <c r="D2710" s="10" t="n">
        <v>0.5918582477</v>
      </c>
      <c r="E2710" s="11" t="n">
        <v>17.8316583</v>
      </c>
      <c r="F2710" s="12" t="n">
        <v>0.007979350673000001</v>
      </c>
      <c r="G2710" s="11" t="n">
        <v>290.929644</v>
      </c>
      <c r="H2710" s="13">
        <f>F2710*1000</f>
        <v/>
      </c>
      <c r="I2710" s="14">
        <f>G2710-273.15</f>
        <v/>
      </c>
      <c r="K2710" s="15" t="n">
        <v>2008</v>
      </c>
      <c r="L2710" s="15" t="n">
        <v>7</v>
      </c>
      <c r="M2710" s="15" t="n">
        <v>6</v>
      </c>
      <c r="N2710" s="16" t="n">
        <v>6.297789032000001e-05</v>
      </c>
      <c r="O2710" s="11" t="n">
        <v>292.7838775</v>
      </c>
      <c r="P2710" s="13">
        <f>N2710*86400</f>
        <v/>
      </c>
      <c r="Q2710" s="14">
        <f>O2710-273.15</f>
        <v/>
      </c>
    </row>
    <row r="2711">
      <c r="A2711" s="9" t="n">
        <v>39598</v>
      </c>
      <c r="B2711" s="7">
        <f>YEAR(A2711)</f>
        <v/>
      </c>
      <c r="C2711" s="7">
        <f>MONTH(A2711)</f>
        <v/>
      </c>
      <c r="D2711" s="10" t="n">
        <v>14.16732406</v>
      </c>
      <c r="E2711" s="11" t="n">
        <v>16.03178305</v>
      </c>
      <c r="F2711" s="12" t="n">
        <v>0.009992512726</v>
      </c>
      <c r="G2711" s="11" t="n">
        <v>289.9279554</v>
      </c>
      <c r="H2711" s="13">
        <f>F2711*1000</f>
        <v/>
      </c>
      <c r="I2711" s="14">
        <f>G2711-273.15</f>
        <v/>
      </c>
      <c r="K2711" s="15" t="n">
        <v>2008</v>
      </c>
      <c r="L2711" s="15" t="n">
        <v>7</v>
      </c>
      <c r="M2711" s="15" t="n">
        <v>7</v>
      </c>
      <c r="N2711" s="16" t="n">
        <v>2.419713728e-06</v>
      </c>
      <c r="O2711" s="11" t="n">
        <v>294.097159</v>
      </c>
      <c r="P2711" s="13">
        <f>N2711*86400</f>
        <v/>
      </c>
      <c r="Q2711" s="14">
        <f>O2711-273.15</f>
        <v/>
      </c>
    </row>
    <row r="2712">
      <c r="A2712" s="9" t="n">
        <v>39599</v>
      </c>
      <c r="B2712" s="7">
        <f>YEAR(A2712)</f>
        <v/>
      </c>
      <c r="C2712" s="7">
        <f>MONTH(A2712)</f>
        <v/>
      </c>
      <c r="D2712" s="10" t="n">
        <v>3.961874593</v>
      </c>
      <c r="E2712" s="11" t="n">
        <v>16.54305561</v>
      </c>
      <c r="F2712" s="12" t="n">
        <v>0.00506451194</v>
      </c>
      <c r="G2712" s="11" t="n">
        <v>290.7918761</v>
      </c>
      <c r="H2712" s="13">
        <f>F2712*1000</f>
        <v/>
      </c>
      <c r="I2712" s="14">
        <f>G2712-273.15</f>
        <v/>
      </c>
      <c r="K2712" s="15" t="n">
        <v>2008</v>
      </c>
      <c r="L2712" s="15" t="n">
        <v>7</v>
      </c>
      <c r="M2712" s="15" t="n">
        <v>8</v>
      </c>
      <c r="N2712" s="16" t="n">
        <v>7.7063797e-05</v>
      </c>
      <c r="O2712" s="11" t="n">
        <v>290.3778464</v>
      </c>
      <c r="P2712" s="13">
        <f>N2712*86400</f>
        <v/>
      </c>
      <c r="Q2712" s="14">
        <f>O2712-273.15</f>
        <v/>
      </c>
    </row>
    <row r="2713">
      <c r="A2713" s="9" t="n">
        <v>39600</v>
      </c>
      <c r="B2713" s="7">
        <f>YEAR(A2713)</f>
        <v/>
      </c>
      <c r="C2713" s="7">
        <f>MONTH(A2713)</f>
        <v/>
      </c>
      <c r="D2713" s="10" t="n">
        <v>0</v>
      </c>
      <c r="E2713" s="11" t="n">
        <v>17.47817386</v>
      </c>
      <c r="F2713" s="12" t="n">
        <v>0</v>
      </c>
      <c r="G2713" s="11" t="n">
        <v>290.5245626</v>
      </c>
      <c r="H2713" s="13">
        <f>F2713*1000</f>
        <v/>
      </c>
      <c r="I2713" s="14">
        <f>G2713-273.15</f>
        <v/>
      </c>
      <c r="K2713" s="15" t="n">
        <v>2008</v>
      </c>
      <c r="L2713" s="15" t="n">
        <v>7</v>
      </c>
      <c r="M2713" s="15" t="n">
        <v>9</v>
      </c>
      <c r="N2713" s="16" t="n">
        <v>1.597515174e-05</v>
      </c>
      <c r="O2713" s="11" t="n">
        <v>291.5403648</v>
      </c>
      <c r="P2713" s="13">
        <f>N2713*86400</f>
        <v/>
      </c>
      <c r="Q2713" s="14">
        <f>O2713-273.15</f>
        <v/>
      </c>
    </row>
    <row r="2714">
      <c r="A2714" s="9" t="n">
        <v>39601</v>
      </c>
      <c r="B2714" s="7">
        <f>YEAR(A2714)</f>
        <v/>
      </c>
      <c r="C2714" s="7">
        <f>MONTH(A2714)</f>
        <v/>
      </c>
      <c r="D2714" s="10" t="n">
        <v>0</v>
      </c>
      <c r="E2714" s="11" t="n">
        <v>13.41502044</v>
      </c>
      <c r="F2714" s="12" t="n">
        <v>3.774943229e-05</v>
      </c>
      <c r="G2714" s="11" t="n">
        <v>287.1018797</v>
      </c>
      <c r="H2714" s="13">
        <f>F2714*1000</f>
        <v/>
      </c>
      <c r="I2714" s="14">
        <f>G2714-273.15</f>
        <v/>
      </c>
      <c r="K2714" s="15" t="n">
        <v>2008</v>
      </c>
      <c r="L2714" s="15" t="n">
        <v>7</v>
      </c>
      <c r="M2714" s="15" t="n">
        <v>10</v>
      </c>
      <c r="N2714" s="16" t="n">
        <v>3.978231215e-05</v>
      </c>
      <c r="O2714" s="11" t="n">
        <v>291.2605938</v>
      </c>
      <c r="P2714" s="13">
        <f>N2714*86400</f>
        <v/>
      </c>
      <c r="Q2714" s="14">
        <f>O2714-273.15</f>
        <v/>
      </c>
    </row>
    <row r="2715">
      <c r="A2715" s="9" t="n">
        <v>39602</v>
      </c>
      <c r="B2715" s="7">
        <f>YEAR(A2715)</f>
        <v/>
      </c>
      <c r="C2715" s="7">
        <f>MONTH(A2715)</f>
        <v/>
      </c>
      <c r="D2715" s="10" t="n">
        <v>1.666931522</v>
      </c>
      <c r="E2715" s="11" t="n">
        <v>15.36199116</v>
      </c>
      <c r="F2715" s="12" t="n">
        <v>0.002296989903</v>
      </c>
      <c r="G2715" s="11" t="n">
        <v>289.2481506</v>
      </c>
      <c r="H2715" s="13">
        <f>F2715*1000</f>
        <v/>
      </c>
      <c r="I2715" s="14">
        <f>G2715-273.15</f>
        <v/>
      </c>
      <c r="K2715" s="15" t="n">
        <v>2008</v>
      </c>
      <c r="L2715" s="15" t="n">
        <v>7</v>
      </c>
      <c r="M2715" s="15" t="n">
        <v>11</v>
      </c>
      <c r="N2715" s="16" t="n">
        <v>2.662849925e-07</v>
      </c>
      <c r="O2715" s="11" t="n">
        <v>292.4760195</v>
      </c>
      <c r="P2715" s="13">
        <f>N2715*86400</f>
        <v/>
      </c>
      <c r="Q2715" s="14">
        <f>O2715-273.15</f>
        <v/>
      </c>
    </row>
    <row r="2716">
      <c r="A2716" s="9" t="n">
        <v>39603</v>
      </c>
      <c r="B2716" s="7">
        <f>YEAR(A2716)</f>
        <v/>
      </c>
      <c r="C2716" s="7">
        <f>MONTH(A2716)</f>
        <v/>
      </c>
      <c r="D2716" s="10" t="n">
        <v>0</v>
      </c>
      <c r="E2716" s="11" t="n">
        <v>16.08338681</v>
      </c>
      <c r="F2716" s="12" t="n">
        <v>0.007194651628</v>
      </c>
      <c r="G2716" s="11" t="n">
        <v>290.3758702</v>
      </c>
      <c r="H2716" s="13">
        <f>F2716*1000</f>
        <v/>
      </c>
      <c r="I2716" s="14">
        <f>G2716-273.15</f>
        <v/>
      </c>
      <c r="K2716" s="15" t="n">
        <v>2008</v>
      </c>
      <c r="L2716" s="15" t="n">
        <v>7</v>
      </c>
      <c r="M2716" s="15" t="n">
        <v>12</v>
      </c>
      <c r="N2716" s="16" t="n">
        <v>1.214786394e-06</v>
      </c>
      <c r="O2716" s="11" t="n">
        <v>291.8154411</v>
      </c>
      <c r="P2716" s="13">
        <f>N2716*86400</f>
        <v/>
      </c>
      <c r="Q2716" s="14">
        <f>O2716-273.15</f>
        <v/>
      </c>
    </row>
    <row r="2717">
      <c r="A2717" s="9" t="n">
        <v>39604</v>
      </c>
      <c r="B2717" s="7">
        <f>YEAR(A2717)</f>
        <v/>
      </c>
      <c r="C2717" s="7">
        <f>MONTH(A2717)</f>
        <v/>
      </c>
      <c r="D2717" s="10" t="n">
        <v>0.3569627056</v>
      </c>
      <c r="E2717" s="11" t="n">
        <v>17.19333672</v>
      </c>
      <c r="F2717" s="12" t="n">
        <v>0.004933160367</v>
      </c>
      <c r="G2717" s="11" t="n">
        <v>290.0226943</v>
      </c>
      <c r="H2717" s="13">
        <f>F2717*1000</f>
        <v/>
      </c>
      <c r="I2717" s="14">
        <f>G2717-273.15</f>
        <v/>
      </c>
      <c r="K2717" s="15" t="n">
        <v>2008</v>
      </c>
      <c r="L2717" s="15" t="n">
        <v>7</v>
      </c>
      <c r="M2717" s="15" t="n">
        <v>13</v>
      </c>
      <c r="N2717" s="16" t="n">
        <v>0</v>
      </c>
      <c r="O2717" s="11" t="n">
        <v>290.2439328</v>
      </c>
      <c r="P2717" s="13">
        <f>N2717*86400</f>
        <v/>
      </c>
      <c r="Q2717" s="14">
        <f>O2717-273.15</f>
        <v/>
      </c>
    </row>
    <row r="2718">
      <c r="A2718" s="9" t="n">
        <v>39605</v>
      </c>
      <c r="B2718" s="7">
        <f>YEAR(A2718)</f>
        <v/>
      </c>
      <c r="C2718" s="7">
        <f>MONTH(A2718)</f>
        <v/>
      </c>
      <c r="D2718" s="10" t="n">
        <v>0</v>
      </c>
      <c r="E2718" s="11" t="n">
        <v>17.3354663</v>
      </c>
      <c r="F2718" s="12" t="n">
        <v>0.0006805779905</v>
      </c>
      <c r="G2718" s="11" t="n">
        <v>290.2721564</v>
      </c>
      <c r="H2718" s="13">
        <f>F2718*1000</f>
        <v/>
      </c>
      <c r="I2718" s="14">
        <f>G2718-273.15</f>
        <v/>
      </c>
      <c r="K2718" s="15" t="n">
        <v>2008</v>
      </c>
      <c r="L2718" s="15" t="n">
        <v>7</v>
      </c>
      <c r="M2718" s="15" t="n">
        <v>14</v>
      </c>
      <c r="N2718" s="16" t="n">
        <v>4.785009813e-05</v>
      </c>
      <c r="O2718" s="11" t="n">
        <v>289.9326743</v>
      </c>
      <c r="P2718" s="13">
        <f>N2718*86400</f>
        <v/>
      </c>
      <c r="Q2718" s="14">
        <f>O2718-273.15</f>
        <v/>
      </c>
    </row>
    <row r="2719">
      <c r="A2719" s="9" t="n">
        <v>39606</v>
      </c>
      <c r="B2719" s="7">
        <f>YEAR(A2719)</f>
        <v/>
      </c>
      <c r="C2719" s="7">
        <f>MONTH(A2719)</f>
        <v/>
      </c>
      <c r="D2719" s="10" t="n">
        <v>0</v>
      </c>
      <c r="E2719" s="11" t="n">
        <v>17.29560964</v>
      </c>
      <c r="F2719" s="12" t="n">
        <v>7.565125035000001e-05</v>
      </c>
      <c r="G2719" s="11" t="n">
        <v>290.8089098</v>
      </c>
      <c r="H2719" s="13">
        <f>F2719*1000</f>
        <v/>
      </c>
      <c r="I2719" s="14">
        <f>G2719-273.15</f>
        <v/>
      </c>
      <c r="K2719" s="15" t="n">
        <v>2008</v>
      </c>
      <c r="L2719" s="15" t="n">
        <v>7</v>
      </c>
      <c r="M2719" s="15" t="n">
        <v>15</v>
      </c>
      <c r="N2719" s="16" t="n">
        <v>2.62840113e-05</v>
      </c>
      <c r="O2719" s="11" t="n">
        <v>291.1024803</v>
      </c>
      <c r="P2719" s="13">
        <f>N2719*86400</f>
        <v/>
      </c>
      <c r="Q2719" s="14">
        <f>O2719-273.15</f>
        <v/>
      </c>
    </row>
    <row r="2720">
      <c r="A2720" s="9" t="n">
        <v>39607</v>
      </c>
      <c r="B2720" s="7">
        <f>YEAR(A2720)</f>
        <v/>
      </c>
      <c r="C2720" s="7">
        <f>MONTH(A2720)</f>
        <v/>
      </c>
      <c r="D2720" s="10" t="n">
        <v>0</v>
      </c>
      <c r="E2720" s="11" t="n">
        <v>17.19214552</v>
      </c>
      <c r="F2720" s="12" t="n">
        <v>0</v>
      </c>
      <c r="G2720" s="11" t="n">
        <v>291.0428758</v>
      </c>
      <c r="H2720" s="13">
        <f>F2720*1000</f>
        <v/>
      </c>
      <c r="I2720" s="14">
        <f>G2720-273.15</f>
        <v/>
      </c>
      <c r="K2720" s="15" t="n">
        <v>2008</v>
      </c>
      <c r="L2720" s="15" t="n">
        <v>7</v>
      </c>
      <c r="M2720" s="15" t="n">
        <v>16</v>
      </c>
      <c r="N2720" s="16" t="n">
        <v>0.0001332997367</v>
      </c>
      <c r="O2720" s="11" t="n">
        <v>291.9294728</v>
      </c>
      <c r="P2720" s="13">
        <f>N2720*86400</f>
        <v/>
      </c>
      <c r="Q2720" s="14">
        <f>O2720-273.15</f>
        <v/>
      </c>
    </row>
    <row r="2721">
      <c r="A2721" s="9" t="n">
        <v>39608</v>
      </c>
      <c r="B2721" s="7">
        <f>YEAR(A2721)</f>
        <v/>
      </c>
      <c r="C2721" s="7">
        <f>MONTH(A2721)</f>
        <v/>
      </c>
      <c r="D2721" s="10" t="n">
        <v>0</v>
      </c>
      <c r="E2721" s="11" t="n">
        <v>19.11547486</v>
      </c>
      <c r="F2721" s="12" t="n">
        <v>0.00685898468</v>
      </c>
      <c r="G2721" s="11" t="n">
        <v>292.3957903</v>
      </c>
      <c r="H2721" s="13">
        <f>F2721*1000</f>
        <v/>
      </c>
      <c r="I2721" s="14">
        <f>G2721-273.15</f>
        <v/>
      </c>
      <c r="K2721" s="15" t="n">
        <v>2008</v>
      </c>
      <c r="L2721" s="15" t="n">
        <v>7</v>
      </c>
      <c r="M2721" s="15" t="n">
        <v>17</v>
      </c>
      <c r="N2721" s="16" t="n">
        <v>0.0001407461028</v>
      </c>
      <c r="O2721" s="11" t="n">
        <v>290.8802023</v>
      </c>
      <c r="P2721" s="13">
        <f>N2721*86400</f>
        <v/>
      </c>
      <c r="Q2721" s="14">
        <f>O2721-273.15</f>
        <v/>
      </c>
    </row>
    <row r="2722">
      <c r="A2722" s="9" t="n">
        <v>39609</v>
      </c>
      <c r="B2722" s="7">
        <f>YEAR(A2722)</f>
        <v/>
      </c>
      <c r="C2722" s="7">
        <f>MONTH(A2722)</f>
        <v/>
      </c>
      <c r="D2722" s="10" t="n">
        <v>0</v>
      </c>
      <c r="E2722" s="11" t="n">
        <v>16.58387294</v>
      </c>
      <c r="F2722" s="12" t="n">
        <v>0</v>
      </c>
      <c r="G2722" s="11" t="n">
        <v>290.138833</v>
      </c>
      <c r="H2722" s="13">
        <f>F2722*1000</f>
        <v/>
      </c>
      <c r="I2722" s="14">
        <f>G2722-273.15</f>
        <v/>
      </c>
      <c r="K2722" s="15" t="n">
        <v>2008</v>
      </c>
      <c r="L2722" s="15" t="n">
        <v>7</v>
      </c>
      <c r="M2722" s="15" t="n">
        <v>18</v>
      </c>
      <c r="N2722" s="16" t="n">
        <v>8.381129488e-05</v>
      </c>
      <c r="O2722" s="11" t="n">
        <v>291.2119236</v>
      </c>
      <c r="P2722" s="13">
        <f>N2722*86400</f>
        <v/>
      </c>
      <c r="Q2722" s="14">
        <f>O2722-273.15</f>
        <v/>
      </c>
    </row>
    <row r="2723">
      <c r="A2723" s="9" t="n">
        <v>39610</v>
      </c>
      <c r="B2723" s="7">
        <f>YEAR(A2723)</f>
        <v/>
      </c>
      <c r="C2723" s="7">
        <f>MONTH(A2723)</f>
        <v/>
      </c>
      <c r="D2723" s="10" t="n">
        <v>8.6347003</v>
      </c>
      <c r="E2723" s="11" t="n">
        <v>15.81947679</v>
      </c>
      <c r="F2723" s="12" t="n">
        <v>0.01257678982</v>
      </c>
      <c r="G2723" s="11" t="n">
        <v>290.2070136</v>
      </c>
      <c r="H2723" s="13">
        <f>F2723*1000</f>
        <v/>
      </c>
      <c r="I2723" s="14">
        <f>G2723-273.15</f>
        <v/>
      </c>
      <c r="K2723" s="15" t="n">
        <v>2008</v>
      </c>
      <c r="L2723" s="15" t="n">
        <v>7</v>
      </c>
      <c r="M2723" s="15" t="n">
        <v>19</v>
      </c>
      <c r="N2723" s="16" t="n">
        <v>5.683569013e-05</v>
      </c>
      <c r="O2723" s="11" t="n">
        <v>291.5725284</v>
      </c>
      <c r="P2723" s="13">
        <f>N2723*86400</f>
        <v/>
      </c>
      <c r="Q2723" s="14">
        <f>O2723-273.15</f>
        <v/>
      </c>
    </row>
    <row r="2724">
      <c r="A2724" s="9" t="n">
        <v>39611</v>
      </c>
      <c r="B2724" s="7">
        <f>YEAR(A2724)</f>
        <v/>
      </c>
      <c r="C2724" s="7">
        <f>MONTH(A2724)</f>
        <v/>
      </c>
      <c r="D2724" s="10" t="n">
        <v>0</v>
      </c>
      <c r="E2724" s="11" t="n">
        <v>12.47565424</v>
      </c>
      <c r="F2724" s="12" t="n">
        <v>0.0001010829456</v>
      </c>
      <c r="G2724" s="11" t="n">
        <v>287.0608065</v>
      </c>
      <c r="H2724" s="13">
        <f>F2724*1000</f>
        <v/>
      </c>
      <c r="I2724" s="14">
        <f>G2724-273.15</f>
        <v/>
      </c>
      <c r="K2724" s="15" t="n">
        <v>2008</v>
      </c>
      <c r="L2724" s="15" t="n">
        <v>7</v>
      </c>
      <c r="M2724" s="15" t="n">
        <v>20</v>
      </c>
      <c r="N2724" s="16" t="n">
        <v>0.0001856102302</v>
      </c>
      <c r="O2724" s="11" t="n">
        <v>291.8773826</v>
      </c>
      <c r="P2724" s="13">
        <f>N2724*86400</f>
        <v/>
      </c>
      <c r="Q2724" s="14">
        <f>O2724-273.15</f>
        <v/>
      </c>
    </row>
    <row r="2725">
      <c r="A2725" s="9" t="n">
        <v>39612</v>
      </c>
      <c r="B2725" s="7">
        <f>YEAR(A2725)</f>
        <v/>
      </c>
      <c r="C2725" s="7">
        <f>MONTH(A2725)</f>
        <v/>
      </c>
      <c r="D2725" s="10" t="n">
        <v>0</v>
      </c>
      <c r="E2725" s="11" t="n">
        <v>13.71011862</v>
      </c>
      <c r="F2725" s="12" t="n">
        <v>0.0006417541219</v>
      </c>
      <c r="G2725" s="11" t="n">
        <v>287.5943442</v>
      </c>
      <c r="H2725" s="13">
        <f>F2725*1000</f>
        <v/>
      </c>
      <c r="I2725" s="14">
        <f>G2725-273.15</f>
        <v/>
      </c>
      <c r="K2725" s="15" t="n">
        <v>2008</v>
      </c>
      <c r="L2725" s="15" t="n">
        <v>7</v>
      </c>
      <c r="M2725" s="15" t="n">
        <v>21</v>
      </c>
      <c r="N2725" s="16" t="n">
        <v>3.504076073e-05</v>
      </c>
      <c r="O2725" s="11" t="n">
        <v>290.8349227</v>
      </c>
      <c r="P2725" s="13">
        <f>N2725*86400</f>
        <v/>
      </c>
      <c r="Q2725" s="14">
        <f>O2725-273.15</f>
        <v/>
      </c>
    </row>
    <row r="2726">
      <c r="A2726" s="9" t="n">
        <v>39613</v>
      </c>
      <c r="B2726" s="7">
        <f>YEAR(A2726)</f>
        <v/>
      </c>
      <c r="C2726" s="7">
        <f>MONTH(A2726)</f>
        <v/>
      </c>
      <c r="D2726" s="10" t="n">
        <v>8.709182317</v>
      </c>
      <c r="E2726" s="11" t="n">
        <v>15.83964677</v>
      </c>
      <c r="F2726" s="12" t="n">
        <v>0.005727043638</v>
      </c>
      <c r="G2726" s="11" t="n">
        <v>290.0420068</v>
      </c>
      <c r="H2726" s="13">
        <f>F2726*1000</f>
        <v/>
      </c>
      <c r="I2726" s="14">
        <f>G2726-273.15</f>
        <v/>
      </c>
      <c r="K2726" s="15" t="n">
        <v>2008</v>
      </c>
      <c r="L2726" s="15" t="n">
        <v>7</v>
      </c>
      <c r="M2726" s="15" t="n">
        <v>22</v>
      </c>
      <c r="N2726" s="16" t="n">
        <v>0</v>
      </c>
      <c r="O2726" s="11" t="n">
        <v>291.0131335</v>
      </c>
      <c r="P2726" s="13">
        <f>N2726*86400</f>
        <v/>
      </c>
      <c r="Q2726" s="14">
        <f>O2726-273.15</f>
        <v/>
      </c>
    </row>
    <row r="2727">
      <c r="A2727" s="9" t="n">
        <v>39614</v>
      </c>
      <c r="B2727" s="7">
        <f>YEAR(A2727)</f>
        <v/>
      </c>
      <c r="C2727" s="7">
        <f>MONTH(A2727)</f>
        <v/>
      </c>
      <c r="D2727" s="10" t="n">
        <v>0</v>
      </c>
      <c r="E2727" s="11" t="n">
        <v>17.09219039</v>
      </c>
      <c r="F2727" s="12" t="n">
        <v>0.0002260396302</v>
      </c>
      <c r="G2727" s="11" t="n">
        <v>291.2364994</v>
      </c>
      <c r="H2727" s="13">
        <f>F2727*1000</f>
        <v/>
      </c>
      <c r="I2727" s="14">
        <f>G2727-273.15</f>
        <v/>
      </c>
      <c r="K2727" s="15" t="n">
        <v>2008</v>
      </c>
      <c r="L2727" s="15" t="n">
        <v>7</v>
      </c>
      <c r="M2727" s="15" t="n">
        <v>23</v>
      </c>
      <c r="N2727" s="16" t="n">
        <v>0</v>
      </c>
      <c r="O2727" s="11" t="n">
        <v>291.1469765</v>
      </c>
      <c r="P2727" s="13">
        <f>N2727*86400</f>
        <v/>
      </c>
      <c r="Q2727" s="14">
        <f>O2727-273.15</f>
        <v/>
      </c>
    </row>
    <row r="2728">
      <c r="A2728" s="9" t="n">
        <v>39615</v>
      </c>
      <c r="B2728" s="7">
        <f>YEAR(A2728)</f>
        <v/>
      </c>
      <c r="C2728" s="7">
        <f>MONTH(A2728)</f>
        <v/>
      </c>
      <c r="D2728" s="10" t="n">
        <v>0</v>
      </c>
      <c r="E2728" s="11" t="n">
        <v>19.49058966</v>
      </c>
      <c r="F2728" s="12" t="n">
        <v>0.001902765277</v>
      </c>
      <c r="G2728" s="11" t="n">
        <v>294.1583636</v>
      </c>
      <c r="H2728" s="13">
        <f>F2728*1000</f>
        <v/>
      </c>
      <c r="I2728" s="14">
        <f>G2728-273.15</f>
        <v/>
      </c>
      <c r="K2728" s="15" t="n">
        <v>2008</v>
      </c>
      <c r="L2728" s="15" t="n">
        <v>7</v>
      </c>
      <c r="M2728" s="15" t="n">
        <v>24</v>
      </c>
      <c r="N2728" s="16" t="n">
        <v>9.712042533e-05</v>
      </c>
      <c r="O2728" s="11" t="n">
        <v>291.8841123</v>
      </c>
      <c r="P2728" s="13">
        <f>N2728*86400</f>
        <v/>
      </c>
      <c r="Q2728" s="14">
        <f>O2728-273.15</f>
        <v/>
      </c>
    </row>
    <row r="2729">
      <c r="A2729" s="9" t="n">
        <v>39616</v>
      </c>
      <c r="B2729" s="7">
        <f>YEAR(A2729)</f>
        <v/>
      </c>
      <c r="C2729" s="7">
        <f>MONTH(A2729)</f>
        <v/>
      </c>
      <c r="D2729" s="10" t="n">
        <v>0</v>
      </c>
      <c r="E2729" s="11" t="n">
        <v>20.68716265</v>
      </c>
      <c r="F2729" s="12" t="n">
        <v>0.0003739313052</v>
      </c>
      <c r="G2729" s="11" t="n">
        <v>295.7310065</v>
      </c>
      <c r="H2729" s="13">
        <f>F2729*1000</f>
        <v/>
      </c>
      <c r="I2729" s="14">
        <f>G2729-273.15</f>
        <v/>
      </c>
      <c r="K2729" s="15" t="n">
        <v>2008</v>
      </c>
      <c r="L2729" s="15" t="n">
        <v>7</v>
      </c>
      <c r="M2729" s="15" t="n">
        <v>25</v>
      </c>
      <c r="N2729" s="16" t="n">
        <v>8.244566458e-05</v>
      </c>
      <c r="O2729" s="11" t="n">
        <v>291.2714621</v>
      </c>
      <c r="P2729" s="13">
        <f>N2729*86400</f>
        <v/>
      </c>
      <c r="Q2729" s="14">
        <f>O2729-273.15</f>
        <v/>
      </c>
    </row>
    <row r="2730">
      <c r="A2730" s="9" t="n">
        <v>39617</v>
      </c>
      <c r="B2730" s="7">
        <f>YEAR(A2730)</f>
        <v/>
      </c>
      <c r="C2730" s="7">
        <f>MONTH(A2730)</f>
        <v/>
      </c>
      <c r="D2730" s="10" t="n">
        <v>20.36639733</v>
      </c>
      <c r="E2730" s="11" t="n">
        <v>16.7025402</v>
      </c>
      <c r="F2730" s="12" t="n">
        <v>0.01551487613</v>
      </c>
      <c r="G2730" s="11" t="n">
        <v>291.7453475</v>
      </c>
      <c r="H2730" s="13">
        <f>F2730*1000</f>
        <v/>
      </c>
      <c r="I2730" s="14">
        <f>G2730-273.15</f>
        <v/>
      </c>
      <c r="K2730" s="15" t="n">
        <v>2008</v>
      </c>
      <c r="L2730" s="15" t="n">
        <v>7</v>
      </c>
      <c r="M2730" s="15" t="n">
        <v>26</v>
      </c>
      <c r="N2730" s="16" t="n">
        <v>0.0001281283975</v>
      </c>
      <c r="O2730" s="11" t="n">
        <v>289.896597</v>
      </c>
      <c r="P2730" s="13">
        <f>N2730*86400</f>
        <v/>
      </c>
      <c r="Q2730" s="14">
        <f>O2730-273.15</f>
        <v/>
      </c>
    </row>
    <row r="2731">
      <c r="A2731" s="9" t="n">
        <v>39618</v>
      </c>
      <c r="B2731" s="7">
        <f>YEAR(A2731)</f>
        <v/>
      </c>
      <c r="C2731" s="7">
        <f>MONTH(A2731)</f>
        <v/>
      </c>
      <c r="D2731" s="10" t="n">
        <v>44.07783177</v>
      </c>
      <c r="E2731" s="11" t="n">
        <v>14.75942548</v>
      </c>
      <c r="F2731" s="12" t="n">
        <v>0.05400099825</v>
      </c>
      <c r="G2731" s="11" t="n">
        <v>289.3956846</v>
      </c>
      <c r="H2731" s="13">
        <f>F2731*1000</f>
        <v/>
      </c>
      <c r="I2731" s="14">
        <f>G2731-273.15</f>
        <v/>
      </c>
      <c r="K2731" s="15" t="n">
        <v>2008</v>
      </c>
      <c r="L2731" s="15" t="n">
        <v>7</v>
      </c>
      <c r="M2731" s="15" t="n">
        <v>27</v>
      </c>
      <c r="N2731" s="16" t="n">
        <v>0.0001431250437</v>
      </c>
      <c r="O2731" s="11" t="n">
        <v>289.662044</v>
      </c>
      <c r="P2731" s="13">
        <f>N2731*86400</f>
        <v/>
      </c>
      <c r="Q2731" s="14">
        <f>O2731-273.15</f>
        <v/>
      </c>
    </row>
    <row r="2732">
      <c r="A2732" s="9" t="n">
        <v>39619</v>
      </c>
      <c r="B2732" s="7">
        <f>YEAR(A2732)</f>
        <v/>
      </c>
      <c r="C2732" s="7">
        <f>MONTH(A2732)</f>
        <v/>
      </c>
      <c r="D2732" s="10" t="n">
        <v>0.7205982666</v>
      </c>
      <c r="E2732" s="11" t="n">
        <v>12.28758118</v>
      </c>
      <c r="F2732" s="12" t="n">
        <v>0.008999697697</v>
      </c>
      <c r="G2732" s="11" t="n">
        <v>287.8162017</v>
      </c>
      <c r="H2732" s="13">
        <f>F2732*1000</f>
        <v/>
      </c>
      <c r="I2732" s="14">
        <f>G2732-273.15</f>
        <v/>
      </c>
      <c r="K2732" s="15" t="n">
        <v>2008</v>
      </c>
      <c r="L2732" s="15" t="n">
        <v>7</v>
      </c>
      <c r="M2732" s="15" t="n">
        <v>28</v>
      </c>
      <c r="N2732" s="16" t="n">
        <v>1.928805485e-05</v>
      </c>
      <c r="O2732" s="11" t="n">
        <v>290.2529052</v>
      </c>
      <c r="P2732" s="13">
        <f>N2732*86400</f>
        <v/>
      </c>
      <c r="Q2732" s="14">
        <f>O2732-273.15</f>
        <v/>
      </c>
    </row>
    <row r="2733">
      <c r="A2733" s="9" t="n">
        <v>39620</v>
      </c>
      <c r="B2733" s="7">
        <f>YEAR(A2733)</f>
        <v/>
      </c>
      <c r="C2733" s="7">
        <f>MONTH(A2733)</f>
        <v/>
      </c>
      <c r="D2733" s="10" t="n">
        <v>13.47790765</v>
      </c>
      <c r="E2733" s="11" t="n">
        <v>12.15751256</v>
      </c>
      <c r="F2733" s="12" t="n">
        <v>0.003893147351</v>
      </c>
      <c r="G2733" s="11" t="n">
        <v>287.0725048</v>
      </c>
      <c r="H2733" s="13">
        <f>F2733*1000</f>
        <v/>
      </c>
      <c r="I2733" s="14">
        <f>G2733-273.15</f>
        <v/>
      </c>
      <c r="K2733" s="15" t="n">
        <v>2008</v>
      </c>
      <c r="L2733" s="15" t="n">
        <v>7</v>
      </c>
      <c r="M2733" s="15" t="n">
        <v>29</v>
      </c>
      <c r="N2733" s="16" t="n">
        <v>0</v>
      </c>
      <c r="O2733" s="11" t="n">
        <v>290.4757571</v>
      </c>
      <c r="P2733" s="13">
        <f>N2733*86400</f>
        <v/>
      </c>
      <c r="Q2733" s="14">
        <f>O2733-273.15</f>
        <v/>
      </c>
    </row>
    <row r="2734">
      <c r="A2734" s="9" t="n">
        <v>39621</v>
      </c>
      <c r="B2734" s="7">
        <f>YEAR(A2734)</f>
        <v/>
      </c>
      <c r="C2734" s="7">
        <f>MONTH(A2734)</f>
        <v/>
      </c>
      <c r="D2734" s="10" t="n">
        <v>40.99436084</v>
      </c>
      <c r="E2734" s="11" t="n">
        <v>11.22680253</v>
      </c>
      <c r="F2734" s="12" t="n">
        <v>0.02433625993</v>
      </c>
      <c r="G2734" s="11" t="n">
        <v>287.7154936</v>
      </c>
      <c r="H2734" s="13">
        <f>F2734*1000</f>
        <v/>
      </c>
      <c r="I2734" s="14">
        <f>G2734-273.15</f>
        <v/>
      </c>
      <c r="K2734" s="15" t="n">
        <v>2008</v>
      </c>
      <c r="L2734" s="15" t="n">
        <v>7</v>
      </c>
      <c r="M2734" s="15" t="n">
        <v>30</v>
      </c>
      <c r="N2734" s="16" t="n">
        <v>0</v>
      </c>
      <c r="O2734" s="11" t="n">
        <v>292.9425004</v>
      </c>
      <c r="P2734" s="13">
        <f>N2734*86400</f>
        <v/>
      </c>
      <c r="Q2734" s="14">
        <f>O2734-273.15</f>
        <v/>
      </c>
    </row>
    <row r="2735">
      <c r="A2735" s="9" t="n">
        <v>39622</v>
      </c>
      <c r="B2735" s="7">
        <f>YEAR(A2735)</f>
        <v/>
      </c>
      <c r="C2735" s="7">
        <f>MONTH(A2735)</f>
        <v/>
      </c>
      <c r="D2735" s="10" t="n">
        <v>9.630408656</v>
      </c>
      <c r="E2735" s="11" t="n">
        <v>12.71061776</v>
      </c>
      <c r="F2735" s="12" t="n">
        <v>0.006407558652</v>
      </c>
      <c r="G2735" s="11" t="n">
        <v>289.7220634</v>
      </c>
      <c r="H2735" s="13">
        <f>F2735*1000</f>
        <v/>
      </c>
      <c r="I2735" s="14">
        <f>G2735-273.15</f>
        <v/>
      </c>
      <c r="K2735" s="15" t="n">
        <v>2008</v>
      </c>
      <c r="L2735" s="15" t="n">
        <v>8</v>
      </c>
      <c r="M2735" s="15" t="n">
        <v>1</v>
      </c>
      <c r="N2735" s="16" t="n">
        <v>5.763316596e-06</v>
      </c>
      <c r="O2735" s="11" t="n">
        <v>292.6793262</v>
      </c>
      <c r="P2735" s="13">
        <f>N2735*86400</f>
        <v/>
      </c>
      <c r="Q2735" s="14">
        <f>O2735-273.15</f>
        <v/>
      </c>
    </row>
    <row r="2736">
      <c r="A2736" s="9" t="n">
        <v>39623</v>
      </c>
      <c r="B2736" s="7">
        <f>YEAR(A2736)</f>
        <v/>
      </c>
      <c r="C2736" s="7">
        <f>MONTH(A2736)</f>
        <v/>
      </c>
      <c r="D2736" s="10" t="n">
        <v>15.52680779</v>
      </c>
      <c r="E2736" s="11" t="n">
        <v>12.39127333</v>
      </c>
      <c r="F2736" s="12" t="n">
        <v>0.006522480075</v>
      </c>
      <c r="G2736" s="11" t="n">
        <v>289.6832693</v>
      </c>
      <c r="H2736" s="13">
        <f>F2736*1000</f>
        <v/>
      </c>
      <c r="I2736" s="14">
        <f>G2736-273.15</f>
        <v/>
      </c>
      <c r="K2736" s="15" t="n">
        <v>2008</v>
      </c>
      <c r="L2736" s="15" t="n">
        <v>8</v>
      </c>
      <c r="M2736" s="15" t="n">
        <v>2</v>
      </c>
      <c r="N2736" s="16" t="n">
        <v>4.56521256e-05</v>
      </c>
      <c r="O2736" s="11" t="n">
        <v>292.2214718</v>
      </c>
      <c r="P2736" s="13">
        <f>N2736*86400</f>
        <v/>
      </c>
      <c r="Q2736" s="14">
        <f>O2736-273.15</f>
        <v/>
      </c>
    </row>
    <row r="2737">
      <c r="A2737" s="9" t="n">
        <v>39624</v>
      </c>
      <c r="B2737" s="7">
        <f>YEAR(A2737)</f>
        <v/>
      </c>
      <c r="C2737" s="7">
        <f>MONTH(A2737)</f>
        <v/>
      </c>
      <c r="D2737" s="10" t="n">
        <v>0</v>
      </c>
      <c r="E2737" s="11" t="n">
        <v>15.62401222</v>
      </c>
      <c r="F2737" s="12" t="n">
        <v>0.00203897998</v>
      </c>
      <c r="G2737" s="11" t="n">
        <v>291.8658493</v>
      </c>
      <c r="H2737" s="13">
        <f>F2737*1000</f>
        <v/>
      </c>
      <c r="I2737" s="14">
        <f>G2737-273.15</f>
        <v/>
      </c>
      <c r="K2737" s="15" t="n">
        <v>2008</v>
      </c>
      <c r="L2737" s="15" t="n">
        <v>8</v>
      </c>
      <c r="M2737" s="15" t="n">
        <v>3</v>
      </c>
      <c r="N2737" s="16" t="n">
        <v>0.0001457741528</v>
      </c>
      <c r="O2737" s="11" t="n">
        <v>288.6367191</v>
      </c>
      <c r="P2737" s="13">
        <f>N2737*86400</f>
        <v/>
      </c>
      <c r="Q2737" s="14">
        <f>O2737-273.15</f>
        <v/>
      </c>
    </row>
    <row r="2738">
      <c r="A2738" s="9" t="n">
        <v>39625</v>
      </c>
      <c r="B2738" s="7">
        <f>YEAR(A2738)</f>
        <v/>
      </c>
      <c r="C2738" s="7">
        <f>MONTH(A2738)</f>
        <v/>
      </c>
      <c r="D2738" s="10" t="n">
        <v>0</v>
      </c>
      <c r="E2738" s="11" t="n">
        <v>14.96333977</v>
      </c>
      <c r="F2738" s="12" t="n">
        <v>0.001131041822</v>
      </c>
      <c r="G2738" s="11" t="n">
        <v>291.3097279</v>
      </c>
      <c r="H2738" s="13">
        <f>F2738*1000</f>
        <v/>
      </c>
      <c r="I2738" s="14">
        <f>G2738-273.15</f>
        <v/>
      </c>
      <c r="K2738" s="15" t="n">
        <v>2008</v>
      </c>
      <c r="L2738" s="15" t="n">
        <v>8</v>
      </c>
      <c r="M2738" s="15" t="n">
        <v>4</v>
      </c>
      <c r="N2738" s="16" t="n">
        <v>3.608770056e-05</v>
      </c>
      <c r="O2738" s="11" t="n">
        <v>288.8500107</v>
      </c>
      <c r="P2738" s="13">
        <f>N2738*86400</f>
        <v/>
      </c>
      <c r="Q2738" s="14">
        <f>O2738-273.15</f>
        <v/>
      </c>
    </row>
    <row r="2739">
      <c r="A2739" s="9" t="n">
        <v>39626</v>
      </c>
      <c r="B2739" s="7">
        <f>YEAR(A2739)</f>
        <v/>
      </c>
      <c r="C2739" s="7">
        <f>MONTH(A2739)</f>
        <v/>
      </c>
      <c r="D2739" s="10" t="n">
        <v>0</v>
      </c>
      <c r="E2739" s="11" t="n">
        <v>15.76459464</v>
      </c>
      <c r="F2739" s="12" t="n">
        <v>0.00695128097</v>
      </c>
      <c r="G2739" s="11" t="n">
        <v>292.5786377</v>
      </c>
      <c r="H2739" s="13">
        <f>F2739*1000</f>
        <v/>
      </c>
      <c r="I2739" s="14">
        <f>G2739-273.15</f>
        <v/>
      </c>
      <c r="K2739" s="15" t="n">
        <v>2008</v>
      </c>
      <c r="L2739" s="15" t="n">
        <v>8</v>
      </c>
      <c r="M2739" s="15" t="n">
        <v>5</v>
      </c>
      <c r="N2739" s="16" t="n">
        <v>7.511700014e-05</v>
      </c>
      <c r="O2739" s="11" t="n">
        <v>288.720006</v>
      </c>
      <c r="P2739" s="13">
        <f>N2739*86400</f>
        <v/>
      </c>
      <c r="Q2739" s="14">
        <f>O2739-273.15</f>
        <v/>
      </c>
    </row>
    <row r="2740">
      <c r="A2740" s="9" t="n">
        <v>39627</v>
      </c>
      <c r="B2740" s="7">
        <f>YEAR(A2740)</f>
        <v/>
      </c>
      <c r="C2740" s="7">
        <f>MONTH(A2740)</f>
        <v/>
      </c>
      <c r="D2740" s="10" t="n">
        <v>0</v>
      </c>
      <c r="E2740" s="11" t="n">
        <v>17.78636152</v>
      </c>
      <c r="F2740" s="12" t="n">
        <v>0.004301477624</v>
      </c>
      <c r="G2740" s="11" t="n">
        <v>293.8018821</v>
      </c>
      <c r="H2740" s="13">
        <f>F2740*1000</f>
        <v/>
      </c>
      <c r="I2740" s="14">
        <f>G2740-273.15</f>
        <v/>
      </c>
      <c r="K2740" s="15" t="n">
        <v>2008</v>
      </c>
      <c r="L2740" s="15" t="n">
        <v>8</v>
      </c>
      <c r="M2740" s="15" t="n">
        <v>6</v>
      </c>
      <c r="N2740" s="16" t="n">
        <v>4.925707688e-05</v>
      </c>
      <c r="O2740" s="11" t="n">
        <v>287.4202004</v>
      </c>
      <c r="P2740" s="13">
        <f>N2740*86400</f>
        <v/>
      </c>
      <c r="Q2740" s="14">
        <f>O2740-273.15</f>
        <v/>
      </c>
    </row>
    <row r="2741">
      <c r="A2741" s="9" t="n">
        <v>39628</v>
      </c>
      <c r="B2741" s="7">
        <f>YEAR(A2741)</f>
        <v/>
      </c>
      <c r="C2741" s="7">
        <f>MONTH(A2741)</f>
        <v/>
      </c>
      <c r="D2741" s="10" t="n">
        <v>0</v>
      </c>
      <c r="E2741" s="11" t="n">
        <v>18.29530163</v>
      </c>
      <c r="F2741" s="12" t="n">
        <v>0.001133565197</v>
      </c>
      <c r="G2741" s="11" t="n">
        <v>294.4935408</v>
      </c>
      <c r="H2741" s="13">
        <f>F2741*1000</f>
        <v/>
      </c>
      <c r="I2741" s="14">
        <f>G2741-273.15</f>
        <v/>
      </c>
      <c r="K2741" s="15" t="n">
        <v>2008</v>
      </c>
      <c r="L2741" s="15" t="n">
        <v>8</v>
      </c>
      <c r="M2741" s="15" t="n">
        <v>7</v>
      </c>
      <c r="N2741" s="16" t="n">
        <v>0.0002127997075</v>
      </c>
      <c r="O2741" s="11" t="n">
        <v>288.1029379</v>
      </c>
      <c r="P2741" s="13">
        <f>N2741*86400</f>
        <v/>
      </c>
      <c r="Q2741" s="14">
        <f>O2741-273.15</f>
        <v/>
      </c>
    </row>
    <row r="2742">
      <c r="A2742" s="9" t="n">
        <v>39629</v>
      </c>
      <c r="B2742" s="7">
        <f>YEAR(A2742)</f>
        <v/>
      </c>
      <c r="C2742" s="7">
        <f>MONTH(A2742)</f>
        <v/>
      </c>
      <c r="D2742" s="10" t="n">
        <v>0</v>
      </c>
      <c r="E2742" s="11" t="n">
        <v>18.62553695</v>
      </c>
      <c r="F2742" s="12" t="n">
        <v>0.007997404636999999</v>
      </c>
      <c r="G2742" s="11" t="n">
        <v>294.6523826</v>
      </c>
      <c r="H2742" s="13">
        <f>F2742*1000</f>
        <v/>
      </c>
      <c r="I2742" s="14">
        <f>G2742-273.15</f>
        <v/>
      </c>
      <c r="K2742" s="15" t="n">
        <v>2008</v>
      </c>
      <c r="L2742" s="15" t="n">
        <v>8</v>
      </c>
      <c r="M2742" s="15" t="n">
        <v>8</v>
      </c>
      <c r="N2742" s="16" t="n">
        <v>0.0001305118583</v>
      </c>
      <c r="O2742" s="11" t="n">
        <v>288.6194949</v>
      </c>
      <c r="P2742" s="13">
        <f>N2742*86400</f>
        <v/>
      </c>
      <c r="Q2742" s="14">
        <f>O2742-273.15</f>
        <v/>
      </c>
    </row>
    <row r="2743">
      <c r="A2743" s="9" t="n">
        <v>39630</v>
      </c>
      <c r="B2743" s="7">
        <f>YEAR(A2743)</f>
        <v/>
      </c>
      <c r="C2743" s="7">
        <f>MONTH(A2743)</f>
        <v/>
      </c>
      <c r="D2743" s="10" t="n">
        <v>0</v>
      </c>
      <c r="E2743" s="11" t="n">
        <v>19.86232646</v>
      </c>
      <c r="F2743" s="12" t="n">
        <v>0.0004110885136</v>
      </c>
      <c r="G2743" s="11" t="n">
        <v>295.1371079</v>
      </c>
      <c r="H2743" s="13">
        <f>F2743*1000</f>
        <v/>
      </c>
      <c r="I2743" s="14">
        <f>G2743-273.15</f>
        <v/>
      </c>
      <c r="K2743" s="15" t="n">
        <v>2008</v>
      </c>
      <c r="L2743" s="15" t="n">
        <v>8</v>
      </c>
      <c r="M2743" s="15" t="n">
        <v>9</v>
      </c>
      <c r="N2743" s="16" t="n">
        <v>1.653999905e-05</v>
      </c>
      <c r="O2743" s="11" t="n">
        <v>288.3703494</v>
      </c>
      <c r="P2743" s="13">
        <f>N2743*86400</f>
        <v/>
      </c>
      <c r="Q2743" s="14">
        <f>O2743-273.15</f>
        <v/>
      </c>
    </row>
    <row r="2744">
      <c r="A2744" s="9" t="n">
        <v>39631</v>
      </c>
      <c r="B2744" s="7">
        <f>YEAR(A2744)</f>
        <v/>
      </c>
      <c r="C2744" s="7">
        <f>MONTH(A2744)</f>
        <v/>
      </c>
      <c r="D2744" s="10" t="n">
        <v>0</v>
      </c>
      <c r="E2744" s="11" t="n">
        <v>20.43619672</v>
      </c>
      <c r="F2744" s="12" t="n">
        <v>0.003587911866</v>
      </c>
      <c r="G2744" s="11" t="n">
        <v>295.4849001</v>
      </c>
      <c r="H2744" s="13">
        <f>F2744*1000</f>
        <v/>
      </c>
      <c r="I2744" s="14">
        <f>G2744-273.15</f>
        <v/>
      </c>
      <c r="K2744" s="15" t="n">
        <v>2008</v>
      </c>
      <c r="L2744" s="15" t="n">
        <v>8</v>
      </c>
      <c r="M2744" s="15" t="n">
        <v>10</v>
      </c>
      <c r="N2744" s="16" t="n">
        <v>0</v>
      </c>
      <c r="O2744" s="11" t="n">
        <v>289.6446653</v>
      </c>
      <c r="P2744" s="13">
        <f>N2744*86400</f>
        <v/>
      </c>
      <c r="Q2744" s="14">
        <f>O2744-273.15</f>
        <v/>
      </c>
    </row>
    <row r="2745">
      <c r="A2745" s="9" t="n">
        <v>39632</v>
      </c>
      <c r="B2745" s="7">
        <f>YEAR(A2745)</f>
        <v/>
      </c>
      <c r="C2745" s="7">
        <f>MONTH(A2745)</f>
        <v/>
      </c>
      <c r="D2745" s="10" t="n">
        <v>1.974072231</v>
      </c>
      <c r="E2745" s="11" t="n">
        <v>19.65684746</v>
      </c>
      <c r="F2745" s="12" t="n">
        <v>0.0103933277</v>
      </c>
      <c r="G2745" s="11" t="n">
        <v>294.8594468</v>
      </c>
      <c r="H2745" s="13">
        <f>F2745*1000</f>
        <v/>
      </c>
      <c r="I2745" s="14">
        <f>G2745-273.15</f>
        <v/>
      </c>
      <c r="K2745" s="15" t="n">
        <v>2008</v>
      </c>
      <c r="L2745" s="15" t="n">
        <v>8</v>
      </c>
      <c r="M2745" s="15" t="n">
        <v>11</v>
      </c>
      <c r="N2745" s="16" t="n">
        <v>4.108834962e-05</v>
      </c>
      <c r="O2745" s="11" t="n">
        <v>291.4533106</v>
      </c>
      <c r="P2745" s="13">
        <f>N2745*86400</f>
        <v/>
      </c>
      <c r="Q2745" s="14">
        <f>O2745-273.15</f>
        <v/>
      </c>
    </row>
    <row r="2746">
      <c r="A2746" s="9" t="n">
        <v>39633</v>
      </c>
      <c r="B2746" s="7">
        <f>YEAR(A2746)</f>
        <v/>
      </c>
      <c r="C2746" s="7">
        <f>MONTH(A2746)</f>
        <v/>
      </c>
      <c r="D2746" s="10" t="n">
        <v>4.264107275</v>
      </c>
      <c r="E2746" s="11" t="n">
        <v>21.07202894</v>
      </c>
      <c r="F2746" s="12" t="n">
        <v>0.007178962831</v>
      </c>
      <c r="G2746" s="11" t="n">
        <v>295.6895878</v>
      </c>
      <c r="H2746" s="13">
        <f>F2746*1000</f>
        <v/>
      </c>
      <c r="I2746" s="14">
        <f>G2746-273.15</f>
        <v/>
      </c>
      <c r="K2746" s="15" t="n">
        <v>2008</v>
      </c>
      <c r="L2746" s="15" t="n">
        <v>8</v>
      </c>
      <c r="M2746" s="15" t="n">
        <v>12</v>
      </c>
      <c r="N2746" s="16" t="n">
        <v>6.02172451e-05</v>
      </c>
      <c r="O2746" s="11" t="n">
        <v>289.6431312</v>
      </c>
      <c r="P2746" s="13">
        <f>N2746*86400</f>
        <v/>
      </c>
      <c r="Q2746" s="14">
        <f>O2746-273.15</f>
        <v/>
      </c>
    </row>
    <row r="2747">
      <c r="A2747" s="9" t="n">
        <v>39634</v>
      </c>
      <c r="B2747" s="7">
        <f>YEAR(A2747)</f>
        <v/>
      </c>
      <c r="C2747" s="7">
        <f>MONTH(A2747)</f>
        <v/>
      </c>
      <c r="D2747" s="10" t="n">
        <v>8.810821051</v>
      </c>
      <c r="E2747" s="11" t="n">
        <v>18.0642013</v>
      </c>
      <c r="F2747" s="12" t="n">
        <v>0.009722277626</v>
      </c>
      <c r="G2747" s="11" t="n">
        <v>293.2911881</v>
      </c>
      <c r="H2747" s="13">
        <f>F2747*1000</f>
        <v/>
      </c>
      <c r="I2747" s="14">
        <f>G2747-273.15</f>
        <v/>
      </c>
      <c r="K2747" s="15" t="n">
        <v>2008</v>
      </c>
      <c r="L2747" s="15" t="n">
        <v>8</v>
      </c>
      <c r="M2747" s="15" t="n">
        <v>13</v>
      </c>
      <c r="N2747" s="16" t="n">
        <v>1.357133913e-05</v>
      </c>
      <c r="O2747" s="11" t="n">
        <v>288.5302084</v>
      </c>
      <c r="P2747" s="13">
        <f>N2747*86400</f>
        <v/>
      </c>
      <c r="Q2747" s="14">
        <f>O2747-273.15</f>
        <v/>
      </c>
    </row>
    <row r="2748">
      <c r="A2748" s="9" t="n">
        <v>39635</v>
      </c>
      <c r="B2748" s="7">
        <f>YEAR(A2748)</f>
        <v/>
      </c>
      <c r="C2748" s="7">
        <f>MONTH(A2748)</f>
        <v/>
      </c>
      <c r="D2748" s="10" t="n">
        <v>8.130184258</v>
      </c>
      <c r="E2748" s="11" t="n">
        <v>14.83307225</v>
      </c>
      <c r="F2748" s="12" t="n">
        <v>0.009405396123999999</v>
      </c>
      <c r="G2748" s="11" t="n">
        <v>291.2675033</v>
      </c>
      <c r="H2748" s="13">
        <f>F2748*1000</f>
        <v/>
      </c>
      <c r="I2748" s="14">
        <f>G2748-273.15</f>
        <v/>
      </c>
      <c r="K2748" s="15" t="n">
        <v>2008</v>
      </c>
      <c r="L2748" s="15" t="n">
        <v>8</v>
      </c>
      <c r="M2748" s="15" t="n">
        <v>14</v>
      </c>
      <c r="N2748" s="16" t="n">
        <v>1.498569409e-05</v>
      </c>
      <c r="O2748" s="11" t="n">
        <v>290.8258212</v>
      </c>
      <c r="P2748" s="13">
        <f>N2748*86400</f>
        <v/>
      </c>
      <c r="Q2748" s="14">
        <f>O2748-273.15</f>
        <v/>
      </c>
    </row>
    <row r="2749">
      <c r="A2749" s="9" t="n">
        <v>39636</v>
      </c>
      <c r="B2749" s="7">
        <f>YEAR(A2749)</f>
        <v/>
      </c>
      <c r="C2749" s="7">
        <f>MONTH(A2749)</f>
        <v/>
      </c>
      <c r="D2749" s="10" t="n">
        <v>0</v>
      </c>
      <c r="E2749" s="11" t="n">
        <v>15.13519461</v>
      </c>
      <c r="F2749" s="12" t="n">
        <v>0.004934154759</v>
      </c>
      <c r="G2749" s="11" t="n">
        <v>291.318931</v>
      </c>
      <c r="H2749" s="13">
        <f>F2749*1000</f>
        <v/>
      </c>
      <c r="I2749" s="14">
        <f>G2749-273.15</f>
        <v/>
      </c>
      <c r="K2749" s="15" t="n">
        <v>2008</v>
      </c>
      <c r="L2749" s="15" t="n">
        <v>8</v>
      </c>
      <c r="M2749" s="15" t="n">
        <v>15</v>
      </c>
      <c r="N2749" s="16" t="n">
        <v>0</v>
      </c>
      <c r="O2749" s="11" t="n">
        <v>289.0375726</v>
      </c>
      <c r="P2749" s="13">
        <f>N2749*86400</f>
        <v/>
      </c>
      <c r="Q2749" s="14">
        <f>O2749-273.15</f>
        <v/>
      </c>
    </row>
    <row r="2750">
      <c r="A2750" s="9" t="n">
        <v>39637</v>
      </c>
      <c r="B2750" s="7">
        <f>YEAR(A2750)</f>
        <v/>
      </c>
      <c r="C2750" s="7">
        <f>MONTH(A2750)</f>
        <v/>
      </c>
      <c r="D2750" s="10" t="n">
        <v>0</v>
      </c>
      <c r="E2750" s="11" t="n">
        <v>17.81477458</v>
      </c>
      <c r="F2750" s="12" t="n">
        <v>0.007735353156</v>
      </c>
      <c r="G2750" s="11" t="n">
        <v>293.1376156</v>
      </c>
      <c r="H2750" s="13">
        <f>F2750*1000</f>
        <v/>
      </c>
      <c r="I2750" s="14">
        <f>G2750-273.15</f>
        <v/>
      </c>
      <c r="K2750" s="15" t="n">
        <v>2008</v>
      </c>
      <c r="L2750" s="15" t="n">
        <v>8</v>
      </c>
      <c r="M2750" s="15" t="n">
        <v>16</v>
      </c>
      <c r="N2750" s="16" t="n">
        <v>1.955552167e-05</v>
      </c>
      <c r="O2750" s="11" t="n">
        <v>289.1285133</v>
      </c>
      <c r="P2750" s="13">
        <f>N2750*86400</f>
        <v/>
      </c>
      <c r="Q2750" s="14">
        <f>O2750-273.15</f>
        <v/>
      </c>
    </row>
    <row r="2751">
      <c r="A2751" s="9" t="n">
        <v>39638</v>
      </c>
      <c r="B2751" s="7">
        <f>YEAR(A2751)</f>
        <v/>
      </c>
      <c r="C2751" s="7">
        <f>MONTH(A2751)</f>
        <v/>
      </c>
      <c r="D2751" s="10" t="n">
        <v>0</v>
      </c>
      <c r="E2751" s="11" t="n">
        <v>15.63590984</v>
      </c>
      <c r="F2751" s="12" t="n">
        <v>0.000347159269</v>
      </c>
      <c r="G2751" s="11" t="n">
        <v>291.6697255</v>
      </c>
      <c r="H2751" s="13">
        <f>F2751*1000</f>
        <v/>
      </c>
      <c r="I2751" s="14">
        <f>G2751-273.15</f>
        <v/>
      </c>
      <c r="K2751" s="15" t="n">
        <v>2008</v>
      </c>
      <c r="L2751" s="15" t="n">
        <v>8</v>
      </c>
      <c r="M2751" s="15" t="n">
        <v>17</v>
      </c>
      <c r="N2751" s="16" t="n">
        <v>1.799119573e-05</v>
      </c>
      <c r="O2751" s="11" t="n">
        <v>288.8128405</v>
      </c>
      <c r="P2751" s="13">
        <f>N2751*86400</f>
        <v/>
      </c>
      <c r="Q2751" s="14">
        <f>O2751-273.15</f>
        <v/>
      </c>
    </row>
    <row r="2752">
      <c r="A2752" s="9" t="n">
        <v>39639</v>
      </c>
      <c r="B2752" s="7">
        <f>YEAR(A2752)</f>
        <v/>
      </c>
      <c r="C2752" s="7">
        <f>MONTH(A2752)</f>
        <v/>
      </c>
      <c r="D2752" s="10" t="n">
        <v>5.098627447</v>
      </c>
      <c r="E2752" s="11" t="n">
        <v>16.82482665</v>
      </c>
      <c r="F2752" s="12" t="n">
        <v>0.002003878731</v>
      </c>
      <c r="G2752" s="11" t="n">
        <v>292.6935851</v>
      </c>
      <c r="H2752" s="13">
        <f>F2752*1000</f>
        <v/>
      </c>
      <c r="I2752" s="14">
        <f>G2752-273.15</f>
        <v/>
      </c>
      <c r="K2752" s="15" t="n">
        <v>2008</v>
      </c>
      <c r="L2752" s="15" t="n">
        <v>8</v>
      </c>
      <c r="M2752" s="15" t="n">
        <v>18</v>
      </c>
      <c r="N2752" s="16" t="n">
        <v>4.720558853e-05</v>
      </c>
      <c r="O2752" s="11" t="n">
        <v>287.3902882</v>
      </c>
      <c r="P2752" s="13">
        <f>N2752*86400</f>
        <v/>
      </c>
      <c r="Q2752" s="14">
        <f>O2752-273.15</f>
        <v/>
      </c>
    </row>
    <row r="2753">
      <c r="A2753" s="9" t="n">
        <v>39640</v>
      </c>
      <c r="B2753" s="7">
        <f>YEAR(A2753)</f>
        <v/>
      </c>
      <c r="C2753" s="7">
        <f>MONTH(A2753)</f>
        <v/>
      </c>
      <c r="D2753" s="10" t="n">
        <v>12.12807946</v>
      </c>
      <c r="E2753" s="11" t="n">
        <v>17.02178746</v>
      </c>
      <c r="F2753" s="12" t="n">
        <v>0.006010344937</v>
      </c>
      <c r="G2753" s="11" t="n">
        <v>292.816295</v>
      </c>
      <c r="H2753" s="13">
        <f>F2753*1000</f>
        <v/>
      </c>
      <c r="I2753" s="14">
        <f>G2753-273.15</f>
        <v/>
      </c>
      <c r="K2753" s="15" t="n">
        <v>2008</v>
      </c>
      <c r="L2753" s="15" t="n">
        <v>8</v>
      </c>
      <c r="M2753" s="15" t="n">
        <v>19</v>
      </c>
      <c r="N2753" s="16" t="n">
        <v>2.490728892e-06</v>
      </c>
      <c r="O2753" s="11" t="n">
        <v>288.8601204</v>
      </c>
      <c r="P2753" s="13">
        <f>N2753*86400</f>
        <v/>
      </c>
      <c r="Q2753" s="14">
        <f>O2753-273.15</f>
        <v/>
      </c>
    </row>
    <row r="2754">
      <c r="A2754" s="9" t="n">
        <v>39641</v>
      </c>
      <c r="B2754" s="7">
        <f>YEAR(A2754)</f>
        <v/>
      </c>
      <c r="C2754" s="7">
        <f>MONTH(A2754)</f>
        <v/>
      </c>
      <c r="D2754" s="10" t="n">
        <v>0</v>
      </c>
      <c r="E2754" s="11" t="n">
        <v>16.67694016</v>
      </c>
      <c r="F2754" s="12" t="n">
        <v>7.646666153999999e-05</v>
      </c>
      <c r="G2754" s="11" t="n">
        <v>291.4829906</v>
      </c>
      <c r="H2754" s="13">
        <f>F2754*1000</f>
        <v/>
      </c>
      <c r="I2754" s="14">
        <f>G2754-273.15</f>
        <v/>
      </c>
      <c r="K2754" s="15" t="n">
        <v>2008</v>
      </c>
      <c r="L2754" s="15" t="n">
        <v>8</v>
      </c>
      <c r="M2754" s="15" t="n">
        <v>20</v>
      </c>
      <c r="N2754" s="16" t="n">
        <v>0.0001339898206</v>
      </c>
      <c r="O2754" s="11" t="n">
        <v>286.6411419</v>
      </c>
      <c r="P2754" s="13">
        <f>N2754*86400</f>
        <v/>
      </c>
      <c r="Q2754" s="14">
        <f>O2754-273.15</f>
        <v/>
      </c>
    </row>
    <row r="2755">
      <c r="A2755" s="9" t="n">
        <v>39642</v>
      </c>
      <c r="B2755" s="7">
        <f>YEAR(A2755)</f>
        <v/>
      </c>
      <c r="C2755" s="7">
        <f>MONTH(A2755)</f>
        <v/>
      </c>
      <c r="D2755" s="10" t="n">
        <v>0.788210988</v>
      </c>
      <c r="E2755" s="11" t="n">
        <v>14.23687433</v>
      </c>
      <c r="F2755" s="12" t="n">
        <v>0.003445478973</v>
      </c>
      <c r="G2755" s="11" t="n">
        <v>290.0270234</v>
      </c>
      <c r="H2755" s="13">
        <f>F2755*1000</f>
        <v/>
      </c>
      <c r="I2755" s="14">
        <f>G2755-273.15</f>
        <v/>
      </c>
      <c r="K2755" s="15" t="n">
        <v>2008</v>
      </c>
      <c r="L2755" s="15" t="n">
        <v>8</v>
      </c>
      <c r="M2755" s="15" t="n">
        <v>21</v>
      </c>
      <c r="N2755" s="16" t="n">
        <v>8.175685068999999e-06</v>
      </c>
      <c r="O2755" s="11" t="n">
        <v>287.9228979</v>
      </c>
      <c r="P2755" s="13">
        <f>N2755*86400</f>
        <v/>
      </c>
      <c r="Q2755" s="14">
        <f>O2755-273.15</f>
        <v/>
      </c>
    </row>
    <row r="2756">
      <c r="A2756" s="9" t="n">
        <v>39643</v>
      </c>
      <c r="B2756" s="7">
        <f>YEAR(A2756)</f>
        <v/>
      </c>
      <c r="C2756" s="7">
        <f>MONTH(A2756)</f>
        <v/>
      </c>
      <c r="D2756" s="10" t="n">
        <v>3.512855101</v>
      </c>
      <c r="E2756" s="11" t="n">
        <v>13.12578998</v>
      </c>
      <c r="F2756" s="12" t="n">
        <v>0.005793109734</v>
      </c>
      <c r="G2756" s="11" t="n">
        <v>288.7867816</v>
      </c>
      <c r="H2756" s="13">
        <f>F2756*1000</f>
        <v/>
      </c>
      <c r="I2756" s="14">
        <f>G2756-273.15</f>
        <v/>
      </c>
      <c r="K2756" s="15" t="n">
        <v>2008</v>
      </c>
      <c r="L2756" s="15" t="n">
        <v>8</v>
      </c>
      <c r="M2756" s="15" t="n">
        <v>22</v>
      </c>
      <c r="N2756" s="16" t="n">
        <v>3.996918794e-05</v>
      </c>
      <c r="O2756" s="11" t="n">
        <v>288.0047444</v>
      </c>
      <c r="P2756" s="13">
        <f>N2756*86400</f>
        <v/>
      </c>
      <c r="Q2756" s="14">
        <f>O2756-273.15</f>
        <v/>
      </c>
    </row>
    <row r="2757">
      <c r="A2757" s="9" t="n">
        <v>39644</v>
      </c>
      <c r="B2757" s="7">
        <f>YEAR(A2757)</f>
        <v/>
      </c>
      <c r="C2757" s="7">
        <f>MONTH(A2757)</f>
        <v/>
      </c>
      <c r="D2757" s="10" t="n">
        <v>17.50425057</v>
      </c>
      <c r="E2757" s="11" t="n">
        <v>13.56602169</v>
      </c>
      <c r="F2757" s="12" t="n">
        <v>0.007679871324</v>
      </c>
      <c r="G2757" s="11" t="n">
        <v>289.471086</v>
      </c>
      <c r="H2757" s="13">
        <f>F2757*1000</f>
        <v/>
      </c>
      <c r="I2757" s="14">
        <f>G2757-273.15</f>
        <v/>
      </c>
      <c r="K2757" s="15" t="n">
        <v>2008</v>
      </c>
      <c r="L2757" s="15" t="n">
        <v>8</v>
      </c>
      <c r="M2757" s="15" t="n">
        <v>23</v>
      </c>
      <c r="N2757" s="16" t="n">
        <v>5.536460232e-06</v>
      </c>
      <c r="O2757" s="11" t="n">
        <v>289.0896333</v>
      </c>
      <c r="P2757" s="13">
        <f>N2757*86400</f>
        <v/>
      </c>
      <c r="Q2757" s="14">
        <f>O2757-273.15</f>
        <v/>
      </c>
    </row>
    <row r="2758">
      <c r="A2758" s="9" t="n">
        <v>39645</v>
      </c>
      <c r="B2758" s="7">
        <f>YEAR(A2758)</f>
        <v/>
      </c>
      <c r="C2758" s="7">
        <f>MONTH(A2758)</f>
        <v/>
      </c>
      <c r="D2758" s="10" t="n">
        <v>46.88058336</v>
      </c>
      <c r="E2758" s="11" t="n">
        <v>14.4469586</v>
      </c>
      <c r="F2758" s="12" t="n">
        <v>0.01962556911</v>
      </c>
      <c r="G2758" s="11" t="n">
        <v>290.8376029</v>
      </c>
      <c r="H2758" s="13">
        <f>F2758*1000</f>
        <v/>
      </c>
      <c r="I2758" s="14">
        <f>G2758-273.15</f>
        <v/>
      </c>
      <c r="K2758" s="15" t="n">
        <v>2008</v>
      </c>
      <c r="L2758" s="15" t="n">
        <v>8</v>
      </c>
      <c r="M2758" s="15" t="n">
        <v>24</v>
      </c>
      <c r="N2758" s="16" t="n">
        <v>0</v>
      </c>
      <c r="O2758" s="11" t="n">
        <v>290.2283272</v>
      </c>
      <c r="P2758" s="13">
        <f>N2758*86400</f>
        <v/>
      </c>
      <c r="Q2758" s="14">
        <f>O2758-273.15</f>
        <v/>
      </c>
    </row>
    <row r="2759">
      <c r="A2759" s="9" t="n">
        <v>39646</v>
      </c>
      <c r="B2759" s="7">
        <f>YEAR(A2759)</f>
        <v/>
      </c>
      <c r="C2759" s="7">
        <f>MONTH(A2759)</f>
        <v/>
      </c>
      <c r="D2759" s="10" t="n">
        <v>24.98379835</v>
      </c>
      <c r="E2759" s="11" t="n">
        <v>17.58981368</v>
      </c>
      <c r="F2759" s="12" t="n">
        <v>0.01759116438</v>
      </c>
      <c r="G2759" s="11" t="n">
        <v>292.2545498</v>
      </c>
      <c r="H2759" s="13">
        <f>F2759*1000</f>
        <v/>
      </c>
      <c r="I2759" s="14">
        <f>G2759-273.15</f>
        <v/>
      </c>
      <c r="K2759" s="15" t="n">
        <v>2008</v>
      </c>
      <c r="L2759" s="15" t="n">
        <v>8</v>
      </c>
      <c r="M2759" s="15" t="n">
        <v>25</v>
      </c>
      <c r="N2759" s="16" t="n">
        <v>3.32469171e-07</v>
      </c>
      <c r="O2759" s="11" t="n">
        <v>289.8253012</v>
      </c>
      <c r="P2759" s="13">
        <f>N2759*86400</f>
        <v/>
      </c>
      <c r="Q2759" s="14">
        <f>O2759-273.15</f>
        <v/>
      </c>
    </row>
    <row r="2760">
      <c r="A2760" s="9" t="n">
        <v>39647</v>
      </c>
      <c r="B2760" s="7">
        <f>YEAR(A2760)</f>
        <v/>
      </c>
      <c r="C2760" s="7">
        <f>MONTH(A2760)</f>
        <v/>
      </c>
      <c r="D2760" s="10" t="n">
        <v>11.6844259</v>
      </c>
      <c r="E2760" s="11" t="n">
        <v>17.22566591</v>
      </c>
      <c r="F2760" s="12" t="n">
        <v>0.006704061286</v>
      </c>
      <c r="G2760" s="11" t="n">
        <v>293.7779156</v>
      </c>
      <c r="H2760" s="13">
        <f>F2760*1000</f>
        <v/>
      </c>
      <c r="I2760" s="14">
        <f>G2760-273.15</f>
        <v/>
      </c>
      <c r="K2760" s="15" t="n">
        <v>2008</v>
      </c>
      <c r="L2760" s="15" t="n">
        <v>8</v>
      </c>
      <c r="M2760" s="15" t="n">
        <v>26</v>
      </c>
      <c r="N2760" s="16" t="n">
        <v>9.018730693000001e-05</v>
      </c>
      <c r="O2760" s="11" t="n">
        <v>289.5066894</v>
      </c>
      <c r="P2760" s="13">
        <f>N2760*86400</f>
        <v/>
      </c>
      <c r="Q2760" s="14">
        <f>O2760-273.15</f>
        <v/>
      </c>
    </row>
    <row r="2761">
      <c r="A2761" s="9" t="n">
        <v>39648</v>
      </c>
      <c r="B2761" s="7">
        <f>YEAR(A2761)</f>
        <v/>
      </c>
      <c r="C2761" s="7">
        <f>MONTH(A2761)</f>
        <v/>
      </c>
      <c r="D2761" s="10" t="n">
        <v>0</v>
      </c>
      <c r="E2761" s="11" t="n">
        <v>16.36759752</v>
      </c>
      <c r="F2761" s="12" t="n">
        <v>0.0002047953968</v>
      </c>
      <c r="G2761" s="11" t="n">
        <v>292.2125896</v>
      </c>
      <c r="H2761" s="13">
        <f>F2761*1000</f>
        <v/>
      </c>
      <c r="I2761" s="14">
        <f>G2761-273.15</f>
        <v/>
      </c>
      <c r="K2761" s="15" t="n">
        <v>2008</v>
      </c>
      <c r="L2761" s="15" t="n">
        <v>8</v>
      </c>
      <c r="M2761" s="15" t="n">
        <v>27</v>
      </c>
      <c r="N2761" s="16" t="n">
        <v>0.0001418958511</v>
      </c>
      <c r="O2761" s="11" t="n">
        <v>287.5457673</v>
      </c>
      <c r="P2761" s="13">
        <f>N2761*86400</f>
        <v/>
      </c>
      <c r="Q2761" s="14">
        <f>O2761-273.15</f>
        <v/>
      </c>
    </row>
    <row r="2762">
      <c r="A2762" s="9" t="n">
        <v>39649</v>
      </c>
      <c r="B2762" s="7">
        <f>YEAR(A2762)</f>
        <v/>
      </c>
      <c r="C2762" s="7">
        <f>MONTH(A2762)</f>
        <v/>
      </c>
      <c r="D2762" s="10" t="n">
        <v>7.006451803</v>
      </c>
      <c r="E2762" s="11" t="n">
        <v>15.0861594</v>
      </c>
      <c r="F2762" s="12" t="n">
        <v>0.006994351057</v>
      </c>
      <c r="G2762" s="11" t="n">
        <v>290.3971689</v>
      </c>
      <c r="H2762" s="13">
        <f>F2762*1000</f>
        <v/>
      </c>
      <c r="I2762" s="14">
        <f>G2762-273.15</f>
        <v/>
      </c>
      <c r="K2762" s="15" t="n">
        <v>2008</v>
      </c>
      <c r="L2762" s="15" t="n">
        <v>8</v>
      </c>
      <c r="M2762" s="15" t="n">
        <v>28</v>
      </c>
      <c r="N2762" s="16" t="n">
        <v>3.344786616e-05</v>
      </c>
      <c r="O2762" s="11" t="n">
        <v>288.3311435</v>
      </c>
      <c r="P2762" s="13">
        <f>N2762*86400</f>
        <v/>
      </c>
      <c r="Q2762" s="14">
        <f>O2762-273.15</f>
        <v/>
      </c>
    </row>
    <row r="2763">
      <c r="A2763" s="9" t="n">
        <v>39650</v>
      </c>
      <c r="B2763" s="7">
        <f>YEAR(A2763)</f>
        <v/>
      </c>
      <c r="C2763" s="7">
        <f>MONTH(A2763)</f>
        <v/>
      </c>
      <c r="D2763" s="10" t="n">
        <v>0</v>
      </c>
      <c r="E2763" s="11" t="n">
        <v>16.55437649</v>
      </c>
      <c r="F2763" s="12" t="n">
        <v>0.004560226313</v>
      </c>
      <c r="G2763" s="11" t="n">
        <v>292.8220632</v>
      </c>
      <c r="H2763" s="13">
        <f>F2763*1000</f>
        <v/>
      </c>
      <c r="I2763" s="14">
        <f>G2763-273.15</f>
        <v/>
      </c>
      <c r="K2763" s="15" t="n">
        <v>2008</v>
      </c>
      <c r="L2763" s="15" t="n">
        <v>8</v>
      </c>
      <c r="M2763" s="15" t="n">
        <v>29</v>
      </c>
      <c r="N2763" s="16" t="n">
        <v>8.601166108e-05</v>
      </c>
      <c r="O2763" s="11" t="n">
        <v>287.7181971</v>
      </c>
      <c r="P2763" s="13">
        <f>N2763*86400</f>
        <v/>
      </c>
      <c r="Q2763" s="14">
        <f>O2763-273.15</f>
        <v/>
      </c>
    </row>
    <row r="2764">
      <c r="A2764" s="9" t="n">
        <v>39651</v>
      </c>
      <c r="B2764" s="7">
        <f>YEAR(A2764)</f>
        <v/>
      </c>
      <c r="C2764" s="7">
        <f>MONTH(A2764)</f>
        <v/>
      </c>
      <c r="D2764" s="10" t="n">
        <v>1.442904189</v>
      </c>
      <c r="E2764" s="11" t="n">
        <v>15.55369307</v>
      </c>
      <c r="F2764" s="12" t="n">
        <v>0.005768347497</v>
      </c>
      <c r="G2764" s="11" t="n">
        <v>290.0842176</v>
      </c>
      <c r="H2764" s="13">
        <f>F2764*1000</f>
        <v/>
      </c>
      <c r="I2764" s="14">
        <f>G2764-273.15</f>
        <v/>
      </c>
      <c r="K2764" s="15" t="n">
        <v>2008</v>
      </c>
      <c r="L2764" s="15" t="n">
        <v>8</v>
      </c>
      <c r="M2764" s="15" t="n">
        <v>30</v>
      </c>
      <c r="N2764" s="16" t="n">
        <v>4.675461903e-05</v>
      </c>
      <c r="O2764" s="11" t="n">
        <v>289.54225</v>
      </c>
      <c r="P2764" s="13">
        <f>N2764*86400</f>
        <v/>
      </c>
      <c r="Q2764" s="14">
        <f>O2764-273.15</f>
        <v/>
      </c>
    </row>
    <row r="2765">
      <c r="A2765" s="9" t="n">
        <v>39652</v>
      </c>
      <c r="B2765" s="7">
        <f>YEAR(A2765)</f>
        <v/>
      </c>
      <c r="C2765" s="7">
        <f>MONTH(A2765)</f>
        <v/>
      </c>
      <c r="D2765" s="10" t="n">
        <v>34.06109327</v>
      </c>
      <c r="E2765" s="11" t="n">
        <v>16.01475613</v>
      </c>
      <c r="F2765" s="12" t="n">
        <v>0.02268319499</v>
      </c>
      <c r="G2765" s="11" t="n">
        <v>289.4972093</v>
      </c>
      <c r="H2765" s="13">
        <f>F2765*1000</f>
        <v/>
      </c>
      <c r="I2765" s="14">
        <f>G2765-273.15</f>
        <v/>
      </c>
      <c r="K2765" s="15" t="n">
        <v>2008</v>
      </c>
      <c r="L2765" s="15" t="n">
        <v>9</v>
      </c>
      <c r="M2765" s="15" t="n">
        <v>1</v>
      </c>
      <c r="N2765" s="16" t="n">
        <v>9.236413313e-06</v>
      </c>
      <c r="O2765" s="11" t="n">
        <v>289.1678927</v>
      </c>
      <c r="P2765" s="13">
        <f>N2765*86400</f>
        <v/>
      </c>
      <c r="Q2765" s="14">
        <f>O2765-273.15</f>
        <v/>
      </c>
    </row>
    <row r="2766">
      <c r="A2766" s="9" t="n">
        <v>39653</v>
      </c>
      <c r="B2766" s="7">
        <f>YEAR(A2766)</f>
        <v/>
      </c>
      <c r="C2766" s="7">
        <f>MONTH(A2766)</f>
        <v/>
      </c>
      <c r="D2766" s="10" t="n">
        <v>20.87039283</v>
      </c>
      <c r="E2766" s="11" t="n">
        <v>15.50231895</v>
      </c>
      <c r="F2766" s="12" t="n">
        <v>0.01551942891</v>
      </c>
      <c r="G2766" s="11" t="n">
        <v>289.802895</v>
      </c>
      <c r="H2766" s="13">
        <f>F2766*1000</f>
        <v/>
      </c>
      <c r="I2766" s="14">
        <f>G2766-273.15</f>
        <v/>
      </c>
      <c r="K2766" s="15" t="n">
        <v>2008</v>
      </c>
      <c r="L2766" s="15" t="n">
        <v>9</v>
      </c>
      <c r="M2766" s="15" t="n">
        <v>2</v>
      </c>
      <c r="N2766" s="16" t="n">
        <v>0.0001975731633</v>
      </c>
      <c r="O2766" s="11" t="n">
        <v>290.7491468</v>
      </c>
      <c r="P2766" s="13">
        <f>N2766*86400</f>
        <v/>
      </c>
      <c r="Q2766" s="14">
        <f>O2766-273.15</f>
        <v/>
      </c>
    </row>
    <row r="2767">
      <c r="A2767" s="9" t="n">
        <v>39654</v>
      </c>
      <c r="B2767" s="7">
        <f>YEAR(A2767)</f>
        <v/>
      </c>
      <c r="C2767" s="7">
        <f>MONTH(A2767)</f>
        <v/>
      </c>
      <c r="D2767" s="10" t="n">
        <v>4.654535559</v>
      </c>
      <c r="E2767" s="11" t="n">
        <v>14.8332475</v>
      </c>
      <c r="F2767" s="12" t="n">
        <v>0.01133459712</v>
      </c>
      <c r="G2767" s="11" t="n">
        <v>290.0038891</v>
      </c>
      <c r="H2767" s="13">
        <f>F2767*1000</f>
        <v/>
      </c>
      <c r="I2767" s="14">
        <f>G2767-273.15</f>
        <v/>
      </c>
      <c r="K2767" s="15" t="n">
        <v>2008</v>
      </c>
      <c r="L2767" s="15" t="n">
        <v>9</v>
      </c>
      <c r="M2767" s="15" t="n">
        <v>3</v>
      </c>
      <c r="N2767" s="16" t="n">
        <v>0.0001302294505</v>
      </c>
      <c r="O2767" s="11" t="n">
        <v>289.8488218</v>
      </c>
      <c r="P2767" s="13">
        <f>N2767*86400</f>
        <v/>
      </c>
      <c r="Q2767" s="14">
        <f>O2767-273.15</f>
        <v/>
      </c>
    </row>
    <row r="2768">
      <c r="A2768" s="9" t="n">
        <v>39655</v>
      </c>
      <c r="B2768" s="7">
        <f>YEAR(A2768)</f>
        <v/>
      </c>
      <c r="C2768" s="7">
        <f>MONTH(A2768)</f>
        <v/>
      </c>
      <c r="D2768" s="10" t="n">
        <v>0</v>
      </c>
      <c r="E2768" s="11" t="n">
        <v>13.38643293</v>
      </c>
      <c r="F2768" s="12" t="n">
        <v>0.002428617302</v>
      </c>
      <c r="G2768" s="11" t="n">
        <v>288.5713609</v>
      </c>
      <c r="H2768" s="13">
        <f>F2768*1000</f>
        <v/>
      </c>
      <c r="I2768" s="14">
        <f>G2768-273.15</f>
        <v/>
      </c>
      <c r="K2768" s="15" t="n">
        <v>2008</v>
      </c>
      <c r="L2768" s="15" t="n">
        <v>9</v>
      </c>
      <c r="M2768" s="15" t="n">
        <v>4</v>
      </c>
      <c r="N2768" s="16" t="n">
        <v>0.0001361917394</v>
      </c>
      <c r="O2768" s="11" t="n">
        <v>285.8078777</v>
      </c>
      <c r="P2768" s="13">
        <f>N2768*86400</f>
        <v/>
      </c>
      <c r="Q2768" s="14">
        <f>O2768-273.15</f>
        <v/>
      </c>
    </row>
    <row r="2769">
      <c r="A2769" s="9" t="n">
        <v>39656</v>
      </c>
      <c r="B2769" s="7">
        <f>YEAR(A2769)</f>
        <v/>
      </c>
      <c r="C2769" s="7">
        <f>MONTH(A2769)</f>
        <v/>
      </c>
      <c r="D2769" s="10" t="n">
        <v>1.724554722</v>
      </c>
      <c r="E2769" s="11" t="n">
        <v>10.98142465</v>
      </c>
      <c r="F2769" s="12" t="n">
        <v>0.003968947833</v>
      </c>
      <c r="G2769" s="11" t="n">
        <v>285.6026897</v>
      </c>
      <c r="H2769" s="13">
        <f>F2769*1000</f>
        <v/>
      </c>
      <c r="I2769" s="14">
        <f>G2769-273.15</f>
        <v/>
      </c>
      <c r="K2769" s="15" t="n">
        <v>2008</v>
      </c>
      <c r="L2769" s="15" t="n">
        <v>9</v>
      </c>
      <c r="M2769" s="15" t="n">
        <v>5</v>
      </c>
      <c r="N2769" s="16" t="n">
        <v>0.0001148000516</v>
      </c>
      <c r="O2769" s="11" t="n">
        <v>286.4526537</v>
      </c>
      <c r="P2769" s="13">
        <f>N2769*86400</f>
        <v/>
      </c>
      <c r="Q2769" s="14">
        <f>O2769-273.15</f>
        <v/>
      </c>
    </row>
    <row r="2770">
      <c r="A2770" s="9" t="n">
        <v>39657</v>
      </c>
      <c r="B2770" s="7">
        <f>YEAR(A2770)</f>
        <v/>
      </c>
      <c r="C2770" s="7">
        <f>MONTH(A2770)</f>
        <v/>
      </c>
      <c r="D2770" s="10" t="n">
        <v>0</v>
      </c>
      <c r="E2770" s="11" t="n">
        <v>10.98855379</v>
      </c>
      <c r="F2770" s="12" t="n">
        <v>0.002938856602</v>
      </c>
      <c r="G2770" s="11" t="n">
        <v>285.9404147</v>
      </c>
      <c r="H2770" s="13">
        <f>F2770*1000</f>
        <v/>
      </c>
      <c r="I2770" s="14">
        <f>G2770-273.15</f>
        <v/>
      </c>
      <c r="K2770" s="15" t="n">
        <v>2008</v>
      </c>
      <c r="L2770" s="15" t="n">
        <v>9</v>
      </c>
      <c r="M2770" s="15" t="n">
        <v>6</v>
      </c>
      <c r="N2770" s="16" t="n">
        <v>0.0001176931629</v>
      </c>
      <c r="O2770" s="11" t="n">
        <v>287.3155068</v>
      </c>
      <c r="P2770" s="13">
        <f>N2770*86400</f>
        <v/>
      </c>
      <c r="Q2770" s="14">
        <f>O2770-273.15</f>
        <v/>
      </c>
    </row>
    <row r="2771">
      <c r="A2771" s="9" t="n">
        <v>39658</v>
      </c>
      <c r="B2771" s="7">
        <f>YEAR(A2771)</f>
        <v/>
      </c>
      <c r="C2771" s="7">
        <f>MONTH(A2771)</f>
        <v/>
      </c>
      <c r="D2771" s="10" t="n">
        <v>0</v>
      </c>
      <c r="E2771" s="11" t="n">
        <v>11.79455759</v>
      </c>
      <c r="F2771" s="12" t="n">
        <v>0</v>
      </c>
      <c r="G2771" s="11" t="n">
        <v>286.9828303</v>
      </c>
      <c r="H2771" s="13">
        <f>F2771*1000</f>
        <v/>
      </c>
      <c r="I2771" s="14">
        <f>G2771-273.15</f>
        <v/>
      </c>
      <c r="K2771" s="15" t="n">
        <v>2008</v>
      </c>
      <c r="L2771" s="15" t="n">
        <v>9</v>
      </c>
      <c r="M2771" s="15" t="n">
        <v>7</v>
      </c>
      <c r="N2771" s="16" t="n">
        <v>0.0001002056365</v>
      </c>
      <c r="O2771" s="11" t="n">
        <v>286.0371287</v>
      </c>
      <c r="P2771" s="13">
        <f>N2771*86400</f>
        <v/>
      </c>
      <c r="Q2771" s="14">
        <f>O2771-273.15</f>
        <v/>
      </c>
    </row>
    <row r="2772">
      <c r="A2772" s="9" t="n">
        <v>39659</v>
      </c>
      <c r="B2772" s="7">
        <f>YEAR(A2772)</f>
        <v/>
      </c>
      <c r="C2772" s="7">
        <f>MONTH(A2772)</f>
        <v/>
      </c>
      <c r="D2772" s="10" t="n">
        <v>0.6210233602</v>
      </c>
      <c r="E2772" s="11" t="n">
        <v>14.31378553</v>
      </c>
      <c r="F2772" s="12" t="n">
        <v>0.003080185209</v>
      </c>
      <c r="G2772" s="11" t="n">
        <v>288.9554885</v>
      </c>
      <c r="H2772" s="13">
        <f>F2772*1000</f>
        <v/>
      </c>
      <c r="I2772" s="14">
        <f>G2772-273.15</f>
        <v/>
      </c>
      <c r="K2772" s="15" t="n">
        <v>2008</v>
      </c>
      <c r="L2772" s="15" t="n">
        <v>9</v>
      </c>
      <c r="M2772" s="15" t="n">
        <v>8</v>
      </c>
      <c r="N2772" s="16" t="n">
        <v>6.111164658e-06</v>
      </c>
      <c r="O2772" s="11" t="n">
        <v>285.3034626</v>
      </c>
      <c r="P2772" s="13">
        <f>N2772*86400</f>
        <v/>
      </c>
      <c r="Q2772" s="14">
        <f>O2772-273.15</f>
        <v/>
      </c>
    </row>
    <row r="2773">
      <c r="A2773" s="9" t="n">
        <v>39660</v>
      </c>
      <c r="B2773" s="7">
        <f>YEAR(A2773)</f>
        <v/>
      </c>
      <c r="C2773" s="7">
        <f>MONTH(A2773)</f>
        <v/>
      </c>
      <c r="D2773" s="10" t="n">
        <v>1.198704196</v>
      </c>
      <c r="E2773" s="11" t="n">
        <v>12.93622229</v>
      </c>
      <c r="F2773" s="12" t="n">
        <v>0.01048119087</v>
      </c>
      <c r="G2773" s="11" t="n">
        <v>288.1188822</v>
      </c>
      <c r="H2773" s="13">
        <f>F2773*1000</f>
        <v/>
      </c>
      <c r="I2773" s="14">
        <f>G2773-273.15</f>
        <v/>
      </c>
      <c r="K2773" s="15" t="n">
        <v>2008</v>
      </c>
      <c r="L2773" s="15" t="n">
        <v>9</v>
      </c>
      <c r="M2773" s="15" t="n">
        <v>9</v>
      </c>
      <c r="N2773" s="16" t="n">
        <v>5.081001628e-06</v>
      </c>
      <c r="O2773" s="11" t="n">
        <v>284.1617985</v>
      </c>
      <c r="P2773" s="13">
        <f>N2773*86400</f>
        <v/>
      </c>
      <c r="Q2773" s="14">
        <f>O2773-273.15</f>
        <v/>
      </c>
    </row>
    <row r="2774">
      <c r="A2774" s="9" t="n">
        <v>39661</v>
      </c>
      <c r="B2774" s="7">
        <f>YEAR(A2774)</f>
        <v/>
      </c>
      <c r="C2774" s="7">
        <f>MONTH(A2774)</f>
        <v/>
      </c>
      <c r="D2774" s="10" t="n">
        <v>0</v>
      </c>
      <c r="E2774" s="11" t="n">
        <v>13.25021586</v>
      </c>
      <c r="F2774" s="12" t="n">
        <v>0.002093959626</v>
      </c>
      <c r="G2774" s="11" t="n">
        <v>289.7562187</v>
      </c>
      <c r="H2774" s="13">
        <f>F2774*1000</f>
        <v/>
      </c>
      <c r="I2774" s="14">
        <f>G2774-273.15</f>
        <v/>
      </c>
      <c r="K2774" s="15" t="n">
        <v>2008</v>
      </c>
      <c r="L2774" s="15" t="n">
        <v>9</v>
      </c>
      <c r="M2774" s="15" t="n">
        <v>10</v>
      </c>
      <c r="N2774" s="16" t="n">
        <v>3.925140036e-05</v>
      </c>
      <c r="O2774" s="11" t="n">
        <v>283.1423948</v>
      </c>
      <c r="P2774" s="13">
        <f>N2774*86400</f>
        <v/>
      </c>
      <c r="Q2774" s="14">
        <f>O2774-273.15</f>
        <v/>
      </c>
    </row>
    <row r="2775">
      <c r="A2775" s="9" t="n">
        <v>39662</v>
      </c>
      <c r="B2775" s="7">
        <f>YEAR(A2775)</f>
        <v/>
      </c>
      <c r="C2775" s="7">
        <f>MONTH(A2775)</f>
        <v/>
      </c>
      <c r="D2775" s="10" t="n">
        <v>8.019161883000001</v>
      </c>
      <c r="E2775" s="11" t="n">
        <v>14.09808373</v>
      </c>
      <c r="F2775" s="12" t="n">
        <v>0.02368134722</v>
      </c>
      <c r="G2775" s="11" t="n">
        <v>289.2387796</v>
      </c>
      <c r="H2775" s="13">
        <f>F2775*1000</f>
        <v/>
      </c>
      <c r="I2775" s="14">
        <f>G2775-273.15</f>
        <v/>
      </c>
      <c r="K2775" s="15" t="n">
        <v>2008</v>
      </c>
      <c r="L2775" s="15" t="n">
        <v>9</v>
      </c>
      <c r="M2775" s="15" t="n">
        <v>11</v>
      </c>
      <c r="N2775" s="16" t="n">
        <v>0.0001154409177</v>
      </c>
      <c r="O2775" s="11" t="n">
        <v>282.3530305</v>
      </c>
      <c r="P2775" s="13">
        <f>N2775*86400</f>
        <v/>
      </c>
      <c r="Q2775" s="14">
        <f>O2775-273.15</f>
        <v/>
      </c>
    </row>
    <row r="2776">
      <c r="A2776" s="9" t="n">
        <v>39663</v>
      </c>
      <c r="B2776" s="7">
        <f>YEAR(A2776)</f>
        <v/>
      </c>
      <c r="C2776" s="7">
        <f>MONTH(A2776)</f>
        <v/>
      </c>
      <c r="D2776" s="10" t="n">
        <v>35.51589211</v>
      </c>
      <c r="E2776" s="11" t="n">
        <v>15.01043737</v>
      </c>
      <c r="F2776" s="12" t="n">
        <v>0.03363664277</v>
      </c>
      <c r="G2776" s="11" t="n">
        <v>289.4709413</v>
      </c>
      <c r="H2776" s="13">
        <f>F2776*1000</f>
        <v/>
      </c>
      <c r="I2776" s="14">
        <f>G2776-273.15</f>
        <v/>
      </c>
      <c r="K2776" s="15" t="n">
        <v>2008</v>
      </c>
      <c r="L2776" s="15" t="n">
        <v>9</v>
      </c>
      <c r="M2776" s="15" t="n">
        <v>12</v>
      </c>
      <c r="N2776" s="16" t="n">
        <v>7.388819749e-05</v>
      </c>
      <c r="O2776" s="11" t="n">
        <v>284.9849694</v>
      </c>
      <c r="P2776" s="13">
        <f>N2776*86400</f>
        <v/>
      </c>
      <c r="Q2776" s="14">
        <f>O2776-273.15</f>
        <v/>
      </c>
    </row>
    <row r="2777">
      <c r="A2777" s="9" t="n">
        <v>39664</v>
      </c>
      <c r="B2777" s="7">
        <f>YEAR(A2777)</f>
        <v/>
      </c>
      <c r="C2777" s="7">
        <f>MONTH(A2777)</f>
        <v/>
      </c>
      <c r="D2777" s="10" t="n">
        <v>5.692943097</v>
      </c>
      <c r="E2777" s="11" t="n">
        <v>16.21814984</v>
      </c>
      <c r="F2777" s="12" t="n">
        <v>0.006691427186</v>
      </c>
      <c r="G2777" s="11" t="n">
        <v>289.7882457</v>
      </c>
      <c r="H2777" s="13">
        <f>F2777*1000</f>
        <v/>
      </c>
      <c r="I2777" s="14">
        <f>G2777-273.15</f>
        <v/>
      </c>
      <c r="K2777" s="15" t="n">
        <v>2008</v>
      </c>
      <c r="L2777" s="15" t="n">
        <v>9</v>
      </c>
      <c r="M2777" s="15" t="n">
        <v>13</v>
      </c>
      <c r="N2777" s="16" t="n">
        <v>6.323674033e-05</v>
      </c>
      <c r="O2777" s="11" t="n">
        <v>285.6963313</v>
      </c>
      <c r="P2777" s="13">
        <f>N2777*86400</f>
        <v/>
      </c>
      <c r="Q2777" s="14">
        <f>O2777-273.15</f>
        <v/>
      </c>
    </row>
    <row r="2778">
      <c r="A2778" s="9" t="n">
        <v>39665</v>
      </c>
      <c r="B2778" s="7">
        <f>YEAR(A2778)</f>
        <v/>
      </c>
      <c r="C2778" s="7">
        <f>MONTH(A2778)</f>
        <v/>
      </c>
      <c r="D2778" s="10" t="n">
        <v>19.91350406</v>
      </c>
      <c r="E2778" s="11" t="n">
        <v>18.13940836</v>
      </c>
      <c r="F2778" s="12" t="n">
        <v>0.01759950337</v>
      </c>
      <c r="G2778" s="11" t="n">
        <v>290.9558675</v>
      </c>
      <c r="H2778" s="13">
        <f>F2778*1000</f>
        <v/>
      </c>
      <c r="I2778" s="14">
        <f>G2778-273.15</f>
        <v/>
      </c>
      <c r="K2778" s="15" t="n">
        <v>2008</v>
      </c>
      <c r="L2778" s="15" t="n">
        <v>9</v>
      </c>
      <c r="M2778" s="15" t="n">
        <v>14</v>
      </c>
      <c r="N2778" s="16" t="n">
        <v>5.258854119e-05</v>
      </c>
      <c r="O2778" s="11" t="n">
        <v>286.498766</v>
      </c>
      <c r="P2778" s="13">
        <f>N2778*86400</f>
        <v/>
      </c>
      <c r="Q2778" s="14">
        <f>O2778-273.15</f>
        <v/>
      </c>
    </row>
    <row r="2779">
      <c r="A2779" s="9" t="n">
        <v>39666</v>
      </c>
      <c r="B2779" s="7">
        <f>YEAR(A2779)</f>
        <v/>
      </c>
      <c r="C2779" s="7">
        <f>MONTH(A2779)</f>
        <v/>
      </c>
      <c r="D2779" s="10" t="n">
        <v>8.378290501</v>
      </c>
      <c r="E2779" s="11" t="n">
        <v>17.26249932</v>
      </c>
      <c r="F2779" s="12" t="n">
        <v>0.004476370617</v>
      </c>
      <c r="G2779" s="11" t="n">
        <v>290.5481095</v>
      </c>
      <c r="H2779" s="13">
        <f>F2779*1000</f>
        <v/>
      </c>
      <c r="I2779" s="14">
        <f>G2779-273.15</f>
        <v/>
      </c>
      <c r="K2779" s="15" t="n">
        <v>2008</v>
      </c>
      <c r="L2779" s="15" t="n">
        <v>9</v>
      </c>
      <c r="M2779" s="15" t="n">
        <v>15</v>
      </c>
      <c r="N2779" s="16" t="n">
        <v>0.0001252066416</v>
      </c>
      <c r="O2779" s="11" t="n">
        <v>285.2753388</v>
      </c>
      <c r="P2779" s="13">
        <f>N2779*86400</f>
        <v/>
      </c>
      <c r="Q2779" s="14">
        <f>O2779-273.15</f>
        <v/>
      </c>
    </row>
    <row r="2780">
      <c r="A2780" s="9" t="n">
        <v>39667</v>
      </c>
      <c r="B2780" s="7">
        <f>YEAR(A2780)</f>
        <v/>
      </c>
      <c r="C2780" s="7">
        <f>MONTH(A2780)</f>
        <v/>
      </c>
      <c r="D2780" s="10" t="n">
        <v>5.31091335</v>
      </c>
      <c r="E2780" s="11" t="n">
        <v>14.97601824</v>
      </c>
      <c r="F2780" s="12" t="n">
        <v>0.0001851727273</v>
      </c>
      <c r="G2780" s="11" t="n">
        <v>287.8629901</v>
      </c>
      <c r="H2780" s="13">
        <f>F2780*1000</f>
        <v/>
      </c>
      <c r="I2780" s="14">
        <f>G2780-273.15</f>
        <v/>
      </c>
      <c r="K2780" s="15" t="n">
        <v>2008</v>
      </c>
      <c r="L2780" s="15" t="n">
        <v>9</v>
      </c>
      <c r="M2780" s="15" t="n">
        <v>16</v>
      </c>
      <c r="N2780" s="16" t="n">
        <v>1.761579148e-05</v>
      </c>
      <c r="O2780" s="11" t="n">
        <v>284.9323497</v>
      </c>
      <c r="P2780" s="13">
        <f>N2780*86400</f>
        <v/>
      </c>
      <c r="Q2780" s="14">
        <f>O2780-273.15</f>
        <v/>
      </c>
    </row>
    <row r="2781">
      <c r="A2781" s="9" t="n">
        <v>39668</v>
      </c>
      <c r="B2781" s="7">
        <f>YEAR(A2781)</f>
        <v/>
      </c>
      <c r="C2781" s="7">
        <f>MONTH(A2781)</f>
        <v/>
      </c>
      <c r="D2781" s="10" t="n">
        <v>8.545109178000001</v>
      </c>
      <c r="E2781" s="11" t="n">
        <v>14.24901573</v>
      </c>
      <c r="F2781" s="12" t="n">
        <v>0.006799294277</v>
      </c>
      <c r="G2781" s="11" t="n">
        <v>287.8875205</v>
      </c>
      <c r="H2781" s="13">
        <f>F2781*1000</f>
        <v/>
      </c>
      <c r="I2781" s="14">
        <f>G2781-273.15</f>
        <v/>
      </c>
      <c r="K2781" s="15" t="n">
        <v>2008</v>
      </c>
      <c r="L2781" s="15" t="n">
        <v>9</v>
      </c>
      <c r="M2781" s="15" t="n">
        <v>17</v>
      </c>
      <c r="N2781" s="16" t="n">
        <v>3.509869209e-05</v>
      </c>
      <c r="O2781" s="11" t="n">
        <v>285.6909865</v>
      </c>
      <c r="P2781" s="13">
        <f>N2781*86400</f>
        <v/>
      </c>
      <c r="Q2781" s="14">
        <f>O2781-273.15</f>
        <v/>
      </c>
    </row>
    <row r="2782">
      <c r="A2782" s="9" t="n">
        <v>39669</v>
      </c>
      <c r="B2782" s="7">
        <f>YEAR(A2782)</f>
        <v/>
      </c>
      <c r="C2782" s="7">
        <f>MONTH(A2782)</f>
        <v/>
      </c>
      <c r="D2782" s="10" t="n">
        <v>5.626596758</v>
      </c>
      <c r="E2782" s="11" t="n">
        <v>14.24648013</v>
      </c>
      <c r="F2782" s="12" t="n">
        <v>0.004112705393</v>
      </c>
      <c r="G2782" s="11" t="n">
        <v>288.59065</v>
      </c>
      <c r="H2782" s="13">
        <f>F2782*1000</f>
        <v/>
      </c>
      <c r="I2782" s="14">
        <f>G2782-273.15</f>
        <v/>
      </c>
      <c r="K2782" s="15" t="n">
        <v>2008</v>
      </c>
      <c r="L2782" s="15" t="n">
        <v>9</v>
      </c>
      <c r="M2782" s="15" t="n">
        <v>18</v>
      </c>
      <c r="N2782" s="16" t="n">
        <v>3.229110118e-06</v>
      </c>
      <c r="O2782" s="11" t="n">
        <v>285.9130348</v>
      </c>
      <c r="P2782" s="13">
        <f>N2782*86400</f>
        <v/>
      </c>
      <c r="Q2782" s="14">
        <f>O2782-273.15</f>
        <v/>
      </c>
    </row>
    <row r="2783">
      <c r="A2783" s="9" t="n">
        <v>39670</v>
      </c>
      <c r="B2783" s="7">
        <f>YEAR(A2783)</f>
        <v/>
      </c>
      <c r="C2783" s="7">
        <f>MONTH(A2783)</f>
        <v/>
      </c>
      <c r="D2783" s="10" t="n">
        <v>0</v>
      </c>
      <c r="E2783" s="11" t="n">
        <v>15.66563729</v>
      </c>
      <c r="F2783" s="12" t="n">
        <v>0</v>
      </c>
      <c r="G2783" s="11" t="n">
        <v>290.1068493</v>
      </c>
      <c r="H2783" s="13">
        <f>F2783*1000</f>
        <v/>
      </c>
      <c r="I2783" s="14">
        <f>G2783-273.15</f>
        <v/>
      </c>
      <c r="K2783" s="15" t="n">
        <v>2008</v>
      </c>
      <c r="L2783" s="15" t="n">
        <v>9</v>
      </c>
      <c r="M2783" s="15" t="n">
        <v>19</v>
      </c>
      <c r="N2783" s="16" t="n">
        <v>0</v>
      </c>
      <c r="O2783" s="11" t="n">
        <v>284.8247235</v>
      </c>
      <c r="P2783" s="13">
        <f>N2783*86400</f>
        <v/>
      </c>
      <c r="Q2783" s="14">
        <f>O2783-273.15</f>
        <v/>
      </c>
    </row>
    <row r="2784">
      <c r="A2784" s="9" t="n">
        <v>39671</v>
      </c>
      <c r="B2784" s="7">
        <f>YEAR(A2784)</f>
        <v/>
      </c>
      <c r="C2784" s="7">
        <f>MONTH(A2784)</f>
        <v/>
      </c>
      <c r="D2784" s="10" t="n">
        <v>16.58701813</v>
      </c>
      <c r="E2784" s="11" t="n">
        <v>13.27328474</v>
      </c>
      <c r="F2784" s="12" t="n">
        <v>0.01371265675</v>
      </c>
      <c r="G2784" s="11" t="n">
        <v>289.3460832</v>
      </c>
      <c r="H2784" s="13">
        <f>F2784*1000</f>
        <v/>
      </c>
      <c r="I2784" s="14">
        <f>G2784-273.15</f>
        <v/>
      </c>
      <c r="K2784" s="15" t="n">
        <v>2008</v>
      </c>
      <c r="L2784" s="15" t="n">
        <v>9</v>
      </c>
      <c r="M2784" s="15" t="n">
        <v>20</v>
      </c>
      <c r="N2784" s="16" t="n">
        <v>6.887748999e-06</v>
      </c>
      <c r="O2784" s="11" t="n">
        <v>285.4581845</v>
      </c>
      <c r="P2784" s="13">
        <f>N2784*86400</f>
        <v/>
      </c>
      <c r="Q2784" s="14">
        <f>O2784-273.15</f>
        <v/>
      </c>
    </row>
    <row r="2785">
      <c r="A2785" s="9" t="n">
        <v>39672</v>
      </c>
      <c r="B2785" s="7">
        <f>YEAR(A2785)</f>
        <v/>
      </c>
      <c r="C2785" s="7">
        <f>MONTH(A2785)</f>
        <v/>
      </c>
      <c r="D2785" s="10" t="n">
        <v>5.791891767</v>
      </c>
      <c r="E2785" s="11" t="n">
        <v>14.26552879</v>
      </c>
      <c r="F2785" s="12" t="n">
        <v>0.004662918415</v>
      </c>
      <c r="G2785" s="11" t="n">
        <v>288.9797554</v>
      </c>
      <c r="H2785" s="13">
        <f>F2785*1000</f>
        <v/>
      </c>
      <c r="I2785" s="14">
        <f>G2785-273.15</f>
        <v/>
      </c>
      <c r="K2785" s="15" t="n">
        <v>2008</v>
      </c>
      <c r="L2785" s="15" t="n">
        <v>9</v>
      </c>
      <c r="M2785" s="15" t="n">
        <v>21</v>
      </c>
      <c r="N2785" s="16" t="n">
        <v>4.924682913e-07</v>
      </c>
      <c r="O2785" s="11" t="n">
        <v>283.5678413</v>
      </c>
      <c r="P2785" s="13">
        <f>N2785*86400</f>
        <v/>
      </c>
      <c r="Q2785" s="14">
        <f>O2785-273.15</f>
        <v/>
      </c>
    </row>
    <row r="2786">
      <c r="A2786" s="9" t="n">
        <v>39673</v>
      </c>
      <c r="B2786" s="7">
        <f>YEAR(A2786)</f>
        <v/>
      </c>
      <c r="C2786" s="7">
        <f>MONTH(A2786)</f>
        <v/>
      </c>
      <c r="D2786" s="10" t="n">
        <v>35.52677347</v>
      </c>
      <c r="E2786" s="11" t="n">
        <v>15.1125774</v>
      </c>
      <c r="F2786" s="12" t="n">
        <v>0.01579917798</v>
      </c>
      <c r="G2786" s="11" t="n">
        <v>290.9319255</v>
      </c>
      <c r="H2786" s="13">
        <f>F2786*1000</f>
        <v/>
      </c>
      <c r="I2786" s="14">
        <f>G2786-273.15</f>
        <v/>
      </c>
      <c r="K2786" s="15" t="n">
        <v>2008</v>
      </c>
      <c r="L2786" s="15" t="n">
        <v>9</v>
      </c>
      <c r="M2786" s="15" t="n">
        <v>22</v>
      </c>
      <c r="N2786" s="16" t="n">
        <v>1.349376013e-05</v>
      </c>
      <c r="O2786" s="11" t="n">
        <v>287.1000831</v>
      </c>
      <c r="P2786" s="13">
        <f>N2786*86400</f>
        <v/>
      </c>
      <c r="Q2786" s="14">
        <f>O2786-273.15</f>
        <v/>
      </c>
    </row>
    <row r="2787">
      <c r="A2787" s="9" t="n">
        <v>39674</v>
      </c>
      <c r="B2787" s="7">
        <f>YEAR(A2787)</f>
        <v/>
      </c>
      <c r="C2787" s="7">
        <f>MONTH(A2787)</f>
        <v/>
      </c>
      <c r="D2787" s="10" t="n">
        <v>17.40786012</v>
      </c>
      <c r="E2787" s="11" t="n">
        <v>13.86359152</v>
      </c>
      <c r="F2787" s="12" t="n">
        <v>0.01724092235</v>
      </c>
      <c r="G2787" s="11" t="n">
        <v>288.4633447</v>
      </c>
      <c r="H2787" s="13">
        <f>F2787*1000</f>
        <v/>
      </c>
      <c r="I2787" s="14">
        <f>G2787-273.15</f>
        <v/>
      </c>
      <c r="K2787" s="15" t="n">
        <v>2008</v>
      </c>
      <c r="L2787" s="15" t="n">
        <v>9</v>
      </c>
      <c r="M2787" s="15" t="n">
        <v>23</v>
      </c>
      <c r="N2787" s="16" t="n">
        <v>4.969577231e-05</v>
      </c>
      <c r="O2787" s="11" t="n">
        <v>288.6005128</v>
      </c>
      <c r="P2787" s="13">
        <f>N2787*86400</f>
        <v/>
      </c>
      <c r="Q2787" s="14">
        <f>O2787-273.15</f>
        <v/>
      </c>
    </row>
    <row r="2788">
      <c r="A2788" s="9" t="n">
        <v>39675</v>
      </c>
      <c r="B2788" s="7">
        <f>YEAR(A2788)</f>
        <v/>
      </c>
      <c r="C2788" s="7">
        <f>MONTH(A2788)</f>
        <v/>
      </c>
      <c r="D2788" s="10" t="n">
        <v>9.304748556</v>
      </c>
      <c r="E2788" s="11" t="n">
        <v>15.92521751</v>
      </c>
      <c r="F2788" s="12" t="n">
        <v>0.003943260635</v>
      </c>
      <c r="G2788" s="11" t="n">
        <v>289.2039015</v>
      </c>
      <c r="H2788" s="13">
        <f>F2788*1000</f>
        <v/>
      </c>
      <c r="I2788" s="14">
        <f>G2788-273.15</f>
        <v/>
      </c>
      <c r="K2788" s="15" t="n">
        <v>2008</v>
      </c>
      <c r="L2788" s="15" t="n">
        <v>9</v>
      </c>
      <c r="M2788" s="15" t="n">
        <v>24</v>
      </c>
      <c r="N2788" s="16" t="n">
        <v>4.961953338e-07</v>
      </c>
      <c r="O2788" s="11" t="n">
        <v>288.018176</v>
      </c>
      <c r="P2788" s="13">
        <f>N2788*86400</f>
        <v/>
      </c>
      <c r="Q2788" s="14">
        <f>O2788-273.15</f>
        <v/>
      </c>
    </row>
    <row r="2789">
      <c r="A2789" s="9" t="n">
        <v>39676</v>
      </c>
      <c r="B2789" s="7">
        <f>YEAR(A2789)</f>
        <v/>
      </c>
      <c r="C2789" s="7">
        <f>MONTH(A2789)</f>
        <v/>
      </c>
      <c r="D2789" s="10" t="n">
        <v>0</v>
      </c>
      <c r="E2789" s="11" t="n">
        <v>14.49363214</v>
      </c>
      <c r="F2789" s="12" t="n">
        <v>0.0002260955549</v>
      </c>
      <c r="G2789" s="11" t="n">
        <v>288.5089421</v>
      </c>
      <c r="H2789" s="13">
        <f>F2789*1000</f>
        <v/>
      </c>
      <c r="I2789" s="14">
        <f>G2789-273.15</f>
        <v/>
      </c>
      <c r="K2789" s="15" t="n">
        <v>2008</v>
      </c>
      <c r="L2789" s="15" t="n">
        <v>9</v>
      </c>
      <c r="M2789" s="15" t="n">
        <v>25</v>
      </c>
      <c r="N2789" s="16" t="n">
        <v>2.147540826e-06</v>
      </c>
      <c r="O2789" s="11" t="n">
        <v>286.971778</v>
      </c>
      <c r="P2789" s="13">
        <f>N2789*86400</f>
        <v/>
      </c>
      <c r="Q2789" s="14">
        <f>O2789-273.15</f>
        <v/>
      </c>
    </row>
    <row r="2790">
      <c r="A2790" s="9" t="n">
        <v>39677</v>
      </c>
      <c r="B2790" s="7">
        <f>YEAR(A2790)</f>
        <v/>
      </c>
      <c r="C2790" s="7">
        <f>MONTH(A2790)</f>
        <v/>
      </c>
      <c r="D2790" s="10" t="n">
        <v>24.20571868</v>
      </c>
      <c r="E2790" s="11" t="n">
        <v>15.45353145</v>
      </c>
      <c r="F2790" s="12" t="n">
        <v>0.01438953524</v>
      </c>
      <c r="G2790" s="11" t="n">
        <v>288.4988977</v>
      </c>
      <c r="H2790" s="13">
        <f>F2790*1000</f>
        <v/>
      </c>
      <c r="I2790" s="14">
        <f>G2790-273.15</f>
        <v/>
      </c>
      <c r="K2790" s="15" t="n">
        <v>2008</v>
      </c>
      <c r="L2790" s="15" t="n">
        <v>9</v>
      </c>
      <c r="M2790" s="15" t="n">
        <v>26</v>
      </c>
      <c r="N2790" s="16" t="n">
        <v>2.246586193e-06</v>
      </c>
      <c r="O2790" s="11" t="n">
        <v>286.3710086</v>
      </c>
      <c r="P2790" s="13">
        <f>N2790*86400</f>
        <v/>
      </c>
      <c r="Q2790" s="14">
        <f>O2790-273.15</f>
        <v/>
      </c>
    </row>
    <row r="2791">
      <c r="A2791" s="9" t="n">
        <v>39678</v>
      </c>
      <c r="B2791" s="7">
        <f>YEAR(A2791)</f>
        <v/>
      </c>
      <c r="C2791" s="7">
        <f>MONTH(A2791)</f>
        <v/>
      </c>
      <c r="D2791" s="10" t="n">
        <v>46.14993839</v>
      </c>
      <c r="E2791" s="11" t="n">
        <v>11.3597126</v>
      </c>
      <c r="F2791" s="12" t="n">
        <v>0.01466423803</v>
      </c>
      <c r="G2791" s="11" t="n">
        <v>285.2997032</v>
      </c>
      <c r="H2791" s="13">
        <f>F2791*1000</f>
        <v/>
      </c>
      <c r="I2791" s="14">
        <f>G2791-273.15</f>
        <v/>
      </c>
      <c r="K2791" s="15" t="n">
        <v>2008</v>
      </c>
      <c r="L2791" s="15" t="n">
        <v>9</v>
      </c>
      <c r="M2791" s="15" t="n">
        <v>27</v>
      </c>
      <c r="N2791" s="16" t="n">
        <v>0</v>
      </c>
      <c r="O2791" s="11" t="n">
        <v>286.3427592</v>
      </c>
      <c r="P2791" s="13">
        <f>N2791*86400</f>
        <v/>
      </c>
      <c r="Q2791" s="14">
        <f>O2791-273.15</f>
        <v/>
      </c>
    </row>
    <row r="2792">
      <c r="A2792" s="9" t="n">
        <v>39679</v>
      </c>
      <c r="B2792" s="7">
        <f>YEAR(A2792)</f>
        <v/>
      </c>
      <c r="C2792" s="7">
        <f>MONTH(A2792)</f>
        <v/>
      </c>
      <c r="D2792" s="10" t="n">
        <v>25.93690575</v>
      </c>
      <c r="E2792" s="11" t="n">
        <v>14.6267705</v>
      </c>
      <c r="F2792" s="12" t="n">
        <v>0.01830938432</v>
      </c>
      <c r="G2792" s="11" t="n">
        <v>287.9580861</v>
      </c>
      <c r="H2792" s="13">
        <f>F2792*1000</f>
        <v/>
      </c>
      <c r="I2792" s="14">
        <f>G2792-273.15</f>
        <v/>
      </c>
      <c r="K2792" s="15" t="n">
        <v>2008</v>
      </c>
      <c r="L2792" s="15" t="n">
        <v>9</v>
      </c>
      <c r="M2792" s="15" t="n">
        <v>28</v>
      </c>
      <c r="N2792" s="16" t="n">
        <v>0</v>
      </c>
      <c r="O2792" s="11" t="n">
        <v>285.3668634</v>
      </c>
      <c r="P2792" s="13">
        <f>N2792*86400</f>
        <v/>
      </c>
      <c r="Q2792" s="14">
        <f>O2792-273.15</f>
        <v/>
      </c>
    </row>
    <row r="2793">
      <c r="A2793" s="9" t="n">
        <v>39680</v>
      </c>
      <c r="B2793" s="7">
        <f>YEAR(A2793)</f>
        <v/>
      </c>
      <c r="C2793" s="7">
        <f>MONTH(A2793)</f>
        <v/>
      </c>
      <c r="D2793" s="10" t="n">
        <v>11.84493114</v>
      </c>
      <c r="E2793" s="11" t="n">
        <v>14.60616033</v>
      </c>
      <c r="F2793" s="12" t="n">
        <v>0.01210716458</v>
      </c>
      <c r="G2793" s="11" t="n">
        <v>288.5203799</v>
      </c>
      <c r="H2793" s="13">
        <f>F2793*1000</f>
        <v/>
      </c>
      <c r="I2793" s="14">
        <f>G2793-273.15</f>
        <v/>
      </c>
      <c r="K2793" s="15" t="n">
        <v>2008</v>
      </c>
      <c r="L2793" s="15" t="n">
        <v>9</v>
      </c>
      <c r="M2793" s="15" t="n">
        <v>29</v>
      </c>
      <c r="N2793" s="16" t="n">
        <v>0</v>
      </c>
      <c r="O2793" s="11" t="n">
        <v>285.4888756</v>
      </c>
      <c r="P2793" s="13">
        <f>N2793*86400</f>
        <v/>
      </c>
      <c r="Q2793" s="14">
        <f>O2793-273.15</f>
        <v/>
      </c>
    </row>
    <row r="2794">
      <c r="A2794" s="9" t="n">
        <v>39681</v>
      </c>
      <c r="B2794" s="7">
        <f>YEAR(A2794)</f>
        <v/>
      </c>
      <c r="C2794" s="7">
        <f>MONTH(A2794)</f>
        <v/>
      </c>
      <c r="D2794" s="10" t="n">
        <v>0</v>
      </c>
      <c r="E2794" s="11" t="n">
        <v>13.78913196</v>
      </c>
      <c r="F2794" s="12" t="n">
        <v>0.01177401006</v>
      </c>
      <c r="G2794" s="11" t="n">
        <v>288.7211701</v>
      </c>
      <c r="H2794" s="13">
        <f>F2794*1000</f>
        <v/>
      </c>
      <c r="I2794" s="14">
        <f>G2794-273.15</f>
        <v/>
      </c>
      <c r="K2794" s="15" t="n">
        <v>2008</v>
      </c>
      <c r="L2794" s="15" t="n">
        <v>9</v>
      </c>
      <c r="M2794" s="15" t="n">
        <v>30</v>
      </c>
      <c r="N2794" s="16" t="n">
        <v>3.060178075e-05</v>
      </c>
      <c r="O2794" s="11" t="n">
        <v>284.34051</v>
      </c>
      <c r="P2794" s="13">
        <f>N2794*86400</f>
        <v/>
      </c>
      <c r="Q2794" s="14">
        <f>O2794-273.15</f>
        <v/>
      </c>
    </row>
    <row r="2795">
      <c r="A2795" s="9" t="n">
        <v>39682</v>
      </c>
      <c r="B2795" s="7">
        <f>YEAR(A2795)</f>
        <v/>
      </c>
      <c r="C2795" s="7">
        <f>MONTH(A2795)</f>
        <v/>
      </c>
      <c r="D2795" s="10" t="n">
        <v>0.2615868874</v>
      </c>
      <c r="E2795" s="11" t="n">
        <v>10.76401361</v>
      </c>
      <c r="F2795" s="12" t="n">
        <v>0.004861100641</v>
      </c>
      <c r="G2795" s="11" t="n">
        <v>285.765606</v>
      </c>
      <c r="H2795" s="13">
        <f>F2795*1000</f>
        <v/>
      </c>
      <c r="I2795" s="14">
        <f>G2795-273.15</f>
        <v/>
      </c>
      <c r="K2795" s="15" t="n">
        <v>2008</v>
      </c>
      <c r="L2795" s="15" t="n">
        <v>10</v>
      </c>
      <c r="M2795" s="15" t="n">
        <v>1</v>
      </c>
      <c r="N2795" s="16" t="n">
        <v>1.045467645e-06</v>
      </c>
      <c r="O2795" s="11" t="n">
        <v>284.9592718</v>
      </c>
      <c r="P2795" s="13">
        <f>N2795*86400</f>
        <v/>
      </c>
      <c r="Q2795" s="14">
        <f>O2795-273.15</f>
        <v/>
      </c>
    </row>
    <row r="2796">
      <c r="A2796" s="9" t="n">
        <v>39683</v>
      </c>
      <c r="B2796" s="7">
        <f>YEAR(A2796)</f>
        <v/>
      </c>
      <c r="C2796" s="7">
        <f>MONTH(A2796)</f>
        <v/>
      </c>
      <c r="D2796" s="10" t="n">
        <v>0</v>
      </c>
      <c r="E2796" s="11" t="n">
        <v>10.98654938</v>
      </c>
      <c r="F2796" s="12" t="n">
        <v>0</v>
      </c>
      <c r="G2796" s="11" t="n">
        <v>285.9453408</v>
      </c>
      <c r="H2796" s="13">
        <f>F2796*1000</f>
        <v/>
      </c>
      <c r="I2796" s="14">
        <f>G2796-273.15</f>
        <v/>
      </c>
      <c r="K2796" s="15" t="n">
        <v>2008</v>
      </c>
      <c r="L2796" s="15" t="n">
        <v>10</v>
      </c>
      <c r="M2796" s="15" t="n">
        <v>2</v>
      </c>
      <c r="N2796" s="16" t="n">
        <v>6.728842165e-06</v>
      </c>
      <c r="O2796" s="11" t="n">
        <v>283.2823511</v>
      </c>
      <c r="P2796" s="13">
        <f>N2796*86400</f>
        <v/>
      </c>
      <c r="Q2796" s="14">
        <f>O2796-273.15</f>
        <v/>
      </c>
    </row>
    <row r="2797">
      <c r="A2797" s="9" t="n">
        <v>39684</v>
      </c>
      <c r="B2797" s="7">
        <f>YEAR(A2797)</f>
        <v/>
      </c>
      <c r="C2797" s="7">
        <f>MONTH(A2797)</f>
        <v/>
      </c>
      <c r="D2797" s="10" t="n">
        <v>5.199326962</v>
      </c>
      <c r="E2797" s="11" t="n">
        <v>10.46518718</v>
      </c>
      <c r="F2797" s="12" t="n">
        <v>0.005636045221</v>
      </c>
      <c r="G2797" s="11" t="n">
        <v>286.1418365</v>
      </c>
      <c r="H2797" s="13">
        <f>F2797*1000</f>
        <v/>
      </c>
      <c r="I2797" s="14">
        <f>G2797-273.15</f>
        <v/>
      </c>
      <c r="K2797" s="15" t="n">
        <v>2008</v>
      </c>
      <c r="L2797" s="15" t="n">
        <v>10</v>
      </c>
      <c r="M2797" s="15" t="n">
        <v>3</v>
      </c>
      <c r="N2797" s="16" t="n">
        <v>5.086019414e-05</v>
      </c>
      <c r="O2797" s="11" t="n">
        <v>283.8567819</v>
      </c>
      <c r="P2797" s="13">
        <f>N2797*86400</f>
        <v/>
      </c>
      <c r="Q2797" s="14">
        <f>O2797-273.15</f>
        <v/>
      </c>
    </row>
    <row r="2798">
      <c r="A2798" s="9" t="n">
        <v>39685</v>
      </c>
      <c r="B2798" s="7">
        <f>YEAR(A2798)</f>
        <v/>
      </c>
      <c r="C2798" s="7">
        <f>MONTH(A2798)</f>
        <v/>
      </c>
      <c r="D2798" s="10" t="n">
        <v>1.849184019</v>
      </c>
      <c r="E2798" s="11" t="n">
        <v>9.026113473000001</v>
      </c>
      <c r="F2798" s="12" t="n">
        <v>0.0006348035263</v>
      </c>
      <c r="G2798" s="11" t="n">
        <v>285.1937659</v>
      </c>
      <c r="H2798" s="13">
        <f>F2798*1000</f>
        <v/>
      </c>
      <c r="I2798" s="14">
        <f>G2798-273.15</f>
        <v/>
      </c>
      <c r="K2798" s="15" t="n">
        <v>2008</v>
      </c>
      <c r="L2798" s="15" t="n">
        <v>10</v>
      </c>
      <c r="M2798" s="15" t="n">
        <v>4</v>
      </c>
      <c r="N2798" s="16" t="n">
        <v>4.230890264e-06</v>
      </c>
      <c r="O2798" s="11" t="n">
        <v>285.2721853</v>
      </c>
      <c r="P2798" s="13">
        <f>N2798*86400</f>
        <v/>
      </c>
      <c r="Q2798" s="14">
        <f>O2798-273.15</f>
        <v/>
      </c>
    </row>
    <row r="2799">
      <c r="A2799" s="9" t="n">
        <v>39686</v>
      </c>
      <c r="B2799" s="7">
        <f>YEAR(A2799)</f>
        <v/>
      </c>
      <c r="C2799" s="7">
        <f>MONTH(A2799)</f>
        <v/>
      </c>
      <c r="D2799" s="10" t="n">
        <v>9.04023097</v>
      </c>
      <c r="E2799" s="11" t="n">
        <v>10.71949131</v>
      </c>
      <c r="F2799" s="12" t="n">
        <v>0.001891763578</v>
      </c>
      <c r="G2799" s="11" t="n">
        <v>286.1950958</v>
      </c>
      <c r="H2799" s="13">
        <f>F2799*1000</f>
        <v/>
      </c>
      <c r="I2799" s="14">
        <f>G2799-273.15</f>
        <v/>
      </c>
      <c r="K2799" s="15" t="n">
        <v>2008</v>
      </c>
      <c r="L2799" s="15" t="n">
        <v>10</v>
      </c>
      <c r="M2799" s="15" t="n">
        <v>5</v>
      </c>
      <c r="N2799" s="16" t="n">
        <v>0</v>
      </c>
      <c r="O2799" s="11" t="n">
        <v>286.2189701</v>
      </c>
      <c r="P2799" s="13">
        <f>N2799*86400</f>
        <v/>
      </c>
      <c r="Q2799" s="14">
        <f>O2799-273.15</f>
        <v/>
      </c>
    </row>
    <row r="2800">
      <c r="A2800" s="9" t="n">
        <v>39687</v>
      </c>
      <c r="B2800" s="7">
        <f>YEAR(A2800)</f>
        <v/>
      </c>
      <c r="C2800" s="7">
        <f>MONTH(A2800)</f>
        <v/>
      </c>
      <c r="D2800" s="10" t="n">
        <v>27.61089552</v>
      </c>
      <c r="E2800" s="11" t="n">
        <v>12.77063761</v>
      </c>
      <c r="F2800" s="12" t="n">
        <v>0.004529086567</v>
      </c>
      <c r="G2800" s="11" t="n">
        <v>287.3082163</v>
      </c>
      <c r="H2800" s="13">
        <f>F2800*1000</f>
        <v/>
      </c>
      <c r="I2800" s="14">
        <f>G2800-273.15</f>
        <v/>
      </c>
      <c r="K2800" s="15" t="n">
        <v>2008</v>
      </c>
      <c r="L2800" s="15" t="n">
        <v>10</v>
      </c>
      <c r="M2800" s="15" t="n">
        <v>6</v>
      </c>
      <c r="N2800" s="16" t="n">
        <v>1.50949505e-05</v>
      </c>
      <c r="O2800" s="11" t="n">
        <v>285.569096</v>
      </c>
      <c r="P2800" s="13">
        <f>N2800*86400</f>
        <v/>
      </c>
      <c r="Q2800" s="14">
        <f>O2800-273.15</f>
        <v/>
      </c>
    </row>
    <row r="2801">
      <c r="A2801" s="9" t="n">
        <v>39688</v>
      </c>
      <c r="B2801" s="7">
        <f>YEAR(A2801)</f>
        <v/>
      </c>
      <c r="C2801" s="7">
        <f>MONTH(A2801)</f>
        <v/>
      </c>
      <c r="D2801" s="10" t="n">
        <v>0</v>
      </c>
      <c r="E2801" s="11" t="n">
        <v>10.87987804</v>
      </c>
      <c r="F2801" s="12" t="n">
        <v>0</v>
      </c>
      <c r="G2801" s="11" t="n">
        <v>286.0729627</v>
      </c>
      <c r="H2801" s="13">
        <f>F2801*1000</f>
        <v/>
      </c>
      <c r="I2801" s="14">
        <f>G2801-273.15</f>
        <v/>
      </c>
      <c r="K2801" s="15" t="n">
        <v>2008</v>
      </c>
      <c r="L2801" s="15" t="n">
        <v>10</v>
      </c>
      <c r="M2801" s="15" t="n">
        <v>7</v>
      </c>
      <c r="N2801" s="16" t="n">
        <v>9.783604887e-05</v>
      </c>
      <c r="O2801" s="11" t="n">
        <v>285.2655857</v>
      </c>
      <c r="P2801" s="13">
        <f>N2801*86400</f>
        <v/>
      </c>
      <c r="Q2801" s="14">
        <f>O2801-273.15</f>
        <v/>
      </c>
    </row>
    <row r="2802">
      <c r="A2802" s="9" t="n">
        <v>39689</v>
      </c>
      <c r="B2802" s="7">
        <f>YEAR(A2802)</f>
        <v/>
      </c>
      <c r="C2802" s="7">
        <f>MONTH(A2802)</f>
        <v/>
      </c>
      <c r="D2802" s="10" t="n">
        <v>0</v>
      </c>
      <c r="E2802" s="11" t="n">
        <v>13.86907091</v>
      </c>
      <c r="F2802" s="12" t="n">
        <v>0</v>
      </c>
      <c r="G2802" s="11" t="n">
        <v>288.4542842</v>
      </c>
      <c r="H2802" s="13">
        <f>F2802*1000</f>
        <v/>
      </c>
      <c r="I2802" s="14">
        <f>G2802-273.15</f>
        <v/>
      </c>
      <c r="K2802" s="15" t="n">
        <v>2008</v>
      </c>
      <c r="L2802" s="15" t="n">
        <v>10</v>
      </c>
      <c r="M2802" s="15" t="n">
        <v>8</v>
      </c>
      <c r="N2802" s="16" t="n">
        <v>0.0001119615571</v>
      </c>
      <c r="O2802" s="11" t="n">
        <v>286.2495874</v>
      </c>
      <c r="P2802" s="13">
        <f>N2802*86400</f>
        <v/>
      </c>
      <c r="Q2802" s="14">
        <f>O2802-273.15</f>
        <v/>
      </c>
    </row>
    <row r="2803">
      <c r="A2803" s="9" t="n">
        <v>39690</v>
      </c>
      <c r="B2803" s="7">
        <f>YEAR(A2803)</f>
        <v/>
      </c>
      <c r="C2803" s="7">
        <f>MONTH(A2803)</f>
        <v/>
      </c>
      <c r="D2803" s="10" t="n">
        <v>7.398950929</v>
      </c>
      <c r="E2803" s="11" t="n">
        <v>13.79656479</v>
      </c>
      <c r="F2803" s="12" t="n">
        <v>0.02295700279</v>
      </c>
      <c r="G2803" s="11" t="n">
        <v>287.9120862</v>
      </c>
      <c r="H2803" s="13">
        <f>F2803*1000</f>
        <v/>
      </c>
      <c r="I2803" s="14">
        <f>G2803-273.15</f>
        <v/>
      </c>
      <c r="K2803" s="15" t="n">
        <v>2008</v>
      </c>
      <c r="L2803" s="15" t="n">
        <v>10</v>
      </c>
      <c r="M2803" s="15" t="n">
        <v>9</v>
      </c>
      <c r="N2803" s="16" t="n">
        <v>0.0001428687813</v>
      </c>
      <c r="O2803" s="11" t="n">
        <v>289.3788325</v>
      </c>
      <c r="P2803" s="13">
        <f>N2803*86400</f>
        <v/>
      </c>
      <c r="Q2803" s="14">
        <f>O2803-273.15</f>
        <v/>
      </c>
    </row>
    <row r="2804">
      <c r="A2804" s="9" t="n">
        <v>39691</v>
      </c>
      <c r="B2804" s="7">
        <f>YEAR(A2804)</f>
        <v/>
      </c>
      <c r="C2804" s="7">
        <f>MONTH(A2804)</f>
        <v/>
      </c>
      <c r="D2804" s="10" t="n">
        <v>28.89460821</v>
      </c>
      <c r="E2804" s="11" t="n">
        <v>12.69169875</v>
      </c>
      <c r="F2804" s="12" t="n">
        <v>0.02426278294</v>
      </c>
      <c r="G2804" s="11" t="n">
        <v>286.2606052</v>
      </c>
      <c r="H2804" s="13">
        <f>F2804*1000</f>
        <v/>
      </c>
      <c r="I2804" s="14">
        <f>G2804-273.15</f>
        <v/>
      </c>
      <c r="K2804" s="15" t="n">
        <v>2008</v>
      </c>
      <c r="L2804" s="15" t="n">
        <v>10</v>
      </c>
      <c r="M2804" s="15" t="n">
        <v>10</v>
      </c>
      <c r="N2804" s="16" t="n">
        <v>1.70300365e-06</v>
      </c>
      <c r="O2804" s="11" t="n">
        <v>288.3989631</v>
      </c>
      <c r="P2804" s="13">
        <f>N2804*86400</f>
        <v/>
      </c>
      <c r="Q2804" s="14">
        <f>O2804-273.15</f>
        <v/>
      </c>
    </row>
    <row r="2805">
      <c r="A2805" s="9" t="n">
        <v>39692</v>
      </c>
      <c r="B2805" s="7">
        <f>YEAR(A2805)</f>
        <v/>
      </c>
      <c r="C2805" s="7">
        <f>MONTH(A2805)</f>
        <v/>
      </c>
      <c r="D2805" s="10" t="n">
        <v>3.590333247</v>
      </c>
      <c r="E2805" s="11" t="n">
        <v>12.79990854</v>
      </c>
      <c r="F2805" s="12" t="n">
        <v>0.00396211875</v>
      </c>
      <c r="G2805" s="11" t="n">
        <v>286.3996803</v>
      </c>
      <c r="H2805" s="13">
        <f>F2805*1000</f>
        <v/>
      </c>
      <c r="I2805" s="14">
        <f>G2805-273.15</f>
        <v/>
      </c>
      <c r="K2805" s="15" t="n">
        <v>2008</v>
      </c>
      <c r="L2805" s="15" t="n">
        <v>10</v>
      </c>
      <c r="M2805" s="15" t="n">
        <v>11</v>
      </c>
      <c r="N2805" s="16" t="n">
        <v>9.062686486999999e-06</v>
      </c>
      <c r="O2805" s="11" t="n">
        <v>289.4392909</v>
      </c>
      <c r="P2805" s="13">
        <f>N2805*86400</f>
        <v/>
      </c>
      <c r="Q2805" s="14">
        <f>O2805-273.15</f>
        <v/>
      </c>
    </row>
    <row r="2806">
      <c r="A2806" s="9" t="n">
        <v>39693</v>
      </c>
      <c r="B2806" s="7">
        <f>YEAR(A2806)</f>
        <v/>
      </c>
      <c r="C2806" s="7">
        <f>MONTH(A2806)</f>
        <v/>
      </c>
      <c r="D2806" s="10" t="n">
        <v>0</v>
      </c>
      <c r="E2806" s="11" t="n">
        <v>12.15835464</v>
      </c>
      <c r="F2806" s="12" t="n">
        <v>0.0002879665766</v>
      </c>
      <c r="G2806" s="11" t="n">
        <v>285.2318811</v>
      </c>
      <c r="H2806" s="13">
        <f>F2806*1000</f>
        <v/>
      </c>
      <c r="I2806" s="14">
        <f>G2806-273.15</f>
        <v/>
      </c>
      <c r="K2806" s="15" t="n">
        <v>2008</v>
      </c>
      <c r="L2806" s="15" t="n">
        <v>10</v>
      </c>
      <c r="M2806" s="15" t="n">
        <v>12</v>
      </c>
      <c r="N2806" s="16" t="n">
        <v>9.662946402e-06</v>
      </c>
      <c r="O2806" s="11" t="n">
        <v>290.0316974</v>
      </c>
      <c r="P2806" s="13">
        <f>N2806*86400</f>
        <v/>
      </c>
      <c r="Q2806" s="14">
        <f>O2806-273.15</f>
        <v/>
      </c>
    </row>
    <row r="2807">
      <c r="A2807" s="9" t="n">
        <v>39694</v>
      </c>
      <c r="B2807" s="7">
        <f>YEAR(A2807)</f>
        <v/>
      </c>
      <c r="C2807" s="7">
        <f>MONTH(A2807)</f>
        <v/>
      </c>
      <c r="D2807" s="10" t="n">
        <v>0</v>
      </c>
      <c r="E2807" s="11" t="n">
        <v>11.36253994</v>
      </c>
      <c r="F2807" s="12" t="n">
        <v>0</v>
      </c>
      <c r="G2807" s="11" t="n">
        <v>285.3087738</v>
      </c>
      <c r="H2807" s="13">
        <f>F2807*1000</f>
        <v/>
      </c>
      <c r="I2807" s="14">
        <f>G2807-273.15</f>
        <v/>
      </c>
      <c r="K2807" s="15" t="n">
        <v>2008</v>
      </c>
      <c r="L2807" s="15" t="n">
        <v>10</v>
      </c>
      <c r="M2807" s="15" t="n">
        <v>13</v>
      </c>
      <c r="N2807" s="16" t="n">
        <v>6.014534837e-05</v>
      </c>
      <c r="O2807" s="11" t="n">
        <v>287.4418561</v>
      </c>
      <c r="P2807" s="13">
        <f>N2807*86400</f>
        <v/>
      </c>
      <c r="Q2807" s="14">
        <f>O2807-273.15</f>
        <v/>
      </c>
    </row>
    <row r="2808">
      <c r="A2808" s="9" t="n">
        <v>39695</v>
      </c>
      <c r="B2808" s="7">
        <f>YEAR(A2808)</f>
        <v/>
      </c>
      <c r="C2808" s="7">
        <f>MONTH(A2808)</f>
        <v/>
      </c>
      <c r="D2808" s="10" t="n">
        <v>0</v>
      </c>
      <c r="E2808" s="11" t="n">
        <v>12.75996176</v>
      </c>
      <c r="F2808" s="12" t="n">
        <v>0</v>
      </c>
      <c r="G2808" s="11" t="n">
        <v>287.3324013</v>
      </c>
      <c r="H2808" s="13">
        <f>F2808*1000</f>
        <v/>
      </c>
      <c r="I2808" s="14">
        <f>G2808-273.15</f>
        <v/>
      </c>
      <c r="K2808" s="15" t="n">
        <v>2008</v>
      </c>
      <c r="L2808" s="15" t="n">
        <v>10</v>
      </c>
      <c r="M2808" s="15" t="n">
        <v>14</v>
      </c>
      <c r="N2808" s="16" t="n">
        <v>1.62497351e-06</v>
      </c>
      <c r="O2808" s="11" t="n">
        <v>285.5226983</v>
      </c>
      <c r="P2808" s="13">
        <f>N2808*86400</f>
        <v/>
      </c>
      <c r="Q2808" s="14">
        <f>O2808-273.15</f>
        <v/>
      </c>
    </row>
    <row r="2809">
      <c r="A2809" s="9" t="n">
        <v>39696</v>
      </c>
      <c r="B2809" s="7">
        <f>YEAR(A2809)</f>
        <v/>
      </c>
      <c r="C2809" s="7">
        <f>MONTH(A2809)</f>
        <v/>
      </c>
      <c r="D2809" s="10" t="n">
        <v>0</v>
      </c>
      <c r="E2809" s="11" t="n">
        <v>14.34447245</v>
      </c>
      <c r="F2809" s="12" t="n">
        <v>0</v>
      </c>
      <c r="G2809" s="11" t="n">
        <v>289.0622289</v>
      </c>
      <c r="H2809" s="13">
        <f>F2809*1000</f>
        <v/>
      </c>
      <c r="I2809" s="14">
        <f>G2809-273.15</f>
        <v/>
      </c>
      <c r="K2809" s="15" t="n">
        <v>2008</v>
      </c>
      <c r="L2809" s="15" t="n">
        <v>10</v>
      </c>
      <c r="M2809" s="15" t="n">
        <v>15</v>
      </c>
      <c r="N2809" s="16" t="n">
        <v>7.171409015e-06</v>
      </c>
      <c r="O2809" s="11" t="n">
        <v>283.5891544</v>
      </c>
      <c r="P2809" s="13">
        <f>N2809*86400</f>
        <v/>
      </c>
      <c r="Q2809" s="14">
        <f>O2809-273.15</f>
        <v/>
      </c>
    </row>
    <row r="2810">
      <c r="A2810" s="9" t="n">
        <v>39697</v>
      </c>
      <c r="B2810" s="7">
        <f>YEAR(A2810)</f>
        <v/>
      </c>
      <c r="C2810" s="7">
        <f>MONTH(A2810)</f>
        <v/>
      </c>
      <c r="D2810" s="10" t="n">
        <v>0</v>
      </c>
      <c r="E2810" s="11" t="n">
        <v>12.86303386</v>
      </c>
      <c r="F2810" s="12" t="n">
        <v>5.473102533e-05</v>
      </c>
      <c r="G2810" s="11" t="n">
        <v>286.8310688</v>
      </c>
      <c r="H2810" s="13">
        <f>F2810*1000</f>
        <v/>
      </c>
      <c r="I2810" s="14">
        <f>G2810-273.15</f>
        <v/>
      </c>
      <c r="K2810" s="15" t="n">
        <v>2008</v>
      </c>
      <c r="L2810" s="15" t="n">
        <v>10</v>
      </c>
      <c r="M2810" s="15" t="n">
        <v>16</v>
      </c>
      <c r="N2810" s="16" t="n">
        <v>2.844169838e-05</v>
      </c>
      <c r="O2810" s="11" t="n">
        <v>284.7986984</v>
      </c>
      <c r="P2810" s="13">
        <f>N2810*86400</f>
        <v/>
      </c>
      <c r="Q2810" s="14">
        <f>O2810-273.15</f>
        <v/>
      </c>
    </row>
    <row r="2811">
      <c r="A2811" s="9" t="n">
        <v>39698</v>
      </c>
      <c r="B2811" s="7">
        <f>YEAR(A2811)</f>
        <v/>
      </c>
      <c r="C2811" s="7">
        <f>MONTH(A2811)</f>
        <v/>
      </c>
      <c r="D2811" s="10" t="n">
        <v>0.3151288806</v>
      </c>
      <c r="E2811" s="11" t="n">
        <v>11.75244194</v>
      </c>
      <c r="F2811" s="12" t="n">
        <v>0.01012146641</v>
      </c>
      <c r="G2811" s="11" t="n">
        <v>286.3117346</v>
      </c>
      <c r="H2811" s="13">
        <f>F2811*1000</f>
        <v/>
      </c>
      <c r="I2811" s="14">
        <f>G2811-273.15</f>
        <v/>
      </c>
      <c r="K2811" s="15" t="n">
        <v>2008</v>
      </c>
      <c r="L2811" s="15" t="n">
        <v>10</v>
      </c>
      <c r="M2811" s="15" t="n">
        <v>17</v>
      </c>
      <c r="N2811" s="16" t="n">
        <v>2.389898761e-05</v>
      </c>
      <c r="O2811" s="11" t="n">
        <v>285.6084547</v>
      </c>
      <c r="P2811" s="13">
        <f>N2811*86400</f>
        <v/>
      </c>
      <c r="Q2811" s="14">
        <f>O2811-273.15</f>
        <v/>
      </c>
    </row>
    <row r="2812">
      <c r="A2812" s="9" t="n">
        <v>39699</v>
      </c>
      <c r="B2812" s="7">
        <f>YEAR(A2812)</f>
        <v/>
      </c>
      <c r="C2812" s="7">
        <f>MONTH(A2812)</f>
        <v/>
      </c>
      <c r="D2812" s="10" t="n">
        <v>0</v>
      </c>
      <c r="E2812" s="11" t="n">
        <v>13.64420008</v>
      </c>
      <c r="F2812" s="12" t="n">
        <v>0.0006347041060000001</v>
      </c>
      <c r="G2812" s="11" t="n">
        <v>288.7379369</v>
      </c>
      <c r="H2812" s="13">
        <f>F2812*1000</f>
        <v/>
      </c>
      <c r="I2812" s="14">
        <f>G2812-273.15</f>
        <v/>
      </c>
      <c r="K2812" s="15" t="n">
        <v>2008</v>
      </c>
      <c r="L2812" s="15" t="n">
        <v>10</v>
      </c>
      <c r="M2812" s="15" t="n">
        <v>18</v>
      </c>
      <c r="N2812" s="16" t="n">
        <v>2.802990725e-05</v>
      </c>
      <c r="O2812" s="11" t="n">
        <v>282.2965825</v>
      </c>
      <c r="P2812" s="13">
        <f>N2812*86400</f>
        <v/>
      </c>
      <c r="Q2812" s="14">
        <f>O2812-273.15</f>
        <v/>
      </c>
    </row>
    <row r="2813">
      <c r="A2813" s="9" t="n">
        <v>39700</v>
      </c>
      <c r="B2813" s="7">
        <f>YEAR(A2813)</f>
        <v/>
      </c>
      <c r="C2813" s="7">
        <f>MONTH(A2813)</f>
        <v/>
      </c>
      <c r="D2813" s="10" t="n">
        <v>0</v>
      </c>
      <c r="E2813" s="11" t="n">
        <v>14.12212554</v>
      </c>
      <c r="F2813" s="12" t="n">
        <v>0.004551011185</v>
      </c>
      <c r="G2813" s="11" t="n">
        <v>288.4568752</v>
      </c>
      <c r="H2813" s="13">
        <f>F2813*1000</f>
        <v/>
      </c>
      <c r="I2813" s="14">
        <f>G2813-273.15</f>
        <v/>
      </c>
      <c r="K2813" s="15" t="n">
        <v>2008</v>
      </c>
      <c r="L2813" s="15" t="n">
        <v>10</v>
      </c>
      <c r="M2813" s="15" t="n">
        <v>19</v>
      </c>
      <c r="N2813" s="16" t="n">
        <v>0.0001494379876</v>
      </c>
      <c r="O2813" s="11" t="n">
        <v>282.4407888</v>
      </c>
      <c r="P2813" s="13">
        <f>N2813*86400</f>
        <v/>
      </c>
      <c r="Q2813" s="14">
        <f>O2813-273.15</f>
        <v/>
      </c>
    </row>
    <row r="2814">
      <c r="A2814" s="9" t="n">
        <v>39701</v>
      </c>
      <c r="B2814" s="7">
        <f>YEAR(A2814)</f>
        <v/>
      </c>
      <c r="C2814" s="7">
        <f>MONTH(A2814)</f>
        <v/>
      </c>
      <c r="D2814" s="10" t="n">
        <v>8.308571562999999</v>
      </c>
      <c r="E2814" s="11" t="n">
        <v>12.36628457</v>
      </c>
      <c r="F2814" s="12" t="n">
        <v>0.004185784777</v>
      </c>
      <c r="G2814" s="11" t="n">
        <v>286.5063623</v>
      </c>
      <c r="H2814" s="13">
        <f>F2814*1000</f>
        <v/>
      </c>
      <c r="I2814" s="14">
        <f>G2814-273.15</f>
        <v/>
      </c>
      <c r="K2814" s="15" t="n">
        <v>2008</v>
      </c>
      <c r="L2814" s="15" t="n">
        <v>10</v>
      </c>
      <c r="M2814" s="15" t="n">
        <v>20</v>
      </c>
      <c r="N2814" s="16" t="n">
        <v>7.514025457e-05</v>
      </c>
      <c r="O2814" s="11" t="n">
        <v>283.8640594</v>
      </c>
      <c r="P2814" s="13">
        <f>N2814*86400</f>
        <v/>
      </c>
      <c r="Q2814" s="14">
        <f>O2814-273.15</f>
        <v/>
      </c>
    </row>
    <row r="2815">
      <c r="A2815" s="9" t="n">
        <v>39702</v>
      </c>
      <c r="B2815" s="7">
        <f>YEAR(A2815)</f>
        <v/>
      </c>
      <c r="C2815" s="7">
        <f>MONTH(A2815)</f>
        <v/>
      </c>
      <c r="D2815" s="10" t="n">
        <v>2.356622914</v>
      </c>
      <c r="E2815" s="11" t="n">
        <v>12.68515527</v>
      </c>
      <c r="F2815" s="12" t="n">
        <v>0.00215333186</v>
      </c>
      <c r="G2815" s="11" t="n">
        <v>287.2659434</v>
      </c>
      <c r="H2815" s="13">
        <f>F2815*1000</f>
        <v/>
      </c>
      <c r="I2815" s="14">
        <f>G2815-273.15</f>
        <v/>
      </c>
      <c r="K2815" s="15" t="n">
        <v>2008</v>
      </c>
      <c r="L2815" s="15" t="n">
        <v>10</v>
      </c>
      <c r="M2815" s="15" t="n">
        <v>21</v>
      </c>
      <c r="N2815" s="16" t="n">
        <v>4.677606428e-05</v>
      </c>
      <c r="O2815" s="11" t="n">
        <v>284.1606771</v>
      </c>
      <c r="P2815" s="13">
        <f>N2815*86400</f>
        <v/>
      </c>
      <c r="Q2815" s="14">
        <f>O2815-273.15</f>
        <v/>
      </c>
    </row>
    <row r="2816">
      <c r="A2816" s="9" t="n">
        <v>39703</v>
      </c>
      <c r="B2816" s="7">
        <f>YEAR(A2816)</f>
        <v/>
      </c>
      <c r="C2816" s="7">
        <f>MONTH(A2816)</f>
        <v/>
      </c>
      <c r="D2816" s="10" t="n">
        <v>0</v>
      </c>
      <c r="E2816" s="11" t="n">
        <v>12.02451201</v>
      </c>
      <c r="F2816" s="12" t="n">
        <v>0</v>
      </c>
      <c r="G2816" s="11" t="n">
        <v>285.6285999</v>
      </c>
      <c r="H2816" s="13">
        <f>F2816*1000</f>
        <v/>
      </c>
      <c r="I2816" s="14">
        <f>G2816-273.15</f>
        <v/>
      </c>
      <c r="K2816" s="15" t="n">
        <v>2008</v>
      </c>
      <c r="L2816" s="15" t="n">
        <v>10</v>
      </c>
      <c r="M2816" s="15" t="n">
        <v>22</v>
      </c>
      <c r="N2816" s="16" t="n">
        <v>9.903302406000001e-07</v>
      </c>
      <c r="O2816" s="11" t="n">
        <v>282.0042716</v>
      </c>
      <c r="P2816" s="13">
        <f>N2816*86400</f>
        <v/>
      </c>
      <c r="Q2816" s="14">
        <f>O2816-273.15</f>
        <v/>
      </c>
    </row>
    <row r="2817">
      <c r="A2817" s="9" t="n">
        <v>39704</v>
      </c>
      <c r="B2817" s="7">
        <f>YEAR(A2817)</f>
        <v/>
      </c>
      <c r="C2817" s="7">
        <f>MONTH(A2817)</f>
        <v/>
      </c>
      <c r="D2817" s="10" t="n">
        <v>0</v>
      </c>
      <c r="E2817" s="11" t="n">
        <v>9.606758533000001</v>
      </c>
      <c r="F2817" s="12" t="n">
        <v>0</v>
      </c>
      <c r="G2817" s="11" t="n">
        <v>284.444762</v>
      </c>
      <c r="H2817" s="13">
        <f>F2817*1000</f>
        <v/>
      </c>
      <c r="I2817" s="14">
        <f>G2817-273.15</f>
        <v/>
      </c>
      <c r="K2817" s="15" t="n">
        <v>2008</v>
      </c>
      <c r="L2817" s="15" t="n">
        <v>10</v>
      </c>
      <c r="M2817" s="15" t="n">
        <v>23</v>
      </c>
      <c r="N2817" s="16" t="n">
        <v>1.098302428e-06</v>
      </c>
      <c r="O2817" s="11" t="n">
        <v>283.8365831</v>
      </c>
      <c r="P2817" s="13">
        <f>N2817*86400</f>
        <v/>
      </c>
      <c r="Q2817" s="14">
        <f>O2817-273.15</f>
        <v/>
      </c>
    </row>
    <row r="2818">
      <c r="A2818" s="9" t="n">
        <v>39705</v>
      </c>
      <c r="B2818" s="7">
        <f>YEAR(A2818)</f>
        <v/>
      </c>
      <c r="C2818" s="7">
        <f>MONTH(A2818)</f>
        <v/>
      </c>
      <c r="D2818" s="10" t="n">
        <v>0</v>
      </c>
      <c r="E2818" s="11" t="n">
        <v>10.7254477</v>
      </c>
      <c r="F2818" s="12" t="n">
        <v>0</v>
      </c>
      <c r="G2818" s="11" t="n">
        <v>285.9641251</v>
      </c>
      <c r="H2818" s="13">
        <f>F2818*1000</f>
        <v/>
      </c>
      <c r="I2818" s="14">
        <f>G2818-273.15</f>
        <v/>
      </c>
      <c r="K2818" s="15" t="n">
        <v>2008</v>
      </c>
      <c r="L2818" s="15" t="n">
        <v>10</v>
      </c>
      <c r="M2818" s="15" t="n">
        <v>24</v>
      </c>
      <c r="N2818" s="16" t="n">
        <v>0</v>
      </c>
      <c r="O2818" s="11" t="n">
        <v>284.0179897</v>
      </c>
      <c r="P2818" s="13">
        <f>N2818*86400</f>
        <v/>
      </c>
      <c r="Q2818" s="14">
        <f>O2818-273.15</f>
        <v/>
      </c>
    </row>
    <row r="2819">
      <c r="A2819" s="9" t="n">
        <v>39706</v>
      </c>
      <c r="B2819" s="7">
        <f>YEAR(A2819)</f>
        <v/>
      </c>
      <c r="C2819" s="7">
        <f>MONTH(A2819)</f>
        <v/>
      </c>
      <c r="D2819" s="10" t="n">
        <v>0</v>
      </c>
      <c r="E2819" s="11" t="n">
        <v>12.63173369</v>
      </c>
      <c r="F2819" s="12" t="n">
        <v>0.0004147866513</v>
      </c>
      <c r="G2819" s="11" t="n">
        <v>287.3387084</v>
      </c>
      <c r="H2819" s="13">
        <f>F2819*1000</f>
        <v/>
      </c>
      <c r="I2819" s="14">
        <f>G2819-273.15</f>
        <v/>
      </c>
      <c r="K2819" s="15" t="n">
        <v>2008</v>
      </c>
      <c r="L2819" s="15" t="n">
        <v>10</v>
      </c>
      <c r="M2819" s="15" t="n">
        <v>25</v>
      </c>
      <c r="N2819" s="16" t="n">
        <v>1.054430379e-05</v>
      </c>
      <c r="O2819" s="11" t="n">
        <v>285.1117831</v>
      </c>
      <c r="P2819" s="13">
        <f>N2819*86400</f>
        <v/>
      </c>
      <c r="Q2819" s="14">
        <f>O2819-273.15</f>
        <v/>
      </c>
    </row>
    <row r="2820">
      <c r="A2820" s="9" t="n">
        <v>39707</v>
      </c>
      <c r="B2820" s="7">
        <f>YEAR(A2820)</f>
        <v/>
      </c>
      <c r="C2820" s="7">
        <f>MONTH(A2820)</f>
        <v/>
      </c>
      <c r="D2820" s="10" t="n">
        <v>18.81022289</v>
      </c>
      <c r="E2820" s="11" t="n">
        <v>10.59829082</v>
      </c>
      <c r="F2820" s="12" t="n">
        <v>0.01039532513</v>
      </c>
      <c r="G2820" s="11" t="n">
        <v>285.6218444</v>
      </c>
      <c r="H2820" s="13">
        <f>F2820*1000</f>
        <v/>
      </c>
      <c r="I2820" s="14">
        <f>G2820-273.15</f>
        <v/>
      </c>
      <c r="K2820" s="15" t="n">
        <v>2008</v>
      </c>
      <c r="L2820" s="15" t="n">
        <v>10</v>
      </c>
      <c r="M2820" s="15" t="n">
        <v>26</v>
      </c>
      <c r="N2820" s="16" t="n">
        <v>3.449409921e-05</v>
      </c>
      <c r="O2820" s="11" t="n">
        <v>285.6834173</v>
      </c>
      <c r="P2820" s="13">
        <f>N2820*86400</f>
        <v/>
      </c>
      <c r="Q2820" s="14">
        <f>O2820-273.15</f>
        <v/>
      </c>
    </row>
    <row r="2821">
      <c r="A2821" s="9" t="n">
        <v>39708</v>
      </c>
      <c r="B2821" s="7">
        <f>YEAR(A2821)</f>
        <v/>
      </c>
      <c r="C2821" s="7">
        <f>MONTH(A2821)</f>
        <v/>
      </c>
      <c r="D2821" s="10" t="n">
        <v>26.37932742</v>
      </c>
      <c r="E2821" s="11" t="n">
        <v>11.37903354</v>
      </c>
      <c r="F2821" s="12" t="n">
        <v>0.02138192144</v>
      </c>
      <c r="G2821" s="11" t="n">
        <v>286.1556789</v>
      </c>
      <c r="H2821" s="13">
        <f>F2821*1000</f>
        <v/>
      </c>
      <c r="I2821" s="14">
        <f>G2821-273.15</f>
        <v/>
      </c>
      <c r="K2821" s="15" t="n">
        <v>2008</v>
      </c>
      <c r="L2821" s="15" t="n">
        <v>10</v>
      </c>
      <c r="M2821" s="15" t="n">
        <v>27</v>
      </c>
      <c r="N2821" s="16" t="n">
        <v>9.987966481999999e-06</v>
      </c>
      <c r="O2821" s="11" t="n">
        <v>282.7213521</v>
      </c>
      <c r="P2821" s="13">
        <f>N2821*86400</f>
        <v/>
      </c>
      <c r="Q2821" s="14">
        <f>O2821-273.15</f>
        <v/>
      </c>
    </row>
    <row r="2822">
      <c r="A2822" s="9" t="n">
        <v>39709</v>
      </c>
      <c r="B2822" s="7">
        <f>YEAR(A2822)</f>
        <v/>
      </c>
      <c r="C2822" s="7">
        <f>MONTH(A2822)</f>
        <v/>
      </c>
      <c r="D2822" s="10" t="n">
        <v>6.854329399</v>
      </c>
      <c r="E2822" s="11" t="n">
        <v>10.92162238</v>
      </c>
      <c r="F2822" s="12" t="n">
        <v>0.01139012529</v>
      </c>
      <c r="G2822" s="11" t="n">
        <v>286.4581679</v>
      </c>
      <c r="H2822" s="13">
        <f>F2822*1000</f>
        <v/>
      </c>
      <c r="I2822" s="14">
        <f>G2822-273.15</f>
        <v/>
      </c>
      <c r="K2822" s="15" t="n">
        <v>2008</v>
      </c>
      <c r="L2822" s="15" t="n">
        <v>10</v>
      </c>
      <c r="M2822" s="15" t="n">
        <v>28</v>
      </c>
      <c r="N2822" s="16" t="n">
        <v>6.438856928e-06</v>
      </c>
      <c r="O2822" s="11" t="n">
        <v>284.3121412</v>
      </c>
      <c r="P2822" s="13">
        <f>N2822*86400</f>
        <v/>
      </c>
      <c r="Q2822" s="14">
        <f>O2822-273.15</f>
        <v/>
      </c>
    </row>
    <row r="2823">
      <c r="A2823" s="9" t="n">
        <v>39710</v>
      </c>
      <c r="B2823" s="7">
        <f>YEAR(A2823)</f>
        <v/>
      </c>
      <c r="C2823" s="7">
        <f>MONTH(A2823)</f>
        <v/>
      </c>
      <c r="D2823" s="10" t="n">
        <v>2.094522956</v>
      </c>
      <c r="E2823" s="11" t="n">
        <v>9.729227979999999</v>
      </c>
      <c r="F2823" s="12" t="n">
        <v>0.0009860226362</v>
      </c>
      <c r="G2823" s="11" t="n">
        <v>285.3478712</v>
      </c>
      <c r="H2823" s="13">
        <f>F2823*1000</f>
        <v/>
      </c>
      <c r="I2823" s="14">
        <f>G2823-273.15</f>
        <v/>
      </c>
      <c r="K2823" s="15" t="n">
        <v>2008</v>
      </c>
      <c r="L2823" s="15" t="n">
        <v>10</v>
      </c>
      <c r="M2823" s="15" t="n">
        <v>29</v>
      </c>
      <c r="N2823" s="16" t="n">
        <v>0</v>
      </c>
      <c r="O2823" s="11" t="n">
        <v>283.659348</v>
      </c>
      <c r="P2823" s="13">
        <f>N2823*86400</f>
        <v/>
      </c>
      <c r="Q2823" s="14">
        <f>O2823-273.15</f>
        <v/>
      </c>
    </row>
    <row r="2824">
      <c r="A2824" s="9" t="n">
        <v>39711</v>
      </c>
      <c r="B2824" s="7">
        <f>YEAR(A2824)</f>
        <v/>
      </c>
      <c r="C2824" s="7">
        <f>MONTH(A2824)</f>
        <v/>
      </c>
      <c r="D2824" s="10" t="n">
        <v>5.779204181</v>
      </c>
      <c r="E2824" s="11" t="n">
        <v>9.860275855999999</v>
      </c>
      <c r="F2824" s="12" t="n">
        <v>0.001668498935</v>
      </c>
      <c r="G2824" s="11" t="n">
        <v>286.5743729</v>
      </c>
      <c r="H2824" s="13">
        <f>F2824*1000</f>
        <v/>
      </c>
      <c r="I2824" s="14">
        <f>G2824-273.15</f>
        <v/>
      </c>
      <c r="K2824" s="15" t="n">
        <v>2008</v>
      </c>
      <c r="L2824" s="15" t="n">
        <v>10</v>
      </c>
      <c r="M2824" s="15" t="n">
        <v>30</v>
      </c>
      <c r="N2824" s="16" t="n">
        <v>0</v>
      </c>
      <c r="O2824" s="11" t="n">
        <v>284.3987458</v>
      </c>
      <c r="P2824" s="13">
        <f>N2824*86400</f>
        <v/>
      </c>
      <c r="Q2824" s="14">
        <f>O2824-273.15</f>
        <v/>
      </c>
    </row>
    <row r="2825">
      <c r="A2825" s="9" t="n">
        <v>39712</v>
      </c>
      <c r="B2825" s="7">
        <f>YEAR(A2825)</f>
        <v/>
      </c>
      <c r="C2825" s="7">
        <f>MONTH(A2825)</f>
        <v/>
      </c>
      <c r="D2825" s="10" t="n">
        <v>19.26747231</v>
      </c>
      <c r="E2825" s="11" t="n">
        <v>6.491212782</v>
      </c>
      <c r="F2825" s="12" t="n">
        <v>0.01942995825</v>
      </c>
      <c r="G2825" s="11" t="n">
        <v>283.826783</v>
      </c>
      <c r="H2825" s="13">
        <f>F2825*1000</f>
        <v/>
      </c>
      <c r="I2825" s="14">
        <f>G2825-273.15</f>
        <v/>
      </c>
      <c r="K2825" s="15" t="n">
        <v>2008</v>
      </c>
      <c r="L2825" s="15" t="n">
        <v>11</v>
      </c>
      <c r="M2825" s="15" t="n">
        <v>1</v>
      </c>
      <c r="N2825" s="16" t="n">
        <v>0</v>
      </c>
      <c r="O2825" s="11" t="n">
        <v>284.8118683</v>
      </c>
      <c r="P2825" s="13">
        <f>N2825*86400</f>
        <v/>
      </c>
      <c r="Q2825" s="14">
        <f>O2825-273.15</f>
        <v/>
      </c>
    </row>
    <row r="2826">
      <c r="A2826" s="9" t="n">
        <v>39713</v>
      </c>
      <c r="B2826" s="7">
        <f>YEAR(A2826)</f>
        <v/>
      </c>
      <c r="C2826" s="7">
        <f>MONTH(A2826)</f>
        <v/>
      </c>
      <c r="D2826" s="10" t="n">
        <v>0</v>
      </c>
      <c r="E2826" s="11" t="n">
        <v>6.985751768</v>
      </c>
      <c r="F2826" s="12" t="n">
        <v>0.003303342691</v>
      </c>
      <c r="G2826" s="11" t="n">
        <v>283.7445243</v>
      </c>
      <c r="H2826" s="13">
        <f>F2826*1000</f>
        <v/>
      </c>
      <c r="I2826" s="14">
        <f>G2826-273.15</f>
        <v/>
      </c>
      <c r="K2826" s="15" t="n">
        <v>2008</v>
      </c>
      <c r="L2826" s="15" t="n">
        <v>11</v>
      </c>
      <c r="M2826" s="15" t="n">
        <v>2</v>
      </c>
      <c r="N2826" s="16" t="n">
        <v>0</v>
      </c>
      <c r="O2826" s="11" t="n">
        <v>282.272175</v>
      </c>
      <c r="P2826" s="13">
        <f>N2826*86400</f>
        <v/>
      </c>
      <c r="Q2826" s="14">
        <f>O2826-273.15</f>
        <v/>
      </c>
    </row>
    <row r="2827">
      <c r="A2827" s="9" t="n">
        <v>39714</v>
      </c>
      <c r="B2827" s="7">
        <f>YEAR(A2827)</f>
        <v/>
      </c>
      <c r="C2827" s="7">
        <f>MONTH(A2827)</f>
        <v/>
      </c>
      <c r="D2827" s="10" t="n">
        <v>0</v>
      </c>
      <c r="E2827" s="11" t="n">
        <v>6.878724063</v>
      </c>
      <c r="F2827" s="12" t="n">
        <v>0.003458449635</v>
      </c>
      <c r="G2827" s="11" t="n">
        <v>283.8767705</v>
      </c>
      <c r="H2827" s="13">
        <f>F2827*1000</f>
        <v/>
      </c>
      <c r="I2827" s="14">
        <f>G2827-273.15</f>
        <v/>
      </c>
      <c r="K2827" s="15" t="n">
        <v>2008</v>
      </c>
      <c r="L2827" s="15" t="n">
        <v>11</v>
      </c>
      <c r="M2827" s="15" t="n">
        <v>3</v>
      </c>
      <c r="N2827" s="16" t="n">
        <v>0</v>
      </c>
      <c r="O2827" s="11" t="n">
        <v>281.9480855</v>
      </c>
      <c r="P2827" s="13">
        <f>N2827*86400</f>
        <v/>
      </c>
      <c r="Q2827" s="14">
        <f>O2827-273.15</f>
        <v/>
      </c>
    </row>
    <row r="2828">
      <c r="A2828" s="9" t="n">
        <v>39715</v>
      </c>
      <c r="B2828" s="7">
        <f>YEAR(A2828)</f>
        <v/>
      </c>
      <c r="C2828" s="7">
        <f>MONTH(A2828)</f>
        <v/>
      </c>
      <c r="D2828" s="10" t="n">
        <v>0</v>
      </c>
      <c r="E2828" s="11" t="n">
        <v>10.54903579</v>
      </c>
      <c r="F2828" s="12" t="n">
        <v>1.724749816e-05</v>
      </c>
      <c r="G2828" s="11" t="n">
        <v>285.6318186</v>
      </c>
      <c r="H2828" s="13">
        <f>F2828*1000</f>
        <v/>
      </c>
      <c r="I2828" s="14">
        <f>G2828-273.15</f>
        <v/>
      </c>
      <c r="K2828" s="15" t="n">
        <v>2008</v>
      </c>
      <c r="L2828" s="15" t="n">
        <v>11</v>
      </c>
      <c r="M2828" s="15" t="n">
        <v>4</v>
      </c>
      <c r="N2828" s="16" t="n">
        <v>0</v>
      </c>
      <c r="O2828" s="11" t="n">
        <v>281.5191929</v>
      </c>
      <c r="P2828" s="13">
        <f>N2828*86400</f>
        <v/>
      </c>
      <c r="Q2828" s="14">
        <f>O2828-273.15</f>
        <v/>
      </c>
    </row>
    <row r="2829">
      <c r="A2829" s="9" t="n">
        <v>39716</v>
      </c>
      <c r="B2829" s="7">
        <f>YEAR(A2829)</f>
        <v/>
      </c>
      <c r="C2829" s="7">
        <f>MONTH(A2829)</f>
        <v/>
      </c>
      <c r="D2829" s="10" t="n">
        <v>0</v>
      </c>
      <c r="E2829" s="11" t="n">
        <v>10.47277712</v>
      </c>
      <c r="F2829" s="12" t="n">
        <v>0.0001349873359</v>
      </c>
      <c r="G2829" s="11" t="n">
        <v>286.9606037</v>
      </c>
      <c r="H2829" s="13">
        <f>F2829*1000</f>
        <v/>
      </c>
      <c r="I2829" s="14">
        <f>G2829-273.15</f>
        <v/>
      </c>
      <c r="K2829" s="15" t="n">
        <v>2008</v>
      </c>
      <c r="L2829" s="15" t="n">
        <v>11</v>
      </c>
      <c r="M2829" s="15" t="n">
        <v>5</v>
      </c>
      <c r="N2829" s="16" t="n">
        <v>0</v>
      </c>
      <c r="O2829" s="11" t="n">
        <v>279.2712697</v>
      </c>
      <c r="P2829" s="13">
        <f>N2829*86400</f>
        <v/>
      </c>
      <c r="Q2829" s="14">
        <f>O2829-273.15</f>
        <v/>
      </c>
    </row>
    <row r="2830">
      <c r="A2830" s="9" t="n">
        <v>39717</v>
      </c>
      <c r="B2830" s="7">
        <f>YEAR(A2830)</f>
        <v/>
      </c>
      <c r="C2830" s="7">
        <f>MONTH(A2830)</f>
        <v/>
      </c>
      <c r="D2830" s="10" t="n">
        <v>4.849569792</v>
      </c>
      <c r="E2830" s="11" t="n">
        <v>11.01652313</v>
      </c>
      <c r="F2830" s="12" t="n">
        <v>0.004111632781</v>
      </c>
      <c r="G2830" s="11" t="n">
        <v>286.5638101</v>
      </c>
      <c r="H2830" s="13">
        <f>F2830*1000</f>
        <v/>
      </c>
      <c r="I2830" s="14">
        <f>G2830-273.15</f>
        <v/>
      </c>
      <c r="K2830" s="15" t="n">
        <v>2008</v>
      </c>
      <c r="L2830" s="15" t="n">
        <v>11</v>
      </c>
      <c r="M2830" s="15" t="n">
        <v>6</v>
      </c>
      <c r="N2830" s="16" t="n">
        <v>0</v>
      </c>
      <c r="O2830" s="11" t="n">
        <v>278.976365</v>
      </c>
      <c r="P2830" s="13">
        <f>N2830*86400</f>
        <v/>
      </c>
      <c r="Q2830" s="14">
        <f>O2830-273.15</f>
        <v/>
      </c>
    </row>
    <row r="2831">
      <c r="A2831" s="9" t="n">
        <v>39718</v>
      </c>
      <c r="B2831" s="7">
        <f>YEAR(A2831)</f>
        <v/>
      </c>
      <c r="C2831" s="7">
        <f>MONTH(A2831)</f>
        <v/>
      </c>
      <c r="D2831" s="10" t="n">
        <v>12.57066226</v>
      </c>
      <c r="E2831" s="11" t="n">
        <v>12.36461723</v>
      </c>
      <c r="F2831" s="12" t="n">
        <v>0.003713038998</v>
      </c>
      <c r="G2831" s="11" t="n">
        <v>287.1938574</v>
      </c>
      <c r="H2831" s="13">
        <f>F2831*1000</f>
        <v/>
      </c>
      <c r="I2831" s="14">
        <f>G2831-273.15</f>
        <v/>
      </c>
      <c r="K2831" s="15" t="n">
        <v>2008</v>
      </c>
      <c r="L2831" s="15" t="n">
        <v>11</v>
      </c>
      <c r="M2831" s="15" t="n">
        <v>7</v>
      </c>
      <c r="N2831" s="16" t="n">
        <v>0</v>
      </c>
      <c r="O2831" s="11" t="n">
        <v>280.6057546</v>
      </c>
      <c r="P2831" s="13">
        <f>N2831*86400</f>
        <v/>
      </c>
      <c r="Q2831" s="14">
        <f>O2831-273.15</f>
        <v/>
      </c>
    </row>
    <row r="2832">
      <c r="A2832" s="9" t="n">
        <v>39719</v>
      </c>
      <c r="B2832" s="7">
        <f>YEAR(A2832)</f>
        <v/>
      </c>
      <c r="C2832" s="7">
        <f>MONTH(A2832)</f>
        <v/>
      </c>
      <c r="D2832" s="10" t="n">
        <v>0</v>
      </c>
      <c r="E2832" s="11" t="n">
        <v>12.55398942</v>
      </c>
      <c r="F2832" s="12" t="n">
        <v>0</v>
      </c>
      <c r="G2832" s="11" t="n">
        <v>287.4729162</v>
      </c>
      <c r="H2832" s="13">
        <f>F2832*1000</f>
        <v/>
      </c>
      <c r="I2832" s="14">
        <f>G2832-273.15</f>
        <v/>
      </c>
      <c r="K2832" s="15" t="n">
        <v>2008</v>
      </c>
      <c r="L2832" s="15" t="n">
        <v>11</v>
      </c>
      <c r="M2832" s="15" t="n">
        <v>8</v>
      </c>
      <c r="N2832" s="16" t="n">
        <v>0</v>
      </c>
      <c r="O2832" s="11" t="n">
        <v>280.0540742</v>
      </c>
      <c r="P2832" s="13">
        <f>N2832*86400</f>
        <v/>
      </c>
      <c r="Q2832" s="14">
        <f>O2832-273.15</f>
        <v/>
      </c>
    </row>
    <row r="2833">
      <c r="A2833" s="9" t="n">
        <v>39720</v>
      </c>
      <c r="B2833" s="7">
        <f>YEAR(A2833)</f>
        <v/>
      </c>
      <c r="C2833" s="7">
        <f>MONTH(A2833)</f>
        <v/>
      </c>
      <c r="D2833" s="10" t="n">
        <v>0</v>
      </c>
      <c r="E2833" s="11" t="n">
        <v>12.38906792</v>
      </c>
      <c r="F2833" s="12" t="n">
        <v>0</v>
      </c>
      <c r="G2833" s="11" t="n">
        <v>287.9311727</v>
      </c>
      <c r="H2833" s="13">
        <f>F2833*1000</f>
        <v/>
      </c>
      <c r="I2833" s="14">
        <f>G2833-273.15</f>
        <v/>
      </c>
      <c r="K2833" s="15" t="n">
        <v>2008</v>
      </c>
      <c r="L2833" s="15" t="n">
        <v>11</v>
      </c>
      <c r="M2833" s="15" t="n">
        <v>9</v>
      </c>
      <c r="N2833" s="16" t="n">
        <v>2.534778861e-06</v>
      </c>
      <c r="O2833" s="11" t="n">
        <v>282.2443845</v>
      </c>
      <c r="P2833" s="13">
        <f>N2833*86400</f>
        <v/>
      </c>
      <c r="Q2833" s="14">
        <f>O2833-273.15</f>
        <v/>
      </c>
    </row>
    <row r="2834">
      <c r="A2834" s="9" t="n">
        <v>39721</v>
      </c>
      <c r="B2834" s="7">
        <f>YEAR(A2834)</f>
        <v/>
      </c>
      <c r="C2834" s="7">
        <f>MONTH(A2834)</f>
        <v/>
      </c>
      <c r="D2834" s="10" t="n">
        <v>0</v>
      </c>
      <c r="E2834" s="11" t="n">
        <v>11.54911597</v>
      </c>
      <c r="F2834" s="12" t="n">
        <v>0</v>
      </c>
      <c r="G2834" s="11" t="n">
        <v>287.516701</v>
      </c>
      <c r="H2834" s="13">
        <f>F2834*1000</f>
        <v/>
      </c>
      <c r="I2834" s="14">
        <f>G2834-273.15</f>
        <v/>
      </c>
      <c r="K2834" s="15" t="n">
        <v>2008</v>
      </c>
      <c r="L2834" s="15" t="n">
        <v>11</v>
      </c>
      <c r="M2834" s="15" t="n">
        <v>10</v>
      </c>
      <c r="N2834" s="16" t="n">
        <v>6.62481361e-05</v>
      </c>
      <c r="O2834" s="11" t="n">
        <v>282.6065758</v>
      </c>
      <c r="P2834" s="13">
        <f>N2834*86400</f>
        <v/>
      </c>
      <c r="Q2834" s="14">
        <f>O2834-273.15</f>
        <v/>
      </c>
    </row>
    <row r="2835">
      <c r="A2835" s="9" t="n">
        <v>39722</v>
      </c>
      <c r="B2835" s="7">
        <f>YEAR(A2835)</f>
        <v/>
      </c>
      <c r="C2835" s="7">
        <f>MONTH(A2835)</f>
        <v/>
      </c>
      <c r="D2835" s="10" t="n">
        <v>2.411915053</v>
      </c>
      <c r="E2835" s="11" t="n">
        <v>11.08509317</v>
      </c>
      <c r="F2835" s="12" t="n">
        <v>0.005379404465</v>
      </c>
      <c r="G2835" s="11" t="n">
        <v>286.5080394</v>
      </c>
      <c r="H2835" s="13">
        <f>F2835*1000</f>
        <v/>
      </c>
      <c r="I2835" s="14">
        <f>G2835-273.15</f>
        <v/>
      </c>
      <c r="K2835" s="15" t="n">
        <v>2008</v>
      </c>
      <c r="L2835" s="15" t="n">
        <v>11</v>
      </c>
      <c r="M2835" s="15" t="n">
        <v>11</v>
      </c>
      <c r="N2835" s="16" t="n">
        <v>2.535404698e-06</v>
      </c>
      <c r="O2835" s="11" t="n">
        <v>278.3088048</v>
      </c>
      <c r="P2835" s="13">
        <f>N2835*86400</f>
        <v/>
      </c>
      <c r="Q2835" s="14">
        <f>O2835-273.15</f>
        <v/>
      </c>
    </row>
    <row r="2836">
      <c r="A2836" s="9" t="n">
        <v>39723</v>
      </c>
      <c r="B2836" s="7">
        <f>YEAR(A2836)</f>
        <v/>
      </c>
      <c r="C2836" s="7">
        <f>MONTH(A2836)</f>
        <v/>
      </c>
      <c r="D2836" s="10" t="n">
        <v>12.88360454</v>
      </c>
      <c r="E2836" s="11" t="n">
        <v>10.93456383</v>
      </c>
      <c r="F2836" s="12" t="n">
        <v>0.01884255002</v>
      </c>
      <c r="G2836" s="11" t="n">
        <v>286.3469039</v>
      </c>
      <c r="H2836" s="13">
        <f>F2836*1000</f>
        <v/>
      </c>
      <c r="I2836" s="14">
        <f>G2836-273.15</f>
        <v/>
      </c>
      <c r="K2836" s="15" t="n">
        <v>2008</v>
      </c>
      <c r="L2836" s="15" t="n">
        <v>11</v>
      </c>
      <c r="M2836" s="15" t="n">
        <v>12</v>
      </c>
      <c r="N2836" s="16" t="n">
        <v>0</v>
      </c>
      <c r="O2836" s="11" t="n">
        <v>277.4060665</v>
      </c>
      <c r="P2836" s="13">
        <f>N2836*86400</f>
        <v/>
      </c>
      <c r="Q2836" s="14">
        <f>O2836-273.15</f>
        <v/>
      </c>
    </row>
    <row r="2837">
      <c r="A2837" s="9" t="n">
        <v>39724</v>
      </c>
      <c r="B2837" s="7">
        <f>YEAR(A2837)</f>
        <v/>
      </c>
      <c r="C2837" s="7">
        <f>MONTH(A2837)</f>
        <v/>
      </c>
      <c r="D2837" s="10" t="n">
        <v>0</v>
      </c>
      <c r="E2837" s="11" t="n">
        <v>11.3867099</v>
      </c>
      <c r="F2837" s="12" t="n">
        <v>0</v>
      </c>
      <c r="G2837" s="11" t="n">
        <v>286.0587732</v>
      </c>
      <c r="H2837" s="13">
        <f>F2837*1000</f>
        <v/>
      </c>
      <c r="I2837" s="14">
        <f>G2837-273.15</f>
        <v/>
      </c>
      <c r="K2837" s="15" t="n">
        <v>2008</v>
      </c>
      <c r="L2837" s="15" t="n">
        <v>11</v>
      </c>
      <c r="M2837" s="15" t="n">
        <v>13</v>
      </c>
      <c r="N2837" s="16" t="n">
        <v>0</v>
      </c>
      <c r="O2837" s="11" t="n">
        <v>277.3508944</v>
      </c>
      <c r="P2837" s="13">
        <f>N2837*86400</f>
        <v/>
      </c>
      <c r="Q2837" s="14">
        <f>O2837-273.15</f>
        <v/>
      </c>
    </row>
    <row r="2838">
      <c r="A2838" s="9" t="n">
        <v>39725</v>
      </c>
      <c r="B2838" s="7">
        <f>YEAR(A2838)</f>
        <v/>
      </c>
      <c r="C2838" s="7">
        <f>MONTH(A2838)</f>
        <v/>
      </c>
      <c r="D2838" s="10" t="n">
        <v>0</v>
      </c>
      <c r="E2838" s="11" t="n">
        <v>9.449722988</v>
      </c>
      <c r="F2838" s="12" t="n">
        <v>0</v>
      </c>
      <c r="G2838" s="11" t="n">
        <v>285.6039094</v>
      </c>
      <c r="H2838" s="13">
        <f>F2838*1000</f>
        <v/>
      </c>
      <c r="I2838" s="14">
        <f>G2838-273.15</f>
        <v/>
      </c>
      <c r="K2838" s="15" t="n">
        <v>2008</v>
      </c>
      <c r="L2838" s="15" t="n">
        <v>11</v>
      </c>
      <c r="M2838" s="15" t="n">
        <v>14</v>
      </c>
      <c r="N2838" s="16" t="n">
        <v>1.506347884e-05</v>
      </c>
      <c r="O2838" s="11" t="n">
        <v>278.1882526</v>
      </c>
      <c r="P2838" s="13">
        <f>N2838*86400</f>
        <v/>
      </c>
      <c r="Q2838" s="14">
        <f>O2838-273.15</f>
        <v/>
      </c>
    </row>
    <row r="2839">
      <c r="A2839" s="9" t="n">
        <v>39726</v>
      </c>
      <c r="B2839" s="7">
        <f>YEAR(A2839)</f>
        <v/>
      </c>
      <c r="C2839" s="7">
        <f>MONTH(A2839)</f>
        <v/>
      </c>
      <c r="D2839" s="10" t="n">
        <v>0</v>
      </c>
      <c r="E2839" s="11" t="n">
        <v>8.502001505999999</v>
      </c>
      <c r="F2839" s="12" t="n">
        <v>0.00080204432</v>
      </c>
      <c r="G2839" s="11" t="n">
        <v>284.6132218</v>
      </c>
      <c r="H2839" s="13">
        <f>F2839*1000</f>
        <v/>
      </c>
      <c r="I2839" s="14">
        <f>G2839-273.15</f>
        <v/>
      </c>
      <c r="K2839" s="15" t="n">
        <v>2008</v>
      </c>
      <c r="L2839" s="15" t="n">
        <v>11</v>
      </c>
      <c r="M2839" s="15" t="n">
        <v>15</v>
      </c>
      <c r="N2839" s="16" t="n">
        <v>0</v>
      </c>
      <c r="O2839" s="11" t="n">
        <v>279.5776471</v>
      </c>
      <c r="P2839" s="13">
        <f>N2839*86400</f>
        <v/>
      </c>
      <c r="Q2839" s="14">
        <f>O2839-273.15</f>
        <v/>
      </c>
    </row>
    <row r="2840">
      <c r="A2840" s="9" t="n">
        <v>39727</v>
      </c>
      <c r="B2840" s="7">
        <f>YEAR(A2840)</f>
        <v/>
      </c>
      <c r="C2840" s="7">
        <f>MONTH(A2840)</f>
        <v/>
      </c>
      <c r="D2840" s="10" t="n">
        <v>0</v>
      </c>
      <c r="E2840" s="11" t="n">
        <v>8.550394997</v>
      </c>
      <c r="F2840" s="12" t="n">
        <v>4.913488479e-05</v>
      </c>
      <c r="G2840" s="11" t="n">
        <v>283.7684053</v>
      </c>
      <c r="H2840" s="13">
        <f>F2840*1000</f>
        <v/>
      </c>
      <c r="I2840" s="14">
        <f>G2840-273.15</f>
        <v/>
      </c>
      <c r="K2840" s="15" t="n">
        <v>2008</v>
      </c>
      <c r="L2840" s="15" t="n">
        <v>11</v>
      </c>
      <c r="M2840" s="15" t="n">
        <v>16</v>
      </c>
      <c r="N2840" s="16" t="n">
        <v>7.232066108e-05</v>
      </c>
      <c r="O2840" s="11" t="n">
        <v>281.586436</v>
      </c>
      <c r="P2840" s="13">
        <f>N2840*86400</f>
        <v/>
      </c>
      <c r="Q2840" s="14">
        <f>O2840-273.15</f>
        <v/>
      </c>
    </row>
    <row r="2841">
      <c r="A2841" s="9" t="n">
        <v>39728</v>
      </c>
      <c r="B2841" s="7">
        <f>YEAR(A2841)</f>
        <v/>
      </c>
      <c r="C2841" s="7">
        <f>MONTH(A2841)</f>
        <v/>
      </c>
      <c r="D2841" s="10" t="n">
        <v>0</v>
      </c>
      <c r="E2841" s="11" t="n">
        <v>8.270405667</v>
      </c>
      <c r="F2841" s="12" t="n">
        <v>0</v>
      </c>
      <c r="G2841" s="11" t="n">
        <v>283.6890622</v>
      </c>
      <c r="H2841" s="13">
        <f>F2841*1000</f>
        <v/>
      </c>
      <c r="I2841" s="14">
        <f>G2841-273.15</f>
        <v/>
      </c>
      <c r="K2841" s="15" t="n">
        <v>2008</v>
      </c>
      <c r="L2841" s="15" t="n">
        <v>11</v>
      </c>
      <c r="M2841" s="15" t="n">
        <v>17</v>
      </c>
      <c r="N2841" s="16" t="n">
        <v>8.344443070999999e-06</v>
      </c>
      <c r="O2841" s="11" t="n">
        <v>281.2037183</v>
      </c>
      <c r="P2841" s="13">
        <f>N2841*86400</f>
        <v/>
      </c>
      <c r="Q2841" s="14">
        <f>O2841-273.15</f>
        <v/>
      </c>
    </row>
    <row r="2842">
      <c r="A2842" s="9" t="n">
        <v>39729</v>
      </c>
      <c r="B2842" s="7">
        <f>YEAR(A2842)</f>
        <v/>
      </c>
      <c r="C2842" s="7">
        <f>MONTH(A2842)</f>
        <v/>
      </c>
      <c r="D2842" s="10" t="n">
        <v>0</v>
      </c>
      <c r="E2842" s="11" t="n">
        <v>9.321991194000001</v>
      </c>
      <c r="F2842" s="12" t="n">
        <v>0</v>
      </c>
      <c r="G2842" s="11" t="n">
        <v>284.4564839</v>
      </c>
      <c r="H2842" s="13">
        <f>F2842*1000</f>
        <v/>
      </c>
      <c r="I2842" s="14">
        <f>G2842-273.15</f>
        <v/>
      </c>
      <c r="K2842" s="15" t="n">
        <v>2008</v>
      </c>
      <c r="L2842" s="15" t="n">
        <v>11</v>
      </c>
      <c r="M2842" s="15" t="n">
        <v>18</v>
      </c>
      <c r="N2842" s="16" t="n">
        <v>1.926407698e-05</v>
      </c>
      <c r="O2842" s="11" t="n">
        <v>282.8897772</v>
      </c>
      <c r="P2842" s="13">
        <f>N2842*86400</f>
        <v/>
      </c>
      <c r="Q2842" s="14">
        <f>O2842-273.15</f>
        <v/>
      </c>
    </row>
    <row r="2843">
      <c r="A2843" s="9" t="n">
        <v>39730</v>
      </c>
      <c r="B2843" s="7">
        <f>YEAR(A2843)</f>
        <v/>
      </c>
      <c r="C2843" s="7">
        <f>MONTH(A2843)</f>
        <v/>
      </c>
      <c r="D2843" s="10" t="n">
        <v>0</v>
      </c>
      <c r="E2843" s="11" t="n">
        <v>8.631700256</v>
      </c>
      <c r="F2843" s="12" t="n">
        <v>0</v>
      </c>
      <c r="G2843" s="11" t="n">
        <v>283.5224561</v>
      </c>
      <c r="H2843" s="13">
        <f>F2843*1000</f>
        <v/>
      </c>
      <c r="I2843" s="14">
        <f>G2843-273.15</f>
        <v/>
      </c>
      <c r="K2843" s="15" t="n">
        <v>2008</v>
      </c>
      <c r="L2843" s="15" t="n">
        <v>11</v>
      </c>
      <c r="M2843" s="15" t="n">
        <v>19</v>
      </c>
      <c r="N2843" s="16" t="n">
        <v>2.122286144e-05</v>
      </c>
      <c r="O2843" s="11" t="n">
        <v>280.9251431</v>
      </c>
      <c r="P2843" s="13">
        <f>N2843*86400</f>
        <v/>
      </c>
      <c r="Q2843" s="14">
        <f>O2843-273.15</f>
        <v/>
      </c>
    </row>
    <row r="2844">
      <c r="A2844" s="9" t="n">
        <v>39731</v>
      </c>
      <c r="B2844" s="7">
        <f>YEAR(A2844)</f>
        <v/>
      </c>
      <c r="C2844" s="7">
        <f>MONTH(A2844)</f>
        <v/>
      </c>
      <c r="D2844" s="10" t="n">
        <v>0</v>
      </c>
      <c r="E2844" s="11" t="n">
        <v>9.15065416</v>
      </c>
      <c r="F2844" s="12" t="n">
        <v>0</v>
      </c>
      <c r="G2844" s="11" t="n">
        <v>284.1694621</v>
      </c>
      <c r="H2844" s="13">
        <f>F2844*1000</f>
        <v/>
      </c>
      <c r="I2844" s="14">
        <f>G2844-273.15</f>
        <v/>
      </c>
      <c r="K2844" s="15" t="n">
        <v>2008</v>
      </c>
      <c r="L2844" s="15" t="n">
        <v>11</v>
      </c>
      <c r="M2844" s="15" t="n">
        <v>20</v>
      </c>
      <c r="N2844" s="16" t="n">
        <v>0</v>
      </c>
      <c r="O2844" s="11" t="n">
        <v>282.1830826</v>
      </c>
      <c r="P2844" s="13">
        <f>N2844*86400</f>
        <v/>
      </c>
      <c r="Q2844" s="14">
        <f>O2844-273.15</f>
        <v/>
      </c>
    </row>
    <row r="2845">
      <c r="A2845" s="9" t="n">
        <v>39732</v>
      </c>
      <c r="B2845" s="7">
        <f>YEAR(A2845)</f>
        <v/>
      </c>
      <c r="C2845" s="7">
        <f>MONTH(A2845)</f>
        <v/>
      </c>
      <c r="D2845" s="10" t="n">
        <v>0</v>
      </c>
      <c r="E2845" s="11" t="n">
        <v>8.717342231</v>
      </c>
      <c r="F2845" s="12" t="n">
        <v>0</v>
      </c>
      <c r="G2845" s="11" t="n">
        <v>285.025847</v>
      </c>
      <c r="H2845" s="13">
        <f>F2845*1000</f>
        <v/>
      </c>
      <c r="I2845" s="14">
        <f>G2845-273.15</f>
        <v/>
      </c>
      <c r="K2845" s="15" t="n">
        <v>2008</v>
      </c>
      <c r="L2845" s="15" t="n">
        <v>11</v>
      </c>
      <c r="M2845" s="15" t="n">
        <v>21</v>
      </c>
      <c r="N2845" s="16" t="n">
        <v>0</v>
      </c>
      <c r="O2845" s="11" t="n">
        <v>281.0762776</v>
      </c>
      <c r="P2845" s="13">
        <f>N2845*86400</f>
        <v/>
      </c>
      <c r="Q2845" s="14">
        <f>O2845-273.15</f>
        <v/>
      </c>
    </row>
    <row r="2846">
      <c r="A2846" s="9" t="n">
        <v>39733</v>
      </c>
      <c r="B2846" s="7">
        <f>YEAR(A2846)</f>
        <v/>
      </c>
      <c r="C2846" s="7">
        <f>MONTH(A2846)</f>
        <v/>
      </c>
      <c r="D2846" s="10" t="n">
        <v>0</v>
      </c>
      <c r="E2846" s="11" t="n">
        <v>9.019256248</v>
      </c>
      <c r="F2846" s="12" t="n">
        <v>0</v>
      </c>
      <c r="G2846" s="11" t="n">
        <v>284.0042897</v>
      </c>
      <c r="H2846" s="13">
        <f>F2846*1000</f>
        <v/>
      </c>
      <c r="I2846" s="14">
        <f>G2846-273.15</f>
        <v/>
      </c>
      <c r="K2846" s="15" t="n">
        <v>2008</v>
      </c>
      <c r="L2846" s="15" t="n">
        <v>11</v>
      </c>
      <c r="M2846" s="15" t="n">
        <v>22</v>
      </c>
      <c r="N2846" s="16" t="n">
        <v>0</v>
      </c>
      <c r="O2846" s="11" t="n">
        <v>282.4994018</v>
      </c>
      <c r="P2846" s="13">
        <f>N2846*86400</f>
        <v/>
      </c>
      <c r="Q2846" s="14">
        <f>O2846-273.15</f>
        <v/>
      </c>
    </row>
    <row r="2847">
      <c r="A2847" s="9" t="n">
        <v>39734</v>
      </c>
      <c r="B2847" s="7">
        <f>YEAR(A2847)</f>
        <v/>
      </c>
      <c r="C2847" s="7">
        <f>MONTH(A2847)</f>
        <v/>
      </c>
      <c r="D2847" s="10" t="n">
        <v>0</v>
      </c>
      <c r="E2847" s="11" t="n">
        <v>8.805933886</v>
      </c>
      <c r="F2847" s="12" t="n">
        <v>0</v>
      </c>
      <c r="G2847" s="11" t="n">
        <v>284.1797139</v>
      </c>
      <c r="H2847" s="13">
        <f>F2847*1000</f>
        <v/>
      </c>
      <c r="I2847" s="14">
        <f>G2847-273.15</f>
        <v/>
      </c>
      <c r="K2847" s="15" t="n">
        <v>2008</v>
      </c>
      <c r="L2847" s="15" t="n">
        <v>11</v>
      </c>
      <c r="M2847" s="15" t="n">
        <v>23</v>
      </c>
      <c r="N2847" s="16" t="n">
        <v>7.065681982e-06</v>
      </c>
      <c r="O2847" s="11" t="n">
        <v>281.8986484</v>
      </c>
      <c r="P2847" s="13">
        <f>N2847*86400</f>
        <v/>
      </c>
      <c r="Q2847" s="14">
        <f>O2847-273.15</f>
        <v/>
      </c>
    </row>
    <row r="2848">
      <c r="A2848" s="9" t="n">
        <v>39735</v>
      </c>
      <c r="B2848" s="7">
        <f>YEAR(A2848)</f>
        <v/>
      </c>
      <c r="C2848" s="7">
        <f>MONTH(A2848)</f>
        <v/>
      </c>
      <c r="D2848" s="10" t="n">
        <v>0</v>
      </c>
      <c r="E2848" s="11" t="n">
        <v>8.968077557999999</v>
      </c>
      <c r="F2848" s="12" t="n">
        <v>0</v>
      </c>
      <c r="G2848" s="11" t="n">
        <v>285.0250793</v>
      </c>
      <c r="H2848" s="13">
        <f>F2848*1000</f>
        <v/>
      </c>
      <c r="I2848" s="14">
        <f>G2848-273.15</f>
        <v/>
      </c>
      <c r="K2848" s="15" t="n">
        <v>2008</v>
      </c>
      <c r="L2848" s="15" t="n">
        <v>11</v>
      </c>
      <c r="M2848" s="15" t="n">
        <v>24</v>
      </c>
      <c r="N2848" s="16" t="n">
        <v>6.104602865e-06</v>
      </c>
      <c r="O2848" s="11" t="n">
        <v>281.7052378</v>
      </c>
      <c r="P2848" s="13">
        <f>N2848*86400</f>
        <v/>
      </c>
      <c r="Q2848" s="14">
        <f>O2848-273.15</f>
        <v/>
      </c>
    </row>
    <row r="2849">
      <c r="A2849" s="9" t="n">
        <v>39736</v>
      </c>
      <c r="B2849" s="7">
        <f>YEAR(A2849)</f>
        <v/>
      </c>
      <c r="C2849" s="7">
        <f>MONTH(A2849)</f>
        <v/>
      </c>
      <c r="D2849" s="10" t="n">
        <v>0</v>
      </c>
      <c r="E2849" s="11" t="n">
        <v>8.647431106999999</v>
      </c>
      <c r="F2849" s="12" t="n">
        <v>0.001361628456</v>
      </c>
      <c r="G2849" s="11" t="n">
        <v>284.2391549</v>
      </c>
      <c r="H2849" s="13">
        <f>F2849*1000</f>
        <v/>
      </c>
      <c r="I2849" s="14">
        <f>G2849-273.15</f>
        <v/>
      </c>
      <c r="K2849" s="15" t="n">
        <v>2008</v>
      </c>
      <c r="L2849" s="15" t="n">
        <v>11</v>
      </c>
      <c r="M2849" s="15" t="n">
        <v>25</v>
      </c>
      <c r="N2849" s="16" t="n">
        <v>0</v>
      </c>
      <c r="O2849" s="11" t="n">
        <v>278.6440156</v>
      </c>
      <c r="P2849" s="13">
        <f>N2849*86400</f>
        <v/>
      </c>
      <c r="Q2849" s="14">
        <f>O2849-273.15</f>
        <v/>
      </c>
    </row>
    <row r="2850">
      <c r="A2850" s="9" t="n">
        <v>39737</v>
      </c>
      <c r="B2850" s="7">
        <f>YEAR(A2850)</f>
        <v/>
      </c>
      <c r="C2850" s="7">
        <f>MONTH(A2850)</f>
        <v/>
      </c>
      <c r="D2850" s="10" t="n">
        <v>0</v>
      </c>
      <c r="E2850" s="11" t="n">
        <v>8.924325376000001</v>
      </c>
      <c r="F2850" s="12" t="n">
        <v>0.0005097801087</v>
      </c>
      <c r="G2850" s="11" t="n">
        <v>283.8859804</v>
      </c>
      <c r="H2850" s="13">
        <f>F2850*1000</f>
        <v/>
      </c>
      <c r="I2850" s="14">
        <f>G2850-273.15</f>
        <v/>
      </c>
      <c r="K2850" s="15" t="n">
        <v>2008</v>
      </c>
      <c r="L2850" s="15" t="n">
        <v>11</v>
      </c>
      <c r="M2850" s="15" t="n">
        <v>26</v>
      </c>
      <c r="N2850" s="16" t="n">
        <v>0</v>
      </c>
      <c r="O2850" s="11" t="n">
        <v>279.7336285</v>
      </c>
      <c r="P2850" s="13">
        <f>N2850*86400</f>
        <v/>
      </c>
      <c r="Q2850" s="14">
        <f>O2850-273.15</f>
        <v/>
      </c>
    </row>
    <row r="2851">
      <c r="A2851" s="9" t="n">
        <v>39738</v>
      </c>
      <c r="B2851" s="7">
        <f>YEAR(A2851)</f>
        <v/>
      </c>
      <c r="C2851" s="7">
        <f>MONTH(A2851)</f>
        <v/>
      </c>
      <c r="D2851" s="10" t="n">
        <v>0</v>
      </c>
      <c r="E2851" s="11" t="n">
        <v>7.731709126</v>
      </c>
      <c r="F2851" s="12" t="n">
        <v>0</v>
      </c>
      <c r="G2851" s="11" t="n">
        <v>282.2884452</v>
      </c>
      <c r="H2851" s="13">
        <f>F2851*1000</f>
        <v/>
      </c>
      <c r="I2851" s="14">
        <f>G2851-273.15</f>
        <v/>
      </c>
      <c r="K2851" s="15" t="n">
        <v>2008</v>
      </c>
      <c r="L2851" s="15" t="n">
        <v>11</v>
      </c>
      <c r="M2851" s="15" t="n">
        <v>27</v>
      </c>
      <c r="N2851" s="16" t="n">
        <v>0</v>
      </c>
      <c r="O2851" s="11" t="n">
        <v>279.57796</v>
      </c>
      <c r="P2851" s="13">
        <f>N2851*86400</f>
        <v/>
      </c>
      <c r="Q2851" s="14">
        <f>O2851-273.15</f>
        <v/>
      </c>
    </row>
    <row r="2852">
      <c r="A2852" s="9" t="n">
        <v>39739</v>
      </c>
      <c r="B2852" s="7">
        <f>YEAR(A2852)</f>
        <v/>
      </c>
      <c r="C2852" s="7">
        <f>MONTH(A2852)</f>
        <v/>
      </c>
      <c r="D2852" s="10" t="n">
        <v>0</v>
      </c>
      <c r="E2852" s="11" t="n">
        <v>5.537243773</v>
      </c>
      <c r="F2852" s="12" t="n">
        <v>0</v>
      </c>
      <c r="G2852" s="11" t="n">
        <v>280.8309535</v>
      </c>
      <c r="H2852" s="13">
        <f>F2852*1000</f>
        <v/>
      </c>
      <c r="I2852" s="14">
        <f>G2852-273.15</f>
        <v/>
      </c>
      <c r="K2852" s="15" t="n">
        <v>2008</v>
      </c>
      <c r="L2852" s="15" t="n">
        <v>11</v>
      </c>
      <c r="M2852" s="15" t="n">
        <v>28</v>
      </c>
      <c r="N2852" s="16" t="n">
        <v>0</v>
      </c>
      <c r="O2852" s="11" t="n">
        <v>278.5596156</v>
      </c>
      <c r="P2852" s="13">
        <f>N2852*86400</f>
        <v/>
      </c>
      <c r="Q2852" s="14">
        <f>O2852-273.15</f>
        <v/>
      </c>
    </row>
    <row r="2853">
      <c r="A2853" s="9" t="n">
        <v>39740</v>
      </c>
      <c r="B2853" s="7">
        <f>YEAR(A2853)</f>
        <v/>
      </c>
      <c r="C2853" s="7">
        <f>MONTH(A2853)</f>
        <v/>
      </c>
      <c r="D2853" s="10" t="n">
        <v>0</v>
      </c>
      <c r="E2853" s="11" t="n">
        <v>6.871800066</v>
      </c>
      <c r="F2853" s="12" t="n">
        <v>0</v>
      </c>
      <c r="G2853" s="11" t="n">
        <v>281.903249</v>
      </c>
      <c r="H2853" s="13">
        <f>F2853*1000</f>
        <v/>
      </c>
      <c r="I2853" s="14">
        <f>G2853-273.15</f>
        <v/>
      </c>
      <c r="K2853" s="15" t="n">
        <v>2008</v>
      </c>
      <c r="L2853" s="15" t="n">
        <v>11</v>
      </c>
      <c r="M2853" s="15" t="n">
        <v>29</v>
      </c>
      <c r="N2853" s="16" t="n">
        <v>0</v>
      </c>
      <c r="O2853" s="11" t="n">
        <v>278.5665719</v>
      </c>
      <c r="P2853" s="13">
        <f>N2853*86400</f>
        <v/>
      </c>
      <c r="Q2853" s="14">
        <f>O2853-273.15</f>
        <v/>
      </c>
    </row>
    <row r="2854">
      <c r="A2854" s="9" t="n">
        <v>39741</v>
      </c>
      <c r="B2854" s="7">
        <f>YEAR(A2854)</f>
        <v/>
      </c>
      <c r="C2854" s="7">
        <f>MONTH(A2854)</f>
        <v/>
      </c>
      <c r="D2854" s="10" t="n">
        <v>0</v>
      </c>
      <c r="E2854" s="11" t="n">
        <v>9.461889855000001</v>
      </c>
      <c r="F2854" s="12" t="n">
        <v>0</v>
      </c>
      <c r="G2854" s="11" t="n">
        <v>283.4201491</v>
      </c>
      <c r="H2854" s="13">
        <f>F2854*1000</f>
        <v/>
      </c>
      <c r="I2854" s="14">
        <f>G2854-273.15</f>
        <v/>
      </c>
      <c r="K2854" s="15" t="n">
        <v>2008</v>
      </c>
      <c r="L2854" s="15" t="n">
        <v>11</v>
      </c>
      <c r="M2854" s="15" t="n">
        <v>30</v>
      </c>
      <c r="N2854" s="16" t="n">
        <v>0</v>
      </c>
      <c r="O2854" s="11" t="n">
        <v>277.4352759</v>
      </c>
      <c r="P2854" s="13">
        <f>N2854*86400</f>
        <v/>
      </c>
      <c r="Q2854" s="14">
        <f>O2854-273.15</f>
        <v/>
      </c>
    </row>
    <row r="2855">
      <c r="A2855" s="9" t="n">
        <v>39742</v>
      </c>
      <c r="B2855" s="7">
        <f>YEAR(A2855)</f>
        <v/>
      </c>
      <c r="C2855" s="7">
        <f>MONTH(A2855)</f>
        <v/>
      </c>
      <c r="D2855" s="10" t="n">
        <v>0</v>
      </c>
      <c r="E2855" s="11" t="n">
        <v>10.70863583</v>
      </c>
      <c r="F2855" s="12" t="n">
        <v>0</v>
      </c>
      <c r="G2855" s="11" t="n">
        <v>283.648428</v>
      </c>
      <c r="H2855" s="13">
        <f>F2855*1000</f>
        <v/>
      </c>
      <c r="I2855" s="14">
        <f>G2855-273.15</f>
        <v/>
      </c>
      <c r="K2855" s="15" t="n">
        <v>2008</v>
      </c>
      <c r="L2855" s="15" t="n">
        <v>12</v>
      </c>
      <c r="M2855" s="15" t="n">
        <v>1</v>
      </c>
      <c r="N2855" s="16" t="n">
        <v>0</v>
      </c>
      <c r="O2855" s="11" t="n">
        <v>279.0458944</v>
      </c>
      <c r="P2855" s="13">
        <f>N2855*86400</f>
        <v/>
      </c>
      <c r="Q2855" s="14">
        <f>O2855-273.15</f>
        <v/>
      </c>
    </row>
    <row r="2856">
      <c r="A2856" s="9" t="n">
        <v>39743</v>
      </c>
      <c r="B2856" s="7">
        <f>YEAR(A2856)</f>
        <v/>
      </c>
      <c r="C2856" s="7">
        <f>MONTH(A2856)</f>
        <v/>
      </c>
      <c r="D2856" s="10" t="n">
        <v>2.732337849</v>
      </c>
      <c r="E2856" s="11" t="n">
        <v>10.11672946</v>
      </c>
      <c r="F2856" s="12" t="n">
        <v>0.003220514965</v>
      </c>
      <c r="G2856" s="11" t="n">
        <v>283.9741337</v>
      </c>
      <c r="H2856" s="13">
        <f>F2856*1000</f>
        <v/>
      </c>
      <c r="I2856" s="14">
        <f>G2856-273.15</f>
        <v/>
      </c>
      <c r="K2856" s="15" t="n">
        <v>2008</v>
      </c>
      <c r="L2856" s="15" t="n">
        <v>12</v>
      </c>
      <c r="M2856" s="15" t="n">
        <v>2</v>
      </c>
      <c r="N2856" s="16" t="n">
        <v>1.571294135e-06</v>
      </c>
      <c r="O2856" s="11" t="n">
        <v>278.3117579</v>
      </c>
      <c r="P2856" s="13">
        <f>N2856*86400</f>
        <v/>
      </c>
      <c r="Q2856" s="14">
        <f>O2856-273.15</f>
        <v/>
      </c>
    </row>
    <row r="2857">
      <c r="A2857" s="9" t="n">
        <v>39744</v>
      </c>
      <c r="B2857" s="7">
        <f>YEAR(A2857)</f>
        <v/>
      </c>
      <c r="C2857" s="7">
        <f>MONTH(A2857)</f>
        <v/>
      </c>
      <c r="D2857" s="10" t="n">
        <v>0</v>
      </c>
      <c r="E2857" s="11" t="n">
        <v>9.621575542</v>
      </c>
      <c r="F2857" s="12" t="n">
        <v>0.000542701924</v>
      </c>
      <c r="G2857" s="11" t="n">
        <v>283.7270175</v>
      </c>
      <c r="H2857" s="13">
        <f>F2857*1000</f>
        <v/>
      </c>
      <c r="I2857" s="14">
        <f>G2857-273.15</f>
        <v/>
      </c>
      <c r="K2857" s="15" t="n">
        <v>2008</v>
      </c>
      <c r="L2857" s="15" t="n">
        <v>12</v>
      </c>
      <c r="M2857" s="15" t="n">
        <v>3</v>
      </c>
      <c r="N2857" s="16" t="n">
        <v>0</v>
      </c>
      <c r="O2857" s="11" t="n">
        <v>279.7001163</v>
      </c>
      <c r="P2857" s="13">
        <f>N2857*86400</f>
        <v/>
      </c>
      <c r="Q2857" s="14">
        <f>O2857-273.15</f>
        <v/>
      </c>
    </row>
    <row r="2858">
      <c r="A2858" s="9" t="n">
        <v>39745</v>
      </c>
      <c r="B2858" s="7">
        <f>YEAR(A2858)</f>
        <v/>
      </c>
      <c r="C2858" s="7">
        <f>MONTH(A2858)</f>
        <v/>
      </c>
      <c r="D2858" s="10" t="n">
        <v>0</v>
      </c>
      <c r="E2858" s="11" t="n">
        <v>9.884348247</v>
      </c>
      <c r="F2858" s="12" t="n">
        <v>6.681918576e-05</v>
      </c>
      <c r="G2858" s="11" t="n">
        <v>284.0632936</v>
      </c>
      <c r="H2858" s="13">
        <f>F2858*1000</f>
        <v/>
      </c>
      <c r="I2858" s="14">
        <f>G2858-273.15</f>
        <v/>
      </c>
      <c r="K2858" s="15" t="n">
        <v>2008</v>
      </c>
      <c r="L2858" s="15" t="n">
        <v>12</v>
      </c>
      <c r="M2858" s="15" t="n">
        <v>4</v>
      </c>
      <c r="N2858" s="16" t="n">
        <v>4.650629792e-07</v>
      </c>
      <c r="O2858" s="11" t="n">
        <v>278.3063147</v>
      </c>
      <c r="P2858" s="13">
        <f>N2858*86400</f>
        <v/>
      </c>
      <c r="Q2858" s="14">
        <f>O2858-273.15</f>
        <v/>
      </c>
    </row>
    <row r="2859">
      <c r="A2859" s="9" t="n">
        <v>39746</v>
      </c>
      <c r="B2859" s="7">
        <f>YEAR(A2859)</f>
        <v/>
      </c>
      <c r="C2859" s="7">
        <f>MONTH(A2859)</f>
        <v/>
      </c>
      <c r="D2859" s="10" t="n">
        <v>0</v>
      </c>
      <c r="E2859" s="11" t="n">
        <v>5.419820722</v>
      </c>
      <c r="F2859" s="12" t="n">
        <v>0.001218179398</v>
      </c>
      <c r="G2859" s="11" t="n">
        <v>280.7929152</v>
      </c>
      <c r="H2859" s="13">
        <f>F2859*1000</f>
        <v/>
      </c>
      <c r="I2859" s="14">
        <f>G2859-273.15</f>
        <v/>
      </c>
      <c r="K2859" s="15" t="n">
        <v>2008</v>
      </c>
      <c r="L2859" s="15" t="n">
        <v>12</v>
      </c>
      <c r="M2859" s="15" t="n">
        <v>5</v>
      </c>
      <c r="N2859" s="16" t="n">
        <v>0</v>
      </c>
      <c r="O2859" s="11" t="n">
        <v>280.7388825</v>
      </c>
      <c r="P2859" s="13">
        <f>N2859*86400</f>
        <v/>
      </c>
      <c r="Q2859" s="14">
        <f>O2859-273.15</f>
        <v/>
      </c>
    </row>
    <row r="2860">
      <c r="A2860" s="9" t="n">
        <v>39747</v>
      </c>
      <c r="B2860" s="7">
        <f>YEAR(A2860)</f>
        <v/>
      </c>
      <c r="C2860" s="7">
        <f>MONTH(A2860)</f>
        <v/>
      </c>
      <c r="D2860" s="10" t="n">
        <v>0</v>
      </c>
      <c r="E2860" s="11" t="n">
        <v>5.548372237</v>
      </c>
      <c r="F2860" s="12" t="n">
        <v>0</v>
      </c>
      <c r="G2860" s="11" t="n">
        <v>281.4498728</v>
      </c>
      <c r="H2860" s="13">
        <f>F2860*1000</f>
        <v/>
      </c>
      <c r="I2860" s="14">
        <f>G2860-273.15</f>
        <v/>
      </c>
      <c r="K2860" s="15" t="n">
        <v>2008</v>
      </c>
      <c r="L2860" s="15" t="n">
        <v>12</v>
      </c>
      <c r="M2860" s="15" t="n">
        <v>6</v>
      </c>
      <c r="N2860" s="16" t="n">
        <v>1.026357469e-05</v>
      </c>
      <c r="O2860" s="11" t="n">
        <v>281.5606157</v>
      </c>
      <c r="P2860" s="13">
        <f>N2860*86400</f>
        <v/>
      </c>
      <c r="Q2860" s="14">
        <f>O2860-273.15</f>
        <v/>
      </c>
    </row>
    <row r="2861">
      <c r="A2861" s="9" t="n">
        <v>39748</v>
      </c>
      <c r="B2861" s="7">
        <f>YEAR(A2861)</f>
        <v/>
      </c>
      <c r="C2861" s="7">
        <f>MONTH(A2861)</f>
        <v/>
      </c>
      <c r="D2861" s="10" t="n">
        <v>3.827038689</v>
      </c>
      <c r="E2861" s="11" t="n">
        <v>5.539560317</v>
      </c>
      <c r="F2861" s="12" t="n">
        <v>0.00542178954</v>
      </c>
      <c r="G2861" s="11" t="n">
        <v>281.5259048</v>
      </c>
      <c r="H2861" s="13">
        <f>F2861*1000</f>
        <v/>
      </c>
      <c r="I2861" s="14">
        <f>G2861-273.15</f>
        <v/>
      </c>
      <c r="K2861" s="15" t="n">
        <v>2008</v>
      </c>
      <c r="L2861" s="15" t="n">
        <v>12</v>
      </c>
      <c r="M2861" s="15" t="n">
        <v>7</v>
      </c>
      <c r="N2861" s="16" t="n">
        <v>4.853375181e-06</v>
      </c>
      <c r="O2861" s="11" t="n">
        <v>280.6569373</v>
      </c>
      <c r="P2861" s="13">
        <f>N2861*86400</f>
        <v/>
      </c>
      <c r="Q2861" s="14">
        <f>O2861-273.15</f>
        <v/>
      </c>
    </row>
    <row r="2862">
      <c r="A2862" s="9" t="n">
        <v>39749</v>
      </c>
      <c r="B2862" s="7">
        <f>YEAR(A2862)</f>
        <v/>
      </c>
      <c r="C2862" s="7">
        <f>MONTH(A2862)</f>
        <v/>
      </c>
      <c r="D2862" s="10" t="n">
        <v>0.8278145728</v>
      </c>
      <c r="E2862" s="11" t="n">
        <v>4.84768598</v>
      </c>
      <c r="F2862" s="12" t="n">
        <v>0.002052819127</v>
      </c>
      <c r="G2862" s="11" t="n">
        <v>280.9142098</v>
      </c>
      <c r="H2862" s="13">
        <f>F2862*1000</f>
        <v/>
      </c>
      <c r="I2862" s="14">
        <f>G2862-273.15</f>
        <v/>
      </c>
      <c r="K2862" s="15" t="n">
        <v>2008</v>
      </c>
      <c r="L2862" s="15" t="n">
        <v>12</v>
      </c>
      <c r="M2862" s="15" t="n">
        <v>8</v>
      </c>
      <c r="N2862" s="16" t="n">
        <v>0</v>
      </c>
      <c r="O2862" s="11" t="n">
        <v>282.2863057</v>
      </c>
      <c r="P2862" s="13">
        <f>N2862*86400</f>
        <v/>
      </c>
      <c r="Q2862" s="14">
        <f>O2862-273.15</f>
        <v/>
      </c>
    </row>
    <row r="2863">
      <c r="A2863" s="9" t="n">
        <v>39750</v>
      </c>
      <c r="B2863" s="7">
        <f>YEAR(A2863)</f>
        <v/>
      </c>
      <c r="C2863" s="7">
        <f>MONTH(A2863)</f>
        <v/>
      </c>
      <c r="D2863" s="10" t="n">
        <v>0</v>
      </c>
      <c r="E2863" s="11" t="n">
        <v>4.555475949</v>
      </c>
      <c r="F2863" s="12" t="n">
        <v>0</v>
      </c>
      <c r="G2863" s="11" t="n">
        <v>280.5030736</v>
      </c>
      <c r="H2863" s="13">
        <f>F2863*1000</f>
        <v/>
      </c>
      <c r="I2863" s="14">
        <f>G2863-273.15</f>
        <v/>
      </c>
      <c r="K2863" s="15" t="n">
        <v>2008</v>
      </c>
      <c r="L2863" s="15" t="n">
        <v>12</v>
      </c>
      <c r="M2863" s="15" t="n">
        <v>9</v>
      </c>
      <c r="N2863" s="16" t="n">
        <v>0</v>
      </c>
      <c r="O2863" s="11" t="n">
        <v>282.2774535</v>
      </c>
      <c r="P2863" s="13">
        <f>N2863*86400</f>
        <v/>
      </c>
      <c r="Q2863" s="14">
        <f>O2863-273.15</f>
        <v/>
      </c>
    </row>
    <row r="2864">
      <c r="A2864" s="9" t="n">
        <v>39751</v>
      </c>
      <c r="B2864" s="7">
        <f>YEAR(A2864)</f>
        <v/>
      </c>
      <c r="C2864" s="7">
        <f>MONTH(A2864)</f>
        <v/>
      </c>
      <c r="D2864" s="10" t="n">
        <v>0</v>
      </c>
      <c r="E2864" s="11" t="n">
        <v>4.123081878</v>
      </c>
      <c r="F2864" s="12" t="n">
        <v>0.0001540105945</v>
      </c>
      <c r="G2864" s="11" t="n">
        <v>279.3968319</v>
      </c>
      <c r="H2864" s="13">
        <f>F2864*1000</f>
        <v/>
      </c>
      <c r="I2864" s="14">
        <f>G2864-273.15</f>
        <v/>
      </c>
      <c r="K2864" s="15" t="n">
        <v>2008</v>
      </c>
      <c r="L2864" s="15" t="n">
        <v>12</v>
      </c>
      <c r="M2864" s="15" t="n">
        <v>10</v>
      </c>
      <c r="N2864" s="16" t="n">
        <v>0</v>
      </c>
      <c r="O2864" s="11" t="n">
        <v>281.9050873</v>
      </c>
      <c r="P2864" s="13">
        <f>N2864*86400</f>
        <v/>
      </c>
      <c r="Q2864" s="14">
        <f>O2864-273.15</f>
        <v/>
      </c>
    </row>
    <row r="2865">
      <c r="A2865" s="9" t="n">
        <v>39752</v>
      </c>
      <c r="B2865" s="7">
        <f>YEAR(A2865)</f>
        <v/>
      </c>
      <c r="C2865" s="7">
        <f>MONTH(A2865)</f>
        <v/>
      </c>
      <c r="D2865" s="10" t="n">
        <v>0</v>
      </c>
      <c r="E2865" s="11" t="n">
        <v>5.212088686</v>
      </c>
      <c r="F2865" s="12" t="n">
        <v>0</v>
      </c>
      <c r="G2865" s="11" t="n">
        <v>280.4331746</v>
      </c>
      <c r="H2865" s="13">
        <f>F2865*1000</f>
        <v/>
      </c>
      <c r="I2865" s="14">
        <f>G2865-273.15</f>
        <v/>
      </c>
      <c r="K2865" s="15" t="n">
        <v>2008</v>
      </c>
      <c r="L2865" s="15" t="n">
        <v>12</v>
      </c>
      <c r="M2865" s="15" t="n">
        <v>11</v>
      </c>
      <c r="N2865" s="16" t="n">
        <v>0</v>
      </c>
      <c r="O2865" s="11" t="n">
        <v>281.7744493</v>
      </c>
      <c r="P2865" s="13">
        <f>N2865*86400</f>
        <v/>
      </c>
      <c r="Q2865" s="14">
        <f>O2865-273.15</f>
        <v/>
      </c>
    </row>
    <row r="2866">
      <c r="A2866" s="9" t="n">
        <v>39753</v>
      </c>
      <c r="B2866" s="7">
        <f>YEAR(A2866)</f>
        <v/>
      </c>
      <c r="C2866" s="7">
        <f>MONTH(A2866)</f>
        <v/>
      </c>
      <c r="D2866" s="10" t="n">
        <v>0</v>
      </c>
      <c r="E2866" s="11" t="n">
        <v>5.184664011</v>
      </c>
      <c r="F2866" s="12" t="n">
        <v>0</v>
      </c>
      <c r="G2866" s="11" t="n">
        <v>280.5855275</v>
      </c>
      <c r="H2866" s="13">
        <f>F2866*1000</f>
        <v/>
      </c>
      <c r="I2866" s="14">
        <f>G2866-273.15</f>
        <v/>
      </c>
      <c r="K2866" s="15" t="n">
        <v>2008</v>
      </c>
      <c r="L2866" s="15" t="n">
        <v>12</v>
      </c>
      <c r="M2866" s="15" t="n">
        <v>12</v>
      </c>
      <c r="N2866" s="16" t="n">
        <v>0</v>
      </c>
      <c r="O2866" s="11" t="n">
        <v>280.0017549</v>
      </c>
      <c r="P2866" s="13">
        <f>N2866*86400</f>
        <v/>
      </c>
      <c r="Q2866" s="14">
        <f>O2866-273.15</f>
        <v/>
      </c>
    </row>
    <row r="2867">
      <c r="A2867" s="9" t="n">
        <v>39754</v>
      </c>
      <c r="B2867" s="7">
        <f>YEAR(A2867)</f>
        <v/>
      </c>
      <c r="C2867" s="7">
        <f>MONTH(A2867)</f>
        <v/>
      </c>
      <c r="D2867" s="10" t="n">
        <v>0</v>
      </c>
      <c r="E2867" s="11" t="n">
        <v>4.112820875</v>
      </c>
      <c r="F2867" s="12" t="n">
        <v>0</v>
      </c>
      <c r="G2867" s="11" t="n">
        <v>278.6058163</v>
      </c>
      <c r="H2867" s="13">
        <f>F2867*1000</f>
        <v/>
      </c>
      <c r="I2867" s="14">
        <f>G2867-273.15</f>
        <v/>
      </c>
      <c r="K2867" s="15" t="n">
        <v>2008</v>
      </c>
      <c r="L2867" s="15" t="n">
        <v>12</v>
      </c>
      <c r="M2867" s="15" t="n">
        <v>13</v>
      </c>
      <c r="N2867" s="16" t="n">
        <v>0</v>
      </c>
      <c r="O2867" s="11" t="n">
        <v>277.3142416</v>
      </c>
      <c r="P2867" s="13">
        <f>N2867*86400</f>
        <v/>
      </c>
      <c r="Q2867" s="14">
        <f>O2867-273.15</f>
        <v/>
      </c>
    </row>
    <row r="2868">
      <c r="A2868" s="9" t="n">
        <v>39755</v>
      </c>
      <c r="B2868" s="7">
        <f>YEAR(A2868)</f>
        <v/>
      </c>
      <c r="C2868" s="7">
        <f>MONTH(A2868)</f>
        <v/>
      </c>
      <c r="D2868" s="10" t="n">
        <v>0</v>
      </c>
      <c r="E2868" s="11" t="n">
        <v>6.473438753</v>
      </c>
      <c r="F2868" s="12" t="n">
        <v>0</v>
      </c>
      <c r="G2868" s="11" t="n">
        <v>280.2429241</v>
      </c>
      <c r="H2868" s="13">
        <f>F2868*1000</f>
        <v/>
      </c>
      <c r="I2868" s="14">
        <f>G2868-273.15</f>
        <v/>
      </c>
      <c r="K2868" s="15" t="n">
        <v>2008</v>
      </c>
      <c r="L2868" s="15" t="n">
        <v>12</v>
      </c>
      <c r="M2868" s="15" t="n">
        <v>14</v>
      </c>
      <c r="N2868" s="16" t="n">
        <v>0</v>
      </c>
      <c r="O2868" s="11" t="n">
        <v>278.1791067</v>
      </c>
      <c r="P2868" s="13">
        <f>N2868*86400</f>
        <v/>
      </c>
      <c r="Q2868" s="14">
        <f>O2868-273.15</f>
        <v/>
      </c>
    </row>
    <row r="2869">
      <c r="A2869" s="9" t="n">
        <v>39756</v>
      </c>
      <c r="B2869" s="7">
        <f>YEAR(A2869)</f>
        <v/>
      </c>
      <c r="C2869" s="7">
        <f>MONTH(A2869)</f>
        <v/>
      </c>
      <c r="D2869" s="10" t="n">
        <v>0</v>
      </c>
      <c r="E2869" s="11" t="n">
        <v>6.686582494</v>
      </c>
      <c r="F2869" s="12" t="n">
        <v>0</v>
      </c>
      <c r="G2869" s="11" t="n">
        <v>280.7525521</v>
      </c>
      <c r="H2869" s="13">
        <f>F2869*1000</f>
        <v/>
      </c>
      <c r="I2869" s="14">
        <f>G2869-273.15</f>
        <v/>
      </c>
      <c r="K2869" s="15" t="n">
        <v>2008</v>
      </c>
      <c r="L2869" s="15" t="n">
        <v>12</v>
      </c>
      <c r="M2869" s="15" t="n">
        <v>15</v>
      </c>
      <c r="N2869" s="16" t="n">
        <v>0</v>
      </c>
      <c r="O2869" s="11" t="n">
        <v>276.4106259</v>
      </c>
      <c r="P2869" s="13">
        <f>N2869*86400</f>
        <v/>
      </c>
      <c r="Q2869" s="14">
        <f>O2869-273.15</f>
        <v/>
      </c>
    </row>
    <row r="2870">
      <c r="A2870" s="9" t="n">
        <v>39757</v>
      </c>
      <c r="B2870" s="7">
        <f>YEAR(A2870)</f>
        <v/>
      </c>
      <c r="C2870" s="7">
        <f>MONTH(A2870)</f>
        <v/>
      </c>
      <c r="D2870" s="10" t="n">
        <v>0</v>
      </c>
      <c r="E2870" s="11" t="n">
        <v>6.692306643</v>
      </c>
      <c r="F2870" s="12" t="n">
        <v>0</v>
      </c>
      <c r="G2870" s="11" t="n">
        <v>281.4179789</v>
      </c>
      <c r="H2870" s="13">
        <f>F2870*1000</f>
        <v/>
      </c>
      <c r="I2870" s="14">
        <f>G2870-273.15</f>
        <v/>
      </c>
      <c r="K2870" s="15" t="n">
        <v>2008</v>
      </c>
      <c r="L2870" s="15" t="n">
        <v>12</v>
      </c>
      <c r="M2870" s="15" t="n">
        <v>16</v>
      </c>
      <c r="N2870" s="16" t="n">
        <v>0</v>
      </c>
      <c r="O2870" s="11" t="n">
        <v>278.0358898</v>
      </c>
      <c r="P2870" s="13">
        <f>N2870*86400</f>
        <v/>
      </c>
      <c r="Q2870" s="14">
        <f>O2870-273.15</f>
        <v/>
      </c>
    </row>
    <row r="2871">
      <c r="A2871" s="9" t="n">
        <v>39758</v>
      </c>
      <c r="B2871" s="7">
        <f>YEAR(A2871)</f>
        <v/>
      </c>
      <c r="C2871" s="7">
        <f>MONTH(A2871)</f>
        <v/>
      </c>
      <c r="D2871" s="10" t="n">
        <v>0</v>
      </c>
      <c r="E2871" s="11" t="n">
        <v>3.725658536</v>
      </c>
      <c r="F2871" s="12" t="n">
        <v>0</v>
      </c>
      <c r="G2871" s="11" t="n">
        <v>278.9699568</v>
      </c>
      <c r="H2871" s="13">
        <f>F2871*1000</f>
        <v/>
      </c>
      <c r="I2871" s="14">
        <f>G2871-273.15</f>
        <v/>
      </c>
      <c r="K2871" s="15" t="n">
        <v>2008</v>
      </c>
      <c r="L2871" s="15" t="n">
        <v>12</v>
      </c>
      <c r="M2871" s="15" t="n">
        <v>17</v>
      </c>
      <c r="N2871" s="16" t="n">
        <v>0</v>
      </c>
      <c r="O2871" s="11" t="n">
        <v>279.4193411</v>
      </c>
      <c r="P2871" s="13">
        <f>N2871*86400</f>
        <v/>
      </c>
      <c r="Q2871" s="14">
        <f>O2871-273.15</f>
        <v/>
      </c>
    </row>
    <row r="2872">
      <c r="A2872" s="9" t="n">
        <v>39759</v>
      </c>
      <c r="B2872" s="7">
        <f>YEAR(A2872)</f>
        <v/>
      </c>
      <c r="C2872" s="7">
        <f>MONTH(A2872)</f>
        <v/>
      </c>
      <c r="D2872" s="10" t="n">
        <v>0</v>
      </c>
      <c r="E2872" s="11" t="n">
        <v>4.020663027</v>
      </c>
      <c r="F2872" s="12" t="n">
        <v>2.857113449e-05</v>
      </c>
      <c r="G2872" s="11" t="n">
        <v>279.1160431</v>
      </c>
      <c r="H2872" s="13">
        <f>F2872*1000</f>
        <v/>
      </c>
      <c r="I2872" s="14">
        <f>G2872-273.15</f>
        <v/>
      </c>
      <c r="K2872" s="15" t="n">
        <v>2008</v>
      </c>
      <c r="L2872" s="15" t="n">
        <v>12</v>
      </c>
      <c r="M2872" s="15" t="n">
        <v>18</v>
      </c>
      <c r="N2872" s="16" t="n">
        <v>0</v>
      </c>
      <c r="O2872" s="11" t="n">
        <v>278.2046248</v>
      </c>
      <c r="P2872" s="13">
        <f>N2872*86400</f>
        <v/>
      </c>
      <c r="Q2872" s="14">
        <f>O2872-273.15</f>
        <v/>
      </c>
    </row>
    <row r="2873">
      <c r="A2873" s="9" t="n">
        <v>39760</v>
      </c>
      <c r="B2873" s="7">
        <f>YEAR(A2873)</f>
        <v/>
      </c>
      <c r="C2873" s="7">
        <f>MONTH(A2873)</f>
        <v/>
      </c>
      <c r="D2873" s="10" t="n">
        <v>0</v>
      </c>
      <c r="E2873" s="11" t="n">
        <v>6.842271679</v>
      </c>
      <c r="F2873" s="12" t="n">
        <v>0</v>
      </c>
      <c r="G2873" s="11" t="n">
        <v>280.1844018</v>
      </c>
      <c r="H2873" s="13">
        <f>F2873*1000</f>
        <v/>
      </c>
      <c r="I2873" s="14">
        <f>G2873-273.15</f>
        <v/>
      </c>
      <c r="K2873" s="15" t="n">
        <v>2008</v>
      </c>
      <c r="L2873" s="15" t="n">
        <v>12</v>
      </c>
      <c r="M2873" s="15" t="n">
        <v>19</v>
      </c>
      <c r="N2873" s="16" t="n">
        <v>0</v>
      </c>
      <c r="O2873" s="11" t="n">
        <v>278.6484397</v>
      </c>
      <c r="P2873" s="13">
        <f>N2873*86400</f>
        <v/>
      </c>
      <c r="Q2873" s="14">
        <f>O2873-273.15</f>
        <v/>
      </c>
    </row>
    <row r="2874">
      <c r="A2874" s="9" t="n">
        <v>39761</v>
      </c>
      <c r="B2874" s="7">
        <f>YEAR(A2874)</f>
        <v/>
      </c>
      <c r="C2874" s="7">
        <f>MONTH(A2874)</f>
        <v/>
      </c>
      <c r="D2874" s="10" t="n">
        <v>0</v>
      </c>
      <c r="E2874" s="11" t="n">
        <v>6.910705435</v>
      </c>
      <c r="F2874" s="12" t="n">
        <v>0.0001700322165</v>
      </c>
      <c r="G2874" s="11" t="n">
        <v>280.2186987</v>
      </c>
      <c r="H2874" s="13">
        <f>F2874*1000</f>
        <v/>
      </c>
      <c r="I2874" s="14">
        <f>G2874-273.15</f>
        <v/>
      </c>
      <c r="K2874" s="15" t="n">
        <v>2008</v>
      </c>
      <c r="L2874" s="15" t="n">
        <v>12</v>
      </c>
      <c r="M2874" s="15" t="n">
        <v>20</v>
      </c>
      <c r="N2874" s="16" t="n">
        <v>0</v>
      </c>
      <c r="O2874" s="11" t="n">
        <v>279.7453414</v>
      </c>
      <c r="P2874" s="13">
        <f>N2874*86400</f>
        <v/>
      </c>
      <c r="Q2874" s="14">
        <f>O2874-273.15</f>
        <v/>
      </c>
    </row>
    <row r="2875">
      <c r="A2875" s="9" t="n">
        <v>39762</v>
      </c>
      <c r="B2875" s="7">
        <f>YEAR(A2875)</f>
        <v/>
      </c>
      <c r="C2875" s="7">
        <f>MONTH(A2875)</f>
        <v/>
      </c>
      <c r="D2875" s="10" t="n">
        <v>0</v>
      </c>
      <c r="E2875" s="11" t="n">
        <v>3.282370501</v>
      </c>
      <c r="F2875" s="12" t="n">
        <v>0</v>
      </c>
      <c r="G2875" s="11" t="n">
        <v>277.3708343</v>
      </c>
      <c r="H2875" s="13">
        <f>F2875*1000</f>
        <v/>
      </c>
      <c r="I2875" s="14">
        <f>G2875-273.15</f>
        <v/>
      </c>
      <c r="K2875" s="15" t="n">
        <v>2008</v>
      </c>
      <c r="L2875" s="15" t="n">
        <v>12</v>
      </c>
      <c r="M2875" s="15" t="n">
        <v>21</v>
      </c>
      <c r="N2875" s="16" t="n">
        <v>0</v>
      </c>
      <c r="O2875" s="11" t="n">
        <v>279.2609753</v>
      </c>
      <c r="P2875" s="13">
        <f>N2875*86400</f>
        <v/>
      </c>
      <c r="Q2875" s="14">
        <f>O2875-273.15</f>
        <v/>
      </c>
    </row>
    <row r="2876">
      <c r="A2876" s="9" t="n">
        <v>39763</v>
      </c>
      <c r="B2876" s="7">
        <f>YEAR(A2876)</f>
        <v/>
      </c>
      <c r="C2876" s="7">
        <f>MONTH(A2876)</f>
        <v/>
      </c>
      <c r="D2876" s="10" t="n">
        <v>2.028364063</v>
      </c>
      <c r="E2876" s="11" t="n">
        <v>2.57581001</v>
      </c>
      <c r="F2876" s="12" t="n">
        <v>0.001025785191</v>
      </c>
      <c r="G2876" s="11" t="n">
        <v>276.2704271</v>
      </c>
      <c r="H2876" s="13">
        <f>F2876*1000</f>
        <v/>
      </c>
      <c r="I2876" s="14">
        <f>G2876-273.15</f>
        <v/>
      </c>
      <c r="K2876" s="15" t="n">
        <v>2008</v>
      </c>
      <c r="L2876" s="15" t="n">
        <v>12</v>
      </c>
      <c r="M2876" s="15" t="n">
        <v>22</v>
      </c>
      <c r="N2876" s="16" t="n">
        <v>0</v>
      </c>
      <c r="O2876" s="11" t="n">
        <v>280.0166259</v>
      </c>
      <c r="P2876" s="13">
        <f>N2876*86400</f>
        <v/>
      </c>
      <c r="Q2876" s="14">
        <f>O2876-273.15</f>
        <v/>
      </c>
    </row>
    <row r="2877">
      <c r="A2877" s="9" t="n">
        <v>39764</v>
      </c>
      <c r="B2877" s="7">
        <f>YEAR(A2877)</f>
        <v/>
      </c>
      <c r="C2877" s="7">
        <f>MONTH(A2877)</f>
        <v/>
      </c>
      <c r="D2877" s="10" t="n">
        <v>0</v>
      </c>
      <c r="E2877" s="11" t="n">
        <v>2.882007869</v>
      </c>
      <c r="F2877" s="12" t="n">
        <v>0</v>
      </c>
      <c r="G2877" s="11" t="n">
        <v>277.3508841</v>
      </c>
      <c r="H2877" s="13">
        <f>F2877*1000</f>
        <v/>
      </c>
      <c r="I2877" s="14">
        <f>G2877-273.15</f>
        <v/>
      </c>
      <c r="K2877" s="15" t="n">
        <v>2008</v>
      </c>
      <c r="L2877" s="15" t="n">
        <v>12</v>
      </c>
      <c r="M2877" s="15" t="n">
        <v>23</v>
      </c>
      <c r="N2877" s="16" t="n">
        <v>0</v>
      </c>
      <c r="O2877" s="11" t="n">
        <v>280.7692487</v>
      </c>
      <c r="P2877" s="13">
        <f>N2877*86400</f>
        <v/>
      </c>
      <c r="Q2877" s="14">
        <f>O2877-273.15</f>
        <v/>
      </c>
    </row>
    <row r="2878">
      <c r="A2878" s="9" t="n">
        <v>39765</v>
      </c>
      <c r="B2878" s="7">
        <f>YEAR(A2878)</f>
        <v/>
      </c>
      <c r="C2878" s="7">
        <f>MONTH(A2878)</f>
        <v/>
      </c>
      <c r="D2878" s="10" t="n">
        <v>0</v>
      </c>
      <c r="E2878" s="11" t="n">
        <v>5.582461683</v>
      </c>
      <c r="F2878" s="12" t="n">
        <v>0</v>
      </c>
      <c r="G2878" s="11" t="n">
        <v>280.8304346</v>
      </c>
      <c r="H2878" s="13">
        <f>F2878*1000</f>
        <v/>
      </c>
      <c r="I2878" s="14">
        <f>G2878-273.15</f>
        <v/>
      </c>
      <c r="K2878" s="15" t="n">
        <v>2008</v>
      </c>
      <c r="L2878" s="15" t="n">
        <v>12</v>
      </c>
      <c r="M2878" s="15" t="n">
        <v>24</v>
      </c>
      <c r="N2878" s="16" t="n">
        <v>2.140247965e-05</v>
      </c>
      <c r="O2878" s="11" t="n">
        <v>281.523374</v>
      </c>
      <c r="P2878" s="13">
        <f>N2878*86400</f>
        <v/>
      </c>
      <c r="Q2878" s="14">
        <f>O2878-273.15</f>
        <v/>
      </c>
    </row>
    <row r="2879">
      <c r="A2879" s="9" t="n">
        <v>39766</v>
      </c>
      <c r="B2879" s="7">
        <f>YEAR(A2879)</f>
        <v/>
      </c>
      <c r="C2879" s="7">
        <f>MONTH(A2879)</f>
        <v/>
      </c>
      <c r="D2879" s="10" t="n">
        <v>0</v>
      </c>
      <c r="E2879" s="11" t="n">
        <v>3.66688505</v>
      </c>
      <c r="F2879" s="12" t="n">
        <v>0</v>
      </c>
      <c r="G2879" s="11" t="n">
        <v>279.190461</v>
      </c>
      <c r="H2879" s="13">
        <f>F2879*1000</f>
        <v/>
      </c>
      <c r="I2879" s="14">
        <f>G2879-273.15</f>
        <v/>
      </c>
      <c r="K2879" s="15" t="n">
        <v>2008</v>
      </c>
      <c r="L2879" s="15" t="n">
        <v>12</v>
      </c>
      <c r="M2879" s="15" t="n">
        <v>25</v>
      </c>
      <c r="N2879" s="16" t="n">
        <v>0</v>
      </c>
      <c r="O2879" s="11" t="n">
        <v>281.7072711</v>
      </c>
      <c r="P2879" s="13">
        <f>N2879*86400</f>
        <v/>
      </c>
      <c r="Q2879" s="14">
        <f>O2879-273.15</f>
        <v/>
      </c>
    </row>
    <row r="2880">
      <c r="A2880" s="9" t="n">
        <v>39767</v>
      </c>
      <c r="B2880" s="7">
        <f>YEAR(A2880)</f>
        <v/>
      </c>
      <c r="C2880" s="7">
        <f>MONTH(A2880)</f>
        <v/>
      </c>
      <c r="D2880" s="10" t="n">
        <v>0</v>
      </c>
      <c r="E2880" s="11" t="n">
        <v>3.745085778</v>
      </c>
      <c r="F2880" s="12" t="n">
        <v>0</v>
      </c>
      <c r="G2880" s="11" t="n">
        <v>279.1607509</v>
      </c>
      <c r="H2880" s="13">
        <f>F2880*1000</f>
        <v/>
      </c>
      <c r="I2880" s="14">
        <f>G2880-273.15</f>
        <v/>
      </c>
      <c r="K2880" s="15" t="n">
        <v>2008</v>
      </c>
      <c r="L2880" s="15" t="n">
        <v>12</v>
      </c>
      <c r="M2880" s="15" t="n">
        <v>26</v>
      </c>
      <c r="N2880" s="16" t="n">
        <v>0</v>
      </c>
      <c r="O2880" s="11" t="n">
        <v>280.5241955</v>
      </c>
      <c r="P2880" s="13">
        <f>N2880*86400</f>
        <v/>
      </c>
      <c r="Q2880" s="14">
        <f>O2880-273.15</f>
        <v/>
      </c>
    </row>
    <row r="2881">
      <c r="A2881" s="9" t="n">
        <v>39768</v>
      </c>
      <c r="B2881" s="7">
        <f>YEAR(A2881)</f>
        <v/>
      </c>
      <c r="C2881" s="7">
        <f>MONTH(A2881)</f>
        <v/>
      </c>
      <c r="D2881" s="10" t="n">
        <v>0</v>
      </c>
      <c r="E2881" s="11" t="n">
        <v>3.459012148</v>
      </c>
      <c r="F2881" s="12" t="n">
        <v>0</v>
      </c>
      <c r="G2881" s="11" t="n">
        <v>279.2151984</v>
      </c>
      <c r="H2881" s="13">
        <f>F2881*1000</f>
        <v/>
      </c>
      <c r="I2881" s="14">
        <f>G2881-273.15</f>
        <v/>
      </c>
      <c r="K2881" s="15" t="n">
        <v>2008</v>
      </c>
      <c r="L2881" s="15" t="n">
        <v>12</v>
      </c>
      <c r="M2881" s="15" t="n">
        <v>27</v>
      </c>
      <c r="N2881" s="16" t="n">
        <v>2.543864259e-05</v>
      </c>
      <c r="O2881" s="11" t="n">
        <v>280.8555417</v>
      </c>
      <c r="P2881" s="13">
        <f>N2881*86400</f>
        <v/>
      </c>
      <c r="Q2881" s="14">
        <f>O2881-273.15</f>
        <v/>
      </c>
    </row>
    <row r="2882">
      <c r="A2882" s="9" t="n">
        <v>39769</v>
      </c>
      <c r="B2882" s="7">
        <f>YEAR(A2882)</f>
        <v/>
      </c>
      <c r="C2882" s="7">
        <f>MONTH(A2882)</f>
        <v/>
      </c>
      <c r="D2882" s="10" t="n">
        <v>0</v>
      </c>
      <c r="E2882" s="11" t="n">
        <v>7.640656241</v>
      </c>
      <c r="F2882" s="12" t="n">
        <v>0</v>
      </c>
      <c r="G2882" s="11" t="n">
        <v>283.4984163</v>
      </c>
      <c r="H2882" s="13">
        <f>F2882*1000</f>
        <v/>
      </c>
      <c r="I2882" s="14">
        <f>G2882-273.15</f>
        <v/>
      </c>
      <c r="K2882" s="15" t="n">
        <v>2008</v>
      </c>
      <c r="L2882" s="15" t="n">
        <v>12</v>
      </c>
      <c r="M2882" s="15" t="n">
        <v>28</v>
      </c>
      <c r="N2882" s="16" t="n">
        <v>0</v>
      </c>
      <c r="O2882" s="11" t="n">
        <v>279.6474491</v>
      </c>
      <c r="P2882" s="13">
        <f>N2882*86400</f>
        <v/>
      </c>
      <c r="Q2882" s="14">
        <f>O2882-273.15</f>
        <v/>
      </c>
    </row>
    <row r="2883">
      <c r="A2883" s="9" t="n">
        <v>39770</v>
      </c>
      <c r="B2883" s="7">
        <f>YEAR(A2883)</f>
        <v/>
      </c>
      <c r="C2883" s="7">
        <f>MONTH(A2883)</f>
        <v/>
      </c>
      <c r="D2883" s="10" t="n">
        <v>0</v>
      </c>
      <c r="E2883" s="11" t="n">
        <v>6.158501549</v>
      </c>
      <c r="F2883" s="12" t="n">
        <v>0</v>
      </c>
      <c r="G2883" s="11" t="n">
        <v>283.1067722</v>
      </c>
      <c r="H2883" s="13">
        <f>F2883*1000</f>
        <v/>
      </c>
      <c r="I2883" s="14">
        <f>G2883-273.15</f>
        <v/>
      </c>
      <c r="K2883" s="15" t="n">
        <v>2008</v>
      </c>
      <c r="L2883" s="15" t="n">
        <v>12</v>
      </c>
      <c r="M2883" s="15" t="n">
        <v>29</v>
      </c>
      <c r="N2883" s="16" t="n">
        <v>0</v>
      </c>
      <c r="O2883" s="11" t="n">
        <v>281.9759772</v>
      </c>
      <c r="P2883" s="13">
        <f>N2883*86400</f>
        <v/>
      </c>
      <c r="Q2883" s="14">
        <f>O2883-273.15</f>
        <v/>
      </c>
    </row>
    <row r="2884">
      <c r="A2884" s="9" t="n">
        <v>39771</v>
      </c>
      <c r="B2884" s="7">
        <f>YEAR(A2884)</f>
        <v/>
      </c>
      <c r="C2884" s="7">
        <f>MONTH(A2884)</f>
        <v/>
      </c>
      <c r="D2884" s="10" t="n">
        <v>0</v>
      </c>
      <c r="E2884" s="11" t="n">
        <v>5.370258272</v>
      </c>
      <c r="F2884" s="12" t="n">
        <v>0</v>
      </c>
      <c r="G2884" s="11" t="n">
        <v>282.1470722</v>
      </c>
      <c r="H2884" s="13">
        <f>F2884*1000</f>
        <v/>
      </c>
      <c r="I2884" s="14">
        <f>G2884-273.15</f>
        <v/>
      </c>
      <c r="K2884" s="15" t="n">
        <v>2008</v>
      </c>
      <c r="L2884" s="15" t="n">
        <v>12</v>
      </c>
      <c r="M2884" s="15" t="n">
        <v>30</v>
      </c>
      <c r="N2884" s="16" t="n">
        <v>4.54849123e-07</v>
      </c>
      <c r="O2884" s="11" t="n">
        <v>281.8188011</v>
      </c>
      <c r="P2884" s="13">
        <f>N2884*86400</f>
        <v/>
      </c>
      <c r="Q2884" s="14">
        <f>O2884-273.15</f>
        <v/>
      </c>
    </row>
    <row r="2885">
      <c r="A2885" s="9" t="n">
        <v>39772</v>
      </c>
      <c r="B2885" s="7">
        <f>YEAR(A2885)</f>
        <v/>
      </c>
      <c r="C2885" s="7">
        <f>MONTH(A2885)</f>
        <v/>
      </c>
      <c r="D2885" s="10" t="n">
        <v>0</v>
      </c>
      <c r="E2885" s="11" t="n">
        <v>6.326051549</v>
      </c>
      <c r="F2885" s="12" t="n">
        <v>0</v>
      </c>
      <c r="G2885" s="11" t="n">
        <v>282.6318315</v>
      </c>
      <c r="H2885" s="13">
        <f>F2885*1000</f>
        <v/>
      </c>
      <c r="I2885" s="14">
        <f>G2885-273.15</f>
        <v/>
      </c>
      <c r="K2885" s="15" t="n">
        <v>2009</v>
      </c>
      <c r="L2885" s="15" t="n">
        <v>1</v>
      </c>
      <c r="M2885" s="15" t="n">
        <v>1</v>
      </c>
      <c r="N2885" s="16" t="n">
        <v>3.228045127e-05</v>
      </c>
      <c r="O2885" s="11" t="n">
        <v>280.9388205</v>
      </c>
      <c r="P2885" s="13">
        <f>N2885*86400</f>
        <v/>
      </c>
      <c r="Q2885" s="14">
        <f>O2885-273.15</f>
        <v/>
      </c>
    </row>
    <row r="2886">
      <c r="A2886" s="9" t="n">
        <v>39773</v>
      </c>
      <c r="B2886" s="7">
        <f>YEAR(A2886)</f>
        <v/>
      </c>
      <c r="C2886" s="7">
        <f>MONTH(A2886)</f>
        <v/>
      </c>
      <c r="D2886" s="10" t="n">
        <v>0</v>
      </c>
      <c r="E2886" s="11" t="n">
        <v>7.248854383</v>
      </c>
      <c r="F2886" s="12" t="n">
        <v>0</v>
      </c>
      <c r="G2886" s="11" t="n">
        <v>282.7511077</v>
      </c>
      <c r="H2886" s="13">
        <f>F2886*1000</f>
        <v/>
      </c>
      <c r="I2886" s="14">
        <f>G2886-273.15</f>
        <v/>
      </c>
      <c r="K2886" s="15" t="n">
        <v>2009</v>
      </c>
      <c r="L2886" s="15" t="n">
        <v>1</v>
      </c>
      <c r="M2886" s="15" t="n">
        <v>2</v>
      </c>
      <c r="N2886" s="16" t="n">
        <v>2.10971497e-05</v>
      </c>
      <c r="O2886" s="11" t="n">
        <v>280.3222382</v>
      </c>
      <c r="P2886" s="13">
        <f>N2886*86400</f>
        <v/>
      </c>
      <c r="Q2886" s="14">
        <f>O2886-273.15</f>
        <v/>
      </c>
    </row>
    <row r="2887">
      <c r="A2887" s="9" t="n">
        <v>39774</v>
      </c>
      <c r="B2887" s="7">
        <f>YEAR(A2887)</f>
        <v/>
      </c>
      <c r="C2887" s="7">
        <f>MONTH(A2887)</f>
        <v/>
      </c>
      <c r="D2887" s="10" t="n">
        <v>0</v>
      </c>
      <c r="E2887" s="11" t="n">
        <v>8.136360744999999</v>
      </c>
      <c r="F2887" s="12" t="n">
        <v>0</v>
      </c>
      <c r="G2887" s="11" t="n">
        <v>283.7874225</v>
      </c>
      <c r="H2887" s="13">
        <f>F2887*1000</f>
        <v/>
      </c>
      <c r="I2887" s="14">
        <f>G2887-273.15</f>
        <v/>
      </c>
      <c r="K2887" s="15" t="n">
        <v>2009</v>
      </c>
      <c r="L2887" s="15" t="n">
        <v>1</v>
      </c>
      <c r="M2887" s="15" t="n">
        <v>3</v>
      </c>
      <c r="N2887" s="16" t="n">
        <v>0</v>
      </c>
      <c r="O2887" s="11" t="n">
        <v>281.09784</v>
      </c>
      <c r="P2887" s="13">
        <f>N2887*86400</f>
        <v/>
      </c>
      <c r="Q2887" s="14">
        <f>O2887-273.15</f>
        <v/>
      </c>
    </row>
    <row r="2888">
      <c r="A2888" s="9" t="n">
        <v>39775</v>
      </c>
      <c r="B2888" s="7">
        <f>YEAR(A2888)</f>
        <v/>
      </c>
      <c r="C2888" s="7">
        <f>MONTH(A2888)</f>
        <v/>
      </c>
      <c r="D2888" s="10" t="n">
        <v>0</v>
      </c>
      <c r="E2888" s="11" t="n">
        <v>5.730865602</v>
      </c>
      <c r="F2888" s="12" t="n">
        <v>0</v>
      </c>
      <c r="G2888" s="11" t="n">
        <v>280.6682967</v>
      </c>
      <c r="H2888" s="13">
        <f>F2888*1000</f>
        <v/>
      </c>
      <c r="I2888" s="14">
        <f>G2888-273.15</f>
        <v/>
      </c>
      <c r="K2888" s="15" t="n">
        <v>2009</v>
      </c>
      <c r="L2888" s="15" t="n">
        <v>1</v>
      </c>
      <c r="M2888" s="15" t="n">
        <v>4</v>
      </c>
      <c r="N2888" s="16" t="n">
        <v>0</v>
      </c>
      <c r="O2888" s="11" t="n">
        <v>282.0903314</v>
      </c>
      <c r="P2888" s="13">
        <f>N2888*86400</f>
        <v/>
      </c>
      <c r="Q2888" s="14">
        <f>O2888-273.15</f>
        <v/>
      </c>
    </row>
    <row r="2889">
      <c r="A2889" s="9" t="n">
        <v>39776</v>
      </c>
      <c r="B2889" s="7">
        <f>YEAR(A2889)</f>
        <v/>
      </c>
      <c r="C2889" s="7">
        <f>MONTH(A2889)</f>
        <v/>
      </c>
      <c r="D2889" s="10" t="n">
        <v>0</v>
      </c>
      <c r="E2889" s="11" t="n">
        <v>2.853138402</v>
      </c>
      <c r="F2889" s="12" t="n">
        <v>0</v>
      </c>
      <c r="G2889" s="11" t="n">
        <v>278.5755942</v>
      </c>
      <c r="H2889" s="13">
        <f>F2889*1000</f>
        <v/>
      </c>
      <c r="I2889" s="14">
        <f>G2889-273.15</f>
        <v/>
      </c>
      <c r="K2889" s="15" t="n">
        <v>2009</v>
      </c>
      <c r="L2889" s="15" t="n">
        <v>1</v>
      </c>
      <c r="M2889" s="15" t="n">
        <v>5</v>
      </c>
      <c r="N2889" s="16" t="n">
        <v>0</v>
      </c>
      <c r="O2889" s="11" t="n">
        <v>280.7834496</v>
      </c>
      <c r="P2889" s="13">
        <f>N2889*86400</f>
        <v/>
      </c>
      <c r="Q2889" s="14">
        <f>O2889-273.15</f>
        <v/>
      </c>
    </row>
    <row r="2890">
      <c r="A2890" s="9" t="n">
        <v>39777</v>
      </c>
      <c r="B2890" s="7">
        <f>YEAR(A2890)</f>
        <v/>
      </c>
      <c r="C2890" s="7">
        <f>MONTH(A2890)</f>
        <v/>
      </c>
      <c r="D2890" s="10" t="n">
        <v>0</v>
      </c>
      <c r="E2890" s="11" t="n">
        <v>4.017120442</v>
      </c>
      <c r="F2890" s="12" t="n">
        <v>0.0002119032779</v>
      </c>
      <c r="G2890" s="11" t="n">
        <v>278.5095996</v>
      </c>
      <c r="H2890" s="13">
        <f>F2890*1000</f>
        <v/>
      </c>
      <c r="I2890" s="14">
        <f>G2890-273.15</f>
        <v/>
      </c>
      <c r="K2890" s="15" t="n">
        <v>2009</v>
      </c>
      <c r="L2890" s="15" t="n">
        <v>1</v>
      </c>
      <c r="M2890" s="15" t="n">
        <v>6</v>
      </c>
      <c r="N2890" s="16" t="n">
        <v>0</v>
      </c>
      <c r="O2890" s="11" t="n">
        <v>281.4735859</v>
      </c>
      <c r="P2890" s="13">
        <f>N2890*86400</f>
        <v/>
      </c>
      <c r="Q2890" s="14">
        <f>O2890-273.15</f>
        <v/>
      </c>
    </row>
    <row r="2891">
      <c r="A2891" s="9" t="n">
        <v>39778</v>
      </c>
      <c r="B2891" s="7">
        <f>YEAR(A2891)</f>
        <v/>
      </c>
      <c r="C2891" s="7">
        <f>MONTH(A2891)</f>
        <v/>
      </c>
      <c r="D2891" s="10" t="n">
        <v>0</v>
      </c>
      <c r="E2891" s="11" t="n">
        <v>4.348492638</v>
      </c>
      <c r="F2891" s="12" t="n">
        <v>0</v>
      </c>
      <c r="G2891" s="11" t="n">
        <v>278.9301474</v>
      </c>
      <c r="H2891" s="13">
        <f>F2891*1000</f>
        <v/>
      </c>
      <c r="I2891" s="14">
        <f>G2891-273.15</f>
        <v/>
      </c>
      <c r="K2891" s="15" t="n">
        <v>2009</v>
      </c>
      <c r="L2891" s="15" t="n">
        <v>1</v>
      </c>
      <c r="M2891" s="15" t="n">
        <v>7</v>
      </c>
      <c r="N2891" s="16" t="n">
        <v>0</v>
      </c>
      <c r="O2891" s="11" t="n">
        <v>282.3780379</v>
      </c>
      <c r="P2891" s="13">
        <f>N2891*86400</f>
        <v/>
      </c>
      <c r="Q2891" s="14">
        <f>O2891-273.15</f>
        <v/>
      </c>
    </row>
    <row r="2892">
      <c r="A2892" s="9" t="n">
        <v>39779</v>
      </c>
      <c r="B2892" s="7">
        <f>YEAR(A2892)</f>
        <v/>
      </c>
      <c r="C2892" s="7">
        <f>MONTH(A2892)</f>
        <v/>
      </c>
      <c r="D2892" s="10" t="n">
        <v>0</v>
      </c>
      <c r="E2892" s="11" t="n">
        <v>3.217395594</v>
      </c>
      <c r="F2892" s="12" t="n">
        <v>0.0003257841237</v>
      </c>
      <c r="G2892" s="11" t="n">
        <v>278.2213623</v>
      </c>
      <c r="H2892" s="13">
        <f>F2892*1000</f>
        <v/>
      </c>
      <c r="I2892" s="14">
        <f>G2892-273.15</f>
        <v/>
      </c>
      <c r="K2892" s="15" t="n">
        <v>2009</v>
      </c>
      <c r="L2892" s="15" t="n">
        <v>1</v>
      </c>
      <c r="M2892" s="15" t="n">
        <v>8</v>
      </c>
      <c r="N2892" s="16" t="n">
        <v>1.102538142e-05</v>
      </c>
      <c r="O2892" s="11" t="n">
        <v>280.9252933</v>
      </c>
      <c r="P2892" s="13">
        <f>N2892*86400</f>
        <v/>
      </c>
      <c r="Q2892" s="14">
        <f>O2892-273.15</f>
        <v/>
      </c>
    </row>
    <row r="2893">
      <c r="A2893" s="9" t="n">
        <v>39780</v>
      </c>
      <c r="B2893" s="7">
        <f>YEAR(A2893)</f>
        <v/>
      </c>
      <c r="C2893" s="7">
        <f>MONTH(A2893)</f>
        <v/>
      </c>
      <c r="D2893" s="10" t="n">
        <v>0</v>
      </c>
      <c r="E2893" s="11" t="n">
        <v>1.970667564</v>
      </c>
      <c r="F2893" s="12" t="n">
        <v>0</v>
      </c>
      <c r="G2893" s="11" t="n">
        <v>276.0264264</v>
      </c>
      <c r="H2893" s="13">
        <f>F2893*1000</f>
        <v/>
      </c>
      <c r="I2893" s="14">
        <f>G2893-273.15</f>
        <v/>
      </c>
      <c r="K2893" s="15" t="n">
        <v>2009</v>
      </c>
      <c r="L2893" s="15" t="n">
        <v>1</v>
      </c>
      <c r="M2893" s="15" t="n">
        <v>9</v>
      </c>
      <c r="N2893" s="16" t="n">
        <v>3.907785336e-05</v>
      </c>
      <c r="O2893" s="11" t="n">
        <v>281.2370223</v>
      </c>
      <c r="P2893" s="13">
        <f>N2893*86400</f>
        <v/>
      </c>
      <c r="Q2893" s="14">
        <f>O2893-273.15</f>
        <v/>
      </c>
    </row>
    <row r="2894">
      <c r="A2894" s="9" t="n">
        <v>39781</v>
      </c>
      <c r="B2894" s="7">
        <f>YEAR(A2894)</f>
        <v/>
      </c>
      <c r="C2894" s="7">
        <f>MONTH(A2894)</f>
        <v/>
      </c>
      <c r="D2894" s="10" t="n">
        <v>0</v>
      </c>
      <c r="E2894" s="11" t="n">
        <v>2.573605532</v>
      </c>
      <c r="F2894" s="12" t="n">
        <v>0.0002281616785</v>
      </c>
      <c r="G2894" s="11" t="n">
        <v>277.3613384</v>
      </c>
      <c r="H2894" s="13">
        <f>F2894*1000</f>
        <v/>
      </c>
      <c r="I2894" s="14">
        <f>G2894-273.15</f>
        <v/>
      </c>
      <c r="K2894" s="15" t="n">
        <v>2009</v>
      </c>
      <c r="L2894" s="15" t="n">
        <v>1</v>
      </c>
      <c r="M2894" s="15" t="n">
        <v>10</v>
      </c>
      <c r="N2894" s="16" t="n">
        <v>9.570332918e-06</v>
      </c>
      <c r="O2894" s="11" t="n">
        <v>279.2486576</v>
      </c>
      <c r="P2894" s="13">
        <f>N2894*86400</f>
        <v/>
      </c>
      <c r="Q2894" s="14">
        <f>O2894-273.15</f>
        <v/>
      </c>
    </row>
    <row r="2895">
      <c r="A2895" s="9" t="n">
        <v>39782</v>
      </c>
      <c r="B2895" s="7">
        <f>YEAR(A2895)</f>
        <v/>
      </c>
      <c r="C2895" s="7">
        <f>MONTH(A2895)</f>
        <v/>
      </c>
      <c r="D2895" s="10" t="n">
        <v>0</v>
      </c>
      <c r="E2895" s="11" t="n">
        <v>5.230826582</v>
      </c>
      <c r="F2895" s="12" t="n">
        <v>0.0002151426186</v>
      </c>
      <c r="G2895" s="11" t="n">
        <v>279.4851447</v>
      </c>
      <c r="H2895" s="13">
        <f>F2895*1000</f>
        <v/>
      </c>
      <c r="I2895" s="14">
        <f>G2895-273.15</f>
        <v/>
      </c>
      <c r="K2895" s="15" t="n">
        <v>2009</v>
      </c>
      <c r="L2895" s="15" t="n">
        <v>1</v>
      </c>
      <c r="M2895" s="15" t="n">
        <v>11</v>
      </c>
      <c r="N2895" s="16" t="n">
        <v>8.93028165e-06</v>
      </c>
      <c r="O2895" s="11" t="n">
        <v>280.3876718</v>
      </c>
      <c r="P2895" s="13">
        <f>N2895*86400</f>
        <v/>
      </c>
      <c r="Q2895" s="14">
        <f>O2895-273.15</f>
        <v/>
      </c>
    </row>
    <row r="2896">
      <c r="A2896" s="9" t="n">
        <v>39783</v>
      </c>
      <c r="B2896" s="7">
        <f>YEAR(A2896)</f>
        <v/>
      </c>
      <c r="C2896" s="7">
        <f>MONTH(A2896)</f>
        <v/>
      </c>
      <c r="D2896" s="10" t="n">
        <v>0</v>
      </c>
      <c r="E2896" s="11" t="n">
        <v>6.67657475</v>
      </c>
      <c r="F2896" s="12" t="n">
        <v>0</v>
      </c>
      <c r="G2896" s="11" t="n">
        <v>280.4209227</v>
      </c>
      <c r="H2896" s="13">
        <f>F2896*1000</f>
        <v/>
      </c>
      <c r="I2896" s="14">
        <f>G2896-273.15</f>
        <v/>
      </c>
      <c r="K2896" s="15" t="n">
        <v>2009</v>
      </c>
      <c r="L2896" s="15" t="n">
        <v>1</v>
      </c>
      <c r="M2896" s="15" t="n">
        <v>12</v>
      </c>
      <c r="N2896" s="16" t="n">
        <v>7.876539266000001e-06</v>
      </c>
      <c r="O2896" s="11" t="n">
        <v>279.685394</v>
      </c>
      <c r="P2896" s="13">
        <f>N2896*86400</f>
        <v/>
      </c>
      <c r="Q2896" s="14">
        <f>O2896-273.15</f>
        <v/>
      </c>
    </row>
    <row r="2897">
      <c r="A2897" s="9" t="n">
        <v>39784</v>
      </c>
      <c r="B2897" s="7">
        <f>YEAR(A2897)</f>
        <v/>
      </c>
      <c r="C2897" s="7">
        <f>MONTH(A2897)</f>
        <v/>
      </c>
      <c r="D2897" s="10" t="n">
        <v>0</v>
      </c>
      <c r="E2897" s="11" t="n">
        <v>5.508237955</v>
      </c>
      <c r="F2897" s="12" t="n">
        <v>0</v>
      </c>
      <c r="G2897" s="11" t="n">
        <v>280.5091668</v>
      </c>
      <c r="H2897" s="13">
        <f>F2897*1000</f>
        <v/>
      </c>
      <c r="I2897" s="14">
        <f>G2897-273.15</f>
        <v/>
      </c>
      <c r="K2897" s="15" t="n">
        <v>2009</v>
      </c>
      <c r="L2897" s="15" t="n">
        <v>1</v>
      </c>
      <c r="M2897" s="15" t="n">
        <v>13</v>
      </c>
      <c r="N2897" s="16" t="n">
        <v>0</v>
      </c>
      <c r="O2897" s="11" t="n">
        <v>280.9318504</v>
      </c>
      <c r="P2897" s="13">
        <f>N2897*86400</f>
        <v/>
      </c>
      <c r="Q2897" s="14">
        <f>O2897-273.15</f>
        <v/>
      </c>
    </row>
    <row r="2898">
      <c r="A2898" s="9" t="n">
        <v>39785</v>
      </c>
      <c r="B2898" s="7">
        <f>YEAR(A2898)</f>
        <v/>
      </c>
      <c r="C2898" s="7">
        <f>MONTH(A2898)</f>
        <v/>
      </c>
      <c r="D2898" s="10" t="n">
        <v>0</v>
      </c>
      <c r="E2898" s="11" t="n">
        <v>3.854632542</v>
      </c>
      <c r="F2898" s="12" t="n">
        <v>0</v>
      </c>
      <c r="G2898" s="11" t="n">
        <v>279.3743194</v>
      </c>
      <c r="H2898" s="13">
        <f>F2898*1000</f>
        <v/>
      </c>
      <c r="I2898" s="14">
        <f>G2898-273.15</f>
        <v/>
      </c>
      <c r="K2898" s="15" t="n">
        <v>2009</v>
      </c>
      <c r="L2898" s="15" t="n">
        <v>1</v>
      </c>
      <c r="M2898" s="15" t="n">
        <v>14</v>
      </c>
      <c r="N2898" s="16" t="n">
        <v>1.520872452e-06</v>
      </c>
      <c r="O2898" s="11" t="n">
        <v>279.6810889</v>
      </c>
      <c r="P2898" s="13">
        <f>N2898*86400</f>
        <v/>
      </c>
      <c r="Q2898" s="14">
        <f>O2898-273.15</f>
        <v/>
      </c>
    </row>
    <row r="2899">
      <c r="A2899" s="9" t="n">
        <v>39786</v>
      </c>
      <c r="B2899" s="7">
        <f>YEAR(A2899)</f>
        <v/>
      </c>
      <c r="C2899" s="7">
        <f>MONTH(A2899)</f>
        <v/>
      </c>
      <c r="D2899" s="10" t="n">
        <v>0</v>
      </c>
      <c r="E2899" s="11" t="n">
        <v>2.839941931</v>
      </c>
      <c r="F2899" s="12" t="n">
        <v>0</v>
      </c>
      <c r="G2899" s="11" t="n">
        <v>278.7476186</v>
      </c>
      <c r="H2899" s="13">
        <f>F2899*1000</f>
        <v/>
      </c>
      <c r="I2899" s="14">
        <f>G2899-273.15</f>
        <v/>
      </c>
      <c r="K2899" s="15" t="n">
        <v>2009</v>
      </c>
      <c r="L2899" s="15" t="n">
        <v>1</v>
      </c>
      <c r="M2899" s="15" t="n">
        <v>15</v>
      </c>
      <c r="N2899" s="16" t="n">
        <v>0</v>
      </c>
      <c r="O2899" s="11" t="n">
        <v>280.9737115</v>
      </c>
      <c r="P2899" s="13">
        <f>N2899*86400</f>
        <v/>
      </c>
      <c r="Q2899" s="14">
        <f>O2899-273.15</f>
        <v/>
      </c>
    </row>
    <row r="2900">
      <c r="A2900" s="9" t="n">
        <v>39787</v>
      </c>
      <c r="B2900" s="7">
        <f>YEAR(A2900)</f>
        <v/>
      </c>
      <c r="C2900" s="7">
        <f>MONTH(A2900)</f>
        <v/>
      </c>
      <c r="D2900" s="10" t="n">
        <v>0</v>
      </c>
      <c r="E2900" s="11" t="n">
        <v>2.757386442</v>
      </c>
      <c r="F2900" s="12" t="n">
        <v>0</v>
      </c>
      <c r="G2900" s="11" t="n">
        <v>279.065394</v>
      </c>
      <c r="H2900" s="13">
        <f>F2900*1000</f>
        <v/>
      </c>
      <c r="I2900" s="14">
        <f>G2900-273.15</f>
        <v/>
      </c>
      <c r="K2900" s="15" t="n">
        <v>2009</v>
      </c>
      <c r="L2900" s="15" t="n">
        <v>1</v>
      </c>
      <c r="M2900" s="15" t="n">
        <v>16</v>
      </c>
      <c r="N2900" s="16" t="n">
        <v>0</v>
      </c>
      <c r="O2900" s="11" t="n">
        <v>280.1006125</v>
      </c>
      <c r="P2900" s="13">
        <f>N2900*86400</f>
        <v/>
      </c>
      <c r="Q2900" s="14">
        <f>O2900-273.15</f>
        <v/>
      </c>
    </row>
    <row r="2901">
      <c r="A2901" s="9" t="n">
        <v>39788</v>
      </c>
      <c r="B2901" s="7">
        <f>YEAR(A2901)</f>
        <v/>
      </c>
      <c r="C2901" s="7">
        <f>MONTH(A2901)</f>
        <v/>
      </c>
      <c r="D2901" s="10" t="n">
        <v>0</v>
      </c>
      <c r="E2901" s="11" t="n">
        <v>2.680210018</v>
      </c>
      <c r="F2901" s="12" t="n">
        <v>0</v>
      </c>
      <c r="G2901" s="11" t="n">
        <v>278.2340952</v>
      </c>
      <c r="H2901" s="13">
        <f>F2901*1000</f>
        <v/>
      </c>
      <c r="I2901" s="14">
        <f>G2901-273.15</f>
        <v/>
      </c>
      <c r="K2901" s="15" t="n">
        <v>2009</v>
      </c>
      <c r="L2901" s="15" t="n">
        <v>1</v>
      </c>
      <c r="M2901" s="15" t="n">
        <v>17</v>
      </c>
      <c r="N2901" s="16" t="n">
        <v>0</v>
      </c>
      <c r="O2901" s="11" t="n">
        <v>279.9512585</v>
      </c>
      <c r="P2901" s="13">
        <f>N2901*86400</f>
        <v/>
      </c>
      <c r="Q2901" s="14">
        <f>O2901-273.15</f>
        <v/>
      </c>
    </row>
    <row r="2902">
      <c r="A2902" s="9" t="n">
        <v>39789</v>
      </c>
      <c r="B2902" s="7">
        <f>YEAR(A2902)</f>
        <v/>
      </c>
      <c r="C2902" s="7">
        <f>MONTH(A2902)</f>
        <v/>
      </c>
      <c r="D2902" s="10" t="n">
        <v>0</v>
      </c>
      <c r="E2902" s="11" t="n">
        <v>2.677628619</v>
      </c>
      <c r="F2902" s="12" t="n">
        <v>0</v>
      </c>
      <c r="G2902" s="11" t="n">
        <v>277.6140474</v>
      </c>
      <c r="H2902" s="13">
        <f>F2902*1000</f>
        <v/>
      </c>
      <c r="I2902" s="14">
        <f>G2902-273.15</f>
        <v/>
      </c>
      <c r="K2902" s="15" t="n">
        <v>2009</v>
      </c>
      <c r="L2902" s="15" t="n">
        <v>1</v>
      </c>
      <c r="M2902" s="15" t="n">
        <v>18</v>
      </c>
      <c r="N2902" s="16" t="n">
        <v>3.372857795e-06</v>
      </c>
      <c r="O2902" s="11" t="n">
        <v>279.2925659</v>
      </c>
      <c r="P2902" s="13">
        <f>N2902*86400</f>
        <v/>
      </c>
      <c r="Q2902" s="14">
        <f>O2902-273.15</f>
        <v/>
      </c>
    </row>
    <row r="2903">
      <c r="A2903" s="9" t="n">
        <v>39790</v>
      </c>
      <c r="B2903" s="7">
        <f>YEAR(A2903)</f>
        <v/>
      </c>
      <c r="C2903" s="7">
        <f>MONTH(A2903)</f>
        <v/>
      </c>
      <c r="D2903" s="10" t="n">
        <v>0</v>
      </c>
      <c r="E2903" s="11" t="n">
        <v>1.266223455</v>
      </c>
      <c r="F2903" s="12" t="n">
        <v>0</v>
      </c>
      <c r="G2903" s="11" t="n">
        <v>277.0476349</v>
      </c>
      <c r="H2903" s="13">
        <f>F2903*1000</f>
        <v/>
      </c>
      <c r="I2903" s="14">
        <f>G2903-273.15</f>
        <v/>
      </c>
      <c r="K2903" s="15" t="n">
        <v>2009</v>
      </c>
      <c r="L2903" s="15" t="n">
        <v>1</v>
      </c>
      <c r="M2903" s="15" t="n">
        <v>19</v>
      </c>
      <c r="N2903" s="16" t="n">
        <v>0</v>
      </c>
      <c r="O2903" s="11" t="n">
        <v>281.8472683</v>
      </c>
      <c r="P2903" s="13">
        <f>N2903*86400</f>
        <v/>
      </c>
      <c r="Q2903" s="14">
        <f>O2903-273.15</f>
        <v/>
      </c>
    </row>
    <row r="2904">
      <c r="A2904" s="9" t="n">
        <v>39791</v>
      </c>
      <c r="B2904" s="7">
        <f>YEAR(A2904)</f>
        <v/>
      </c>
      <c r="C2904" s="7">
        <f>MONTH(A2904)</f>
        <v/>
      </c>
      <c r="D2904" s="10" t="n">
        <v>0</v>
      </c>
      <c r="E2904" s="11" t="n">
        <v>1.190084546</v>
      </c>
      <c r="F2904" s="12" t="n">
        <v>0</v>
      </c>
      <c r="G2904" s="11" t="n">
        <v>276.3833691</v>
      </c>
      <c r="H2904" s="13">
        <f>F2904*1000</f>
        <v/>
      </c>
      <c r="I2904" s="14">
        <f>G2904-273.15</f>
        <v/>
      </c>
      <c r="K2904" s="15" t="n">
        <v>2009</v>
      </c>
      <c r="L2904" s="15" t="n">
        <v>1</v>
      </c>
      <c r="M2904" s="15" t="n">
        <v>20</v>
      </c>
      <c r="N2904" s="16" t="n">
        <v>0</v>
      </c>
      <c r="O2904" s="11" t="n">
        <v>281.2489637</v>
      </c>
      <c r="P2904" s="13">
        <f>N2904*86400</f>
        <v/>
      </c>
      <c r="Q2904" s="14">
        <f>O2904-273.15</f>
        <v/>
      </c>
    </row>
    <row r="2905">
      <c r="A2905" s="9" t="n">
        <v>39792</v>
      </c>
      <c r="B2905" s="7">
        <f>YEAR(A2905)</f>
        <v/>
      </c>
      <c r="C2905" s="7">
        <f>MONTH(A2905)</f>
        <v/>
      </c>
      <c r="D2905" s="10" t="n">
        <v>0</v>
      </c>
      <c r="E2905" s="11" t="n">
        <v>1.477804075</v>
      </c>
      <c r="F2905" s="12" t="n">
        <v>0</v>
      </c>
      <c r="G2905" s="11" t="n">
        <v>275.7354118</v>
      </c>
      <c r="H2905" s="13">
        <f>F2905*1000</f>
        <v/>
      </c>
      <c r="I2905" s="14">
        <f>G2905-273.15</f>
        <v/>
      </c>
      <c r="K2905" s="15" t="n">
        <v>2009</v>
      </c>
      <c r="L2905" s="15" t="n">
        <v>1</v>
      </c>
      <c r="M2905" s="15" t="n">
        <v>21</v>
      </c>
      <c r="N2905" s="16" t="n">
        <v>1.708592339e-06</v>
      </c>
      <c r="O2905" s="11" t="n">
        <v>281.4828459</v>
      </c>
      <c r="P2905" s="13">
        <f>N2905*86400</f>
        <v/>
      </c>
      <c r="Q2905" s="14">
        <f>O2905-273.15</f>
        <v/>
      </c>
    </row>
    <row r="2906">
      <c r="A2906" s="9" t="n">
        <v>39793</v>
      </c>
      <c r="B2906" s="7">
        <f>YEAR(A2906)</f>
        <v/>
      </c>
      <c r="C2906" s="7">
        <f>MONTH(A2906)</f>
        <v/>
      </c>
      <c r="D2906" s="10" t="n">
        <v>0</v>
      </c>
      <c r="E2906" s="11" t="n">
        <v>0.5870012001</v>
      </c>
      <c r="F2906" s="12" t="n">
        <v>0</v>
      </c>
      <c r="G2906" s="11" t="n">
        <v>276.2443901</v>
      </c>
      <c r="H2906" s="13">
        <f>F2906*1000</f>
        <v/>
      </c>
      <c r="I2906" s="14">
        <f>G2906-273.15</f>
        <v/>
      </c>
      <c r="K2906" s="15" t="n">
        <v>2009</v>
      </c>
      <c r="L2906" s="15" t="n">
        <v>1</v>
      </c>
      <c r="M2906" s="15" t="n">
        <v>22</v>
      </c>
      <c r="N2906" s="16" t="n">
        <v>0</v>
      </c>
      <c r="O2906" s="11" t="n">
        <v>282.942554</v>
      </c>
      <c r="P2906" s="13">
        <f>N2906*86400</f>
        <v/>
      </c>
      <c r="Q2906" s="14">
        <f>O2906-273.15</f>
        <v/>
      </c>
    </row>
    <row r="2907">
      <c r="A2907" s="9" t="n">
        <v>39794</v>
      </c>
      <c r="B2907" s="7">
        <f>YEAR(A2907)</f>
        <v/>
      </c>
      <c r="C2907" s="7">
        <f>MONTH(A2907)</f>
        <v/>
      </c>
      <c r="D2907" s="10" t="n">
        <v>0</v>
      </c>
      <c r="E2907" s="11" t="n">
        <v>-0.3005368309</v>
      </c>
      <c r="F2907" s="12" t="n">
        <v>0</v>
      </c>
      <c r="G2907" s="11" t="n">
        <v>275.2881832</v>
      </c>
      <c r="H2907" s="13">
        <f>F2907*1000</f>
        <v/>
      </c>
      <c r="I2907" s="14">
        <f>G2907-273.15</f>
        <v/>
      </c>
      <c r="K2907" s="15" t="n">
        <v>2009</v>
      </c>
      <c r="L2907" s="15" t="n">
        <v>1</v>
      </c>
      <c r="M2907" s="15" t="n">
        <v>23</v>
      </c>
      <c r="N2907" s="16" t="n">
        <v>4.780745092e-05</v>
      </c>
      <c r="O2907" s="11" t="n">
        <v>282.3945689</v>
      </c>
      <c r="P2907" s="13">
        <f>N2907*86400</f>
        <v/>
      </c>
      <c r="Q2907" s="14">
        <f>O2907-273.15</f>
        <v/>
      </c>
    </row>
    <row r="2908">
      <c r="A2908" s="9" t="n">
        <v>39795</v>
      </c>
      <c r="B2908" s="7">
        <f>YEAR(A2908)</f>
        <v/>
      </c>
      <c r="C2908" s="7">
        <f>MONTH(A2908)</f>
        <v/>
      </c>
      <c r="D2908" s="10" t="n">
        <v>0</v>
      </c>
      <c r="E2908" s="11" t="n">
        <v>1.770506719</v>
      </c>
      <c r="F2908" s="12" t="n">
        <v>0</v>
      </c>
      <c r="G2908" s="11" t="n">
        <v>278.2732869</v>
      </c>
      <c r="H2908" s="13">
        <f>F2908*1000</f>
        <v/>
      </c>
      <c r="I2908" s="14">
        <f>G2908-273.15</f>
        <v/>
      </c>
      <c r="K2908" s="15" t="n">
        <v>2009</v>
      </c>
      <c r="L2908" s="15" t="n">
        <v>1</v>
      </c>
      <c r="M2908" s="15" t="n">
        <v>24</v>
      </c>
      <c r="N2908" s="16" t="n">
        <v>9.328633889e-06</v>
      </c>
      <c r="O2908" s="11" t="n">
        <v>280.6920714</v>
      </c>
      <c r="P2908" s="13">
        <f>N2908*86400</f>
        <v/>
      </c>
      <c r="Q2908" s="14">
        <f>O2908-273.15</f>
        <v/>
      </c>
    </row>
    <row r="2909">
      <c r="A2909" s="9" t="n">
        <v>39796</v>
      </c>
      <c r="B2909" s="7">
        <f>YEAR(A2909)</f>
        <v/>
      </c>
      <c r="C2909" s="7">
        <f>MONTH(A2909)</f>
        <v/>
      </c>
      <c r="D2909" s="10" t="n">
        <v>0</v>
      </c>
      <c r="E2909" s="11" t="n">
        <v>4.354459377</v>
      </c>
      <c r="F2909" s="12" t="n">
        <v>0.001352959381</v>
      </c>
      <c r="G2909" s="11" t="n">
        <v>280.6026896</v>
      </c>
      <c r="H2909" s="13">
        <f>F2909*1000</f>
        <v/>
      </c>
      <c r="I2909" s="14">
        <f>G2909-273.15</f>
        <v/>
      </c>
      <c r="K2909" s="15" t="n">
        <v>2009</v>
      </c>
      <c r="L2909" s="15" t="n">
        <v>1</v>
      </c>
      <c r="M2909" s="15" t="n">
        <v>25</v>
      </c>
      <c r="N2909" s="16" t="n">
        <v>1.576637671e-05</v>
      </c>
      <c r="O2909" s="11" t="n">
        <v>280.7269524</v>
      </c>
      <c r="P2909" s="13">
        <f>N2909*86400</f>
        <v/>
      </c>
      <c r="Q2909" s="14">
        <f>O2909-273.15</f>
        <v/>
      </c>
    </row>
    <row r="2910">
      <c r="A2910" s="9" t="n">
        <v>39797</v>
      </c>
      <c r="B2910" s="7">
        <f>YEAR(A2910)</f>
        <v/>
      </c>
      <c r="C2910" s="7">
        <f>MONTH(A2910)</f>
        <v/>
      </c>
      <c r="D2910" s="10" t="n">
        <v>0</v>
      </c>
      <c r="E2910" s="11" t="n">
        <v>4.431539623</v>
      </c>
      <c r="F2910" s="12" t="n">
        <v>0.001698439819</v>
      </c>
      <c r="G2910" s="11" t="n">
        <v>280.551334</v>
      </c>
      <c r="H2910" s="13">
        <f>F2910*1000</f>
        <v/>
      </c>
      <c r="I2910" s="14">
        <f>G2910-273.15</f>
        <v/>
      </c>
      <c r="K2910" s="15" t="n">
        <v>2009</v>
      </c>
      <c r="L2910" s="15" t="n">
        <v>1</v>
      </c>
      <c r="M2910" s="15" t="n">
        <v>26</v>
      </c>
      <c r="N2910" s="16" t="n">
        <v>2.788845125e-06</v>
      </c>
      <c r="O2910" s="11" t="n">
        <v>280.1006951</v>
      </c>
      <c r="P2910" s="13">
        <f>N2910*86400</f>
        <v/>
      </c>
      <c r="Q2910" s="14">
        <f>O2910-273.15</f>
        <v/>
      </c>
    </row>
    <row r="2911">
      <c r="A2911" s="9" t="n">
        <v>39798</v>
      </c>
      <c r="B2911" s="7">
        <f>YEAR(A2911)</f>
        <v/>
      </c>
      <c r="C2911" s="7">
        <f>MONTH(A2911)</f>
        <v/>
      </c>
      <c r="D2911" s="10" t="n">
        <v>0</v>
      </c>
      <c r="E2911" s="11" t="n">
        <v>4.040494178</v>
      </c>
      <c r="F2911" s="12" t="n">
        <v>0</v>
      </c>
      <c r="G2911" s="11" t="n">
        <v>279.8712355</v>
      </c>
      <c r="H2911" s="13">
        <f>F2911*1000</f>
        <v/>
      </c>
      <c r="I2911" s="14">
        <f>G2911-273.15</f>
        <v/>
      </c>
      <c r="K2911" s="15" t="n">
        <v>2009</v>
      </c>
      <c r="L2911" s="15" t="n">
        <v>1</v>
      </c>
      <c r="M2911" s="15" t="n">
        <v>27</v>
      </c>
      <c r="N2911" s="16" t="n">
        <v>0</v>
      </c>
      <c r="O2911" s="11" t="n">
        <v>283.0332011</v>
      </c>
      <c r="P2911" s="13">
        <f>N2911*86400</f>
        <v/>
      </c>
      <c r="Q2911" s="14">
        <f>O2911-273.15</f>
        <v/>
      </c>
    </row>
    <row r="2912">
      <c r="A2912" s="9" t="n">
        <v>39799</v>
      </c>
      <c r="B2912" s="7">
        <f>YEAR(A2912)</f>
        <v/>
      </c>
      <c r="C2912" s="7">
        <f>MONTH(A2912)</f>
        <v/>
      </c>
      <c r="D2912" s="10" t="n">
        <v>0</v>
      </c>
      <c r="E2912" s="11" t="n">
        <v>5.160351923</v>
      </c>
      <c r="F2912" s="12" t="n">
        <v>0</v>
      </c>
      <c r="G2912" s="11" t="n">
        <v>279.4366723</v>
      </c>
      <c r="H2912" s="13">
        <f>F2912*1000</f>
        <v/>
      </c>
      <c r="I2912" s="14">
        <f>G2912-273.15</f>
        <v/>
      </c>
      <c r="K2912" s="15" t="n">
        <v>2009</v>
      </c>
      <c r="L2912" s="15" t="n">
        <v>1</v>
      </c>
      <c r="M2912" s="15" t="n">
        <v>28</v>
      </c>
      <c r="N2912" s="16" t="n">
        <v>0</v>
      </c>
      <c r="O2912" s="11" t="n">
        <v>282.4508809</v>
      </c>
      <c r="P2912" s="13">
        <f>N2912*86400</f>
        <v/>
      </c>
      <c r="Q2912" s="14">
        <f>O2912-273.15</f>
        <v/>
      </c>
    </row>
    <row r="2913">
      <c r="A2913" s="9" t="n">
        <v>39800</v>
      </c>
      <c r="B2913" s="7">
        <f>YEAR(A2913)</f>
        <v/>
      </c>
      <c r="C2913" s="7">
        <f>MONTH(A2913)</f>
        <v/>
      </c>
      <c r="D2913" s="10" t="n">
        <v>0</v>
      </c>
      <c r="E2913" s="11" t="n">
        <v>4.411198961</v>
      </c>
      <c r="F2913" s="12" t="n">
        <v>0</v>
      </c>
      <c r="G2913" s="11" t="n">
        <v>277.9258942</v>
      </c>
      <c r="H2913" s="13">
        <f>F2913*1000</f>
        <v/>
      </c>
      <c r="I2913" s="14">
        <f>G2913-273.15</f>
        <v/>
      </c>
      <c r="K2913" s="15" t="n">
        <v>2009</v>
      </c>
      <c r="L2913" s="15" t="n">
        <v>1</v>
      </c>
      <c r="M2913" s="15" t="n">
        <v>29</v>
      </c>
      <c r="N2913" s="16" t="n">
        <v>0</v>
      </c>
      <c r="O2913" s="11" t="n">
        <v>281.0768423</v>
      </c>
      <c r="P2913" s="13">
        <f>N2913*86400</f>
        <v/>
      </c>
      <c r="Q2913" s="14">
        <f>O2913-273.15</f>
        <v/>
      </c>
    </row>
    <row r="2914">
      <c r="A2914" s="9" t="n">
        <v>39801</v>
      </c>
      <c r="B2914" s="7">
        <f>YEAR(A2914)</f>
        <v/>
      </c>
      <c r="C2914" s="7">
        <f>MONTH(A2914)</f>
        <v/>
      </c>
      <c r="D2914" s="10" t="n">
        <v>0</v>
      </c>
      <c r="E2914" s="11" t="n">
        <v>5.673960512</v>
      </c>
      <c r="F2914" s="12" t="n">
        <v>0</v>
      </c>
      <c r="G2914" s="11" t="n">
        <v>278.2699467</v>
      </c>
      <c r="H2914" s="13">
        <f>F2914*1000</f>
        <v/>
      </c>
      <c r="I2914" s="14">
        <f>G2914-273.15</f>
        <v/>
      </c>
      <c r="K2914" s="15" t="n">
        <v>2009</v>
      </c>
      <c r="L2914" s="15" t="n">
        <v>1</v>
      </c>
      <c r="M2914" s="15" t="n">
        <v>30</v>
      </c>
      <c r="N2914" s="16" t="n">
        <v>3.163769749e-07</v>
      </c>
      <c r="O2914" s="11" t="n">
        <v>281.3417422</v>
      </c>
      <c r="P2914" s="13">
        <f>N2914*86400</f>
        <v/>
      </c>
      <c r="Q2914" s="14">
        <f>O2914-273.15</f>
        <v/>
      </c>
    </row>
    <row r="2915">
      <c r="A2915" s="9" t="n">
        <v>39802</v>
      </c>
      <c r="B2915" s="7">
        <f>YEAR(A2915)</f>
        <v/>
      </c>
      <c r="C2915" s="7">
        <f>MONTH(A2915)</f>
        <v/>
      </c>
      <c r="D2915" s="10" t="n">
        <v>0</v>
      </c>
      <c r="E2915" s="11" t="n">
        <v>2.882679135</v>
      </c>
      <c r="F2915" s="12" t="n">
        <v>0</v>
      </c>
      <c r="G2915" s="11" t="n">
        <v>276.4961501</v>
      </c>
      <c r="H2915" s="13">
        <f>F2915*1000</f>
        <v/>
      </c>
      <c r="I2915" s="14">
        <f>G2915-273.15</f>
        <v/>
      </c>
      <c r="K2915" s="15" t="n">
        <v>2009</v>
      </c>
      <c r="L2915" s="15" t="n">
        <v>2</v>
      </c>
      <c r="M2915" s="15" t="n">
        <v>1</v>
      </c>
      <c r="N2915" s="16" t="n">
        <v>2.106638069e-06</v>
      </c>
      <c r="O2915" s="11" t="n">
        <v>282.5353717</v>
      </c>
      <c r="P2915" s="13">
        <f>N2915*86400</f>
        <v/>
      </c>
      <c r="Q2915" s="14">
        <f>O2915-273.15</f>
        <v/>
      </c>
    </row>
    <row r="2916">
      <c r="A2916" s="9" t="n">
        <v>39803</v>
      </c>
      <c r="B2916" s="7">
        <f>YEAR(A2916)</f>
        <v/>
      </c>
      <c r="C2916" s="7">
        <f>MONTH(A2916)</f>
        <v/>
      </c>
      <c r="D2916" s="10" t="n">
        <v>0</v>
      </c>
      <c r="E2916" s="11" t="n">
        <v>4.613159483</v>
      </c>
      <c r="F2916" s="12" t="n">
        <v>0.0001257834388</v>
      </c>
      <c r="G2916" s="11" t="n">
        <v>279.1059037</v>
      </c>
      <c r="H2916" s="13">
        <f>F2916*1000</f>
        <v/>
      </c>
      <c r="I2916" s="14">
        <f>G2916-273.15</f>
        <v/>
      </c>
      <c r="K2916" s="15" t="n">
        <v>2009</v>
      </c>
      <c r="L2916" s="15" t="n">
        <v>2</v>
      </c>
      <c r="M2916" s="15" t="n">
        <v>2</v>
      </c>
      <c r="N2916" s="16" t="n">
        <v>1.594070875e-05</v>
      </c>
      <c r="O2916" s="11" t="n">
        <v>281.5575678</v>
      </c>
      <c r="P2916" s="13">
        <f>N2916*86400</f>
        <v/>
      </c>
      <c r="Q2916" s="14">
        <f>O2916-273.15</f>
        <v/>
      </c>
    </row>
    <row r="2917">
      <c r="A2917" s="9" t="n">
        <v>39804</v>
      </c>
      <c r="B2917" s="7">
        <f>YEAR(A2917)</f>
        <v/>
      </c>
      <c r="C2917" s="7">
        <f>MONTH(A2917)</f>
        <v/>
      </c>
      <c r="D2917" s="10" t="n">
        <v>0.3798923084</v>
      </c>
      <c r="E2917" s="11" t="n">
        <v>3.587752343</v>
      </c>
      <c r="F2917" s="12" t="n">
        <v>0.001177881296</v>
      </c>
      <c r="G2917" s="11" t="n">
        <v>278.8705067</v>
      </c>
      <c r="H2917" s="13">
        <f>F2917*1000</f>
        <v/>
      </c>
      <c r="I2917" s="14">
        <f>G2917-273.15</f>
        <v/>
      </c>
      <c r="K2917" s="15" t="n">
        <v>2009</v>
      </c>
      <c r="L2917" s="15" t="n">
        <v>2</v>
      </c>
      <c r="M2917" s="15" t="n">
        <v>3</v>
      </c>
      <c r="N2917" s="16" t="n">
        <v>1.880335233e-05</v>
      </c>
      <c r="O2917" s="11" t="n">
        <v>279.8822736</v>
      </c>
      <c r="P2917" s="13">
        <f>N2917*86400</f>
        <v/>
      </c>
      <c r="Q2917" s="14">
        <f>O2917-273.15</f>
        <v/>
      </c>
    </row>
    <row r="2918">
      <c r="A2918" s="9" t="n">
        <v>39805</v>
      </c>
      <c r="B2918" s="7">
        <f>YEAR(A2918)</f>
        <v/>
      </c>
      <c r="C2918" s="7">
        <f>MONTH(A2918)</f>
        <v/>
      </c>
      <c r="D2918" s="10" t="n">
        <v>0</v>
      </c>
      <c r="E2918" s="11" t="n">
        <v>4.87227511</v>
      </c>
      <c r="F2918" s="12" t="n">
        <v>0.0001626247715</v>
      </c>
      <c r="G2918" s="11" t="n">
        <v>280.215312</v>
      </c>
      <c r="H2918" s="13">
        <f>F2918*1000</f>
        <v/>
      </c>
      <c r="I2918" s="14">
        <f>G2918-273.15</f>
        <v/>
      </c>
      <c r="K2918" s="15" t="n">
        <v>2009</v>
      </c>
      <c r="L2918" s="15" t="n">
        <v>2</v>
      </c>
      <c r="M2918" s="15" t="n">
        <v>4</v>
      </c>
      <c r="N2918" s="16" t="n">
        <v>2.92344878e-05</v>
      </c>
      <c r="O2918" s="11" t="n">
        <v>281.1681672</v>
      </c>
      <c r="P2918" s="13">
        <f>N2918*86400</f>
        <v/>
      </c>
      <c r="Q2918" s="14">
        <f>O2918-273.15</f>
        <v/>
      </c>
    </row>
    <row r="2919">
      <c r="A2919" s="9" t="n">
        <v>39806</v>
      </c>
      <c r="B2919" s="7">
        <f>YEAR(A2919)</f>
        <v/>
      </c>
      <c r="C2919" s="7">
        <f>MONTH(A2919)</f>
        <v/>
      </c>
      <c r="D2919" s="10" t="n">
        <v>0</v>
      </c>
      <c r="E2919" s="11" t="n">
        <v>4.642088175</v>
      </c>
      <c r="F2919" s="12" t="n">
        <v>0.001168483833</v>
      </c>
      <c r="G2919" s="11" t="n">
        <v>279.9170158</v>
      </c>
      <c r="H2919" s="13">
        <f>F2919*1000</f>
        <v/>
      </c>
      <c r="I2919" s="14">
        <f>G2919-273.15</f>
        <v/>
      </c>
      <c r="K2919" s="15" t="n">
        <v>2009</v>
      </c>
      <c r="L2919" s="15" t="n">
        <v>2</v>
      </c>
      <c r="M2919" s="15" t="n">
        <v>5</v>
      </c>
      <c r="N2919" s="16" t="n">
        <v>0</v>
      </c>
      <c r="O2919" s="11" t="n">
        <v>281.6951623</v>
      </c>
      <c r="P2919" s="13">
        <f>N2919*86400</f>
        <v/>
      </c>
      <c r="Q2919" s="14">
        <f>O2919-273.15</f>
        <v/>
      </c>
    </row>
    <row r="2920">
      <c r="A2920" s="9" t="n">
        <v>39807</v>
      </c>
      <c r="B2920" s="7">
        <f>YEAR(A2920)</f>
        <v/>
      </c>
      <c r="C2920" s="7">
        <f>MONTH(A2920)</f>
        <v/>
      </c>
      <c r="D2920" s="10" t="n">
        <v>0</v>
      </c>
      <c r="E2920" s="11" t="n">
        <v>4.436231853</v>
      </c>
      <c r="F2920" s="12" t="n">
        <v>0</v>
      </c>
      <c r="G2920" s="11" t="n">
        <v>279.6444964</v>
      </c>
      <c r="H2920" s="13">
        <f>F2920*1000</f>
        <v/>
      </c>
      <c r="I2920" s="14">
        <f>G2920-273.15</f>
        <v/>
      </c>
      <c r="K2920" s="15" t="n">
        <v>2009</v>
      </c>
      <c r="L2920" s="15" t="n">
        <v>2</v>
      </c>
      <c r="M2920" s="15" t="n">
        <v>6</v>
      </c>
      <c r="N2920" s="16" t="n">
        <v>0</v>
      </c>
      <c r="O2920" s="11" t="n">
        <v>280.1764778</v>
      </c>
      <c r="P2920" s="13">
        <f>N2920*86400</f>
        <v/>
      </c>
      <c r="Q2920" s="14">
        <f>O2920-273.15</f>
        <v/>
      </c>
    </row>
    <row r="2921">
      <c r="A2921" s="9" t="n">
        <v>39808</v>
      </c>
      <c r="B2921" s="7">
        <f>YEAR(A2921)</f>
        <v/>
      </c>
      <c r="C2921" s="7">
        <f>MONTH(A2921)</f>
        <v/>
      </c>
      <c r="D2921" s="10" t="n">
        <v>0</v>
      </c>
      <c r="E2921" s="11" t="n">
        <v>5.485474403</v>
      </c>
      <c r="F2921" s="12" t="n">
        <v>0</v>
      </c>
      <c r="G2921" s="11" t="n">
        <v>279.4797145</v>
      </c>
      <c r="H2921" s="13">
        <f>F2921*1000</f>
        <v/>
      </c>
      <c r="I2921" s="14">
        <f>G2921-273.15</f>
        <v/>
      </c>
      <c r="K2921" s="15" t="n">
        <v>2009</v>
      </c>
      <c r="L2921" s="15" t="n">
        <v>2</v>
      </c>
      <c r="M2921" s="15" t="n">
        <v>7</v>
      </c>
      <c r="N2921" s="16" t="n">
        <v>2.738578404e-06</v>
      </c>
      <c r="O2921" s="11" t="n">
        <v>280.2745361</v>
      </c>
      <c r="P2921" s="13">
        <f>N2921*86400</f>
        <v/>
      </c>
      <c r="Q2921" s="14">
        <f>O2921-273.15</f>
        <v/>
      </c>
    </row>
    <row r="2922">
      <c r="A2922" s="9" t="n">
        <v>39809</v>
      </c>
      <c r="B2922" s="7">
        <f>YEAR(A2922)</f>
        <v/>
      </c>
      <c r="C2922" s="7">
        <f>MONTH(A2922)</f>
        <v/>
      </c>
      <c r="D2922" s="10" t="n">
        <v>0</v>
      </c>
      <c r="E2922" s="11" t="n">
        <v>4.078096991</v>
      </c>
      <c r="F2922" s="12" t="n">
        <v>0.002803157119</v>
      </c>
      <c r="G2922" s="11" t="n">
        <v>279.0407087</v>
      </c>
      <c r="H2922" s="13">
        <f>F2922*1000</f>
        <v/>
      </c>
      <c r="I2922" s="14">
        <f>G2922-273.15</f>
        <v/>
      </c>
      <c r="K2922" s="15" t="n">
        <v>2009</v>
      </c>
      <c r="L2922" s="15" t="n">
        <v>2</v>
      </c>
      <c r="M2922" s="15" t="n">
        <v>8</v>
      </c>
      <c r="N2922" s="16" t="n">
        <v>0</v>
      </c>
      <c r="O2922" s="11" t="n">
        <v>279.5243624</v>
      </c>
      <c r="P2922" s="13">
        <f>N2922*86400</f>
        <v/>
      </c>
      <c r="Q2922" s="14">
        <f>O2922-273.15</f>
        <v/>
      </c>
    </row>
    <row r="2923">
      <c r="A2923" s="9" t="n">
        <v>39810</v>
      </c>
      <c r="B2923" s="7">
        <f>YEAR(A2923)</f>
        <v/>
      </c>
      <c r="C2923" s="7">
        <f>MONTH(A2923)</f>
        <v/>
      </c>
      <c r="D2923" s="10" t="n">
        <v>0</v>
      </c>
      <c r="E2923" s="11" t="n">
        <v>4.554045039</v>
      </c>
      <c r="F2923" s="12" t="n">
        <v>0</v>
      </c>
      <c r="G2923" s="11" t="n">
        <v>279.6334131</v>
      </c>
      <c r="H2923" s="13">
        <f>F2923*1000</f>
        <v/>
      </c>
      <c r="I2923" s="14">
        <f>G2923-273.15</f>
        <v/>
      </c>
      <c r="K2923" s="15" t="n">
        <v>2009</v>
      </c>
      <c r="L2923" s="15" t="n">
        <v>2</v>
      </c>
      <c r="M2923" s="15" t="n">
        <v>9</v>
      </c>
      <c r="N2923" s="16" t="n">
        <v>0</v>
      </c>
      <c r="O2923" s="11" t="n">
        <v>280.1492813</v>
      </c>
      <c r="P2923" s="13">
        <f>N2923*86400</f>
        <v/>
      </c>
      <c r="Q2923" s="14">
        <f>O2923-273.15</f>
        <v/>
      </c>
    </row>
    <row r="2924">
      <c r="A2924" s="9" t="n">
        <v>39811</v>
      </c>
      <c r="B2924" s="7">
        <f>YEAR(A2924)</f>
        <v/>
      </c>
      <c r="C2924" s="7">
        <f>MONTH(A2924)</f>
        <v/>
      </c>
      <c r="D2924" s="10" t="n">
        <v>0</v>
      </c>
      <c r="E2924" s="11" t="n">
        <v>4.442451571</v>
      </c>
      <c r="F2924" s="12" t="n">
        <v>0</v>
      </c>
      <c r="G2924" s="11" t="n">
        <v>279.1897436</v>
      </c>
      <c r="H2924" s="13">
        <f>F2924*1000</f>
        <v/>
      </c>
      <c r="I2924" s="14">
        <f>G2924-273.15</f>
        <v/>
      </c>
      <c r="K2924" s="15" t="n">
        <v>2009</v>
      </c>
      <c r="L2924" s="15" t="n">
        <v>2</v>
      </c>
      <c r="M2924" s="15" t="n">
        <v>10</v>
      </c>
      <c r="N2924" s="16" t="n">
        <v>0</v>
      </c>
      <c r="O2924" s="11" t="n">
        <v>280.0808793</v>
      </c>
      <c r="P2924" s="13">
        <f>N2924*86400</f>
        <v/>
      </c>
      <c r="Q2924" s="14">
        <f>O2924-273.15</f>
        <v/>
      </c>
    </row>
    <row r="2925">
      <c r="A2925" s="9" t="n">
        <v>39812</v>
      </c>
      <c r="B2925" s="7">
        <f>YEAR(A2925)</f>
        <v/>
      </c>
      <c r="C2925" s="7">
        <f>MONTH(A2925)</f>
        <v/>
      </c>
      <c r="D2925" s="10" t="n">
        <v>0</v>
      </c>
      <c r="E2925" s="11" t="n">
        <v>5.400318388</v>
      </c>
      <c r="F2925" s="12" t="n">
        <v>0</v>
      </c>
      <c r="G2925" s="11" t="n">
        <v>280.3191776</v>
      </c>
      <c r="H2925" s="13">
        <f>F2925*1000</f>
        <v/>
      </c>
      <c r="I2925" s="14">
        <f>G2925-273.15</f>
        <v/>
      </c>
      <c r="K2925" s="15" t="n">
        <v>2009</v>
      </c>
      <c r="L2925" s="15" t="n">
        <v>2</v>
      </c>
      <c r="M2925" s="15" t="n">
        <v>11</v>
      </c>
      <c r="N2925" s="16" t="n">
        <v>0</v>
      </c>
      <c r="O2925" s="11" t="n">
        <v>280.1839943</v>
      </c>
      <c r="P2925" s="13">
        <f>N2925*86400</f>
        <v/>
      </c>
      <c r="Q2925" s="14">
        <f>O2925-273.15</f>
        <v/>
      </c>
    </row>
    <row r="2926">
      <c r="A2926" s="9" t="n">
        <v>39813</v>
      </c>
      <c r="B2926" s="7">
        <f>YEAR(A2926)</f>
        <v/>
      </c>
      <c r="C2926" s="7">
        <f>MONTH(A2926)</f>
        <v/>
      </c>
      <c r="D2926" s="10" t="n">
        <v>0</v>
      </c>
      <c r="E2926" s="11" t="n">
        <v>4.935777384</v>
      </c>
      <c r="F2926" s="12" t="n">
        <v>0</v>
      </c>
      <c r="G2926" s="11" t="n">
        <v>279.4700167</v>
      </c>
      <c r="H2926" s="13">
        <f>F2926*1000</f>
        <v/>
      </c>
      <c r="I2926" s="14">
        <f>G2926-273.15</f>
        <v/>
      </c>
      <c r="K2926" s="15" t="n">
        <v>2009</v>
      </c>
      <c r="L2926" s="15" t="n">
        <v>2</v>
      </c>
      <c r="M2926" s="15" t="n">
        <v>12</v>
      </c>
      <c r="N2926" s="16" t="n">
        <v>8.238784715e-06</v>
      </c>
      <c r="O2926" s="11" t="n">
        <v>277.6112609</v>
      </c>
      <c r="P2926" s="13">
        <f>N2926*86400</f>
        <v/>
      </c>
      <c r="Q2926" s="14">
        <f>O2926-273.15</f>
        <v/>
      </c>
    </row>
    <row r="2927">
      <c r="A2927" s="9" t="n">
        <v>39814</v>
      </c>
      <c r="B2927" s="7">
        <f>YEAR(A2927)</f>
        <v/>
      </c>
      <c r="C2927" s="7">
        <f>MONTH(A2927)</f>
        <v/>
      </c>
      <c r="D2927" s="10" t="n">
        <v>0</v>
      </c>
      <c r="E2927" s="11" t="n">
        <v>4.383361009</v>
      </c>
      <c r="F2927" s="12" t="n">
        <v>0</v>
      </c>
      <c r="G2927" s="11" t="n">
        <v>278.9883606</v>
      </c>
      <c r="H2927" s="13">
        <f>F2927*1000</f>
        <v/>
      </c>
      <c r="I2927" s="14">
        <f>G2927-273.15</f>
        <v/>
      </c>
      <c r="K2927" s="15" t="n">
        <v>2009</v>
      </c>
      <c r="L2927" s="15" t="n">
        <v>2</v>
      </c>
      <c r="M2927" s="15" t="n">
        <v>13</v>
      </c>
      <c r="N2927" s="16" t="n">
        <v>1.556417046e-05</v>
      </c>
      <c r="O2927" s="11" t="n">
        <v>278.8305674</v>
      </c>
      <c r="P2927" s="13">
        <f>N2927*86400</f>
        <v/>
      </c>
      <c r="Q2927" s="14">
        <f>O2927-273.15</f>
        <v/>
      </c>
    </row>
    <row r="2928">
      <c r="A2928" s="9" t="n">
        <v>39815</v>
      </c>
      <c r="B2928" s="7">
        <f>YEAR(A2928)</f>
        <v/>
      </c>
      <c r="C2928" s="7">
        <f>MONTH(A2928)</f>
        <v/>
      </c>
      <c r="D2928" s="10" t="n">
        <v>0</v>
      </c>
      <c r="E2928" s="11" t="n">
        <v>3.187416326</v>
      </c>
      <c r="F2928" s="12" t="n">
        <v>0</v>
      </c>
      <c r="G2928" s="11" t="n">
        <v>278.523659</v>
      </c>
      <c r="H2928" s="13">
        <f>F2928*1000</f>
        <v/>
      </c>
      <c r="I2928" s="14">
        <f>G2928-273.15</f>
        <v/>
      </c>
      <c r="K2928" s="15" t="n">
        <v>2009</v>
      </c>
      <c r="L2928" s="15" t="n">
        <v>2</v>
      </c>
      <c r="M2928" s="15" t="n">
        <v>14</v>
      </c>
      <c r="N2928" s="16" t="n">
        <v>5.162653276e-06</v>
      </c>
      <c r="O2928" s="11" t="n">
        <v>279.9192163</v>
      </c>
      <c r="P2928" s="13">
        <f>N2928*86400</f>
        <v/>
      </c>
      <c r="Q2928" s="14">
        <f>O2928-273.15</f>
        <v/>
      </c>
    </row>
    <row r="2929">
      <c r="A2929" s="9" t="n">
        <v>39816</v>
      </c>
      <c r="B2929" s="7">
        <f>YEAR(A2929)</f>
        <v/>
      </c>
      <c r="C2929" s="7">
        <f>MONTH(A2929)</f>
        <v/>
      </c>
      <c r="D2929" s="10" t="n">
        <v>0</v>
      </c>
      <c r="E2929" s="11" t="n">
        <v>2.089545052</v>
      </c>
      <c r="F2929" s="12" t="n">
        <v>0</v>
      </c>
      <c r="G2929" s="11" t="n">
        <v>278.0842866</v>
      </c>
      <c r="H2929" s="13">
        <f>F2929*1000</f>
        <v/>
      </c>
      <c r="I2929" s="14">
        <f>G2929-273.15</f>
        <v/>
      </c>
      <c r="K2929" s="15" t="n">
        <v>2009</v>
      </c>
      <c r="L2929" s="15" t="n">
        <v>2</v>
      </c>
      <c r="M2929" s="15" t="n">
        <v>15</v>
      </c>
      <c r="N2929" s="16" t="n">
        <v>6.639743680999999e-08</v>
      </c>
      <c r="O2929" s="11" t="n">
        <v>283.0600978</v>
      </c>
      <c r="P2929" s="13">
        <f>N2929*86400</f>
        <v/>
      </c>
      <c r="Q2929" s="14">
        <f>O2929-273.15</f>
        <v/>
      </c>
    </row>
    <row r="2930">
      <c r="A2930" s="9" t="n">
        <v>39817</v>
      </c>
      <c r="B2930" s="7">
        <f>YEAR(A2930)</f>
        <v/>
      </c>
      <c r="C2930" s="7">
        <f>MONTH(A2930)</f>
        <v/>
      </c>
      <c r="D2930" s="10" t="n">
        <v>0</v>
      </c>
      <c r="E2930" s="11" t="n">
        <v>2.575715497</v>
      </c>
      <c r="F2930" s="12" t="n">
        <v>0.000728105856</v>
      </c>
      <c r="G2930" s="11" t="n">
        <v>277.35081</v>
      </c>
      <c r="H2930" s="13">
        <f>F2930*1000</f>
        <v/>
      </c>
      <c r="I2930" s="14">
        <f>G2930-273.15</f>
        <v/>
      </c>
      <c r="K2930" s="15" t="n">
        <v>2009</v>
      </c>
      <c r="L2930" s="15" t="n">
        <v>2</v>
      </c>
      <c r="M2930" s="15" t="n">
        <v>16</v>
      </c>
      <c r="N2930" s="16" t="n">
        <v>4.365406715e-05</v>
      </c>
      <c r="O2930" s="11" t="n">
        <v>285.2260052</v>
      </c>
      <c r="P2930" s="13">
        <f>N2930*86400</f>
        <v/>
      </c>
      <c r="Q2930" s="14">
        <f>O2930-273.15</f>
        <v/>
      </c>
    </row>
    <row r="2931">
      <c r="A2931" s="9" t="n">
        <v>39818</v>
      </c>
      <c r="B2931" s="7">
        <f>YEAR(A2931)</f>
        <v/>
      </c>
      <c r="C2931" s="7">
        <f>MONTH(A2931)</f>
        <v/>
      </c>
      <c r="D2931" s="10" t="n">
        <v>4.239004328</v>
      </c>
      <c r="E2931" s="11" t="n">
        <v>0.6081009298</v>
      </c>
      <c r="F2931" s="12" t="n">
        <v>0.001438080108</v>
      </c>
      <c r="G2931" s="11" t="n">
        <v>275.2482533</v>
      </c>
      <c r="H2931" s="13">
        <f>F2931*1000</f>
        <v/>
      </c>
      <c r="I2931" s="14">
        <f>G2931-273.15</f>
        <v/>
      </c>
      <c r="K2931" s="15" t="n">
        <v>2009</v>
      </c>
      <c r="L2931" s="15" t="n">
        <v>2</v>
      </c>
      <c r="M2931" s="15" t="n">
        <v>17</v>
      </c>
      <c r="N2931" s="16" t="n">
        <v>2.682210313e-05</v>
      </c>
      <c r="O2931" s="11" t="n">
        <v>284.7406598</v>
      </c>
      <c r="P2931" s="13">
        <f>N2931*86400</f>
        <v/>
      </c>
      <c r="Q2931" s="14">
        <f>O2931-273.15</f>
        <v/>
      </c>
    </row>
    <row r="2932">
      <c r="A2932" s="9" t="n">
        <v>39819</v>
      </c>
      <c r="B2932" s="7">
        <f>YEAR(A2932)</f>
        <v/>
      </c>
      <c r="C2932" s="7">
        <f>MONTH(A2932)</f>
        <v/>
      </c>
      <c r="D2932" s="10" t="n">
        <v>0</v>
      </c>
      <c r="E2932" s="11" t="n">
        <v>1.131760771</v>
      </c>
      <c r="F2932" s="12" t="n">
        <v>0.0003643183021</v>
      </c>
      <c r="G2932" s="11" t="n">
        <v>277.0514829</v>
      </c>
      <c r="H2932" s="13">
        <f>F2932*1000</f>
        <v/>
      </c>
      <c r="I2932" s="14">
        <f>G2932-273.15</f>
        <v/>
      </c>
      <c r="K2932" s="15" t="n">
        <v>2009</v>
      </c>
      <c r="L2932" s="15" t="n">
        <v>2</v>
      </c>
      <c r="M2932" s="15" t="n">
        <v>18</v>
      </c>
      <c r="N2932" s="16" t="n">
        <v>7.894924565e-07</v>
      </c>
      <c r="O2932" s="11" t="n">
        <v>283.7661767</v>
      </c>
      <c r="P2932" s="13">
        <f>N2932*86400</f>
        <v/>
      </c>
      <c r="Q2932" s="14">
        <f>O2932-273.15</f>
        <v/>
      </c>
    </row>
    <row r="2933">
      <c r="A2933" s="9" t="n">
        <v>39820</v>
      </c>
      <c r="B2933" s="7">
        <f>YEAR(A2933)</f>
        <v/>
      </c>
      <c r="C2933" s="7">
        <f>MONTH(A2933)</f>
        <v/>
      </c>
      <c r="D2933" s="10" t="n">
        <v>0</v>
      </c>
      <c r="E2933" s="11" t="n">
        <v>1.784333529</v>
      </c>
      <c r="F2933" s="12" t="n">
        <v>0</v>
      </c>
      <c r="G2933" s="11" t="n">
        <v>277.4264658</v>
      </c>
      <c r="H2933" s="13">
        <f>F2933*1000</f>
        <v/>
      </c>
      <c r="I2933" s="14">
        <f>G2933-273.15</f>
        <v/>
      </c>
      <c r="K2933" s="15" t="n">
        <v>2009</v>
      </c>
      <c r="L2933" s="15" t="n">
        <v>2</v>
      </c>
      <c r="M2933" s="15" t="n">
        <v>19</v>
      </c>
      <c r="N2933" s="16" t="n">
        <v>3.305711584e-05</v>
      </c>
      <c r="O2933" s="11" t="n">
        <v>284.16714</v>
      </c>
      <c r="P2933" s="13">
        <f>N2933*86400</f>
        <v/>
      </c>
      <c r="Q2933" s="14">
        <f>O2933-273.15</f>
        <v/>
      </c>
    </row>
    <row r="2934">
      <c r="A2934" s="9" t="n">
        <v>39821</v>
      </c>
      <c r="B2934" s="7">
        <f>YEAR(A2934)</f>
        <v/>
      </c>
      <c r="C2934" s="7">
        <f>MONTH(A2934)</f>
        <v/>
      </c>
      <c r="D2934" s="10" t="n">
        <v>0</v>
      </c>
      <c r="E2934" s="11" t="n">
        <v>0.9624828891</v>
      </c>
      <c r="F2934" s="12" t="n">
        <v>0.00170106729</v>
      </c>
      <c r="G2934" s="11" t="n">
        <v>276.5356467</v>
      </c>
      <c r="H2934" s="13">
        <f>F2934*1000</f>
        <v/>
      </c>
      <c r="I2934" s="14">
        <f>G2934-273.15</f>
        <v/>
      </c>
      <c r="K2934" s="15" t="n">
        <v>2009</v>
      </c>
      <c r="L2934" s="15" t="n">
        <v>2</v>
      </c>
      <c r="M2934" s="15" t="n">
        <v>20</v>
      </c>
      <c r="N2934" s="16" t="n">
        <v>0</v>
      </c>
      <c r="O2934" s="11" t="n">
        <v>284.7736932</v>
      </c>
      <c r="P2934" s="13">
        <f>N2934*86400</f>
        <v/>
      </c>
      <c r="Q2934" s="14">
        <f>O2934-273.15</f>
        <v/>
      </c>
    </row>
    <row r="2935">
      <c r="A2935" s="9" t="n">
        <v>39822</v>
      </c>
      <c r="B2935" s="7">
        <f>YEAR(A2935)</f>
        <v/>
      </c>
      <c r="C2935" s="7">
        <f>MONTH(A2935)</f>
        <v/>
      </c>
      <c r="D2935" s="10" t="n">
        <v>0</v>
      </c>
      <c r="E2935" s="11" t="n">
        <v>2.473417536</v>
      </c>
      <c r="F2935" s="12" t="n">
        <v>0</v>
      </c>
      <c r="G2935" s="11" t="n">
        <v>277.254369</v>
      </c>
      <c r="H2935" s="13">
        <f>F2935*1000</f>
        <v/>
      </c>
      <c r="I2935" s="14">
        <f>G2935-273.15</f>
        <v/>
      </c>
      <c r="K2935" s="15" t="n">
        <v>2009</v>
      </c>
      <c r="L2935" s="15" t="n">
        <v>2</v>
      </c>
      <c r="M2935" s="15" t="n">
        <v>21</v>
      </c>
      <c r="N2935" s="16" t="n">
        <v>1.253906291e-05</v>
      </c>
      <c r="O2935" s="11" t="n">
        <v>283.3666721</v>
      </c>
      <c r="P2935" s="13">
        <f>N2935*86400</f>
        <v/>
      </c>
      <c r="Q2935" s="14">
        <f>O2935-273.15</f>
        <v/>
      </c>
    </row>
    <row r="2936">
      <c r="A2936" s="9" t="n">
        <v>39823</v>
      </c>
      <c r="B2936" s="7">
        <f>YEAR(A2936)</f>
        <v/>
      </c>
      <c r="C2936" s="7">
        <f>MONTH(A2936)</f>
        <v/>
      </c>
      <c r="D2936" s="10" t="n">
        <v>0</v>
      </c>
      <c r="E2936" s="11" t="n">
        <v>1.248182604</v>
      </c>
      <c r="F2936" s="12" t="n">
        <v>0.0004117806131</v>
      </c>
      <c r="G2936" s="11" t="n">
        <v>275.9104739</v>
      </c>
      <c r="H2936" s="13">
        <f>F2936*1000</f>
        <v/>
      </c>
      <c r="I2936" s="14">
        <f>G2936-273.15</f>
        <v/>
      </c>
      <c r="K2936" s="15" t="n">
        <v>2009</v>
      </c>
      <c r="L2936" s="15" t="n">
        <v>2</v>
      </c>
      <c r="M2936" s="15" t="n">
        <v>22</v>
      </c>
      <c r="N2936" s="16" t="n">
        <v>0</v>
      </c>
      <c r="O2936" s="11" t="n">
        <v>285.3174558</v>
      </c>
      <c r="P2936" s="13">
        <f>N2936*86400</f>
        <v/>
      </c>
      <c r="Q2936" s="14">
        <f>O2936-273.15</f>
        <v/>
      </c>
    </row>
    <row r="2937">
      <c r="A2937" s="9" t="n">
        <v>39824</v>
      </c>
      <c r="B2937" s="7">
        <f>YEAR(A2937)</f>
        <v/>
      </c>
      <c r="C2937" s="7">
        <f>MONTH(A2937)</f>
        <v/>
      </c>
      <c r="D2937" s="10" t="n">
        <v>1.531849432</v>
      </c>
      <c r="E2937" s="11" t="n">
        <v>0.3260895714</v>
      </c>
      <c r="F2937" s="12" t="n">
        <v>0.0001103035454</v>
      </c>
      <c r="G2937" s="11" t="n">
        <v>275.7250266</v>
      </c>
      <c r="H2937" s="13">
        <f>F2937*1000</f>
        <v/>
      </c>
      <c r="I2937" s="14">
        <f>G2937-273.15</f>
        <v/>
      </c>
      <c r="K2937" s="15" t="n">
        <v>2009</v>
      </c>
      <c r="L2937" s="15" t="n">
        <v>2</v>
      </c>
      <c r="M2937" s="15" t="n">
        <v>23</v>
      </c>
      <c r="N2937" s="16" t="n">
        <v>0</v>
      </c>
      <c r="O2937" s="11" t="n">
        <v>283.9053884</v>
      </c>
      <c r="P2937" s="13">
        <f>N2937*86400</f>
        <v/>
      </c>
      <c r="Q2937" s="14">
        <f>O2937-273.15</f>
        <v/>
      </c>
    </row>
    <row r="2938">
      <c r="A2938" s="9" t="n">
        <v>39825</v>
      </c>
      <c r="B2938" s="7">
        <f>YEAR(A2938)</f>
        <v/>
      </c>
      <c r="C2938" s="7">
        <f>MONTH(A2938)</f>
        <v/>
      </c>
      <c r="D2938" s="10" t="n">
        <v>0</v>
      </c>
      <c r="E2938" s="11" t="n">
        <v>0.6086986017</v>
      </c>
      <c r="F2938" s="12" t="n">
        <v>0</v>
      </c>
      <c r="G2938" s="11" t="n">
        <v>275.5343796</v>
      </c>
      <c r="H2938" s="13">
        <f>F2938*1000</f>
        <v/>
      </c>
      <c r="I2938" s="14">
        <f>G2938-273.15</f>
        <v/>
      </c>
      <c r="K2938" s="15" t="n">
        <v>2009</v>
      </c>
      <c r="L2938" s="15" t="n">
        <v>2</v>
      </c>
      <c r="M2938" s="15" t="n">
        <v>24</v>
      </c>
      <c r="N2938" s="16" t="n">
        <v>7.457467015e-06</v>
      </c>
      <c r="O2938" s="11" t="n">
        <v>283.1029652</v>
      </c>
      <c r="P2938" s="13">
        <f>N2938*86400</f>
        <v/>
      </c>
      <c r="Q2938" s="14">
        <f>O2938-273.15</f>
        <v/>
      </c>
    </row>
    <row r="2939">
      <c r="A2939" s="9" t="n">
        <v>39826</v>
      </c>
      <c r="B2939" s="7">
        <f>YEAR(A2939)</f>
        <v/>
      </c>
      <c r="C2939" s="7">
        <f>MONTH(A2939)</f>
        <v/>
      </c>
      <c r="D2939" s="10" t="n">
        <v>0.1860470681</v>
      </c>
      <c r="E2939" s="11" t="n">
        <v>0.6964091730999999</v>
      </c>
      <c r="F2939" s="12" t="n">
        <v>0</v>
      </c>
      <c r="G2939" s="11" t="n">
        <v>275.5347364</v>
      </c>
      <c r="H2939" s="13">
        <f>F2939*1000</f>
        <v/>
      </c>
      <c r="I2939" s="14">
        <f>G2939-273.15</f>
        <v/>
      </c>
      <c r="K2939" s="15" t="n">
        <v>2009</v>
      </c>
      <c r="L2939" s="15" t="n">
        <v>2</v>
      </c>
      <c r="M2939" s="15" t="n">
        <v>25</v>
      </c>
      <c r="N2939" s="16" t="n">
        <v>7.396843358e-06</v>
      </c>
      <c r="O2939" s="11" t="n">
        <v>283.3890116</v>
      </c>
      <c r="P2939" s="13">
        <f>N2939*86400</f>
        <v/>
      </c>
      <c r="Q2939" s="14">
        <f>O2939-273.15</f>
        <v/>
      </c>
    </row>
    <row r="2940">
      <c r="A2940" s="9" t="n">
        <v>39827</v>
      </c>
      <c r="B2940" s="7">
        <f>YEAR(A2940)</f>
        <v/>
      </c>
      <c r="C2940" s="7">
        <f>MONTH(A2940)</f>
        <v/>
      </c>
      <c r="D2940" s="10" t="n">
        <v>0</v>
      </c>
      <c r="E2940" s="11" t="n">
        <v>0.4426409996</v>
      </c>
      <c r="F2940" s="12" t="n">
        <v>0.0003176183528</v>
      </c>
      <c r="G2940" s="11" t="n">
        <v>274.5916424</v>
      </c>
      <c r="H2940" s="13">
        <f>F2940*1000</f>
        <v/>
      </c>
      <c r="I2940" s="14">
        <f>G2940-273.15</f>
        <v/>
      </c>
      <c r="K2940" s="15" t="n">
        <v>2009</v>
      </c>
      <c r="L2940" s="15" t="n">
        <v>2</v>
      </c>
      <c r="M2940" s="15" t="n">
        <v>26</v>
      </c>
      <c r="N2940" s="16" t="n">
        <v>2.39927692e-05</v>
      </c>
      <c r="O2940" s="11" t="n">
        <v>282.7204075</v>
      </c>
      <c r="P2940" s="13">
        <f>N2940*86400</f>
        <v/>
      </c>
      <c r="Q2940" s="14">
        <f>O2940-273.15</f>
        <v/>
      </c>
    </row>
    <row r="2941">
      <c r="A2941" s="9" t="n">
        <v>39828</v>
      </c>
      <c r="B2941" s="7">
        <f>YEAR(A2941)</f>
        <v/>
      </c>
      <c r="C2941" s="7">
        <f>MONTH(A2941)</f>
        <v/>
      </c>
      <c r="D2941" s="10" t="n">
        <v>0</v>
      </c>
      <c r="E2941" s="11" t="n">
        <v>4.557501719</v>
      </c>
      <c r="F2941" s="12" t="n">
        <v>0</v>
      </c>
      <c r="G2941" s="11" t="n">
        <v>277.8064134</v>
      </c>
      <c r="H2941" s="13">
        <f>F2941*1000</f>
        <v/>
      </c>
      <c r="I2941" s="14">
        <f>G2941-273.15</f>
        <v/>
      </c>
      <c r="K2941" s="15" t="n">
        <v>2009</v>
      </c>
      <c r="L2941" s="15" t="n">
        <v>2</v>
      </c>
      <c r="M2941" s="15" t="n">
        <v>27</v>
      </c>
      <c r="N2941" s="16" t="n">
        <v>2.270505729e-05</v>
      </c>
      <c r="O2941" s="11" t="n">
        <v>282.1947534</v>
      </c>
      <c r="P2941" s="13">
        <f>N2941*86400</f>
        <v/>
      </c>
      <c r="Q2941" s="14">
        <f>O2941-273.15</f>
        <v/>
      </c>
    </row>
    <row r="2942">
      <c r="A2942" s="9" t="n">
        <v>39829</v>
      </c>
      <c r="B2942" s="7">
        <f>YEAR(A2942)</f>
        <v/>
      </c>
      <c r="C2942" s="7">
        <f>MONTH(A2942)</f>
        <v/>
      </c>
      <c r="D2942" s="10" t="n">
        <v>0.1119219434</v>
      </c>
      <c r="E2942" s="11" t="n">
        <v>3.299039265</v>
      </c>
      <c r="F2942" s="12" t="n">
        <v>0.0001297627677</v>
      </c>
      <c r="G2942" s="11" t="n">
        <v>277.5396399</v>
      </c>
      <c r="H2942" s="13">
        <f>F2942*1000</f>
        <v/>
      </c>
      <c r="I2942" s="14">
        <f>G2942-273.15</f>
        <v/>
      </c>
      <c r="K2942" s="15" t="n">
        <v>2009</v>
      </c>
      <c r="L2942" s="15" t="n">
        <v>2</v>
      </c>
      <c r="M2942" s="15" t="n">
        <v>28</v>
      </c>
      <c r="N2942" s="16" t="n">
        <v>5.072961377e-05</v>
      </c>
      <c r="O2942" s="11" t="n">
        <v>283.8072257</v>
      </c>
      <c r="P2942" s="13">
        <f>N2942*86400</f>
        <v/>
      </c>
      <c r="Q2942" s="14">
        <f>O2942-273.15</f>
        <v/>
      </c>
    </row>
    <row r="2943">
      <c r="A2943" s="9" t="n">
        <v>39830</v>
      </c>
      <c r="B2943" s="7">
        <f>YEAR(A2943)</f>
        <v/>
      </c>
      <c r="C2943" s="7">
        <f>MONTH(A2943)</f>
        <v/>
      </c>
      <c r="D2943" s="10" t="n">
        <v>7.81920001</v>
      </c>
      <c r="E2943" s="11" t="n">
        <v>4.695654233</v>
      </c>
      <c r="F2943" s="12" t="n">
        <v>0.0018531926</v>
      </c>
      <c r="G2943" s="11" t="n">
        <v>279.1432747</v>
      </c>
      <c r="H2943" s="13">
        <f>F2943*1000</f>
        <v/>
      </c>
      <c r="I2943" s="14">
        <f>G2943-273.15</f>
        <v/>
      </c>
      <c r="K2943" s="15" t="n">
        <v>2009</v>
      </c>
      <c r="L2943" s="15" t="n">
        <v>2</v>
      </c>
      <c r="M2943" s="15" t="n">
        <v>29</v>
      </c>
      <c r="N2943" s="16" t="n">
        <v>1.576985368e-06</v>
      </c>
      <c r="O2943" s="11" t="n">
        <v>284.5641131</v>
      </c>
      <c r="P2943" s="13">
        <f>N2943*86400</f>
        <v/>
      </c>
      <c r="Q2943" s="14">
        <f>O2943-273.15</f>
        <v/>
      </c>
    </row>
    <row r="2944">
      <c r="A2944" s="9" t="n">
        <v>39831</v>
      </c>
      <c r="B2944" s="7">
        <f>YEAR(A2944)</f>
        <v/>
      </c>
      <c r="C2944" s="7">
        <f>MONTH(A2944)</f>
        <v/>
      </c>
      <c r="D2944" s="10" t="n">
        <v>0.7121446466</v>
      </c>
      <c r="E2944" s="11" t="n">
        <v>2.475482876</v>
      </c>
      <c r="F2944" s="12" t="n">
        <v>0.001223560234</v>
      </c>
      <c r="G2944" s="11" t="n">
        <v>277.6379833</v>
      </c>
      <c r="H2944" s="13">
        <f>F2944*1000</f>
        <v/>
      </c>
      <c r="I2944" s="14">
        <f>G2944-273.15</f>
        <v/>
      </c>
      <c r="K2944" s="15" t="n">
        <v>2009</v>
      </c>
      <c r="L2944" s="15" t="n">
        <v>2</v>
      </c>
      <c r="M2944" s="15" t="n">
        <v>30</v>
      </c>
      <c r="N2944" s="16" t="n">
        <v>0</v>
      </c>
      <c r="O2944" s="11" t="n">
        <v>282.6835657</v>
      </c>
      <c r="P2944" s="13">
        <f>N2944*86400</f>
        <v/>
      </c>
      <c r="Q2944" s="14">
        <f>O2944-273.15</f>
        <v/>
      </c>
    </row>
    <row r="2945">
      <c r="A2945" s="9" t="n">
        <v>39832</v>
      </c>
      <c r="B2945" s="7">
        <f>YEAR(A2945)</f>
        <v/>
      </c>
      <c r="C2945" s="7">
        <f>MONTH(A2945)</f>
        <v/>
      </c>
      <c r="D2945" s="10" t="n">
        <v>0</v>
      </c>
      <c r="E2945" s="11" t="n">
        <v>1.313692271</v>
      </c>
      <c r="F2945" s="12" t="n">
        <v>0.0004827573013</v>
      </c>
      <c r="G2945" s="11" t="n">
        <v>277.3710112</v>
      </c>
      <c r="H2945" s="13">
        <f>F2945*1000</f>
        <v/>
      </c>
      <c r="I2945" s="14">
        <f>G2945-273.15</f>
        <v/>
      </c>
      <c r="K2945" s="15" t="n">
        <v>2009</v>
      </c>
      <c r="L2945" s="15" t="n">
        <v>3</v>
      </c>
      <c r="M2945" s="15" t="n">
        <v>1</v>
      </c>
      <c r="N2945" s="16" t="n">
        <v>0</v>
      </c>
      <c r="O2945" s="11" t="n">
        <v>284.5545421</v>
      </c>
      <c r="P2945" s="13">
        <f>N2945*86400</f>
        <v/>
      </c>
      <c r="Q2945" s="14">
        <f>O2945-273.15</f>
        <v/>
      </c>
    </row>
    <row r="2946">
      <c r="A2946" s="9" t="n">
        <v>39833</v>
      </c>
      <c r="B2946" s="7">
        <f>YEAR(A2946)</f>
        <v/>
      </c>
      <c r="C2946" s="7">
        <f>MONTH(A2946)</f>
        <v/>
      </c>
      <c r="D2946" s="10" t="n">
        <v>0</v>
      </c>
      <c r="E2946" s="11" t="n">
        <v>2.992830275</v>
      </c>
      <c r="F2946" s="12" t="n">
        <v>0</v>
      </c>
      <c r="G2946" s="11" t="n">
        <v>278.7221386</v>
      </c>
      <c r="H2946" s="13">
        <f>F2946*1000</f>
        <v/>
      </c>
      <c r="I2946" s="14">
        <f>G2946-273.15</f>
        <v/>
      </c>
      <c r="K2946" s="15" t="n">
        <v>2009</v>
      </c>
      <c r="L2946" s="15" t="n">
        <v>3</v>
      </c>
      <c r="M2946" s="15" t="n">
        <v>2</v>
      </c>
      <c r="N2946" s="16" t="n">
        <v>0</v>
      </c>
      <c r="O2946" s="11" t="n">
        <v>285.1737762</v>
      </c>
      <c r="P2946" s="13">
        <f>N2946*86400</f>
        <v/>
      </c>
      <c r="Q2946" s="14">
        <f>O2946-273.15</f>
        <v/>
      </c>
    </row>
    <row r="2947">
      <c r="A2947" s="9" t="n">
        <v>39834</v>
      </c>
      <c r="B2947" s="7">
        <f>YEAR(A2947)</f>
        <v/>
      </c>
      <c r="C2947" s="7">
        <f>MONTH(A2947)</f>
        <v/>
      </c>
      <c r="D2947" s="10" t="n">
        <v>0</v>
      </c>
      <c r="E2947" s="11" t="n">
        <v>-0.7685095747</v>
      </c>
      <c r="F2947" s="12" t="n">
        <v>0.0006150856041</v>
      </c>
      <c r="G2947" s="11" t="n">
        <v>276.3100313</v>
      </c>
      <c r="H2947" s="13">
        <f>F2947*1000</f>
        <v/>
      </c>
      <c r="I2947" s="14">
        <f>G2947-273.15</f>
        <v/>
      </c>
      <c r="K2947" s="15" t="n">
        <v>2009</v>
      </c>
      <c r="L2947" s="15" t="n">
        <v>3</v>
      </c>
      <c r="M2947" s="15" t="n">
        <v>3</v>
      </c>
      <c r="N2947" s="16" t="n">
        <v>4.293066643e-06</v>
      </c>
      <c r="O2947" s="11" t="n">
        <v>285.5248524</v>
      </c>
      <c r="P2947" s="13">
        <f>N2947*86400</f>
        <v/>
      </c>
      <c r="Q2947" s="14">
        <f>O2947-273.15</f>
        <v/>
      </c>
    </row>
    <row r="2948">
      <c r="A2948" s="9" t="n">
        <v>39835</v>
      </c>
      <c r="B2948" s="7">
        <f>YEAR(A2948)</f>
        <v/>
      </c>
      <c r="C2948" s="7">
        <f>MONTH(A2948)</f>
        <v/>
      </c>
      <c r="D2948" s="10" t="n">
        <v>12.1963603</v>
      </c>
      <c r="E2948" s="11" t="n">
        <v>1.287721377</v>
      </c>
      <c r="F2948" s="12" t="n">
        <v>0.009783593338</v>
      </c>
      <c r="G2948" s="11" t="n">
        <v>278.0810586</v>
      </c>
      <c r="H2948" s="13">
        <f>F2948*1000</f>
        <v/>
      </c>
      <c r="I2948" s="14">
        <f>G2948-273.15</f>
        <v/>
      </c>
      <c r="K2948" s="15" t="n">
        <v>2009</v>
      </c>
      <c r="L2948" s="15" t="n">
        <v>3</v>
      </c>
      <c r="M2948" s="15" t="n">
        <v>4</v>
      </c>
      <c r="N2948" s="16" t="n">
        <v>4.474266007e-05</v>
      </c>
      <c r="O2948" s="11" t="n">
        <v>284.235197</v>
      </c>
      <c r="P2948" s="13">
        <f>N2948*86400</f>
        <v/>
      </c>
      <c r="Q2948" s="14">
        <f>O2948-273.15</f>
        <v/>
      </c>
    </row>
    <row r="2949">
      <c r="A2949" s="9" t="n">
        <v>39836</v>
      </c>
      <c r="B2949" s="7">
        <f>YEAR(A2949)</f>
        <v/>
      </c>
      <c r="C2949" s="7">
        <f>MONTH(A2949)</f>
        <v/>
      </c>
      <c r="D2949" s="10" t="n">
        <v>20.5282655</v>
      </c>
      <c r="E2949" s="11" t="n">
        <v>2.647631391</v>
      </c>
      <c r="F2949" s="12" t="n">
        <v>0.01552570743</v>
      </c>
      <c r="G2949" s="11" t="n">
        <v>279.191838</v>
      </c>
      <c r="H2949" s="13">
        <f>F2949*1000</f>
        <v/>
      </c>
      <c r="I2949" s="14">
        <f>G2949-273.15</f>
        <v/>
      </c>
      <c r="K2949" s="15" t="n">
        <v>2009</v>
      </c>
      <c r="L2949" s="15" t="n">
        <v>3</v>
      </c>
      <c r="M2949" s="15" t="n">
        <v>5</v>
      </c>
      <c r="N2949" s="16" t="n">
        <v>2.611798839e-06</v>
      </c>
      <c r="O2949" s="11" t="n">
        <v>284.409728</v>
      </c>
      <c r="P2949" s="13">
        <f>N2949*86400</f>
        <v/>
      </c>
      <c r="Q2949" s="14">
        <f>O2949-273.15</f>
        <v/>
      </c>
    </row>
    <row r="2950">
      <c r="A2950" s="9" t="n">
        <v>39837</v>
      </c>
      <c r="B2950" s="7">
        <f>YEAR(A2950)</f>
        <v/>
      </c>
      <c r="C2950" s="7">
        <f>MONTH(A2950)</f>
        <v/>
      </c>
      <c r="D2950" s="10" t="n">
        <v>0</v>
      </c>
      <c r="E2950" s="11" t="n">
        <v>3.561875532</v>
      </c>
      <c r="F2950" s="12" t="n">
        <v>0.001276946254</v>
      </c>
      <c r="G2950" s="11" t="n">
        <v>279.8574265</v>
      </c>
      <c r="H2950" s="13">
        <f>F2950*1000</f>
        <v/>
      </c>
      <c r="I2950" s="14">
        <f>G2950-273.15</f>
        <v/>
      </c>
      <c r="K2950" s="15" t="n">
        <v>2009</v>
      </c>
      <c r="L2950" s="15" t="n">
        <v>3</v>
      </c>
      <c r="M2950" s="15" t="n">
        <v>6</v>
      </c>
      <c r="N2950" s="16" t="n">
        <v>0</v>
      </c>
      <c r="O2950" s="11" t="n">
        <v>284.2643796</v>
      </c>
      <c r="P2950" s="13">
        <f>N2950*86400</f>
        <v/>
      </c>
      <c r="Q2950" s="14">
        <f>O2950-273.15</f>
        <v/>
      </c>
    </row>
    <row r="2951">
      <c r="A2951" s="9" t="n">
        <v>39838</v>
      </c>
      <c r="B2951" s="7">
        <f>YEAR(A2951)</f>
        <v/>
      </c>
      <c r="C2951" s="7">
        <f>MONTH(A2951)</f>
        <v/>
      </c>
      <c r="D2951" s="10" t="n">
        <v>0</v>
      </c>
      <c r="E2951" s="11" t="n">
        <v>2.953692847</v>
      </c>
      <c r="F2951" s="12" t="n">
        <v>0</v>
      </c>
      <c r="G2951" s="11" t="n">
        <v>279.2862837</v>
      </c>
      <c r="H2951" s="13">
        <f>F2951*1000</f>
        <v/>
      </c>
      <c r="I2951" s="14">
        <f>G2951-273.15</f>
        <v/>
      </c>
      <c r="K2951" s="15" t="n">
        <v>2009</v>
      </c>
      <c r="L2951" s="15" t="n">
        <v>3</v>
      </c>
      <c r="M2951" s="15" t="n">
        <v>7</v>
      </c>
      <c r="N2951" s="16" t="n">
        <v>0</v>
      </c>
      <c r="O2951" s="11" t="n">
        <v>285.3528229</v>
      </c>
      <c r="P2951" s="13">
        <f>N2951*86400</f>
        <v/>
      </c>
      <c r="Q2951" s="14">
        <f>O2951-273.15</f>
        <v/>
      </c>
    </row>
    <row r="2952">
      <c r="A2952" s="9" t="n">
        <v>39839</v>
      </c>
      <c r="B2952" s="7">
        <f>YEAR(A2952)</f>
        <v/>
      </c>
      <c r="C2952" s="7">
        <f>MONTH(A2952)</f>
        <v/>
      </c>
      <c r="D2952" s="10" t="n">
        <v>0</v>
      </c>
      <c r="E2952" s="11" t="n">
        <v>3.944507512</v>
      </c>
      <c r="F2952" s="12" t="n">
        <v>0</v>
      </c>
      <c r="G2952" s="11" t="n">
        <v>280.3667854</v>
      </c>
      <c r="H2952" s="13">
        <f>F2952*1000</f>
        <v/>
      </c>
      <c r="I2952" s="14">
        <f>G2952-273.15</f>
        <v/>
      </c>
      <c r="K2952" s="15" t="n">
        <v>2009</v>
      </c>
      <c r="L2952" s="15" t="n">
        <v>3</v>
      </c>
      <c r="M2952" s="15" t="n">
        <v>8</v>
      </c>
      <c r="N2952" s="16" t="n">
        <v>0</v>
      </c>
      <c r="O2952" s="11" t="n">
        <v>287.5848866</v>
      </c>
      <c r="P2952" s="13">
        <f>N2952*86400</f>
        <v/>
      </c>
      <c r="Q2952" s="14">
        <f>O2952-273.15</f>
        <v/>
      </c>
    </row>
    <row r="2953">
      <c r="A2953" s="9" t="n">
        <v>39840</v>
      </c>
      <c r="B2953" s="7">
        <f>YEAR(A2953)</f>
        <v/>
      </c>
      <c r="C2953" s="7">
        <f>MONTH(A2953)</f>
        <v/>
      </c>
      <c r="D2953" s="10" t="n">
        <v>0</v>
      </c>
      <c r="E2953" s="11" t="n">
        <v>2.606821635</v>
      </c>
      <c r="F2953" s="12" t="n">
        <v>0</v>
      </c>
      <c r="G2953" s="11" t="n">
        <v>278.6561308</v>
      </c>
      <c r="H2953" s="13">
        <f>F2953*1000</f>
        <v/>
      </c>
      <c r="I2953" s="14">
        <f>G2953-273.15</f>
        <v/>
      </c>
      <c r="K2953" s="15" t="n">
        <v>2009</v>
      </c>
      <c r="L2953" s="15" t="n">
        <v>3</v>
      </c>
      <c r="M2953" s="15" t="n">
        <v>9</v>
      </c>
      <c r="N2953" s="16" t="n">
        <v>4.093805486e-08</v>
      </c>
      <c r="O2953" s="11" t="n">
        <v>287.9949109</v>
      </c>
      <c r="P2953" s="13">
        <f>N2953*86400</f>
        <v/>
      </c>
      <c r="Q2953" s="14">
        <f>O2953-273.15</f>
        <v/>
      </c>
    </row>
    <row r="2954">
      <c r="A2954" s="9" t="n">
        <v>39841</v>
      </c>
      <c r="B2954" s="7">
        <f>YEAR(A2954)</f>
        <v/>
      </c>
      <c r="C2954" s="7">
        <f>MONTH(A2954)</f>
        <v/>
      </c>
      <c r="D2954" s="10" t="n">
        <v>0</v>
      </c>
      <c r="E2954" s="11" t="n">
        <v>2.994257201</v>
      </c>
      <c r="F2954" s="12" t="n">
        <v>0</v>
      </c>
      <c r="G2954" s="11" t="n">
        <v>278.6811771</v>
      </c>
      <c r="H2954" s="13">
        <f>F2954*1000</f>
        <v/>
      </c>
      <c r="I2954" s="14">
        <f>G2954-273.15</f>
        <v/>
      </c>
      <c r="K2954" s="15" t="n">
        <v>2009</v>
      </c>
      <c r="L2954" s="15" t="n">
        <v>3</v>
      </c>
      <c r="M2954" s="15" t="n">
        <v>10</v>
      </c>
      <c r="N2954" s="16" t="n">
        <v>1.020311456e-06</v>
      </c>
      <c r="O2954" s="11" t="n">
        <v>287.8670068</v>
      </c>
      <c r="P2954" s="13">
        <f>N2954*86400</f>
        <v/>
      </c>
      <c r="Q2954" s="14">
        <f>O2954-273.15</f>
        <v/>
      </c>
    </row>
    <row r="2955">
      <c r="A2955" s="9" t="n">
        <v>39842</v>
      </c>
      <c r="B2955" s="7">
        <f>YEAR(A2955)</f>
        <v/>
      </c>
      <c r="C2955" s="7">
        <f>MONTH(A2955)</f>
        <v/>
      </c>
      <c r="D2955" s="10" t="n">
        <v>0</v>
      </c>
      <c r="E2955" s="11" t="n">
        <v>3.495712812</v>
      </c>
      <c r="F2955" s="12" t="n">
        <v>0</v>
      </c>
      <c r="G2955" s="11" t="n">
        <v>277.7769728</v>
      </c>
      <c r="H2955" s="13">
        <f>F2955*1000</f>
        <v/>
      </c>
      <c r="I2955" s="14">
        <f>G2955-273.15</f>
        <v/>
      </c>
      <c r="K2955" s="15" t="n">
        <v>2009</v>
      </c>
      <c r="L2955" s="15" t="n">
        <v>3</v>
      </c>
      <c r="M2955" s="15" t="n">
        <v>11</v>
      </c>
      <c r="N2955" s="16" t="n">
        <v>1.017908597e-06</v>
      </c>
      <c r="O2955" s="11" t="n">
        <v>287.8909491</v>
      </c>
      <c r="P2955" s="13">
        <f>N2955*86400</f>
        <v/>
      </c>
      <c r="Q2955" s="14">
        <f>O2955-273.15</f>
        <v/>
      </c>
    </row>
    <row r="2956">
      <c r="A2956" s="9" t="n">
        <v>39843</v>
      </c>
      <c r="B2956" s="7">
        <f>YEAR(A2956)</f>
        <v/>
      </c>
      <c r="C2956" s="7">
        <f>MONTH(A2956)</f>
        <v/>
      </c>
      <c r="D2956" s="10" t="n">
        <v>0</v>
      </c>
      <c r="E2956" s="11" t="n">
        <v>4.185951248</v>
      </c>
      <c r="F2956" s="12" t="n">
        <v>0</v>
      </c>
      <c r="G2956" s="11" t="n">
        <v>279.0609598</v>
      </c>
      <c r="H2956" s="13">
        <f>F2956*1000</f>
        <v/>
      </c>
      <c r="I2956" s="14">
        <f>G2956-273.15</f>
        <v/>
      </c>
      <c r="K2956" s="15" t="n">
        <v>2009</v>
      </c>
      <c r="L2956" s="15" t="n">
        <v>3</v>
      </c>
      <c r="M2956" s="15" t="n">
        <v>12</v>
      </c>
      <c r="N2956" s="16" t="n">
        <v>9.395087677e-08</v>
      </c>
      <c r="O2956" s="11" t="n">
        <v>286.7850774</v>
      </c>
      <c r="P2956" s="13">
        <f>N2956*86400</f>
        <v/>
      </c>
      <c r="Q2956" s="14">
        <f>O2956-273.15</f>
        <v/>
      </c>
    </row>
    <row r="2957">
      <c r="A2957" s="9" t="n">
        <v>39844</v>
      </c>
      <c r="B2957" s="7">
        <f>YEAR(A2957)</f>
        <v/>
      </c>
      <c r="C2957" s="7">
        <f>MONTH(A2957)</f>
        <v/>
      </c>
      <c r="D2957" s="10" t="n">
        <v>0</v>
      </c>
      <c r="E2957" s="11" t="n">
        <v>4.978495628</v>
      </c>
      <c r="F2957" s="12" t="n">
        <v>0</v>
      </c>
      <c r="G2957" s="11" t="n">
        <v>280.154392</v>
      </c>
      <c r="H2957" s="13">
        <f>F2957*1000</f>
        <v/>
      </c>
      <c r="I2957" s="14">
        <f>G2957-273.15</f>
        <v/>
      </c>
      <c r="K2957" s="15" t="n">
        <v>2009</v>
      </c>
      <c r="L2957" s="15" t="n">
        <v>3</v>
      </c>
      <c r="M2957" s="15" t="n">
        <v>13</v>
      </c>
      <c r="N2957" s="16" t="n">
        <v>0</v>
      </c>
      <c r="O2957" s="11" t="n">
        <v>286.8250728</v>
      </c>
      <c r="P2957" s="13">
        <f>N2957*86400</f>
        <v/>
      </c>
      <c r="Q2957" s="14">
        <f>O2957-273.15</f>
        <v/>
      </c>
    </row>
    <row r="2958">
      <c r="A2958" s="9" t="n">
        <v>39845</v>
      </c>
      <c r="B2958" s="7">
        <f>YEAR(A2958)</f>
        <v/>
      </c>
      <c r="C2958" s="7">
        <f>MONTH(A2958)</f>
        <v/>
      </c>
      <c r="D2958" s="10" t="n">
        <v>0.09524612433</v>
      </c>
      <c r="E2958" s="11" t="n">
        <v>2.746236284</v>
      </c>
      <c r="F2958" s="12" t="n">
        <v>0</v>
      </c>
      <c r="G2958" s="11" t="n">
        <v>278.7251498</v>
      </c>
      <c r="H2958" s="13">
        <f>F2958*1000</f>
        <v/>
      </c>
      <c r="I2958" s="14">
        <f>G2958-273.15</f>
        <v/>
      </c>
      <c r="K2958" s="15" t="n">
        <v>2009</v>
      </c>
      <c r="L2958" s="15" t="n">
        <v>3</v>
      </c>
      <c r="M2958" s="15" t="n">
        <v>14</v>
      </c>
      <c r="N2958" s="16" t="n">
        <v>2.342869225e-06</v>
      </c>
      <c r="O2958" s="11" t="n">
        <v>287.0013473</v>
      </c>
      <c r="P2958" s="13">
        <f>N2958*86400</f>
        <v/>
      </c>
      <c r="Q2958" s="14">
        <f>O2958-273.15</f>
        <v/>
      </c>
    </row>
    <row r="2959">
      <c r="A2959" s="9" t="n">
        <v>39846</v>
      </c>
      <c r="B2959" s="7">
        <f>YEAR(A2959)</f>
        <v/>
      </c>
      <c r="C2959" s="7">
        <f>MONTH(A2959)</f>
        <v/>
      </c>
      <c r="D2959" s="10" t="n">
        <v>0</v>
      </c>
      <c r="E2959" s="11" t="n">
        <v>4.81057114</v>
      </c>
      <c r="F2959" s="12" t="n">
        <v>0.001844548828</v>
      </c>
      <c r="G2959" s="11" t="n">
        <v>280.7101933</v>
      </c>
      <c r="H2959" s="13">
        <f>F2959*1000</f>
        <v/>
      </c>
      <c r="I2959" s="14">
        <f>G2959-273.15</f>
        <v/>
      </c>
      <c r="K2959" s="15" t="n">
        <v>2009</v>
      </c>
      <c r="L2959" s="15" t="n">
        <v>3</v>
      </c>
      <c r="M2959" s="15" t="n">
        <v>15</v>
      </c>
      <c r="N2959" s="16" t="n">
        <v>4.282900903e-05</v>
      </c>
      <c r="O2959" s="11" t="n">
        <v>288.065024</v>
      </c>
      <c r="P2959" s="13">
        <f>N2959*86400</f>
        <v/>
      </c>
      <c r="Q2959" s="14">
        <f>O2959-273.15</f>
        <v/>
      </c>
    </row>
    <row r="2960">
      <c r="A2960" s="9" t="n">
        <v>39847</v>
      </c>
      <c r="B2960" s="7">
        <f>YEAR(A2960)</f>
        <v/>
      </c>
      <c r="C2960" s="7">
        <f>MONTH(A2960)</f>
        <v/>
      </c>
      <c r="D2960" s="10" t="n">
        <v>2.794296792</v>
      </c>
      <c r="E2960" s="11" t="n">
        <v>5.238557388</v>
      </c>
      <c r="F2960" s="12" t="n">
        <v>0.004521885673</v>
      </c>
      <c r="G2960" s="11" t="n">
        <v>280.9686875</v>
      </c>
      <c r="H2960" s="13">
        <f>F2960*1000</f>
        <v/>
      </c>
      <c r="I2960" s="14">
        <f>G2960-273.15</f>
        <v/>
      </c>
      <c r="K2960" s="15" t="n">
        <v>2009</v>
      </c>
      <c r="L2960" s="15" t="n">
        <v>3</v>
      </c>
      <c r="M2960" s="15" t="n">
        <v>16</v>
      </c>
      <c r="N2960" s="16" t="n">
        <v>0</v>
      </c>
      <c r="O2960" s="11" t="n">
        <v>288.3856833</v>
      </c>
      <c r="P2960" s="13">
        <f>N2960*86400</f>
        <v/>
      </c>
      <c r="Q2960" s="14">
        <f>O2960-273.15</f>
        <v/>
      </c>
    </row>
    <row r="2961">
      <c r="A2961" s="9" t="n">
        <v>39848</v>
      </c>
      <c r="B2961" s="7">
        <f>YEAR(A2961)</f>
        <v/>
      </c>
      <c r="C2961" s="7">
        <f>MONTH(A2961)</f>
        <v/>
      </c>
      <c r="D2961" s="10" t="n">
        <v>7.306157402</v>
      </c>
      <c r="E2961" s="11" t="n">
        <v>8.508001762999999</v>
      </c>
      <c r="F2961" s="12" t="n">
        <v>0.006803655895</v>
      </c>
      <c r="G2961" s="11" t="n">
        <v>282.3015854</v>
      </c>
      <c r="H2961" s="13">
        <f>F2961*1000</f>
        <v/>
      </c>
      <c r="I2961" s="14">
        <f>G2961-273.15</f>
        <v/>
      </c>
      <c r="K2961" s="15" t="n">
        <v>2009</v>
      </c>
      <c r="L2961" s="15" t="n">
        <v>3</v>
      </c>
      <c r="M2961" s="15" t="n">
        <v>17</v>
      </c>
      <c r="N2961" s="16" t="n">
        <v>2.292591651e-05</v>
      </c>
      <c r="O2961" s="11" t="n">
        <v>285.8064958</v>
      </c>
      <c r="P2961" s="13">
        <f>N2961*86400</f>
        <v/>
      </c>
      <c r="Q2961" s="14">
        <f>O2961-273.15</f>
        <v/>
      </c>
    </row>
    <row r="2962">
      <c r="A2962" s="9" t="n">
        <v>39849</v>
      </c>
      <c r="B2962" s="7">
        <f>YEAR(A2962)</f>
        <v/>
      </c>
      <c r="C2962" s="7">
        <f>MONTH(A2962)</f>
        <v/>
      </c>
      <c r="D2962" s="10" t="n">
        <v>11.74067512</v>
      </c>
      <c r="E2962" s="11" t="n">
        <v>9.998922822000001</v>
      </c>
      <c r="F2962" s="12" t="n">
        <v>0.004511109563</v>
      </c>
      <c r="G2962" s="11" t="n">
        <v>283.2133355</v>
      </c>
      <c r="H2962" s="13">
        <f>F2962*1000</f>
        <v/>
      </c>
      <c r="I2962" s="14">
        <f>G2962-273.15</f>
        <v/>
      </c>
      <c r="K2962" s="15" t="n">
        <v>2009</v>
      </c>
      <c r="L2962" s="15" t="n">
        <v>3</v>
      </c>
      <c r="M2962" s="15" t="n">
        <v>18</v>
      </c>
      <c r="N2962" s="16" t="n">
        <v>2.143551631e-05</v>
      </c>
      <c r="O2962" s="11" t="n">
        <v>286.4033552</v>
      </c>
      <c r="P2962" s="13">
        <f>N2962*86400</f>
        <v/>
      </c>
      <c r="Q2962" s="14">
        <f>O2962-273.15</f>
        <v/>
      </c>
    </row>
    <row r="2963">
      <c r="A2963" s="9" t="n">
        <v>39850</v>
      </c>
      <c r="B2963" s="7">
        <f>YEAR(A2963)</f>
        <v/>
      </c>
      <c r="C2963" s="7">
        <f>MONTH(A2963)</f>
        <v/>
      </c>
      <c r="D2963" s="10" t="n">
        <v>0</v>
      </c>
      <c r="E2963" s="11" t="n">
        <v>10.74189306</v>
      </c>
      <c r="F2963" s="12" t="n">
        <v>0</v>
      </c>
      <c r="G2963" s="11" t="n">
        <v>283.8168749</v>
      </c>
      <c r="H2963" s="13">
        <f>F2963*1000</f>
        <v/>
      </c>
      <c r="I2963" s="14">
        <f>G2963-273.15</f>
        <v/>
      </c>
      <c r="K2963" s="15" t="n">
        <v>2009</v>
      </c>
      <c r="L2963" s="15" t="n">
        <v>3</v>
      </c>
      <c r="M2963" s="15" t="n">
        <v>19</v>
      </c>
      <c r="N2963" s="16" t="n">
        <v>3.863151484e-05</v>
      </c>
      <c r="O2963" s="11" t="n">
        <v>287.6600307</v>
      </c>
      <c r="P2963" s="13">
        <f>N2963*86400</f>
        <v/>
      </c>
      <c r="Q2963" s="14">
        <f>O2963-273.15</f>
        <v/>
      </c>
    </row>
    <row r="2964">
      <c r="A2964" s="9" t="n">
        <v>39851</v>
      </c>
      <c r="B2964" s="7">
        <f>YEAR(A2964)</f>
        <v/>
      </c>
      <c r="C2964" s="7">
        <f>MONTH(A2964)</f>
        <v/>
      </c>
      <c r="D2964" s="10" t="n">
        <v>0</v>
      </c>
      <c r="E2964" s="11" t="n">
        <v>8.451858018999999</v>
      </c>
      <c r="F2964" s="12" t="n">
        <v>0.001100954444</v>
      </c>
      <c r="G2964" s="11" t="n">
        <v>282.9449917</v>
      </c>
      <c r="H2964" s="13">
        <f>F2964*1000</f>
        <v/>
      </c>
      <c r="I2964" s="14">
        <f>G2964-273.15</f>
        <v/>
      </c>
      <c r="K2964" s="15" t="n">
        <v>2009</v>
      </c>
      <c r="L2964" s="15" t="n">
        <v>3</v>
      </c>
      <c r="M2964" s="15" t="n">
        <v>20</v>
      </c>
      <c r="N2964" s="16" t="n">
        <v>4.677895883e-06</v>
      </c>
      <c r="O2964" s="11" t="n">
        <v>287.3642538</v>
      </c>
      <c r="P2964" s="13">
        <f>N2964*86400</f>
        <v/>
      </c>
      <c r="Q2964" s="14">
        <f>O2964-273.15</f>
        <v/>
      </c>
    </row>
    <row r="2965">
      <c r="A2965" s="9" t="n">
        <v>39852</v>
      </c>
      <c r="B2965" s="7">
        <f>YEAR(A2965)</f>
        <v/>
      </c>
      <c r="C2965" s="7">
        <f>MONTH(A2965)</f>
        <v/>
      </c>
      <c r="D2965" s="10" t="n">
        <v>0</v>
      </c>
      <c r="E2965" s="11" t="n">
        <v>8.828239643</v>
      </c>
      <c r="F2965" s="12" t="n">
        <v>2.40546531e-05</v>
      </c>
      <c r="G2965" s="11" t="n">
        <v>282.0540489</v>
      </c>
      <c r="H2965" s="13">
        <f>F2965*1000</f>
        <v/>
      </c>
      <c r="I2965" s="14">
        <f>G2965-273.15</f>
        <v/>
      </c>
      <c r="K2965" s="15" t="n">
        <v>2009</v>
      </c>
      <c r="L2965" s="15" t="n">
        <v>3</v>
      </c>
      <c r="M2965" s="15" t="n">
        <v>21</v>
      </c>
      <c r="N2965" s="16" t="n">
        <v>0</v>
      </c>
      <c r="O2965" s="11" t="n">
        <v>287.7019439</v>
      </c>
      <c r="P2965" s="13">
        <f>N2965*86400</f>
        <v/>
      </c>
      <c r="Q2965" s="14">
        <f>O2965-273.15</f>
        <v/>
      </c>
    </row>
    <row r="2966">
      <c r="A2966" s="9" t="n">
        <v>39853</v>
      </c>
      <c r="B2966" s="7">
        <f>YEAR(A2966)</f>
        <v/>
      </c>
      <c r="C2966" s="7">
        <f>MONTH(A2966)</f>
        <v/>
      </c>
      <c r="D2966" s="10" t="n">
        <v>0</v>
      </c>
      <c r="E2966" s="11" t="n">
        <v>7.309215997</v>
      </c>
      <c r="F2966" s="12" t="n">
        <v>0</v>
      </c>
      <c r="G2966" s="11" t="n">
        <v>280.471124</v>
      </c>
      <c r="H2966" s="13">
        <f>F2966*1000</f>
        <v/>
      </c>
      <c r="I2966" s="14">
        <f>G2966-273.15</f>
        <v/>
      </c>
      <c r="K2966" s="15" t="n">
        <v>2009</v>
      </c>
      <c r="L2966" s="15" t="n">
        <v>3</v>
      </c>
      <c r="M2966" s="15" t="n">
        <v>22</v>
      </c>
      <c r="N2966" s="16" t="n">
        <v>3.558703586e-07</v>
      </c>
      <c r="O2966" s="11" t="n">
        <v>288.3194842</v>
      </c>
      <c r="P2966" s="13">
        <f>N2966*86400</f>
        <v/>
      </c>
      <c r="Q2966" s="14">
        <f>O2966-273.15</f>
        <v/>
      </c>
    </row>
    <row r="2967">
      <c r="A2967" s="9" t="n">
        <v>39854</v>
      </c>
      <c r="B2967" s="7">
        <f>YEAR(A2967)</f>
        <v/>
      </c>
      <c r="C2967" s="7">
        <f>MONTH(A2967)</f>
        <v/>
      </c>
      <c r="D2967" s="10" t="n">
        <v>2.216501365</v>
      </c>
      <c r="E2967" s="11" t="n">
        <v>6.503038875</v>
      </c>
      <c r="F2967" s="12" t="n">
        <v>0.0005743593662</v>
      </c>
      <c r="G2967" s="11" t="n">
        <v>280.2090562</v>
      </c>
      <c r="H2967" s="13">
        <f>F2967*1000</f>
        <v/>
      </c>
      <c r="I2967" s="14">
        <f>G2967-273.15</f>
        <v/>
      </c>
      <c r="K2967" s="15" t="n">
        <v>2009</v>
      </c>
      <c r="L2967" s="15" t="n">
        <v>3</v>
      </c>
      <c r="M2967" s="15" t="n">
        <v>23</v>
      </c>
      <c r="N2967" s="16" t="n">
        <v>2.197929107e-05</v>
      </c>
      <c r="O2967" s="11" t="n">
        <v>289.3859933</v>
      </c>
      <c r="P2967" s="13">
        <f>N2967*86400</f>
        <v/>
      </c>
      <c r="Q2967" s="14">
        <f>O2967-273.15</f>
        <v/>
      </c>
    </row>
    <row r="2968">
      <c r="A2968" s="9" t="n">
        <v>39855</v>
      </c>
      <c r="B2968" s="7">
        <f>YEAR(A2968)</f>
        <v/>
      </c>
      <c r="C2968" s="7">
        <f>MONTH(A2968)</f>
        <v/>
      </c>
      <c r="D2968" s="10" t="n">
        <v>0</v>
      </c>
      <c r="E2968" s="11" t="n">
        <v>8.390981544000001</v>
      </c>
      <c r="F2968" s="12" t="n">
        <v>0.0002344692029</v>
      </c>
      <c r="G2968" s="11" t="n">
        <v>282.9392458</v>
      </c>
      <c r="H2968" s="13">
        <f>F2968*1000</f>
        <v/>
      </c>
      <c r="I2968" s="14">
        <f>G2968-273.15</f>
        <v/>
      </c>
      <c r="K2968" s="15" t="n">
        <v>2009</v>
      </c>
      <c r="L2968" s="15" t="n">
        <v>3</v>
      </c>
      <c r="M2968" s="15" t="n">
        <v>24</v>
      </c>
      <c r="N2968" s="16" t="n">
        <v>3.662670239e-05</v>
      </c>
      <c r="O2968" s="11" t="n">
        <v>288.1065025</v>
      </c>
      <c r="P2968" s="13">
        <f>N2968*86400</f>
        <v/>
      </c>
      <c r="Q2968" s="14">
        <f>O2968-273.15</f>
        <v/>
      </c>
    </row>
    <row r="2969">
      <c r="A2969" s="9" t="n">
        <v>39856</v>
      </c>
      <c r="B2969" s="7">
        <f>YEAR(A2969)</f>
        <v/>
      </c>
      <c r="C2969" s="7">
        <f>MONTH(A2969)</f>
        <v/>
      </c>
      <c r="D2969" s="10" t="n">
        <v>0</v>
      </c>
      <c r="E2969" s="11" t="n">
        <v>7.978718551</v>
      </c>
      <c r="F2969" s="12" t="n">
        <v>0.0006642687829</v>
      </c>
      <c r="G2969" s="11" t="n">
        <v>281.8054486</v>
      </c>
      <c r="H2969" s="13">
        <f>F2969*1000</f>
        <v/>
      </c>
      <c r="I2969" s="14">
        <f>G2969-273.15</f>
        <v/>
      </c>
      <c r="K2969" s="15" t="n">
        <v>2009</v>
      </c>
      <c r="L2969" s="15" t="n">
        <v>3</v>
      </c>
      <c r="M2969" s="15" t="n">
        <v>25</v>
      </c>
      <c r="N2969" s="16" t="n">
        <v>3.296740204e-07</v>
      </c>
      <c r="O2969" s="11" t="n">
        <v>287.0392361</v>
      </c>
      <c r="P2969" s="13">
        <f>N2969*86400</f>
        <v/>
      </c>
      <c r="Q2969" s="14">
        <f>O2969-273.15</f>
        <v/>
      </c>
    </row>
    <row r="2970">
      <c r="A2970" s="9" t="n">
        <v>39857</v>
      </c>
      <c r="B2970" s="7">
        <f>YEAR(A2970)</f>
        <v/>
      </c>
      <c r="C2970" s="7">
        <f>MONTH(A2970)</f>
        <v/>
      </c>
      <c r="D2970" s="10" t="n">
        <v>0</v>
      </c>
      <c r="E2970" s="11" t="n">
        <v>7.264365421</v>
      </c>
      <c r="F2970" s="12" t="n">
        <v>0</v>
      </c>
      <c r="G2970" s="11" t="n">
        <v>281.062748</v>
      </c>
      <c r="H2970" s="13">
        <f>F2970*1000</f>
        <v/>
      </c>
      <c r="I2970" s="14">
        <f>G2970-273.15</f>
        <v/>
      </c>
      <c r="K2970" s="15" t="n">
        <v>2009</v>
      </c>
      <c r="L2970" s="15" t="n">
        <v>3</v>
      </c>
      <c r="M2970" s="15" t="n">
        <v>26</v>
      </c>
      <c r="N2970" s="16" t="n">
        <v>0</v>
      </c>
      <c r="O2970" s="11" t="n">
        <v>286.6449877</v>
      </c>
      <c r="P2970" s="13">
        <f>N2970*86400</f>
        <v/>
      </c>
      <c r="Q2970" s="14">
        <f>O2970-273.15</f>
        <v/>
      </c>
    </row>
    <row r="2971">
      <c r="A2971" s="9" t="n">
        <v>39858</v>
      </c>
      <c r="B2971" s="7">
        <f>YEAR(A2971)</f>
        <v/>
      </c>
      <c r="C2971" s="7">
        <f>MONTH(A2971)</f>
        <v/>
      </c>
      <c r="D2971" s="10" t="n">
        <v>0</v>
      </c>
      <c r="E2971" s="11" t="n">
        <v>7.26822284</v>
      </c>
      <c r="F2971" s="12" t="n">
        <v>0</v>
      </c>
      <c r="G2971" s="11" t="n">
        <v>281.554018</v>
      </c>
      <c r="H2971" s="13">
        <f>F2971*1000</f>
        <v/>
      </c>
      <c r="I2971" s="14">
        <f>G2971-273.15</f>
        <v/>
      </c>
      <c r="K2971" s="15" t="n">
        <v>2009</v>
      </c>
      <c r="L2971" s="15" t="n">
        <v>3</v>
      </c>
      <c r="M2971" s="15" t="n">
        <v>27</v>
      </c>
      <c r="N2971" s="16" t="n">
        <v>0</v>
      </c>
      <c r="O2971" s="11" t="n">
        <v>288.0793806</v>
      </c>
      <c r="P2971" s="13">
        <f>N2971*86400</f>
        <v/>
      </c>
      <c r="Q2971" s="14">
        <f>O2971-273.15</f>
        <v/>
      </c>
    </row>
    <row r="2972">
      <c r="A2972" s="9" t="n">
        <v>39859</v>
      </c>
      <c r="B2972" s="7">
        <f>YEAR(A2972)</f>
        <v/>
      </c>
      <c r="C2972" s="7">
        <f>MONTH(A2972)</f>
        <v/>
      </c>
      <c r="D2972" s="10" t="n">
        <v>0</v>
      </c>
      <c r="E2972" s="11" t="n">
        <v>7.723859905</v>
      </c>
      <c r="F2972" s="12" t="n">
        <v>0</v>
      </c>
      <c r="G2972" s="11" t="n">
        <v>281.9702383</v>
      </c>
      <c r="H2972" s="13">
        <f>F2972*1000</f>
        <v/>
      </c>
      <c r="I2972" s="14">
        <f>G2972-273.15</f>
        <v/>
      </c>
      <c r="K2972" s="15" t="n">
        <v>2009</v>
      </c>
      <c r="L2972" s="15" t="n">
        <v>3</v>
      </c>
      <c r="M2972" s="15" t="n">
        <v>28</v>
      </c>
      <c r="N2972" s="16" t="n">
        <v>2.658784786e-05</v>
      </c>
      <c r="O2972" s="11" t="n">
        <v>286.8341077</v>
      </c>
      <c r="P2972" s="13">
        <f>N2972*86400</f>
        <v/>
      </c>
      <c r="Q2972" s="14">
        <f>O2972-273.15</f>
        <v/>
      </c>
    </row>
    <row r="2973">
      <c r="A2973" s="9" t="n">
        <v>39860</v>
      </c>
      <c r="B2973" s="7">
        <f>YEAR(A2973)</f>
        <v/>
      </c>
      <c r="C2973" s="7">
        <f>MONTH(A2973)</f>
        <v/>
      </c>
      <c r="D2973" s="10" t="n">
        <v>0</v>
      </c>
      <c r="E2973" s="11" t="n">
        <v>8.863117486</v>
      </c>
      <c r="F2973" s="12" t="n">
        <v>0</v>
      </c>
      <c r="G2973" s="11" t="n">
        <v>282.3867133</v>
      </c>
      <c r="H2973" s="13">
        <f>F2973*1000</f>
        <v/>
      </c>
      <c r="I2973" s="14">
        <f>G2973-273.15</f>
        <v/>
      </c>
      <c r="K2973" s="15" t="n">
        <v>2009</v>
      </c>
      <c r="L2973" s="15" t="n">
        <v>3</v>
      </c>
      <c r="M2973" s="15" t="n">
        <v>29</v>
      </c>
      <c r="N2973" s="16" t="n">
        <v>0</v>
      </c>
      <c r="O2973" s="11" t="n">
        <v>285.8172528</v>
      </c>
      <c r="P2973" s="13">
        <f>N2973*86400</f>
        <v/>
      </c>
      <c r="Q2973" s="14">
        <f>O2973-273.15</f>
        <v/>
      </c>
    </row>
    <row r="2974">
      <c r="A2974" s="9" t="n">
        <v>39861</v>
      </c>
      <c r="B2974" s="7">
        <f>YEAR(A2974)</f>
        <v/>
      </c>
      <c r="C2974" s="7">
        <f>MONTH(A2974)</f>
        <v/>
      </c>
      <c r="D2974" s="10" t="n">
        <v>0</v>
      </c>
      <c r="E2974" s="11" t="n">
        <v>6.699088605</v>
      </c>
      <c r="F2974" s="12" t="n">
        <v>0</v>
      </c>
      <c r="G2974" s="11" t="n">
        <v>280.7955513</v>
      </c>
      <c r="H2974" s="13">
        <f>F2974*1000</f>
        <v/>
      </c>
      <c r="I2974" s="14">
        <f>G2974-273.15</f>
        <v/>
      </c>
      <c r="K2974" s="15" t="n">
        <v>2009</v>
      </c>
      <c r="L2974" s="15" t="n">
        <v>3</v>
      </c>
      <c r="M2974" s="15" t="n">
        <v>30</v>
      </c>
      <c r="N2974" s="16" t="n">
        <v>0</v>
      </c>
      <c r="O2974" s="11" t="n">
        <v>285.6129081</v>
      </c>
      <c r="P2974" s="13">
        <f>N2974*86400</f>
        <v/>
      </c>
      <c r="Q2974" s="14">
        <f>O2974-273.15</f>
        <v/>
      </c>
    </row>
    <row r="2975">
      <c r="A2975" s="9" t="n">
        <v>39862</v>
      </c>
      <c r="B2975" s="7">
        <f>YEAR(A2975)</f>
        <v/>
      </c>
      <c r="C2975" s="7">
        <f>MONTH(A2975)</f>
        <v/>
      </c>
      <c r="D2975" s="10" t="n">
        <v>0</v>
      </c>
      <c r="E2975" s="11" t="n">
        <v>6.053897663</v>
      </c>
      <c r="F2975" s="12" t="n">
        <v>0</v>
      </c>
      <c r="G2975" s="11" t="n">
        <v>280.3139126</v>
      </c>
      <c r="H2975" s="13">
        <f>F2975*1000</f>
        <v/>
      </c>
      <c r="I2975" s="14">
        <f>G2975-273.15</f>
        <v/>
      </c>
      <c r="K2975" s="15" t="n">
        <v>2009</v>
      </c>
      <c r="L2975" s="15" t="n">
        <v>4</v>
      </c>
      <c r="M2975" s="15" t="n">
        <v>1</v>
      </c>
      <c r="N2975" s="16" t="n">
        <v>0</v>
      </c>
      <c r="O2975" s="11" t="n">
        <v>285.4485984</v>
      </c>
      <c r="P2975" s="13">
        <f>N2975*86400</f>
        <v/>
      </c>
      <c r="Q2975" s="14">
        <f>O2975-273.15</f>
        <v/>
      </c>
    </row>
    <row r="2976">
      <c r="A2976" s="9" t="n">
        <v>39863</v>
      </c>
      <c r="B2976" s="7">
        <f>YEAR(A2976)</f>
        <v/>
      </c>
      <c r="C2976" s="7">
        <f>MONTH(A2976)</f>
        <v/>
      </c>
      <c r="D2976" s="10" t="n">
        <v>0</v>
      </c>
      <c r="E2976" s="11" t="n">
        <v>9.279832644000001</v>
      </c>
      <c r="F2976" s="12" t="n">
        <v>0</v>
      </c>
      <c r="G2976" s="11" t="n">
        <v>283.0165388</v>
      </c>
      <c r="H2976" s="13">
        <f>F2976*1000</f>
        <v/>
      </c>
      <c r="I2976" s="14">
        <f>G2976-273.15</f>
        <v/>
      </c>
      <c r="K2976" s="15" t="n">
        <v>2009</v>
      </c>
      <c r="L2976" s="15" t="n">
        <v>4</v>
      </c>
      <c r="M2976" s="15" t="n">
        <v>2</v>
      </c>
      <c r="N2976" s="16" t="n">
        <v>0</v>
      </c>
      <c r="O2976" s="11" t="n">
        <v>287.1328459</v>
      </c>
      <c r="P2976" s="13">
        <f>N2976*86400</f>
        <v/>
      </c>
      <c r="Q2976" s="14">
        <f>O2976-273.15</f>
        <v/>
      </c>
    </row>
    <row r="2977">
      <c r="A2977" s="9" t="n">
        <v>39864</v>
      </c>
      <c r="B2977" s="7">
        <f>YEAR(A2977)</f>
        <v/>
      </c>
      <c r="C2977" s="7">
        <f>MONTH(A2977)</f>
        <v/>
      </c>
      <c r="D2977" s="10" t="n">
        <v>1.998071399</v>
      </c>
      <c r="E2977" s="11" t="n">
        <v>7.890457843</v>
      </c>
      <c r="F2977" s="12" t="n">
        <v>0.0001866183151</v>
      </c>
      <c r="G2977" s="11" t="n">
        <v>282.942329</v>
      </c>
      <c r="H2977" s="13">
        <f>F2977*1000</f>
        <v/>
      </c>
      <c r="I2977" s="14">
        <f>G2977-273.15</f>
        <v/>
      </c>
      <c r="K2977" s="15" t="n">
        <v>2009</v>
      </c>
      <c r="L2977" s="15" t="n">
        <v>4</v>
      </c>
      <c r="M2977" s="15" t="n">
        <v>3</v>
      </c>
      <c r="N2977" s="16" t="n">
        <v>3.549804552e-06</v>
      </c>
      <c r="O2977" s="11" t="n">
        <v>287.802314</v>
      </c>
      <c r="P2977" s="13">
        <f>N2977*86400</f>
        <v/>
      </c>
      <c r="Q2977" s="14">
        <f>O2977-273.15</f>
        <v/>
      </c>
    </row>
    <row r="2978">
      <c r="A2978" s="9" t="n">
        <v>39865</v>
      </c>
      <c r="B2978" s="7">
        <f>YEAR(A2978)</f>
        <v/>
      </c>
      <c r="C2978" s="7">
        <f>MONTH(A2978)</f>
        <v/>
      </c>
      <c r="D2978" s="10" t="n">
        <v>0</v>
      </c>
      <c r="E2978" s="11" t="n">
        <v>9.486513178999999</v>
      </c>
      <c r="F2978" s="12" t="n">
        <v>0.0002720277815</v>
      </c>
      <c r="G2978" s="11" t="n">
        <v>282.9890799</v>
      </c>
      <c r="H2978" s="13">
        <f>F2978*1000</f>
        <v/>
      </c>
      <c r="I2978" s="14">
        <f>G2978-273.15</f>
        <v/>
      </c>
      <c r="K2978" s="15" t="n">
        <v>2009</v>
      </c>
      <c r="L2978" s="15" t="n">
        <v>4</v>
      </c>
      <c r="M2978" s="15" t="n">
        <v>4</v>
      </c>
      <c r="N2978" s="16" t="n">
        <v>2.200864496e-07</v>
      </c>
      <c r="O2978" s="11" t="n">
        <v>285.7559708</v>
      </c>
      <c r="P2978" s="13">
        <f>N2978*86400</f>
        <v/>
      </c>
      <c r="Q2978" s="14">
        <f>O2978-273.15</f>
        <v/>
      </c>
    </row>
    <row r="2979">
      <c r="A2979" s="9" t="n">
        <v>39866</v>
      </c>
      <c r="B2979" s="7">
        <f>YEAR(A2979)</f>
        <v/>
      </c>
      <c r="C2979" s="7">
        <f>MONTH(A2979)</f>
        <v/>
      </c>
      <c r="D2979" s="10" t="n">
        <v>0</v>
      </c>
      <c r="E2979" s="11" t="n">
        <v>9.107563711999999</v>
      </c>
      <c r="F2979" s="12" t="n">
        <v>0.001845096307</v>
      </c>
      <c r="G2979" s="11" t="n">
        <v>283.0642417</v>
      </c>
      <c r="H2979" s="13">
        <f>F2979*1000</f>
        <v/>
      </c>
      <c r="I2979" s="14">
        <f>G2979-273.15</f>
        <v/>
      </c>
      <c r="K2979" s="15" t="n">
        <v>2009</v>
      </c>
      <c r="L2979" s="15" t="n">
        <v>4</v>
      </c>
      <c r="M2979" s="15" t="n">
        <v>5</v>
      </c>
      <c r="N2979" s="16" t="n">
        <v>0</v>
      </c>
      <c r="O2979" s="11" t="n">
        <v>284.4881374</v>
      </c>
      <c r="P2979" s="13">
        <f>N2979*86400</f>
        <v/>
      </c>
      <c r="Q2979" s="14">
        <f>O2979-273.15</f>
        <v/>
      </c>
    </row>
    <row r="2980">
      <c r="A2980" s="9" t="n">
        <v>39867</v>
      </c>
      <c r="B2980" s="7">
        <f>YEAR(A2980)</f>
        <v/>
      </c>
      <c r="C2980" s="7">
        <f>MONTH(A2980)</f>
        <v/>
      </c>
      <c r="D2980" s="10" t="n">
        <v>0</v>
      </c>
      <c r="E2980" s="11" t="n">
        <v>7.59677527</v>
      </c>
      <c r="F2980" s="12" t="n">
        <v>0.0003096783031</v>
      </c>
      <c r="G2980" s="11" t="n">
        <v>282.5897296</v>
      </c>
      <c r="H2980" s="13">
        <f>F2980*1000</f>
        <v/>
      </c>
      <c r="I2980" s="14">
        <f>G2980-273.15</f>
        <v/>
      </c>
      <c r="K2980" s="15" t="n">
        <v>2009</v>
      </c>
      <c r="L2980" s="15" t="n">
        <v>4</v>
      </c>
      <c r="M2980" s="15" t="n">
        <v>6</v>
      </c>
      <c r="N2980" s="16" t="n">
        <v>5.857971861e-08</v>
      </c>
      <c r="O2980" s="11" t="n">
        <v>285.6745681</v>
      </c>
      <c r="P2980" s="13">
        <f>N2980*86400</f>
        <v/>
      </c>
      <c r="Q2980" s="14">
        <f>O2980-273.15</f>
        <v/>
      </c>
    </row>
    <row r="2981">
      <c r="A2981" s="9" t="n">
        <v>39868</v>
      </c>
      <c r="B2981" s="7">
        <f>YEAR(A2981)</f>
        <v/>
      </c>
      <c r="C2981" s="7">
        <f>MONTH(A2981)</f>
        <v/>
      </c>
      <c r="D2981" s="10" t="n">
        <v>0</v>
      </c>
      <c r="E2981" s="11" t="n">
        <v>6.079858847</v>
      </c>
      <c r="F2981" s="12" t="n">
        <v>0.0003480570473</v>
      </c>
      <c r="G2981" s="11" t="n">
        <v>281.0555857</v>
      </c>
      <c r="H2981" s="13">
        <f>F2981*1000</f>
        <v/>
      </c>
      <c r="I2981" s="14">
        <f>G2981-273.15</f>
        <v/>
      </c>
      <c r="K2981" s="15" t="n">
        <v>2009</v>
      </c>
      <c r="L2981" s="15" t="n">
        <v>4</v>
      </c>
      <c r="M2981" s="15" t="n">
        <v>7</v>
      </c>
      <c r="N2981" s="16" t="n">
        <v>2.884054392e-06</v>
      </c>
      <c r="O2981" s="11" t="n">
        <v>286.6873157</v>
      </c>
      <c r="P2981" s="13">
        <f>N2981*86400</f>
        <v/>
      </c>
      <c r="Q2981" s="14">
        <f>O2981-273.15</f>
        <v/>
      </c>
    </row>
    <row r="2982">
      <c r="A2982" s="9" t="n">
        <v>39869</v>
      </c>
      <c r="B2982" s="7">
        <f>YEAR(A2982)</f>
        <v/>
      </c>
      <c r="C2982" s="7">
        <f>MONTH(A2982)</f>
        <v/>
      </c>
      <c r="D2982" s="10" t="n">
        <v>0</v>
      </c>
      <c r="E2982" s="11" t="n">
        <v>8.154270760999999</v>
      </c>
      <c r="F2982" s="12" t="n">
        <v>0</v>
      </c>
      <c r="G2982" s="11" t="n">
        <v>282.9353148</v>
      </c>
      <c r="H2982" s="13">
        <f>F2982*1000</f>
        <v/>
      </c>
      <c r="I2982" s="14">
        <f>G2982-273.15</f>
        <v/>
      </c>
      <c r="K2982" s="15" t="n">
        <v>2009</v>
      </c>
      <c r="L2982" s="15" t="n">
        <v>4</v>
      </c>
      <c r="M2982" s="15" t="n">
        <v>8</v>
      </c>
      <c r="N2982" s="16" t="n">
        <v>7.235403134e-06</v>
      </c>
      <c r="O2982" s="11" t="n">
        <v>285.7394405</v>
      </c>
      <c r="P2982" s="13">
        <f>N2982*86400</f>
        <v/>
      </c>
      <c r="Q2982" s="14">
        <f>O2982-273.15</f>
        <v/>
      </c>
    </row>
    <row r="2983">
      <c r="A2983" s="9" t="n">
        <v>39870</v>
      </c>
      <c r="B2983" s="7">
        <f>YEAR(A2983)</f>
        <v/>
      </c>
      <c r="C2983" s="7">
        <f>MONTH(A2983)</f>
        <v/>
      </c>
      <c r="D2983" s="10" t="n">
        <v>2.503724407</v>
      </c>
      <c r="E2983" s="11" t="n">
        <v>6.610610508</v>
      </c>
      <c r="F2983" s="12" t="n">
        <v>0.0009322314191</v>
      </c>
      <c r="G2983" s="11" t="n">
        <v>281.8477882</v>
      </c>
      <c r="H2983" s="13">
        <f>F2983*1000</f>
        <v/>
      </c>
      <c r="I2983" s="14">
        <f>G2983-273.15</f>
        <v/>
      </c>
      <c r="K2983" s="15" t="n">
        <v>2009</v>
      </c>
      <c r="L2983" s="15" t="n">
        <v>4</v>
      </c>
      <c r="M2983" s="15" t="n">
        <v>9</v>
      </c>
      <c r="N2983" s="16" t="n">
        <v>1.064726316e-05</v>
      </c>
      <c r="O2983" s="11" t="n">
        <v>286.166873</v>
      </c>
      <c r="P2983" s="13">
        <f>N2983*86400</f>
        <v/>
      </c>
      <c r="Q2983" s="14">
        <f>O2983-273.15</f>
        <v/>
      </c>
    </row>
    <row r="2984">
      <c r="A2984" s="9" t="n">
        <v>39871</v>
      </c>
      <c r="B2984" s="7">
        <f>YEAR(A2984)</f>
        <v/>
      </c>
      <c r="C2984" s="7">
        <f>MONTH(A2984)</f>
        <v/>
      </c>
      <c r="D2984" s="10" t="n">
        <v>0</v>
      </c>
      <c r="E2984" s="11" t="n">
        <v>7.563587263</v>
      </c>
      <c r="F2984" s="12" t="n">
        <v>0</v>
      </c>
      <c r="G2984" s="11" t="n">
        <v>282.3909222</v>
      </c>
      <c r="H2984" s="13">
        <f>F2984*1000</f>
        <v/>
      </c>
      <c r="I2984" s="14">
        <f>G2984-273.15</f>
        <v/>
      </c>
      <c r="K2984" s="15" t="n">
        <v>2009</v>
      </c>
      <c r="L2984" s="15" t="n">
        <v>4</v>
      </c>
      <c r="M2984" s="15" t="n">
        <v>10</v>
      </c>
      <c r="N2984" s="16" t="n">
        <v>1.473533283e-06</v>
      </c>
      <c r="O2984" s="11" t="n">
        <v>286.6046211</v>
      </c>
      <c r="P2984" s="13">
        <f>N2984*86400</f>
        <v/>
      </c>
      <c r="Q2984" s="14">
        <f>O2984-273.15</f>
        <v/>
      </c>
    </row>
    <row r="2985">
      <c r="A2985" s="9" t="n">
        <v>39872</v>
      </c>
      <c r="B2985" s="7">
        <f>YEAR(A2985)</f>
        <v/>
      </c>
      <c r="C2985" s="7">
        <f>MONTH(A2985)</f>
        <v/>
      </c>
      <c r="D2985" s="10" t="n">
        <v>0</v>
      </c>
      <c r="E2985" s="11" t="n">
        <v>8.244278113</v>
      </c>
      <c r="F2985" s="12" t="n">
        <v>0</v>
      </c>
      <c r="G2985" s="11" t="n">
        <v>282.1451732</v>
      </c>
      <c r="H2985" s="13">
        <f>F2985*1000</f>
        <v/>
      </c>
      <c r="I2985" s="14">
        <f>G2985-273.15</f>
        <v/>
      </c>
      <c r="K2985" s="15" t="n">
        <v>2009</v>
      </c>
      <c r="L2985" s="15" t="n">
        <v>4</v>
      </c>
      <c r="M2985" s="15" t="n">
        <v>11</v>
      </c>
      <c r="N2985" s="16" t="n">
        <v>0</v>
      </c>
      <c r="O2985" s="11" t="n">
        <v>286.3280382</v>
      </c>
      <c r="P2985" s="13">
        <f>N2985*86400</f>
        <v/>
      </c>
      <c r="Q2985" s="14">
        <f>O2985-273.15</f>
        <v/>
      </c>
    </row>
    <row r="2986">
      <c r="A2986" s="9" t="n">
        <v>39873</v>
      </c>
      <c r="B2986" s="7">
        <f>YEAR(A2986)</f>
        <v/>
      </c>
      <c r="C2986" s="7">
        <f>MONTH(A2986)</f>
        <v/>
      </c>
      <c r="D2986" s="10" t="n">
        <v>0</v>
      </c>
      <c r="E2986" s="11" t="n">
        <v>8.202622771</v>
      </c>
      <c r="F2986" s="12" t="n">
        <v>0</v>
      </c>
      <c r="G2986" s="11" t="n">
        <v>283.2676865</v>
      </c>
      <c r="H2986" s="13">
        <f>F2986*1000</f>
        <v/>
      </c>
      <c r="I2986" s="14">
        <f>G2986-273.15</f>
        <v/>
      </c>
      <c r="K2986" s="15" t="n">
        <v>2009</v>
      </c>
      <c r="L2986" s="15" t="n">
        <v>4</v>
      </c>
      <c r="M2986" s="15" t="n">
        <v>12</v>
      </c>
      <c r="N2986" s="16" t="n">
        <v>1.133267775e-06</v>
      </c>
      <c r="O2986" s="11" t="n">
        <v>288.2183926</v>
      </c>
      <c r="P2986" s="13">
        <f>N2986*86400</f>
        <v/>
      </c>
      <c r="Q2986" s="14">
        <f>O2986-273.15</f>
        <v/>
      </c>
    </row>
    <row r="2987">
      <c r="A2987" s="9" t="n">
        <v>39874</v>
      </c>
      <c r="B2987" s="7">
        <f>YEAR(A2987)</f>
        <v/>
      </c>
      <c r="C2987" s="7">
        <f>MONTH(A2987)</f>
        <v/>
      </c>
      <c r="D2987" s="10" t="n">
        <v>0</v>
      </c>
      <c r="E2987" s="11" t="n">
        <v>10.58557962</v>
      </c>
      <c r="F2987" s="12" t="n">
        <v>0</v>
      </c>
      <c r="G2987" s="11" t="n">
        <v>284.0809211</v>
      </c>
      <c r="H2987" s="13">
        <f>F2987*1000</f>
        <v/>
      </c>
      <c r="I2987" s="14">
        <f>G2987-273.15</f>
        <v/>
      </c>
      <c r="K2987" s="15" t="n">
        <v>2009</v>
      </c>
      <c r="L2987" s="15" t="n">
        <v>4</v>
      </c>
      <c r="M2987" s="15" t="n">
        <v>13</v>
      </c>
      <c r="N2987" s="16" t="n">
        <v>4.80832342e-08</v>
      </c>
      <c r="O2987" s="11" t="n">
        <v>289.0151984</v>
      </c>
      <c r="P2987" s="13">
        <f>N2987*86400</f>
        <v/>
      </c>
      <c r="Q2987" s="14">
        <f>O2987-273.15</f>
        <v/>
      </c>
    </row>
    <row r="2988">
      <c r="A2988" s="9" t="n">
        <v>39875</v>
      </c>
      <c r="B2988" s="7">
        <f>YEAR(A2988)</f>
        <v/>
      </c>
      <c r="C2988" s="7">
        <f>MONTH(A2988)</f>
        <v/>
      </c>
      <c r="D2988" s="10" t="n">
        <v>0</v>
      </c>
      <c r="E2988" s="11" t="n">
        <v>10.62131688</v>
      </c>
      <c r="F2988" s="12" t="n">
        <v>0.0002139838458</v>
      </c>
      <c r="G2988" s="11" t="n">
        <v>285.5521893</v>
      </c>
      <c r="H2988" s="13">
        <f>F2988*1000</f>
        <v/>
      </c>
      <c r="I2988" s="14">
        <f>G2988-273.15</f>
        <v/>
      </c>
      <c r="K2988" s="15" t="n">
        <v>2009</v>
      </c>
      <c r="L2988" s="15" t="n">
        <v>4</v>
      </c>
      <c r="M2988" s="15" t="n">
        <v>14</v>
      </c>
      <c r="N2988" s="16" t="n">
        <v>1.315960577e-06</v>
      </c>
      <c r="O2988" s="11" t="n">
        <v>291.209011</v>
      </c>
      <c r="P2988" s="13">
        <f>N2988*86400</f>
        <v/>
      </c>
      <c r="Q2988" s="14">
        <f>O2988-273.15</f>
        <v/>
      </c>
    </row>
    <row r="2989">
      <c r="A2989" s="9" t="n">
        <v>39876</v>
      </c>
      <c r="B2989" s="7">
        <f>YEAR(A2989)</f>
        <v/>
      </c>
      <c r="C2989" s="7">
        <f>MONTH(A2989)</f>
        <v/>
      </c>
      <c r="D2989" s="10" t="n">
        <v>2.179981369</v>
      </c>
      <c r="E2989" s="11" t="n">
        <v>10.22644217</v>
      </c>
      <c r="F2989" s="12" t="n">
        <v>0.003229523031</v>
      </c>
      <c r="G2989" s="11" t="n">
        <v>284.3849486</v>
      </c>
      <c r="H2989" s="13">
        <f>F2989*1000</f>
        <v/>
      </c>
      <c r="I2989" s="14">
        <f>G2989-273.15</f>
        <v/>
      </c>
      <c r="K2989" s="15" t="n">
        <v>2009</v>
      </c>
      <c r="L2989" s="15" t="n">
        <v>4</v>
      </c>
      <c r="M2989" s="15" t="n">
        <v>15</v>
      </c>
      <c r="N2989" s="16" t="n">
        <v>0</v>
      </c>
      <c r="O2989" s="11" t="n">
        <v>291.2509687</v>
      </c>
      <c r="P2989" s="13">
        <f>N2989*86400</f>
        <v/>
      </c>
      <c r="Q2989" s="14">
        <f>O2989-273.15</f>
        <v/>
      </c>
    </row>
    <row r="2990">
      <c r="A2990" s="9" t="n">
        <v>39877</v>
      </c>
      <c r="B2990" s="7">
        <f>YEAR(A2990)</f>
        <v/>
      </c>
      <c r="C2990" s="7">
        <f>MONTH(A2990)</f>
        <v/>
      </c>
      <c r="D2990" s="10" t="n">
        <v>4.261753845</v>
      </c>
      <c r="E2990" s="11" t="n">
        <v>10.27725415</v>
      </c>
      <c r="F2990" s="12" t="n">
        <v>0.004760276189</v>
      </c>
      <c r="G2990" s="11" t="n">
        <v>283.5923861</v>
      </c>
      <c r="H2990" s="13">
        <f>F2990*1000</f>
        <v/>
      </c>
      <c r="I2990" s="14">
        <f>G2990-273.15</f>
        <v/>
      </c>
      <c r="K2990" s="15" t="n">
        <v>2009</v>
      </c>
      <c r="L2990" s="15" t="n">
        <v>4</v>
      </c>
      <c r="M2990" s="15" t="n">
        <v>16</v>
      </c>
      <c r="N2990" s="16" t="n">
        <v>1.183349779e-06</v>
      </c>
      <c r="O2990" s="11" t="n">
        <v>293.3342525</v>
      </c>
      <c r="P2990" s="13">
        <f>N2990*86400</f>
        <v/>
      </c>
      <c r="Q2990" s="14">
        <f>O2990-273.15</f>
        <v/>
      </c>
    </row>
    <row r="2991">
      <c r="A2991" s="9" t="n">
        <v>39878</v>
      </c>
      <c r="B2991" s="7">
        <f>YEAR(A2991)</f>
        <v/>
      </c>
      <c r="C2991" s="7">
        <f>MONTH(A2991)</f>
        <v/>
      </c>
      <c r="D2991" s="10" t="n">
        <v>0</v>
      </c>
      <c r="E2991" s="11" t="n">
        <v>10.7621041</v>
      </c>
      <c r="F2991" s="12" t="n">
        <v>0.0001360191574</v>
      </c>
      <c r="G2991" s="11" t="n">
        <v>284.3241032</v>
      </c>
      <c r="H2991" s="13">
        <f>F2991*1000</f>
        <v/>
      </c>
      <c r="I2991" s="14">
        <f>G2991-273.15</f>
        <v/>
      </c>
      <c r="K2991" s="15" t="n">
        <v>2009</v>
      </c>
      <c r="L2991" s="15" t="n">
        <v>4</v>
      </c>
      <c r="M2991" s="15" t="n">
        <v>17</v>
      </c>
      <c r="N2991" s="16" t="n">
        <v>8.266629811e-07</v>
      </c>
      <c r="O2991" s="11" t="n">
        <v>293.3547305</v>
      </c>
      <c r="P2991" s="13">
        <f>N2991*86400</f>
        <v/>
      </c>
      <c r="Q2991" s="14">
        <f>O2991-273.15</f>
        <v/>
      </c>
    </row>
    <row r="2992">
      <c r="A2992" s="9" t="n">
        <v>39879</v>
      </c>
      <c r="B2992" s="7">
        <f>YEAR(A2992)</f>
        <v/>
      </c>
      <c r="C2992" s="7">
        <f>MONTH(A2992)</f>
        <v/>
      </c>
      <c r="D2992" s="10" t="n">
        <v>0</v>
      </c>
      <c r="E2992" s="11" t="n">
        <v>10.00684661</v>
      </c>
      <c r="F2992" s="12" t="n">
        <v>0.00214081985</v>
      </c>
      <c r="G2992" s="11" t="n">
        <v>283.4658558</v>
      </c>
      <c r="H2992" s="13">
        <f>F2992*1000</f>
        <v/>
      </c>
      <c r="I2992" s="14">
        <f>G2992-273.15</f>
        <v/>
      </c>
      <c r="K2992" s="15" t="n">
        <v>2009</v>
      </c>
      <c r="L2992" s="15" t="n">
        <v>4</v>
      </c>
      <c r="M2992" s="15" t="n">
        <v>18</v>
      </c>
      <c r="N2992" s="16" t="n">
        <v>8.049463307000001e-06</v>
      </c>
      <c r="O2992" s="11" t="n">
        <v>290.6982135</v>
      </c>
      <c r="P2992" s="13">
        <f>N2992*86400</f>
        <v/>
      </c>
      <c r="Q2992" s="14">
        <f>O2992-273.15</f>
        <v/>
      </c>
    </row>
    <row r="2993">
      <c r="A2993" s="9" t="n">
        <v>39880</v>
      </c>
      <c r="B2993" s="7">
        <f>YEAR(A2993)</f>
        <v/>
      </c>
      <c r="C2993" s="7">
        <f>MONTH(A2993)</f>
        <v/>
      </c>
      <c r="D2993" s="10" t="n">
        <v>0</v>
      </c>
      <c r="E2993" s="11" t="n">
        <v>10.44815144</v>
      </c>
      <c r="F2993" s="12" t="n">
        <v>0.0002959952576</v>
      </c>
      <c r="G2993" s="11" t="n">
        <v>284.4742529</v>
      </c>
      <c r="H2993" s="13">
        <f>F2993*1000</f>
        <v/>
      </c>
      <c r="I2993" s="14">
        <f>G2993-273.15</f>
        <v/>
      </c>
      <c r="K2993" s="15" t="n">
        <v>2009</v>
      </c>
      <c r="L2993" s="15" t="n">
        <v>4</v>
      </c>
      <c r="M2993" s="15" t="n">
        <v>19</v>
      </c>
      <c r="N2993" s="16" t="n">
        <v>1.517893722e-05</v>
      </c>
      <c r="O2993" s="11" t="n">
        <v>291.8867489</v>
      </c>
      <c r="P2993" s="13">
        <f>N2993*86400</f>
        <v/>
      </c>
      <c r="Q2993" s="14">
        <f>O2993-273.15</f>
        <v/>
      </c>
    </row>
    <row r="2994">
      <c r="A2994" s="9" t="n">
        <v>39881</v>
      </c>
      <c r="B2994" s="7">
        <f>YEAR(A2994)</f>
        <v/>
      </c>
      <c r="C2994" s="7">
        <f>MONTH(A2994)</f>
        <v/>
      </c>
      <c r="D2994" s="10" t="n">
        <v>0.005788896115</v>
      </c>
      <c r="E2994" s="11" t="n">
        <v>12.9142017</v>
      </c>
      <c r="F2994" s="12" t="n">
        <v>0.0002115704442</v>
      </c>
      <c r="G2994" s="11" t="n">
        <v>286.749939</v>
      </c>
      <c r="H2994" s="13">
        <f>F2994*1000</f>
        <v/>
      </c>
      <c r="I2994" s="14">
        <f>G2994-273.15</f>
        <v/>
      </c>
      <c r="K2994" s="15" t="n">
        <v>2009</v>
      </c>
      <c r="L2994" s="15" t="n">
        <v>4</v>
      </c>
      <c r="M2994" s="15" t="n">
        <v>20</v>
      </c>
      <c r="N2994" s="16" t="n">
        <v>0</v>
      </c>
      <c r="O2994" s="11" t="n">
        <v>290.8912077</v>
      </c>
      <c r="P2994" s="13">
        <f>N2994*86400</f>
        <v/>
      </c>
      <c r="Q2994" s="14">
        <f>O2994-273.15</f>
        <v/>
      </c>
    </row>
    <row r="2995">
      <c r="A2995" s="9" t="n">
        <v>39882</v>
      </c>
      <c r="B2995" s="7">
        <f>YEAR(A2995)</f>
        <v/>
      </c>
      <c r="C2995" s="7">
        <f>MONTH(A2995)</f>
        <v/>
      </c>
      <c r="D2995" s="10" t="n">
        <v>0</v>
      </c>
      <c r="E2995" s="11" t="n">
        <v>9.768647009</v>
      </c>
      <c r="F2995" s="12" t="n">
        <v>0</v>
      </c>
      <c r="G2995" s="11" t="n">
        <v>284.5544335</v>
      </c>
      <c r="H2995" s="13">
        <f>F2995*1000</f>
        <v/>
      </c>
      <c r="I2995" s="14">
        <f>G2995-273.15</f>
        <v/>
      </c>
      <c r="K2995" s="15" t="n">
        <v>2009</v>
      </c>
      <c r="L2995" s="15" t="n">
        <v>4</v>
      </c>
      <c r="M2995" s="15" t="n">
        <v>21</v>
      </c>
      <c r="N2995" s="16" t="n">
        <v>0</v>
      </c>
      <c r="O2995" s="11" t="n">
        <v>290.7670427</v>
      </c>
      <c r="P2995" s="13">
        <f>N2995*86400</f>
        <v/>
      </c>
      <c r="Q2995" s="14">
        <f>O2995-273.15</f>
        <v/>
      </c>
    </row>
    <row r="2996">
      <c r="A2996" s="9" t="n">
        <v>39883</v>
      </c>
      <c r="B2996" s="7">
        <f>YEAR(A2996)</f>
        <v/>
      </c>
      <c r="C2996" s="7">
        <f>MONTH(A2996)</f>
        <v/>
      </c>
      <c r="D2996" s="10" t="n">
        <v>0</v>
      </c>
      <c r="E2996" s="11" t="n">
        <v>8.523290022999999</v>
      </c>
      <c r="F2996" s="12" t="n">
        <v>0</v>
      </c>
      <c r="G2996" s="11" t="n">
        <v>283.564057</v>
      </c>
      <c r="H2996" s="13">
        <f>F2996*1000</f>
        <v/>
      </c>
      <c r="I2996" s="14">
        <f>G2996-273.15</f>
        <v/>
      </c>
      <c r="K2996" s="15" t="n">
        <v>2009</v>
      </c>
      <c r="L2996" s="15" t="n">
        <v>4</v>
      </c>
      <c r="M2996" s="15" t="n">
        <v>22</v>
      </c>
      <c r="N2996" s="16" t="n">
        <v>8.373403218000001e-06</v>
      </c>
      <c r="O2996" s="11" t="n">
        <v>291.7614907</v>
      </c>
      <c r="P2996" s="13">
        <f>N2996*86400</f>
        <v/>
      </c>
      <c r="Q2996" s="14">
        <f>O2996-273.15</f>
        <v/>
      </c>
    </row>
    <row r="2997">
      <c r="A2997" s="9" t="n">
        <v>39884</v>
      </c>
      <c r="B2997" s="7">
        <f>YEAR(A2997)</f>
        <v/>
      </c>
      <c r="C2997" s="7">
        <f>MONTH(A2997)</f>
        <v/>
      </c>
      <c r="D2997" s="10" t="n">
        <v>0</v>
      </c>
      <c r="E2997" s="11" t="n">
        <v>8.533641608</v>
      </c>
      <c r="F2997" s="12" t="n">
        <v>0</v>
      </c>
      <c r="G2997" s="11" t="n">
        <v>284.4872159</v>
      </c>
      <c r="H2997" s="13">
        <f>F2997*1000</f>
        <v/>
      </c>
      <c r="I2997" s="14">
        <f>G2997-273.15</f>
        <v/>
      </c>
      <c r="K2997" s="15" t="n">
        <v>2009</v>
      </c>
      <c r="L2997" s="15" t="n">
        <v>4</v>
      </c>
      <c r="M2997" s="15" t="n">
        <v>23</v>
      </c>
      <c r="N2997" s="16" t="n">
        <v>0</v>
      </c>
      <c r="O2997" s="11" t="n">
        <v>292.7968957</v>
      </c>
      <c r="P2997" s="13">
        <f>N2997*86400</f>
        <v/>
      </c>
      <c r="Q2997" s="14">
        <f>O2997-273.15</f>
        <v/>
      </c>
    </row>
    <row r="2998">
      <c r="A2998" s="9" t="n">
        <v>39885</v>
      </c>
      <c r="B2998" s="7">
        <f>YEAR(A2998)</f>
        <v/>
      </c>
      <c r="C2998" s="7">
        <f>MONTH(A2998)</f>
        <v/>
      </c>
      <c r="D2998" s="10" t="n">
        <v>0</v>
      </c>
      <c r="E2998" s="11" t="n">
        <v>7.971687743</v>
      </c>
      <c r="F2998" s="12" t="n">
        <v>0</v>
      </c>
      <c r="G2998" s="11" t="n">
        <v>283.8886358</v>
      </c>
      <c r="H2998" s="13">
        <f>F2998*1000</f>
        <v/>
      </c>
      <c r="I2998" s="14">
        <f>G2998-273.15</f>
        <v/>
      </c>
      <c r="K2998" s="15" t="n">
        <v>2009</v>
      </c>
      <c r="L2998" s="15" t="n">
        <v>4</v>
      </c>
      <c r="M2998" s="15" t="n">
        <v>24</v>
      </c>
      <c r="N2998" s="16" t="n">
        <v>0</v>
      </c>
      <c r="O2998" s="11" t="n">
        <v>294.6871453</v>
      </c>
      <c r="P2998" s="13">
        <f>N2998*86400</f>
        <v/>
      </c>
      <c r="Q2998" s="14">
        <f>O2998-273.15</f>
        <v/>
      </c>
    </row>
    <row r="2999">
      <c r="A2999" s="9" t="n">
        <v>39886</v>
      </c>
      <c r="B2999" s="7">
        <f>YEAR(A2999)</f>
        <v/>
      </c>
      <c r="C2999" s="7">
        <f>MONTH(A2999)</f>
        <v/>
      </c>
      <c r="D2999" s="10" t="n">
        <v>0</v>
      </c>
      <c r="E2999" s="11" t="n">
        <v>10.8325211</v>
      </c>
      <c r="F2999" s="12" t="n">
        <v>0</v>
      </c>
      <c r="G2999" s="11" t="n">
        <v>285.8433</v>
      </c>
      <c r="H2999" s="13">
        <f>F2999*1000</f>
        <v/>
      </c>
      <c r="I2999" s="14">
        <f>G2999-273.15</f>
        <v/>
      </c>
      <c r="K2999" s="15" t="n">
        <v>2009</v>
      </c>
      <c r="L2999" s="15" t="n">
        <v>4</v>
      </c>
      <c r="M2999" s="15" t="n">
        <v>25</v>
      </c>
      <c r="N2999" s="16" t="n">
        <v>0</v>
      </c>
      <c r="O2999" s="11" t="n">
        <v>295.9266596</v>
      </c>
      <c r="P2999" s="13">
        <f>N2999*86400</f>
        <v/>
      </c>
      <c r="Q2999" s="14">
        <f>O2999-273.15</f>
        <v/>
      </c>
    </row>
    <row r="3000">
      <c r="A3000" s="9" t="n">
        <v>39887</v>
      </c>
      <c r="B3000" s="7">
        <f>YEAR(A3000)</f>
        <v/>
      </c>
      <c r="C3000" s="7">
        <f>MONTH(A3000)</f>
        <v/>
      </c>
      <c r="D3000" s="10" t="n">
        <v>0</v>
      </c>
      <c r="E3000" s="11" t="n">
        <v>7.578160738</v>
      </c>
      <c r="F3000" s="12" t="n">
        <v>0</v>
      </c>
      <c r="G3000" s="11" t="n">
        <v>282.0261207</v>
      </c>
      <c r="H3000" s="13">
        <f>F3000*1000</f>
        <v/>
      </c>
      <c r="I3000" s="14">
        <f>G3000-273.15</f>
        <v/>
      </c>
      <c r="K3000" s="15" t="n">
        <v>2009</v>
      </c>
      <c r="L3000" s="15" t="n">
        <v>4</v>
      </c>
      <c r="M3000" s="15" t="n">
        <v>26</v>
      </c>
      <c r="N3000" s="16" t="n">
        <v>0</v>
      </c>
      <c r="O3000" s="11" t="n">
        <v>295.0828455</v>
      </c>
      <c r="P3000" s="13">
        <f>N3000*86400</f>
        <v/>
      </c>
      <c r="Q3000" s="14">
        <f>O3000-273.15</f>
        <v/>
      </c>
    </row>
    <row r="3001">
      <c r="A3001" s="9" t="n">
        <v>39888</v>
      </c>
      <c r="B3001" s="7">
        <f>YEAR(A3001)</f>
        <v/>
      </c>
      <c r="C3001" s="7">
        <f>MONTH(A3001)</f>
        <v/>
      </c>
      <c r="D3001" s="10" t="n">
        <v>0</v>
      </c>
      <c r="E3001" s="11" t="n">
        <v>9.29731284</v>
      </c>
      <c r="F3001" s="12" t="n">
        <v>0.0009456140213</v>
      </c>
      <c r="G3001" s="11" t="n">
        <v>282.6024799</v>
      </c>
      <c r="H3001" s="13">
        <f>F3001*1000</f>
        <v/>
      </c>
      <c r="I3001" s="14">
        <f>G3001-273.15</f>
        <v/>
      </c>
      <c r="K3001" s="15" t="n">
        <v>2009</v>
      </c>
      <c r="L3001" s="15" t="n">
        <v>4</v>
      </c>
      <c r="M3001" s="15" t="n">
        <v>27</v>
      </c>
      <c r="N3001" s="16" t="n">
        <v>0</v>
      </c>
      <c r="O3001" s="11" t="n">
        <v>294.1297482</v>
      </c>
      <c r="P3001" s="13">
        <f>N3001*86400</f>
        <v/>
      </c>
      <c r="Q3001" s="14">
        <f>O3001-273.15</f>
        <v/>
      </c>
    </row>
    <row r="3002">
      <c r="A3002" s="9" t="n">
        <v>39889</v>
      </c>
      <c r="B3002" s="7">
        <f>YEAR(A3002)</f>
        <v/>
      </c>
      <c r="C3002" s="7">
        <f>MONTH(A3002)</f>
        <v/>
      </c>
      <c r="D3002" s="10" t="n">
        <v>0</v>
      </c>
      <c r="E3002" s="11" t="n">
        <v>8.238504722</v>
      </c>
      <c r="F3002" s="12" t="n">
        <v>0.00038878015</v>
      </c>
      <c r="G3002" s="11" t="n">
        <v>283.0961301</v>
      </c>
      <c r="H3002" s="13">
        <f>F3002*1000</f>
        <v/>
      </c>
      <c r="I3002" s="14">
        <f>G3002-273.15</f>
        <v/>
      </c>
      <c r="K3002" s="15" t="n">
        <v>2009</v>
      </c>
      <c r="L3002" s="15" t="n">
        <v>4</v>
      </c>
      <c r="M3002" s="15" t="n">
        <v>28</v>
      </c>
      <c r="N3002" s="16" t="n">
        <v>8.967469095e-07</v>
      </c>
      <c r="O3002" s="11" t="n">
        <v>291.2354487</v>
      </c>
      <c r="P3002" s="13">
        <f>N3002*86400</f>
        <v/>
      </c>
      <c r="Q3002" s="14">
        <f>O3002-273.15</f>
        <v/>
      </c>
    </row>
    <row r="3003">
      <c r="A3003" s="9" t="n">
        <v>39890</v>
      </c>
      <c r="B3003" s="7">
        <f>YEAR(A3003)</f>
        <v/>
      </c>
      <c r="C3003" s="7">
        <f>MONTH(A3003)</f>
        <v/>
      </c>
      <c r="D3003" s="10" t="n">
        <v>0</v>
      </c>
      <c r="E3003" s="11" t="n">
        <v>8.410816523999999</v>
      </c>
      <c r="F3003" s="12" t="n">
        <v>0</v>
      </c>
      <c r="G3003" s="11" t="n">
        <v>282.9684806</v>
      </c>
      <c r="H3003" s="13">
        <f>F3003*1000</f>
        <v/>
      </c>
      <c r="I3003" s="14">
        <f>G3003-273.15</f>
        <v/>
      </c>
      <c r="K3003" s="15" t="n">
        <v>2009</v>
      </c>
      <c r="L3003" s="15" t="n">
        <v>4</v>
      </c>
      <c r="M3003" s="15" t="n">
        <v>29</v>
      </c>
      <c r="N3003" s="16" t="n">
        <v>3.288867181e-05</v>
      </c>
      <c r="O3003" s="11" t="n">
        <v>290.3523725</v>
      </c>
      <c r="P3003" s="13">
        <f>N3003*86400</f>
        <v/>
      </c>
      <c r="Q3003" s="14">
        <f>O3003-273.15</f>
        <v/>
      </c>
    </row>
    <row r="3004">
      <c r="A3004" s="9" t="n">
        <v>39891</v>
      </c>
      <c r="B3004" s="7">
        <f>YEAR(A3004)</f>
        <v/>
      </c>
      <c r="C3004" s="7">
        <f>MONTH(A3004)</f>
        <v/>
      </c>
      <c r="D3004" s="10" t="n">
        <v>0</v>
      </c>
      <c r="E3004" s="11" t="n">
        <v>9.128099130000001</v>
      </c>
      <c r="F3004" s="12" t="n">
        <v>0</v>
      </c>
      <c r="G3004" s="11" t="n">
        <v>283.2167775</v>
      </c>
      <c r="H3004" s="13">
        <f>F3004*1000</f>
        <v/>
      </c>
      <c r="I3004" s="14">
        <f>G3004-273.15</f>
        <v/>
      </c>
      <c r="K3004" s="15" t="n">
        <v>2009</v>
      </c>
      <c r="L3004" s="15" t="n">
        <v>4</v>
      </c>
      <c r="M3004" s="15" t="n">
        <v>30</v>
      </c>
      <c r="N3004" s="16" t="n">
        <v>1.905584267e-05</v>
      </c>
      <c r="O3004" s="11" t="n">
        <v>290.2169574</v>
      </c>
      <c r="P3004" s="13">
        <f>N3004*86400</f>
        <v/>
      </c>
      <c r="Q3004" s="14">
        <f>O3004-273.15</f>
        <v/>
      </c>
    </row>
    <row r="3005">
      <c r="A3005" s="9" t="n">
        <v>39892</v>
      </c>
      <c r="B3005" s="7">
        <f>YEAR(A3005)</f>
        <v/>
      </c>
      <c r="C3005" s="7">
        <f>MONTH(A3005)</f>
        <v/>
      </c>
      <c r="D3005" s="10" t="n">
        <v>0</v>
      </c>
      <c r="E3005" s="11" t="n">
        <v>11.12730011</v>
      </c>
      <c r="F3005" s="12" t="n">
        <v>0</v>
      </c>
      <c r="G3005" s="11" t="n">
        <v>284.7461697</v>
      </c>
      <c r="H3005" s="13">
        <f>F3005*1000</f>
        <v/>
      </c>
      <c r="I3005" s="14">
        <f>G3005-273.15</f>
        <v/>
      </c>
      <c r="K3005" s="15" t="n">
        <v>2009</v>
      </c>
      <c r="L3005" s="15" t="n">
        <v>5</v>
      </c>
      <c r="M3005" s="15" t="n">
        <v>1</v>
      </c>
      <c r="N3005" s="16" t="n">
        <v>2.092373286e-07</v>
      </c>
      <c r="O3005" s="11" t="n">
        <v>291.8539302</v>
      </c>
      <c r="P3005" s="13">
        <f>N3005*86400</f>
        <v/>
      </c>
      <c r="Q3005" s="14">
        <f>O3005-273.15</f>
        <v/>
      </c>
    </row>
    <row r="3006">
      <c r="A3006" s="9" t="n">
        <v>39893</v>
      </c>
      <c r="B3006" s="7">
        <f>YEAR(A3006)</f>
        <v/>
      </c>
      <c r="C3006" s="7">
        <f>MONTH(A3006)</f>
        <v/>
      </c>
      <c r="D3006" s="10" t="n">
        <v>0</v>
      </c>
      <c r="E3006" s="11" t="n">
        <v>11.4820305</v>
      </c>
      <c r="F3006" s="12" t="n">
        <v>0</v>
      </c>
      <c r="G3006" s="11" t="n">
        <v>286.0602332</v>
      </c>
      <c r="H3006" s="13">
        <f>F3006*1000</f>
        <v/>
      </c>
      <c r="I3006" s="14">
        <f>G3006-273.15</f>
        <v/>
      </c>
      <c r="K3006" s="15" t="n">
        <v>2009</v>
      </c>
      <c r="L3006" s="15" t="n">
        <v>5</v>
      </c>
      <c r="M3006" s="15" t="n">
        <v>2</v>
      </c>
      <c r="N3006" s="16" t="n">
        <v>3.241355306e-08</v>
      </c>
      <c r="O3006" s="11" t="n">
        <v>291.2340557</v>
      </c>
      <c r="P3006" s="13">
        <f>N3006*86400</f>
        <v/>
      </c>
      <c r="Q3006" s="14">
        <f>O3006-273.15</f>
        <v/>
      </c>
    </row>
    <row r="3007">
      <c r="A3007" s="9" t="n">
        <v>39894</v>
      </c>
      <c r="B3007" s="7">
        <f>YEAR(A3007)</f>
        <v/>
      </c>
      <c r="C3007" s="7">
        <f>MONTH(A3007)</f>
        <v/>
      </c>
      <c r="D3007" s="10" t="n">
        <v>0</v>
      </c>
      <c r="E3007" s="11" t="n">
        <v>10.88975532</v>
      </c>
      <c r="F3007" s="12" t="n">
        <v>0.000440543445</v>
      </c>
      <c r="G3007" s="11" t="n">
        <v>284.6848508</v>
      </c>
      <c r="H3007" s="13">
        <f>F3007*1000</f>
        <v/>
      </c>
      <c r="I3007" s="14">
        <f>G3007-273.15</f>
        <v/>
      </c>
      <c r="K3007" s="15" t="n">
        <v>2009</v>
      </c>
      <c r="L3007" s="15" t="n">
        <v>5</v>
      </c>
      <c r="M3007" s="15" t="n">
        <v>3</v>
      </c>
      <c r="N3007" s="16" t="n">
        <v>0</v>
      </c>
      <c r="O3007" s="11" t="n">
        <v>295.151667</v>
      </c>
      <c r="P3007" s="13">
        <f>N3007*86400</f>
        <v/>
      </c>
      <c r="Q3007" s="14">
        <f>O3007-273.15</f>
        <v/>
      </c>
    </row>
    <row r="3008">
      <c r="A3008" s="9" t="n">
        <v>39895</v>
      </c>
      <c r="B3008" s="7">
        <f>YEAR(A3008)</f>
        <v/>
      </c>
      <c r="C3008" s="7">
        <f>MONTH(A3008)</f>
        <v/>
      </c>
      <c r="D3008" s="10" t="n">
        <v>0</v>
      </c>
      <c r="E3008" s="11" t="n">
        <v>11.76609797</v>
      </c>
      <c r="F3008" s="12" t="n">
        <v>0</v>
      </c>
      <c r="G3008" s="11" t="n">
        <v>285.0817026</v>
      </c>
      <c r="H3008" s="13">
        <f>F3008*1000</f>
        <v/>
      </c>
      <c r="I3008" s="14">
        <f>G3008-273.15</f>
        <v/>
      </c>
      <c r="K3008" s="15" t="n">
        <v>2009</v>
      </c>
      <c r="L3008" s="15" t="n">
        <v>5</v>
      </c>
      <c r="M3008" s="15" t="n">
        <v>4</v>
      </c>
      <c r="N3008" s="16" t="n">
        <v>0</v>
      </c>
      <c r="O3008" s="11" t="n">
        <v>293.6813883</v>
      </c>
      <c r="P3008" s="13">
        <f>N3008*86400</f>
        <v/>
      </c>
      <c r="Q3008" s="14">
        <f>O3008-273.15</f>
        <v/>
      </c>
    </row>
    <row r="3009">
      <c r="A3009" s="9" t="n">
        <v>39896</v>
      </c>
      <c r="B3009" s="7">
        <f>YEAR(A3009)</f>
        <v/>
      </c>
      <c r="C3009" s="7">
        <f>MONTH(A3009)</f>
        <v/>
      </c>
      <c r="D3009" s="10" t="n">
        <v>0</v>
      </c>
      <c r="E3009" s="11" t="n">
        <v>13.6617191</v>
      </c>
      <c r="F3009" s="12" t="n">
        <v>0.0003876586909</v>
      </c>
      <c r="G3009" s="11" t="n">
        <v>288.3280653</v>
      </c>
      <c r="H3009" s="13">
        <f>F3009*1000</f>
        <v/>
      </c>
      <c r="I3009" s="14">
        <f>G3009-273.15</f>
        <v/>
      </c>
      <c r="K3009" s="15" t="n">
        <v>2009</v>
      </c>
      <c r="L3009" s="15" t="n">
        <v>5</v>
      </c>
      <c r="M3009" s="15" t="n">
        <v>5</v>
      </c>
      <c r="N3009" s="16" t="n">
        <v>0</v>
      </c>
      <c r="O3009" s="11" t="n">
        <v>294.3749564</v>
      </c>
      <c r="P3009" s="13">
        <f>N3009*86400</f>
        <v/>
      </c>
      <c r="Q3009" s="14">
        <f>O3009-273.15</f>
        <v/>
      </c>
    </row>
    <row r="3010">
      <c r="A3010" s="9" t="n">
        <v>39897</v>
      </c>
      <c r="B3010" s="7">
        <f>YEAR(A3010)</f>
        <v/>
      </c>
      <c r="C3010" s="7">
        <f>MONTH(A3010)</f>
        <v/>
      </c>
      <c r="D3010" s="10" t="n">
        <v>0</v>
      </c>
      <c r="E3010" s="11" t="n">
        <v>15.48971754</v>
      </c>
      <c r="F3010" s="12" t="n">
        <v>3.156614752e-05</v>
      </c>
      <c r="G3010" s="11" t="n">
        <v>289.9898114</v>
      </c>
      <c r="H3010" s="13">
        <f>F3010*1000</f>
        <v/>
      </c>
      <c r="I3010" s="14">
        <f>G3010-273.15</f>
        <v/>
      </c>
      <c r="K3010" s="15" t="n">
        <v>2009</v>
      </c>
      <c r="L3010" s="15" t="n">
        <v>5</v>
      </c>
      <c r="M3010" s="15" t="n">
        <v>6</v>
      </c>
      <c r="N3010" s="16" t="n">
        <v>1.315263666e-05</v>
      </c>
      <c r="O3010" s="11" t="n">
        <v>291.9743813</v>
      </c>
      <c r="P3010" s="13">
        <f>N3010*86400</f>
        <v/>
      </c>
      <c r="Q3010" s="14">
        <f>O3010-273.15</f>
        <v/>
      </c>
    </row>
    <row r="3011">
      <c r="A3011" s="9" t="n">
        <v>39898</v>
      </c>
      <c r="B3011" s="7">
        <f>YEAR(A3011)</f>
        <v/>
      </c>
      <c r="C3011" s="7">
        <f>MONTH(A3011)</f>
        <v/>
      </c>
      <c r="D3011" s="10" t="n">
        <v>0</v>
      </c>
      <c r="E3011" s="11" t="n">
        <v>14.97005301</v>
      </c>
      <c r="F3011" s="12" t="n">
        <v>0</v>
      </c>
      <c r="G3011" s="11" t="n">
        <v>289.4720802</v>
      </c>
      <c r="H3011" s="13">
        <f>F3011*1000</f>
        <v/>
      </c>
      <c r="I3011" s="14">
        <f>G3011-273.15</f>
        <v/>
      </c>
      <c r="K3011" s="15" t="n">
        <v>2009</v>
      </c>
      <c r="L3011" s="15" t="n">
        <v>5</v>
      </c>
      <c r="M3011" s="15" t="n">
        <v>7</v>
      </c>
      <c r="N3011" s="16" t="n">
        <v>0</v>
      </c>
      <c r="O3011" s="11" t="n">
        <v>291.2922103</v>
      </c>
      <c r="P3011" s="13">
        <f>N3011*86400</f>
        <v/>
      </c>
      <c r="Q3011" s="14">
        <f>O3011-273.15</f>
        <v/>
      </c>
    </row>
    <row r="3012">
      <c r="A3012" s="9" t="n">
        <v>39899</v>
      </c>
      <c r="B3012" s="7">
        <f>YEAR(A3012)</f>
        <v/>
      </c>
      <c r="C3012" s="7">
        <f>MONTH(A3012)</f>
        <v/>
      </c>
      <c r="D3012" s="10" t="n">
        <v>0</v>
      </c>
      <c r="E3012" s="11" t="n">
        <v>13.87403993</v>
      </c>
      <c r="F3012" s="12" t="n">
        <v>0.0006155811966</v>
      </c>
      <c r="G3012" s="11" t="n">
        <v>288.496526</v>
      </c>
      <c r="H3012" s="13">
        <f>F3012*1000</f>
        <v/>
      </c>
      <c r="I3012" s="14">
        <f>G3012-273.15</f>
        <v/>
      </c>
      <c r="K3012" s="15" t="n">
        <v>2009</v>
      </c>
      <c r="L3012" s="15" t="n">
        <v>5</v>
      </c>
      <c r="M3012" s="15" t="n">
        <v>8</v>
      </c>
      <c r="N3012" s="16" t="n">
        <v>0</v>
      </c>
      <c r="O3012" s="11" t="n">
        <v>290.3394187</v>
      </c>
      <c r="P3012" s="13">
        <f>N3012*86400</f>
        <v/>
      </c>
      <c r="Q3012" s="14">
        <f>O3012-273.15</f>
        <v/>
      </c>
    </row>
    <row r="3013">
      <c r="A3013" s="9" t="n">
        <v>39900</v>
      </c>
      <c r="B3013" s="7">
        <f>YEAR(A3013)</f>
        <v/>
      </c>
      <c r="C3013" s="7">
        <f>MONTH(A3013)</f>
        <v/>
      </c>
      <c r="D3013" s="10" t="n">
        <v>0</v>
      </c>
      <c r="E3013" s="11" t="n">
        <v>12.07748113</v>
      </c>
      <c r="F3013" s="12" t="n">
        <v>0</v>
      </c>
      <c r="G3013" s="11" t="n">
        <v>286.9087054</v>
      </c>
      <c r="H3013" s="13">
        <f>F3013*1000</f>
        <v/>
      </c>
      <c r="I3013" s="14">
        <f>G3013-273.15</f>
        <v/>
      </c>
      <c r="K3013" s="15" t="n">
        <v>2009</v>
      </c>
      <c r="L3013" s="15" t="n">
        <v>5</v>
      </c>
      <c r="M3013" s="15" t="n">
        <v>9</v>
      </c>
      <c r="N3013" s="16" t="n">
        <v>0</v>
      </c>
      <c r="O3013" s="11" t="n">
        <v>290.6872061</v>
      </c>
      <c r="P3013" s="13">
        <f>N3013*86400</f>
        <v/>
      </c>
      <c r="Q3013" s="14">
        <f>O3013-273.15</f>
        <v/>
      </c>
    </row>
    <row r="3014">
      <c r="A3014" s="9" t="n">
        <v>39901</v>
      </c>
      <c r="B3014" s="7">
        <f>YEAR(A3014)</f>
        <v/>
      </c>
      <c r="C3014" s="7">
        <f>MONTH(A3014)</f>
        <v/>
      </c>
      <c r="D3014" s="10" t="n">
        <v>0</v>
      </c>
      <c r="E3014" s="11" t="n">
        <v>13.23783888</v>
      </c>
      <c r="F3014" s="12" t="n">
        <v>0.001329819683</v>
      </c>
      <c r="G3014" s="11" t="n">
        <v>287.8281613</v>
      </c>
      <c r="H3014" s="13">
        <f>F3014*1000</f>
        <v/>
      </c>
      <c r="I3014" s="14">
        <f>G3014-273.15</f>
        <v/>
      </c>
      <c r="K3014" s="15" t="n">
        <v>2009</v>
      </c>
      <c r="L3014" s="15" t="n">
        <v>5</v>
      </c>
      <c r="M3014" s="15" t="n">
        <v>10</v>
      </c>
      <c r="N3014" s="16" t="n">
        <v>5.001155656e-06</v>
      </c>
      <c r="O3014" s="11" t="n">
        <v>288.1313552</v>
      </c>
      <c r="P3014" s="13">
        <f>N3014*86400</f>
        <v/>
      </c>
      <c r="Q3014" s="14">
        <f>O3014-273.15</f>
        <v/>
      </c>
    </row>
    <row r="3015">
      <c r="A3015" s="9" t="n">
        <v>39902</v>
      </c>
      <c r="B3015" s="7">
        <f>YEAR(A3015)</f>
        <v/>
      </c>
      <c r="C3015" s="7">
        <f>MONTH(A3015)</f>
        <v/>
      </c>
      <c r="D3015" s="10" t="n">
        <v>0</v>
      </c>
      <c r="E3015" s="11" t="n">
        <v>13.57787334</v>
      </c>
      <c r="F3015" s="12" t="n">
        <v>0</v>
      </c>
      <c r="G3015" s="11" t="n">
        <v>287.8207301</v>
      </c>
      <c r="H3015" s="13">
        <f>F3015*1000</f>
        <v/>
      </c>
      <c r="I3015" s="14">
        <f>G3015-273.15</f>
        <v/>
      </c>
      <c r="K3015" s="15" t="n">
        <v>2009</v>
      </c>
      <c r="L3015" s="15" t="n">
        <v>5</v>
      </c>
      <c r="M3015" s="15" t="n">
        <v>11</v>
      </c>
      <c r="N3015" s="16" t="n">
        <v>0</v>
      </c>
      <c r="O3015" s="11" t="n">
        <v>287.6281721</v>
      </c>
      <c r="P3015" s="13">
        <f>N3015*86400</f>
        <v/>
      </c>
      <c r="Q3015" s="14">
        <f>O3015-273.15</f>
        <v/>
      </c>
    </row>
    <row r="3016">
      <c r="A3016" s="9" t="n">
        <v>39903</v>
      </c>
      <c r="B3016" s="7">
        <f>YEAR(A3016)</f>
        <v/>
      </c>
      <c r="C3016" s="7">
        <f>MONTH(A3016)</f>
        <v/>
      </c>
      <c r="D3016" s="10" t="n">
        <v>0</v>
      </c>
      <c r="E3016" s="11" t="n">
        <v>12.42327187</v>
      </c>
      <c r="F3016" s="12" t="n">
        <v>0</v>
      </c>
      <c r="G3016" s="11" t="n">
        <v>286.6653857</v>
      </c>
      <c r="H3016" s="13">
        <f>F3016*1000</f>
        <v/>
      </c>
      <c r="I3016" s="14">
        <f>G3016-273.15</f>
        <v/>
      </c>
      <c r="K3016" s="15" t="n">
        <v>2009</v>
      </c>
      <c r="L3016" s="15" t="n">
        <v>5</v>
      </c>
      <c r="M3016" s="15" t="n">
        <v>12</v>
      </c>
      <c r="N3016" s="16" t="n">
        <v>0</v>
      </c>
      <c r="O3016" s="11" t="n">
        <v>290.6906941</v>
      </c>
      <c r="P3016" s="13">
        <f>N3016*86400</f>
        <v/>
      </c>
      <c r="Q3016" s="14">
        <f>O3016-273.15</f>
        <v/>
      </c>
    </row>
    <row r="3017">
      <c r="A3017" s="9" t="n">
        <v>39904</v>
      </c>
      <c r="B3017" s="7">
        <f>YEAR(A3017)</f>
        <v/>
      </c>
      <c r="C3017" s="7">
        <f>MONTH(A3017)</f>
        <v/>
      </c>
      <c r="D3017" s="10" t="n">
        <v>0</v>
      </c>
      <c r="E3017" s="11" t="n">
        <v>12.38010492</v>
      </c>
      <c r="F3017" s="12" t="n">
        <v>0</v>
      </c>
      <c r="G3017" s="11" t="n">
        <v>287.0892804</v>
      </c>
      <c r="H3017" s="13">
        <f>F3017*1000</f>
        <v/>
      </c>
      <c r="I3017" s="14">
        <f>G3017-273.15</f>
        <v/>
      </c>
      <c r="K3017" s="15" t="n">
        <v>2009</v>
      </c>
      <c r="L3017" s="15" t="n">
        <v>5</v>
      </c>
      <c r="M3017" s="15" t="n">
        <v>13</v>
      </c>
      <c r="N3017" s="16" t="n">
        <v>0</v>
      </c>
      <c r="O3017" s="11" t="n">
        <v>290.3547246</v>
      </c>
      <c r="P3017" s="13">
        <f>N3017*86400</f>
        <v/>
      </c>
      <c r="Q3017" s="14">
        <f>O3017-273.15</f>
        <v/>
      </c>
    </row>
    <row r="3018">
      <c r="A3018" s="9" t="n">
        <v>39905</v>
      </c>
      <c r="B3018" s="7">
        <f>YEAR(A3018)</f>
        <v/>
      </c>
      <c r="C3018" s="7">
        <f>MONTH(A3018)</f>
        <v/>
      </c>
      <c r="D3018" s="10" t="n">
        <v>0</v>
      </c>
      <c r="E3018" s="11" t="n">
        <v>11.69128702</v>
      </c>
      <c r="F3018" s="12" t="n">
        <v>0</v>
      </c>
      <c r="G3018" s="11" t="n">
        <v>285.7464319</v>
      </c>
      <c r="H3018" s="13">
        <f>F3018*1000</f>
        <v/>
      </c>
      <c r="I3018" s="14">
        <f>G3018-273.15</f>
        <v/>
      </c>
      <c r="K3018" s="15" t="n">
        <v>2009</v>
      </c>
      <c r="L3018" s="15" t="n">
        <v>5</v>
      </c>
      <c r="M3018" s="15" t="n">
        <v>14</v>
      </c>
      <c r="N3018" s="16" t="n">
        <v>0</v>
      </c>
      <c r="O3018" s="11" t="n">
        <v>289.0287146</v>
      </c>
      <c r="P3018" s="13">
        <f>N3018*86400</f>
        <v/>
      </c>
      <c r="Q3018" s="14">
        <f>O3018-273.15</f>
        <v/>
      </c>
    </row>
    <row r="3019">
      <c r="A3019" s="9" t="n">
        <v>39906</v>
      </c>
      <c r="B3019" s="7">
        <f>YEAR(A3019)</f>
        <v/>
      </c>
      <c r="C3019" s="7">
        <f>MONTH(A3019)</f>
        <v/>
      </c>
      <c r="D3019" s="10" t="n">
        <v>0</v>
      </c>
      <c r="E3019" s="11" t="n">
        <v>11.97199462</v>
      </c>
      <c r="F3019" s="12" t="n">
        <v>0</v>
      </c>
      <c r="G3019" s="11" t="n">
        <v>285.8609243</v>
      </c>
      <c r="H3019" s="13">
        <f>F3019*1000</f>
        <v/>
      </c>
      <c r="I3019" s="14">
        <f>G3019-273.15</f>
        <v/>
      </c>
      <c r="K3019" s="15" t="n">
        <v>2009</v>
      </c>
      <c r="L3019" s="15" t="n">
        <v>5</v>
      </c>
      <c r="M3019" s="15" t="n">
        <v>15</v>
      </c>
      <c r="N3019" s="16" t="n">
        <v>6.350004101e-05</v>
      </c>
      <c r="O3019" s="11" t="n">
        <v>290.5288122</v>
      </c>
      <c r="P3019" s="13">
        <f>N3019*86400</f>
        <v/>
      </c>
      <c r="Q3019" s="14">
        <f>O3019-273.15</f>
        <v/>
      </c>
    </row>
    <row r="3020">
      <c r="A3020" s="9" t="n">
        <v>39907</v>
      </c>
      <c r="B3020" s="7">
        <f>YEAR(A3020)</f>
        <v/>
      </c>
      <c r="C3020" s="7">
        <f>MONTH(A3020)</f>
        <v/>
      </c>
      <c r="D3020" s="10" t="n">
        <v>0</v>
      </c>
      <c r="E3020" s="11" t="n">
        <v>14.73623102</v>
      </c>
      <c r="F3020" s="12" t="n">
        <v>0</v>
      </c>
      <c r="G3020" s="11" t="n">
        <v>287.585781</v>
      </c>
      <c r="H3020" s="13">
        <f>F3020*1000</f>
        <v/>
      </c>
      <c r="I3020" s="14">
        <f>G3020-273.15</f>
        <v/>
      </c>
      <c r="K3020" s="15" t="n">
        <v>2009</v>
      </c>
      <c r="L3020" s="15" t="n">
        <v>5</v>
      </c>
      <c r="M3020" s="15" t="n">
        <v>16</v>
      </c>
      <c r="N3020" s="16" t="n">
        <v>4.698336936e-05</v>
      </c>
      <c r="O3020" s="11" t="n">
        <v>291.9421889</v>
      </c>
      <c r="P3020" s="13">
        <f>N3020*86400</f>
        <v/>
      </c>
      <c r="Q3020" s="14">
        <f>O3020-273.15</f>
        <v/>
      </c>
    </row>
    <row r="3021">
      <c r="A3021" s="9" t="n">
        <v>39908</v>
      </c>
      <c r="B3021" s="7">
        <f>YEAR(A3021)</f>
        <v/>
      </c>
      <c r="C3021" s="7">
        <f>MONTH(A3021)</f>
        <v/>
      </c>
      <c r="D3021" s="10" t="n">
        <v>0</v>
      </c>
      <c r="E3021" s="11" t="n">
        <v>13.41578628</v>
      </c>
      <c r="F3021" s="12" t="n">
        <v>0</v>
      </c>
      <c r="G3021" s="11" t="n">
        <v>287.2232577</v>
      </c>
      <c r="H3021" s="13">
        <f>F3021*1000</f>
        <v/>
      </c>
      <c r="I3021" s="14">
        <f>G3021-273.15</f>
        <v/>
      </c>
      <c r="K3021" s="15" t="n">
        <v>2009</v>
      </c>
      <c r="L3021" s="15" t="n">
        <v>5</v>
      </c>
      <c r="M3021" s="15" t="n">
        <v>17</v>
      </c>
      <c r="N3021" s="16" t="n">
        <v>4.147106528e-06</v>
      </c>
      <c r="O3021" s="11" t="n">
        <v>291.0806233</v>
      </c>
      <c r="P3021" s="13">
        <f>N3021*86400</f>
        <v/>
      </c>
      <c r="Q3021" s="14">
        <f>O3021-273.15</f>
        <v/>
      </c>
    </row>
    <row r="3022">
      <c r="A3022" s="9" t="n">
        <v>39909</v>
      </c>
      <c r="B3022" s="7">
        <f>YEAR(A3022)</f>
        <v/>
      </c>
      <c r="C3022" s="7">
        <f>MONTH(A3022)</f>
        <v/>
      </c>
      <c r="D3022" s="10" t="n">
        <v>0</v>
      </c>
      <c r="E3022" s="11" t="n">
        <v>14.3928646</v>
      </c>
      <c r="F3022" s="12" t="n">
        <v>0</v>
      </c>
      <c r="G3022" s="11" t="n">
        <v>287.8944475</v>
      </c>
      <c r="H3022" s="13">
        <f>F3022*1000</f>
        <v/>
      </c>
      <c r="I3022" s="14">
        <f>G3022-273.15</f>
        <v/>
      </c>
      <c r="K3022" s="15" t="n">
        <v>2009</v>
      </c>
      <c r="L3022" s="15" t="n">
        <v>5</v>
      </c>
      <c r="M3022" s="15" t="n">
        <v>18</v>
      </c>
      <c r="N3022" s="16" t="n">
        <v>1.094757498e-05</v>
      </c>
      <c r="O3022" s="11" t="n">
        <v>289.9148848</v>
      </c>
      <c r="P3022" s="13">
        <f>N3022*86400</f>
        <v/>
      </c>
      <c r="Q3022" s="14">
        <f>O3022-273.15</f>
        <v/>
      </c>
    </row>
    <row r="3023">
      <c r="A3023" s="9" t="n">
        <v>39910</v>
      </c>
      <c r="B3023" s="7">
        <f>YEAR(A3023)</f>
        <v/>
      </c>
      <c r="C3023" s="7">
        <f>MONTH(A3023)</f>
        <v/>
      </c>
      <c r="D3023" s="10" t="n">
        <v>0</v>
      </c>
      <c r="E3023" s="11" t="n">
        <v>13.02262679</v>
      </c>
      <c r="F3023" s="12" t="n">
        <v>0</v>
      </c>
      <c r="G3023" s="11" t="n">
        <v>288.0867302</v>
      </c>
      <c r="H3023" s="13">
        <f>F3023*1000</f>
        <v/>
      </c>
      <c r="I3023" s="14">
        <f>G3023-273.15</f>
        <v/>
      </c>
      <c r="K3023" s="15" t="n">
        <v>2009</v>
      </c>
      <c r="L3023" s="15" t="n">
        <v>5</v>
      </c>
      <c r="M3023" s="15" t="n">
        <v>19</v>
      </c>
      <c r="N3023" s="16" t="n">
        <v>4.708450081e-05</v>
      </c>
      <c r="O3023" s="11" t="n">
        <v>290.9412784</v>
      </c>
      <c r="P3023" s="13">
        <f>N3023*86400</f>
        <v/>
      </c>
      <c r="Q3023" s="14">
        <f>O3023-273.15</f>
        <v/>
      </c>
    </row>
    <row r="3024">
      <c r="A3024" s="9" t="n">
        <v>39911</v>
      </c>
      <c r="B3024" s="7">
        <f>YEAR(A3024)</f>
        <v/>
      </c>
      <c r="C3024" s="7">
        <f>MONTH(A3024)</f>
        <v/>
      </c>
      <c r="D3024" s="10" t="n">
        <v>0</v>
      </c>
      <c r="E3024" s="11" t="n">
        <v>11.39795356</v>
      </c>
      <c r="F3024" s="12" t="n">
        <v>0</v>
      </c>
      <c r="G3024" s="11" t="n">
        <v>286.8422025</v>
      </c>
      <c r="H3024" s="13">
        <f>F3024*1000</f>
        <v/>
      </c>
      <c r="I3024" s="14">
        <f>G3024-273.15</f>
        <v/>
      </c>
      <c r="K3024" s="15" t="n">
        <v>2009</v>
      </c>
      <c r="L3024" s="15" t="n">
        <v>5</v>
      </c>
      <c r="M3024" s="15" t="n">
        <v>20</v>
      </c>
      <c r="N3024" s="16" t="n">
        <v>0</v>
      </c>
      <c r="O3024" s="11" t="n">
        <v>294.0519425</v>
      </c>
      <c r="P3024" s="13">
        <f>N3024*86400</f>
        <v/>
      </c>
      <c r="Q3024" s="14">
        <f>O3024-273.15</f>
        <v/>
      </c>
    </row>
    <row r="3025">
      <c r="A3025" s="9" t="n">
        <v>39912</v>
      </c>
      <c r="B3025" s="7">
        <f>YEAR(A3025)</f>
        <v/>
      </c>
      <c r="C3025" s="7">
        <f>MONTH(A3025)</f>
        <v/>
      </c>
      <c r="D3025" s="10" t="n">
        <v>0</v>
      </c>
      <c r="E3025" s="11" t="n">
        <v>13.22578589</v>
      </c>
      <c r="F3025" s="12" t="n">
        <v>0</v>
      </c>
      <c r="G3025" s="11" t="n">
        <v>288.0890565</v>
      </c>
      <c r="H3025" s="13">
        <f>F3025*1000</f>
        <v/>
      </c>
      <c r="I3025" s="14">
        <f>G3025-273.15</f>
        <v/>
      </c>
      <c r="K3025" s="15" t="n">
        <v>2009</v>
      </c>
      <c r="L3025" s="15" t="n">
        <v>5</v>
      </c>
      <c r="M3025" s="15" t="n">
        <v>21</v>
      </c>
      <c r="N3025" s="16" t="n">
        <v>2.321378818e-06</v>
      </c>
      <c r="O3025" s="11" t="n">
        <v>292.5611643</v>
      </c>
      <c r="P3025" s="13">
        <f>N3025*86400</f>
        <v/>
      </c>
      <c r="Q3025" s="14">
        <f>O3025-273.15</f>
        <v/>
      </c>
    </row>
    <row r="3026">
      <c r="A3026" s="9" t="n">
        <v>39913</v>
      </c>
      <c r="B3026" s="7">
        <f>YEAR(A3026)</f>
        <v/>
      </c>
      <c r="C3026" s="7">
        <f>MONTH(A3026)</f>
        <v/>
      </c>
      <c r="D3026" s="10" t="n">
        <v>0</v>
      </c>
      <c r="E3026" s="11" t="n">
        <v>13.69294403</v>
      </c>
      <c r="F3026" s="12" t="n">
        <v>0</v>
      </c>
      <c r="G3026" s="11" t="n">
        <v>289.0003534</v>
      </c>
      <c r="H3026" s="13">
        <f>F3026*1000</f>
        <v/>
      </c>
      <c r="I3026" s="14">
        <f>G3026-273.15</f>
        <v/>
      </c>
      <c r="K3026" s="15" t="n">
        <v>2009</v>
      </c>
      <c r="L3026" s="15" t="n">
        <v>5</v>
      </c>
      <c r="M3026" s="15" t="n">
        <v>22</v>
      </c>
      <c r="N3026" s="16" t="n">
        <v>1.777534275e-05</v>
      </c>
      <c r="O3026" s="11" t="n">
        <v>292.7112353</v>
      </c>
      <c r="P3026" s="13">
        <f>N3026*86400</f>
        <v/>
      </c>
      <c r="Q3026" s="14">
        <f>O3026-273.15</f>
        <v/>
      </c>
    </row>
    <row r="3027">
      <c r="A3027" s="9" t="n">
        <v>39914</v>
      </c>
      <c r="B3027" s="7">
        <f>YEAR(A3027)</f>
        <v/>
      </c>
      <c r="C3027" s="7">
        <f>MONTH(A3027)</f>
        <v/>
      </c>
      <c r="D3027" s="10" t="n">
        <v>0</v>
      </c>
      <c r="E3027" s="11" t="n">
        <v>15.16150931</v>
      </c>
      <c r="F3027" s="12" t="n">
        <v>0.0006228444219</v>
      </c>
      <c r="G3027" s="11" t="n">
        <v>290.0642956</v>
      </c>
      <c r="H3027" s="13">
        <f>F3027*1000</f>
        <v/>
      </c>
      <c r="I3027" s="14">
        <f>G3027-273.15</f>
        <v/>
      </c>
      <c r="K3027" s="15" t="n">
        <v>2009</v>
      </c>
      <c r="L3027" s="15" t="n">
        <v>5</v>
      </c>
      <c r="M3027" s="15" t="n">
        <v>23</v>
      </c>
      <c r="N3027" s="16" t="n">
        <v>4.083992948e-06</v>
      </c>
      <c r="O3027" s="11" t="n">
        <v>292.0905922</v>
      </c>
      <c r="P3027" s="13">
        <f>N3027*86400</f>
        <v/>
      </c>
      <c r="Q3027" s="14">
        <f>O3027-273.15</f>
        <v/>
      </c>
    </row>
    <row r="3028">
      <c r="A3028" s="9" t="n">
        <v>39915</v>
      </c>
      <c r="B3028" s="7">
        <f>YEAR(A3028)</f>
        <v/>
      </c>
      <c r="C3028" s="7">
        <f>MONTH(A3028)</f>
        <v/>
      </c>
      <c r="D3028" s="10" t="n">
        <v>0</v>
      </c>
      <c r="E3028" s="11" t="n">
        <v>15.62681053</v>
      </c>
      <c r="F3028" s="12" t="n">
        <v>0.0004782530417</v>
      </c>
      <c r="G3028" s="11" t="n">
        <v>290.1739199</v>
      </c>
      <c r="H3028" s="13">
        <f>F3028*1000</f>
        <v/>
      </c>
      <c r="I3028" s="14">
        <f>G3028-273.15</f>
        <v/>
      </c>
      <c r="K3028" s="15" t="n">
        <v>2009</v>
      </c>
      <c r="L3028" s="15" t="n">
        <v>5</v>
      </c>
      <c r="M3028" s="15" t="n">
        <v>24</v>
      </c>
      <c r="N3028" s="16" t="n">
        <v>0</v>
      </c>
      <c r="O3028" s="11" t="n">
        <v>292.2587115</v>
      </c>
      <c r="P3028" s="13">
        <f>N3028*86400</f>
        <v/>
      </c>
      <c r="Q3028" s="14">
        <f>O3028-273.15</f>
        <v/>
      </c>
    </row>
    <row r="3029">
      <c r="A3029" s="9" t="n">
        <v>39916</v>
      </c>
      <c r="B3029" s="7">
        <f>YEAR(A3029)</f>
        <v/>
      </c>
      <c r="C3029" s="7">
        <f>MONTH(A3029)</f>
        <v/>
      </c>
      <c r="D3029" s="10" t="n">
        <v>0</v>
      </c>
      <c r="E3029" s="11" t="n">
        <v>16.93135314</v>
      </c>
      <c r="F3029" s="12" t="n">
        <v>0</v>
      </c>
      <c r="G3029" s="11" t="n">
        <v>291.0863175</v>
      </c>
      <c r="H3029" s="13">
        <f>F3029*1000</f>
        <v/>
      </c>
      <c r="I3029" s="14">
        <f>G3029-273.15</f>
        <v/>
      </c>
      <c r="K3029" s="15" t="n">
        <v>2009</v>
      </c>
      <c r="L3029" s="15" t="n">
        <v>5</v>
      </c>
      <c r="M3029" s="15" t="n">
        <v>25</v>
      </c>
      <c r="N3029" s="16" t="n">
        <v>0</v>
      </c>
      <c r="O3029" s="11" t="n">
        <v>291.6902564</v>
      </c>
      <c r="P3029" s="13">
        <f>N3029*86400</f>
        <v/>
      </c>
      <c r="Q3029" s="14">
        <f>O3029-273.15</f>
        <v/>
      </c>
    </row>
    <row r="3030">
      <c r="A3030" s="9" t="n">
        <v>39917</v>
      </c>
      <c r="B3030" s="7">
        <f>YEAR(A3030)</f>
        <v/>
      </c>
      <c r="C3030" s="7">
        <f>MONTH(A3030)</f>
        <v/>
      </c>
      <c r="D3030" s="10" t="n">
        <v>0</v>
      </c>
      <c r="E3030" s="11" t="n">
        <v>17.58609842</v>
      </c>
      <c r="F3030" s="12" t="n">
        <v>0</v>
      </c>
      <c r="G3030" s="11" t="n">
        <v>291.4635534</v>
      </c>
      <c r="H3030" s="13">
        <f>F3030*1000</f>
        <v/>
      </c>
      <c r="I3030" s="14">
        <f>G3030-273.15</f>
        <v/>
      </c>
      <c r="K3030" s="15" t="n">
        <v>2009</v>
      </c>
      <c r="L3030" s="15" t="n">
        <v>5</v>
      </c>
      <c r="M3030" s="15" t="n">
        <v>26</v>
      </c>
      <c r="N3030" s="16" t="n">
        <v>3.829165364e-06</v>
      </c>
      <c r="O3030" s="11" t="n">
        <v>291.659662</v>
      </c>
      <c r="P3030" s="13">
        <f>N3030*86400</f>
        <v/>
      </c>
      <c r="Q3030" s="14">
        <f>O3030-273.15</f>
        <v/>
      </c>
    </row>
    <row r="3031">
      <c r="A3031" s="9" t="n">
        <v>39918</v>
      </c>
      <c r="B3031" s="7">
        <f>YEAR(A3031)</f>
        <v/>
      </c>
      <c r="C3031" s="7">
        <f>MONTH(A3031)</f>
        <v/>
      </c>
      <c r="D3031" s="10" t="n">
        <v>0</v>
      </c>
      <c r="E3031" s="11" t="n">
        <v>17.14477224</v>
      </c>
      <c r="F3031" s="12" t="n">
        <v>4.892233053e-05</v>
      </c>
      <c r="G3031" s="11" t="n">
        <v>291.7683295</v>
      </c>
      <c r="H3031" s="13">
        <f>F3031*1000</f>
        <v/>
      </c>
      <c r="I3031" s="14">
        <f>G3031-273.15</f>
        <v/>
      </c>
      <c r="K3031" s="15" t="n">
        <v>2009</v>
      </c>
      <c r="L3031" s="15" t="n">
        <v>5</v>
      </c>
      <c r="M3031" s="15" t="n">
        <v>27</v>
      </c>
      <c r="N3031" s="16" t="n">
        <v>8.729408046e-07</v>
      </c>
      <c r="O3031" s="11" t="n">
        <v>291.5343942</v>
      </c>
      <c r="P3031" s="13">
        <f>N3031*86400</f>
        <v/>
      </c>
      <c r="Q3031" s="14">
        <f>O3031-273.15</f>
        <v/>
      </c>
    </row>
    <row r="3032">
      <c r="A3032" s="9" t="n">
        <v>39919</v>
      </c>
      <c r="B3032" s="7">
        <f>YEAR(A3032)</f>
        <v/>
      </c>
      <c r="C3032" s="7">
        <f>MONTH(A3032)</f>
        <v/>
      </c>
      <c r="D3032" s="10" t="n">
        <v>0</v>
      </c>
      <c r="E3032" s="11" t="n">
        <v>14.72628013</v>
      </c>
      <c r="F3032" s="12" t="n">
        <v>8.149837053e-05</v>
      </c>
      <c r="G3032" s="11" t="n">
        <v>290.4854049</v>
      </c>
      <c r="H3032" s="13">
        <f>F3032*1000</f>
        <v/>
      </c>
      <c r="I3032" s="14">
        <f>G3032-273.15</f>
        <v/>
      </c>
      <c r="K3032" s="15" t="n">
        <v>2009</v>
      </c>
      <c r="L3032" s="15" t="n">
        <v>5</v>
      </c>
      <c r="M3032" s="15" t="n">
        <v>28</v>
      </c>
      <c r="N3032" s="16" t="n">
        <v>1.655244599e-05</v>
      </c>
      <c r="O3032" s="11" t="n">
        <v>292.4279774</v>
      </c>
      <c r="P3032" s="13">
        <f>N3032*86400</f>
        <v/>
      </c>
      <c r="Q3032" s="14">
        <f>O3032-273.15</f>
        <v/>
      </c>
    </row>
    <row r="3033">
      <c r="A3033" s="9" t="n">
        <v>39920</v>
      </c>
      <c r="B3033" s="7">
        <f>YEAR(A3033)</f>
        <v/>
      </c>
      <c r="C3033" s="7">
        <f>MONTH(A3033)</f>
        <v/>
      </c>
      <c r="D3033" s="10" t="n">
        <v>0</v>
      </c>
      <c r="E3033" s="11" t="n">
        <v>13.83445172</v>
      </c>
      <c r="F3033" s="12" t="n">
        <v>0.007081006141</v>
      </c>
      <c r="G3033" s="11" t="n">
        <v>288.0286971</v>
      </c>
      <c r="H3033" s="13">
        <f>F3033*1000</f>
        <v/>
      </c>
      <c r="I3033" s="14">
        <f>G3033-273.15</f>
        <v/>
      </c>
      <c r="K3033" s="15" t="n">
        <v>2009</v>
      </c>
      <c r="L3033" s="15" t="n">
        <v>5</v>
      </c>
      <c r="M3033" s="15" t="n">
        <v>29</v>
      </c>
      <c r="N3033" s="16" t="n">
        <v>4.723916064e-05</v>
      </c>
      <c r="O3033" s="11" t="n">
        <v>292.7502214</v>
      </c>
      <c r="P3033" s="13">
        <f>N3033*86400</f>
        <v/>
      </c>
      <c r="Q3033" s="14">
        <f>O3033-273.15</f>
        <v/>
      </c>
    </row>
    <row r="3034">
      <c r="A3034" s="9" t="n">
        <v>39921</v>
      </c>
      <c r="B3034" s="7">
        <f>YEAR(A3034)</f>
        <v/>
      </c>
      <c r="C3034" s="7">
        <f>MONTH(A3034)</f>
        <v/>
      </c>
      <c r="D3034" s="10" t="n">
        <v>1.244812055</v>
      </c>
      <c r="E3034" s="11" t="n">
        <v>12.76808473</v>
      </c>
      <c r="F3034" s="12" t="n">
        <v>0.002330364631</v>
      </c>
      <c r="G3034" s="11" t="n">
        <v>286.4717801</v>
      </c>
      <c r="H3034" s="13">
        <f>F3034*1000</f>
        <v/>
      </c>
      <c r="I3034" s="14">
        <f>G3034-273.15</f>
        <v/>
      </c>
      <c r="K3034" s="15" t="n">
        <v>2009</v>
      </c>
      <c r="L3034" s="15" t="n">
        <v>5</v>
      </c>
      <c r="M3034" s="15" t="n">
        <v>30</v>
      </c>
      <c r="N3034" s="16" t="n">
        <v>1.301644979e-05</v>
      </c>
      <c r="O3034" s="11" t="n">
        <v>293.2633861</v>
      </c>
      <c r="P3034" s="13">
        <f>N3034*86400</f>
        <v/>
      </c>
      <c r="Q3034" s="14">
        <f>O3034-273.15</f>
        <v/>
      </c>
    </row>
    <row r="3035">
      <c r="A3035" s="9" t="n">
        <v>39922</v>
      </c>
      <c r="B3035" s="7">
        <f>YEAR(A3035)</f>
        <v/>
      </c>
      <c r="C3035" s="7">
        <f>MONTH(A3035)</f>
        <v/>
      </c>
      <c r="D3035" s="10" t="n">
        <v>0</v>
      </c>
      <c r="E3035" s="11" t="n">
        <v>13.02709277</v>
      </c>
      <c r="F3035" s="12" t="n">
        <v>2.47661306e-07</v>
      </c>
      <c r="G3035" s="11" t="n">
        <v>287.5343313</v>
      </c>
      <c r="H3035" s="13">
        <f>F3035*1000</f>
        <v/>
      </c>
      <c r="I3035" s="14">
        <f>G3035-273.15</f>
        <v/>
      </c>
      <c r="K3035" s="15" t="n">
        <v>2009</v>
      </c>
      <c r="L3035" s="15" t="n">
        <v>6</v>
      </c>
      <c r="M3035" s="15" t="n">
        <v>1</v>
      </c>
      <c r="N3035" s="16" t="n">
        <v>0.0002515611058</v>
      </c>
      <c r="O3035" s="11" t="n">
        <v>294.046978</v>
      </c>
      <c r="P3035" s="13">
        <f>N3035*86400</f>
        <v/>
      </c>
      <c r="Q3035" s="14">
        <f>O3035-273.15</f>
        <v/>
      </c>
    </row>
    <row r="3036">
      <c r="A3036" s="9" t="n">
        <v>39923</v>
      </c>
      <c r="B3036" s="7">
        <f>YEAR(A3036)</f>
        <v/>
      </c>
      <c r="C3036" s="7">
        <f>MONTH(A3036)</f>
        <v/>
      </c>
      <c r="D3036" s="10" t="n">
        <v>0</v>
      </c>
      <c r="E3036" s="11" t="n">
        <v>12.94463095</v>
      </c>
      <c r="F3036" s="12" t="n">
        <v>0</v>
      </c>
      <c r="G3036" s="11" t="n">
        <v>287.1768391</v>
      </c>
      <c r="H3036" s="13">
        <f>F3036*1000</f>
        <v/>
      </c>
      <c r="I3036" s="14">
        <f>G3036-273.15</f>
        <v/>
      </c>
      <c r="K3036" s="15" t="n">
        <v>2009</v>
      </c>
      <c r="L3036" s="15" t="n">
        <v>6</v>
      </c>
      <c r="M3036" s="15" t="n">
        <v>2</v>
      </c>
      <c r="N3036" s="16" t="n">
        <v>3.206155311e-05</v>
      </c>
      <c r="O3036" s="11" t="n">
        <v>292.9699495</v>
      </c>
      <c r="P3036" s="13">
        <f>N3036*86400</f>
        <v/>
      </c>
      <c r="Q3036" s="14">
        <f>O3036-273.15</f>
        <v/>
      </c>
    </row>
    <row r="3037">
      <c r="A3037" s="9" t="n">
        <v>39924</v>
      </c>
      <c r="B3037" s="7">
        <f>YEAR(A3037)</f>
        <v/>
      </c>
      <c r="C3037" s="7">
        <f>MONTH(A3037)</f>
        <v/>
      </c>
      <c r="D3037" s="10" t="n">
        <v>0</v>
      </c>
      <c r="E3037" s="11" t="n">
        <v>13.42669842</v>
      </c>
      <c r="F3037" s="12" t="n">
        <v>0</v>
      </c>
      <c r="G3037" s="11" t="n">
        <v>288.5279082</v>
      </c>
      <c r="H3037" s="13">
        <f>F3037*1000</f>
        <v/>
      </c>
      <c r="I3037" s="14">
        <f>G3037-273.15</f>
        <v/>
      </c>
      <c r="K3037" s="15" t="n">
        <v>2009</v>
      </c>
      <c r="L3037" s="15" t="n">
        <v>6</v>
      </c>
      <c r="M3037" s="15" t="n">
        <v>3</v>
      </c>
      <c r="N3037" s="16" t="n">
        <v>4.499920162e-05</v>
      </c>
      <c r="O3037" s="11" t="n">
        <v>293.3571489</v>
      </c>
      <c r="P3037" s="13">
        <f>N3037*86400</f>
        <v/>
      </c>
      <c r="Q3037" s="14">
        <f>O3037-273.15</f>
        <v/>
      </c>
    </row>
    <row r="3038">
      <c r="A3038" s="9" t="n">
        <v>39925</v>
      </c>
      <c r="B3038" s="7">
        <f>YEAR(A3038)</f>
        <v/>
      </c>
      <c r="C3038" s="7">
        <f>MONTH(A3038)</f>
        <v/>
      </c>
      <c r="D3038" s="10" t="n">
        <v>0</v>
      </c>
      <c r="E3038" s="11" t="n">
        <v>12.98650244</v>
      </c>
      <c r="F3038" s="12" t="n">
        <v>0.001059508181</v>
      </c>
      <c r="G3038" s="11" t="n">
        <v>288.0599651</v>
      </c>
      <c r="H3038" s="13">
        <f>F3038*1000</f>
        <v/>
      </c>
      <c r="I3038" s="14">
        <f>G3038-273.15</f>
        <v/>
      </c>
      <c r="K3038" s="15" t="n">
        <v>2009</v>
      </c>
      <c r="L3038" s="15" t="n">
        <v>6</v>
      </c>
      <c r="M3038" s="15" t="n">
        <v>4</v>
      </c>
      <c r="N3038" s="16" t="n">
        <v>0</v>
      </c>
      <c r="O3038" s="11" t="n">
        <v>290.6865655</v>
      </c>
      <c r="P3038" s="13">
        <f>N3038*86400</f>
        <v/>
      </c>
      <c r="Q3038" s="14">
        <f>O3038-273.15</f>
        <v/>
      </c>
    </row>
    <row r="3039">
      <c r="A3039" s="9" t="n">
        <v>39926</v>
      </c>
      <c r="B3039" s="7">
        <f>YEAR(A3039)</f>
        <v/>
      </c>
      <c r="C3039" s="7">
        <f>MONTH(A3039)</f>
        <v/>
      </c>
      <c r="D3039" s="10" t="n">
        <v>0</v>
      </c>
      <c r="E3039" s="11" t="n">
        <v>13.45324516</v>
      </c>
      <c r="F3039" s="12" t="n">
        <v>0</v>
      </c>
      <c r="G3039" s="11" t="n">
        <v>289.0248177</v>
      </c>
      <c r="H3039" s="13">
        <f>F3039*1000</f>
        <v/>
      </c>
      <c r="I3039" s="14">
        <f>G3039-273.15</f>
        <v/>
      </c>
      <c r="K3039" s="15" t="n">
        <v>2009</v>
      </c>
      <c r="L3039" s="15" t="n">
        <v>6</v>
      </c>
      <c r="M3039" s="15" t="n">
        <v>5</v>
      </c>
      <c r="N3039" s="16" t="n">
        <v>3.17413628e-05</v>
      </c>
      <c r="O3039" s="11" t="n">
        <v>289.8700878</v>
      </c>
      <c r="P3039" s="13">
        <f>N3039*86400</f>
        <v/>
      </c>
      <c r="Q3039" s="14">
        <f>O3039-273.15</f>
        <v/>
      </c>
    </row>
    <row r="3040">
      <c r="A3040" s="9" t="n">
        <v>39927</v>
      </c>
      <c r="B3040" s="7">
        <f>YEAR(A3040)</f>
        <v/>
      </c>
      <c r="C3040" s="7">
        <f>MONTH(A3040)</f>
        <v/>
      </c>
      <c r="D3040" s="10" t="n">
        <v>0</v>
      </c>
      <c r="E3040" s="11" t="n">
        <v>14.79688493</v>
      </c>
      <c r="F3040" s="12" t="n">
        <v>0</v>
      </c>
      <c r="G3040" s="11" t="n">
        <v>290.3231368</v>
      </c>
      <c r="H3040" s="13">
        <f>F3040*1000</f>
        <v/>
      </c>
      <c r="I3040" s="14">
        <f>G3040-273.15</f>
        <v/>
      </c>
      <c r="K3040" s="15" t="n">
        <v>2009</v>
      </c>
      <c r="L3040" s="15" t="n">
        <v>6</v>
      </c>
      <c r="M3040" s="15" t="n">
        <v>6</v>
      </c>
      <c r="N3040" s="16" t="n">
        <v>0</v>
      </c>
      <c r="O3040" s="11" t="n">
        <v>289.1993962</v>
      </c>
      <c r="P3040" s="13">
        <f>N3040*86400</f>
        <v/>
      </c>
      <c r="Q3040" s="14">
        <f>O3040-273.15</f>
        <v/>
      </c>
    </row>
    <row r="3041">
      <c r="A3041" s="9" t="n">
        <v>39928</v>
      </c>
      <c r="B3041" s="7">
        <f>YEAR(A3041)</f>
        <v/>
      </c>
      <c r="C3041" s="7">
        <f>MONTH(A3041)</f>
        <v/>
      </c>
      <c r="D3041" s="10" t="n">
        <v>0</v>
      </c>
      <c r="E3041" s="11" t="n">
        <v>15.03624286</v>
      </c>
      <c r="F3041" s="12" t="n">
        <v>3.874888152e-05</v>
      </c>
      <c r="G3041" s="11" t="n">
        <v>290.1514508</v>
      </c>
      <c r="H3041" s="13">
        <f>F3041*1000</f>
        <v/>
      </c>
      <c r="I3041" s="14">
        <f>G3041-273.15</f>
        <v/>
      </c>
      <c r="K3041" s="15" t="n">
        <v>2009</v>
      </c>
      <c r="L3041" s="15" t="n">
        <v>6</v>
      </c>
      <c r="M3041" s="15" t="n">
        <v>7</v>
      </c>
      <c r="N3041" s="16" t="n">
        <v>0</v>
      </c>
      <c r="O3041" s="11" t="n">
        <v>290.3127126</v>
      </c>
      <c r="P3041" s="13">
        <f>N3041*86400</f>
        <v/>
      </c>
      <c r="Q3041" s="14">
        <f>O3041-273.15</f>
        <v/>
      </c>
    </row>
    <row r="3042">
      <c r="A3042" s="9" t="n">
        <v>39929</v>
      </c>
      <c r="B3042" s="7">
        <f>YEAR(A3042)</f>
        <v/>
      </c>
      <c r="C3042" s="7">
        <f>MONTH(A3042)</f>
        <v/>
      </c>
      <c r="D3042" s="10" t="n">
        <v>0</v>
      </c>
      <c r="E3042" s="11" t="n">
        <v>16.35974298</v>
      </c>
      <c r="F3042" s="12" t="n">
        <v>0</v>
      </c>
      <c r="G3042" s="11" t="n">
        <v>289.8978868</v>
      </c>
      <c r="H3042" s="13">
        <f>F3042*1000</f>
        <v/>
      </c>
      <c r="I3042" s="14">
        <f>G3042-273.15</f>
        <v/>
      </c>
      <c r="K3042" s="15" t="n">
        <v>2009</v>
      </c>
      <c r="L3042" s="15" t="n">
        <v>6</v>
      </c>
      <c r="M3042" s="15" t="n">
        <v>8</v>
      </c>
      <c r="N3042" s="16" t="n">
        <v>1.395369682e-05</v>
      </c>
      <c r="O3042" s="11" t="n">
        <v>290.9430117</v>
      </c>
      <c r="P3042" s="13">
        <f>N3042*86400</f>
        <v/>
      </c>
      <c r="Q3042" s="14">
        <f>O3042-273.15</f>
        <v/>
      </c>
    </row>
    <row r="3043">
      <c r="A3043" s="9" t="n">
        <v>39930</v>
      </c>
      <c r="B3043" s="7">
        <f>YEAR(A3043)</f>
        <v/>
      </c>
      <c r="C3043" s="7">
        <f>MONTH(A3043)</f>
        <v/>
      </c>
      <c r="D3043" s="10" t="n">
        <v>0</v>
      </c>
      <c r="E3043" s="11" t="n">
        <v>19.16860135</v>
      </c>
      <c r="F3043" s="12" t="n">
        <v>0</v>
      </c>
      <c r="G3043" s="11" t="n">
        <v>292.400561</v>
      </c>
      <c r="H3043" s="13">
        <f>F3043*1000</f>
        <v/>
      </c>
      <c r="I3043" s="14">
        <f>G3043-273.15</f>
        <v/>
      </c>
      <c r="K3043" s="15" t="n">
        <v>2009</v>
      </c>
      <c r="L3043" s="15" t="n">
        <v>6</v>
      </c>
      <c r="M3043" s="15" t="n">
        <v>9</v>
      </c>
      <c r="N3043" s="16" t="n">
        <v>0</v>
      </c>
      <c r="O3043" s="11" t="n">
        <v>289.5955668</v>
      </c>
      <c r="P3043" s="13">
        <f>N3043*86400</f>
        <v/>
      </c>
      <c r="Q3043" s="14">
        <f>O3043-273.15</f>
        <v/>
      </c>
    </row>
    <row r="3044">
      <c r="A3044" s="9" t="n">
        <v>39931</v>
      </c>
      <c r="B3044" s="7">
        <f>YEAR(A3044)</f>
        <v/>
      </c>
      <c r="C3044" s="7">
        <f>MONTH(A3044)</f>
        <v/>
      </c>
      <c r="D3044" s="10" t="n">
        <v>0</v>
      </c>
      <c r="E3044" s="11" t="n">
        <v>16.60922672</v>
      </c>
      <c r="F3044" s="12" t="n">
        <v>0</v>
      </c>
      <c r="G3044" s="11" t="n">
        <v>290.4456433</v>
      </c>
      <c r="H3044" s="13">
        <f>F3044*1000</f>
        <v/>
      </c>
      <c r="I3044" s="14">
        <f>G3044-273.15</f>
        <v/>
      </c>
      <c r="K3044" s="15" t="n">
        <v>2009</v>
      </c>
      <c r="L3044" s="15" t="n">
        <v>6</v>
      </c>
      <c r="M3044" s="15" t="n">
        <v>10</v>
      </c>
      <c r="N3044" s="16" t="n">
        <v>6.318299897e-06</v>
      </c>
      <c r="O3044" s="11" t="n">
        <v>290.2396697</v>
      </c>
      <c r="P3044" s="13">
        <f>N3044*86400</f>
        <v/>
      </c>
      <c r="Q3044" s="14">
        <f>O3044-273.15</f>
        <v/>
      </c>
    </row>
    <row r="3045">
      <c r="A3045" s="9" t="n">
        <v>39932</v>
      </c>
      <c r="B3045" s="7">
        <f>YEAR(A3045)</f>
        <v/>
      </c>
      <c r="C3045" s="7">
        <f>MONTH(A3045)</f>
        <v/>
      </c>
      <c r="D3045" s="10" t="n">
        <v>0</v>
      </c>
      <c r="E3045" s="11" t="n">
        <v>17.7155835</v>
      </c>
      <c r="F3045" s="12" t="n">
        <v>0.0001522642226</v>
      </c>
      <c r="G3045" s="11" t="n">
        <v>291.5192045</v>
      </c>
      <c r="H3045" s="13">
        <f>F3045*1000</f>
        <v/>
      </c>
      <c r="I3045" s="14">
        <f>G3045-273.15</f>
        <v/>
      </c>
      <c r="K3045" s="15" t="n">
        <v>2009</v>
      </c>
      <c r="L3045" s="15" t="n">
        <v>6</v>
      </c>
      <c r="M3045" s="15" t="n">
        <v>11</v>
      </c>
      <c r="N3045" s="16" t="n">
        <v>7.872125454000001e-05</v>
      </c>
      <c r="O3045" s="11" t="n">
        <v>289.6487421</v>
      </c>
      <c r="P3045" s="13">
        <f>N3045*86400</f>
        <v/>
      </c>
      <c r="Q3045" s="14">
        <f>O3045-273.15</f>
        <v/>
      </c>
    </row>
    <row r="3046">
      <c r="A3046" s="9" t="n">
        <v>39933</v>
      </c>
      <c r="B3046" s="7">
        <f>YEAR(A3046)</f>
        <v/>
      </c>
      <c r="C3046" s="7">
        <f>MONTH(A3046)</f>
        <v/>
      </c>
      <c r="D3046" s="10" t="n">
        <v>0</v>
      </c>
      <c r="E3046" s="11" t="n">
        <v>19.4704333</v>
      </c>
      <c r="F3046" s="12" t="n">
        <v>0</v>
      </c>
      <c r="G3046" s="11" t="n">
        <v>293.9906835</v>
      </c>
      <c r="H3046" s="13">
        <f>F3046*1000</f>
        <v/>
      </c>
      <c r="I3046" s="14">
        <f>G3046-273.15</f>
        <v/>
      </c>
      <c r="K3046" s="15" t="n">
        <v>2009</v>
      </c>
      <c r="L3046" s="15" t="n">
        <v>6</v>
      </c>
      <c r="M3046" s="15" t="n">
        <v>12</v>
      </c>
      <c r="N3046" s="16" t="n">
        <v>4.380757039e-05</v>
      </c>
      <c r="O3046" s="11" t="n">
        <v>290.7992075</v>
      </c>
      <c r="P3046" s="13">
        <f>N3046*86400</f>
        <v/>
      </c>
      <c r="Q3046" s="14">
        <f>O3046-273.15</f>
        <v/>
      </c>
    </row>
    <row r="3047">
      <c r="A3047" s="9" t="n">
        <v>39934</v>
      </c>
      <c r="B3047" s="7">
        <f>YEAR(A3047)</f>
        <v/>
      </c>
      <c r="C3047" s="7">
        <f>MONTH(A3047)</f>
        <v/>
      </c>
      <c r="D3047" s="10" t="n">
        <v>0</v>
      </c>
      <c r="E3047" s="11" t="n">
        <v>16.75156463</v>
      </c>
      <c r="F3047" s="12" t="n">
        <v>0</v>
      </c>
      <c r="G3047" s="11" t="n">
        <v>291.7186106</v>
      </c>
      <c r="H3047" s="13">
        <f>F3047*1000</f>
        <v/>
      </c>
      <c r="I3047" s="14">
        <f>G3047-273.15</f>
        <v/>
      </c>
      <c r="K3047" s="15" t="n">
        <v>2009</v>
      </c>
      <c r="L3047" s="15" t="n">
        <v>6</v>
      </c>
      <c r="M3047" s="15" t="n">
        <v>13</v>
      </c>
      <c r="N3047" s="16" t="n">
        <v>0.0002243510935</v>
      </c>
      <c r="O3047" s="11" t="n">
        <v>290.9677531</v>
      </c>
      <c r="P3047" s="13">
        <f>N3047*86400</f>
        <v/>
      </c>
      <c r="Q3047" s="14">
        <f>O3047-273.15</f>
        <v/>
      </c>
    </row>
    <row r="3048">
      <c r="A3048" s="9" t="n">
        <v>39935</v>
      </c>
      <c r="B3048" s="7">
        <f>YEAR(A3048)</f>
        <v/>
      </c>
      <c r="C3048" s="7">
        <f>MONTH(A3048)</f>
        <v/>
      </c>
      <c r="D3048" s="10" t="n">
        <v>0</v>
      </c>
      <c r="E3048" s="11" t="n">
        <v>16.69145105</v>
      </c>
      <c r="F3048" s="12" t="n">
        <v>0.0001143938969</v>
      </c>
      <c r="G3048" s="11" t="n">
        <v>292.0310102</v>
      </c>
      <c r="H3048" s="13">
        <f>F3048*1000</f>
        <v/>
      </c>
      <c r="I3048" s="14">
        <f>G3048-273.15</f>
        <v/>
      </c>
      <c r="K3048" s="15" t="n">
        <v>2009</v>
      </c>
      <c r="L3048" s="15" t="n">
        <v>6</v>
      </c>
      <c r="M3048" s="15" t="n">
        <v>14</v>
      </c>
      <c r="N3048" s="16" t="n">
        <v>3.500050546e-05</v>
      </c>
      <c r="O3048" s="11" t="n">
        <v>295.0498225</v>
      </c>
      <c r="P3048" s="13">
        <f>N3048*86400</f>
        <v/>
      </c>
      <c r="Q3048" s="14">
        <f>O3048-273.15</f>
        <v/>
      </c>
    </row>
    <row r="3049">
      <c r="A3049" s="9" t="n">
        <v>39936</v>
      </c>
      <c r="B3049" s="7">
        <f>YEAR(A3049)</f>
        <v/>
      </c>
      <c r="C3049" s="7">
        <f>MONTH(A3049)</f>
        <v/>
      </c>
      <c r="D3049" s="10" t="n">
        <v>0</v>
      </c>
      <c r="E3049" s="11" t="n">
        <v>17.00132558</v>
      </c>
      <c r="F3049" s="12" t="n">
        <v>0</v>
      </c>
      <c r="G3049" s="11" t="n">
        <v>291.2767717</v>
      </c>
      <c r="H3049" s="13">
        <f>F3049*1000</f>
        <v/>
      </c>
      <c r="I3049" s="14">
        <f>G3049-273.15</f>
        <v/>
      </c>
      <c r="K3049" s="15" t="n">
        <v>2009</v>
      </c>
      <c r="L3049" s="15" t="n">
        <v>6</v>
      </c>
      <c r="M3049" s="15" t="n">
        <v>15</v>
      </c>
      <c r="N3049" s="16" t="n">
        <v>6.31093709e-06</v>
      </c>
      <c r="O3049" s="11" t="n">
        <v>295.2559647</v>
      </c>
      <c r="P3049" s="13">
        <f>N3049*86400</f>
        <v/>
      </c>
      <c r="Q3049" s="14">
        <f>O3049-273.15</f>
        <v/>
      </c>
    </row>
    <row r="3050">
      <c r="A3050" s="9" t="n">
        <v>39937</v>
      </c>
      <c r="B3050" s="7">
        <f>YEAR(A3050)</f>
        <v/>
      </c>
      <c r="C3050" s="7">
        <f>MONTH(A3050)</f>
        <v/>
      </c>
      <c r="D3050" s="10" t="n">
        <v>0</v>
      </c>
      <c r="E3050" s="11" t="n">
        <v>15.47981119</v>
      </c>
      <c r="F3050" s="12" t="n">
        <v>0</v>
      </c>
      <c r="G3050" s="11" t="n">
        <v>289.5536778</v>
      </c>
      <c r="H3050" s="13">
        <f>F3050*1000</f>
        <v/>
      </c>
      <c r="I3050" s="14">
        <f>G3050-273.15</f>
        <v/>
      </c>
      <c r="K3050" s="15" t="n">
        <v>2009</v>
      </c>
      <c r="L3050" s="15" t="n">
        <v>6</v>
      </c>
      <c r="M3050" s="15" t="n">
        <v>16</v>
      </c>
      <c r="N3050" s="16" t="n">
        <v>2.001503137e-06</v>
      </c>
      <c r="O3050" s="11" t="n">
        <v>294.3600247</v>
      </c>
      <c r="P3050" s="13">
        <f>N3050*86400</f>
        <v/>
      </c>
      <c r="Q3050" s="14">
        <f>O3050-273.15</f>
        <v/>
      </c>
    </row>
    <row r="3051">
      <c r="A3051" s="9" t="n">
        <v>39938</v>
      </c>
      <c r="B3051" s="7">
        <f>YEAR(A3051)</f>
        <v/>
      </c>
      <c r="C3051" s="7">
        <f>MONTH(A3051)</f>
        <v/>
      </c>
      <c r="D3051" s="10" t="n">
        <v>0</v>
      </c>
      <c r="E3051" s="11" t="n">
        <v>17.75333486</v>
      </c>
      <c r="F3051" s="12" t="n">
        <v>0</v>
      </c>
      <c r="G3051" s="11" t="n">
        <v>290.8157088</v>
      </c>
      <c r="H3051" s="13">
        <f>F3051*1000</f>
        <v/>
      </c>
      <c r="I3051" s="14">
        <f>G3051-273.15</f>
        <v/>
      </c>
      <c r="K3051" s="15" t="n">
        <v>2009</v>
      </c>
      <c r="L3051" s="15" t="n">
        <v>6</v>
      </c>
      <c r="M3051" s="15" t="n">
        <v>17</v>
      </c>
      <c r="N3051" s="16" t="n">
        <v>0</v>
      </c>
      <c r="O3051" s="11" t="n">
        <v>295.1964508</v>
      </c>
      <c r="P3051" s="13">
        <f>N3051*86400</f>
        <v/>
      </c>
      <c r="Q3051" s="14">
        <f>O3051-273.15</f>
        <v/>
      </c>
    </row>
    <row r="3052">
      <c r="A3052" s="9" t="n">
        <v>39939</v>
      </c>
      <c r="B3052" s="7">
        <f>YEAR(A3052)</f>
        <v/>
      </c>
      <c r="C3052" s="7">
        <f>MONTH(A3052)</f>
        <v/>
      </c>
      <c r="D3052" s="10" t="n">
        <v>0.2748070273</v>
      </c>
      <c r="E3052" s="11" t="n">
        <v>16.21343493</v>
      </c>
      <c r="F3052" s="12" t="n">
        <v>0</v>
      </c>
      <c r="G3052" s="11" t="n">
        <v>289.510666</v>
      </c>
      <c r="H3052" s="13">
        <f>F3052*1000</f>
        <v/>
      </c>
      <c r="I3052" s="14">
        <f>G3052-273.15</f>
        <v/>
      </c>
      <c r="K3052" s="15" t="n">
        <v>2009</v>
      </c>
      <c r="L3052" s="15" t="n">
        <v>6</v>
      </c>
      <c r="M3052" s="15" t="n">
        <v>18</v>
      </c>
      <c r="N3052" s="16" t="n">
        <v>6.453826681e-07</v>
      </c>
      <c r="O3052" s="11" t="n">
        <v>293.6838937</v>
      </c>
      <c r="P3052" s="13">
        <f>N3052*86400</f>
        <v/>
      </c>
      <c r="Q3052" s="14">
        <f>O3052-273.15</f>
        <v/>
      </c>
    </row>
    <row r="3053">
      <c r="A3053" s="9" t="n">
        <v>39940</v>
      </c>
      <c r="B3053" s="7">
        <f>YEAR(A3053)</f>
        <v/>
      </c>
      <c r="C3053" s="7">
        <f>MONTH(A3053)</f>
        <v/>
      </c>
      <c r="D3053" s="10" t="n">
        <v>0</v>
      </c>
      <c r="E3053" s="11" t="n">
        <v>15.39485184</v>
      </c>
      <c r="F3053" s="12" t="n">
        <v>2.247416525e-05</v>
      </c>
      <c r="G3053" s="11" t="n">
        <v>288.6379064</v>
      </c>
      <c r="H3053" s="13">
        <f>F3053*1000</f>
        <v/>
      </c>
      <c r="I3053" s="14">
        <f>G3053-273.15</f>
        <v/>
      </c>
      <c r="K3053" s="15" t="n">
        <v>2009</v>
      </c>
      <c r="L3053" s="15" t="n">
        <v>6</v>
      </c>
      <c r="M3053" s="15" t="n">
        <v>19</v>
      </c>
      <c r="N3053" s="16" t="n">
        <v>5.606330016e-05</v>
      </c>
      <c r="O3053" s="11" t="n">
        <v>292.9617722</v>
      </c>
      <c r="P3053" s="13">
        <f>N3053*86400</f>
        <v/>
      </c>
      <c r="Q3053" s="14">
        <f>O3053-273.15</f>
        <v/>
      </c>
    </row>
    <row r="3054">
      <c r="A3054" s="9" t="n">
        <v>39941</v>
      </c>
      <c r="B3054" s="7">
        <f>YEAR(A3054)</f>
        <v/>
      </c>
      <c r="C3054" s="7">
        <f>MONTH(A3054)</f>
        <v/>
      </c>
      <c r="D3054" s="10" t="n">
        <v>0</v>
      </c>
      <c r="E3054" s="11" t="n">
        <v>16.87389734</v>
      </c>
      <c r="F3054" s="12" t="n">
        <v>0.0001420470439</v>
      </c>
      <c r="G3054" s="11" t="n">
        <v>290.2340519</v>
      </c>
      <c r="H3054" s="13">
        <f>F3054*1000</f>
        <v/>
      </c>
      <c r="I3054" s="14">
        <f>G3054-273.15</f>
        <v/>
      </c>
      <c r="K3054" s="15" t="n">
        <v>2009</v>
      </c>
      <c r="L3054" s="15" t="n">
        <v>6</v>
      </c>
      <c r="M3054" s="15" t="n">
        <v>20</v>
      </c>
      <c r="N3054" s="16" t="n">
        <v>4.168028369e-06</v>
      </c>
      <c r="O3054" s="11" t="n">
        <v>291.9056801</v>
      </c>
      <c r="P3054" s="13">
        <f>N3054*86400</f>
        <v/>
      </c>
      <c r="Q3054" s="14">
        <f>O3054-273.15</f>
        <v/>
      </c>
    </row>
    <row r="3055">
      <c r="A3055" s="9" t="n">
        <v>39942</v>
      </c>
      <c r="B3055" s="7">
        <f>YEAR(A3055)</f>
        <v/>
      </c>
      <c r="C3055" s="7">
        <f>MONTH(A3055)</f>
        <v/>
      </c>
      <c r="D3055" s="10" t="n">
        <v>0</v>
      </c>
      <c r="E3055" s="11" t="n">
        <v>17.9674036</v>
      </c>
      <c r="F3055" s="12" t="n">
        <v>0.003146675063</v>
      </c>
      <c r="G3055" s="11" t="n">
        <v>291.786312</v>
      </c>
      <c r="H3055" s="13">
        <f>F3055*1000</f>
        <v/>
      </c>
      <c r="I3055" s="14">
        <f>G3055-273.15</f>
        <v/>
      </c>
      <c r="K3055" s="15" t="n">
        <v>2009</v>
      </c>
      <c r="L3055" s="15" t="n">
        <v>6</v>
      </c>
      <c r="M3055" s="15" t="n">
        <v>21</v>
      </c>
      <c r="N3055" s="16" t="n">
        <v>0.0001560309999</v>
      </c>
      <c r="O3055" s="11" t="n">
        <v>291.5512114</v>
      </c>
      <c r="P3055" s="13">
        <f>N3055*86400</f>
        <v/>
      </c>
      <c r="Q3055" s="14">
        <f>O3055-273.15</f>
        <v/>
      </c>
    </row>
    <row r="3056">
      <c r="A3056" s="9" t="n">
        <v>39943</v>
      </c>
      <c r="B3056" s="7">
        <f>YEAR(A3056)</f>
        <v/>
      </c>
      <c r="C3056" s="7">
        <f>MONTH(A3056)</f>
        <v/>
      </c>
      <c r="D3056" s="10" t="n">
        <v>0</v>
      </c>
      <c r="E3056" s="11" t="n">
        <v>17.44329661</v>
      </c>
      <c r="F3056" s="12" t="n">
        <v>0</v>
      </c>
      <c r="G3056" s="11" t="n">
        <v>290.1524746</v>
      </c>
      <c r="H3056" s="13">
        <f>F3056*1000</f>
        <v/>
      </c>
      <c r="I3056" s="14">
        <f>G3056-273.15</f>
        <v/>
      </c>
      <c r="K3056" s="15" t="n">
        <v>2009</v>
      </c>
      <c r="L3056" s="15" t="n">
        <v>6</v>
      </c>
      <c r="M3056" s="15" t="n">
        <v>22</v>
      </c>
      <c r="N3056" s="16" t="n">
        <v>0</v>
      </c>
      <c r="O3056" s="11" t="n">
        <v>291.7782715</v>
      </c>
      <c r="P3056" s="13">
        <f>N3056*86400</f>
        <v/>
      </c>
      <c r="Q3056" s="14">
        <f>O3056-273.15</f>
        <v/>
      </c>
    </row>
    <row r="3057">
      <c r="A3057" s="9" t="n">
        <v>39944</v>
      </c>
      <c r="B3057" s="7">
        <f>YEAR(A3057)</f>
        <v/>
      </c>
      <c r="C3057" s="7">
        <f>MONTH(A3057)</f>
        <v/>
      </c>
      <c r="D3057" s="10" t="n">
        <v>0</v>
      </c>
      <c r="E3057" s="11" t="n">
        <v>17.11906971</v>
      </c>
      <c r="F3057" s="12" t="n">
        <v>0</v>
      </c>
      <c r="G3057" s="11" t="n">
        <v>290.3780475</v>
      </c>
      <c r="H3057" s="13">
        <f>F3057*1000</f>
        <v/>
      </c>
      <c r="I3057" s="14">
        <f>G3057-273.15</f>
        <v/>
      </c>
      <c r="K3057" s="15" t="n">
        <v>2009</v>
      </c>
      <c r="L3057" s="15" t="n">
        <v>6</v>
      </c>
      <c r="M3057" s="15" t="n">
        <v>23</v>
      </c>
      <c r="N3057" s="16" t="n">
        <v>1.439718406e-05</v>
      </c>
      <c r="O3057" s="11" t="n">
        <v>290.5158387</v>
      </c>
      <c r="P3057" s="13">
        <f>N3057*86400</f>
        <v/>
      </c>
      <c r="Q3057" s="14">
        <f>O3057-273.15</f>
        <v/>
      </c>
    </row>
    <row r="3058">
      <c r="A3058" s="9" t="n">
        <v>39945</v>
      </c>
      <c r="B3058" s="7">
        <f>YEAR(A3058)</f>
        <v/>
      </c>
      <c r="C3058" s="7">
        <f>MONTH(A3058)</f>
        <v/>
      </c>
      <c r="D3058" s="10" t="n">
        <v>0</v>
      </c>
      <c r="E3058" s="11" t="n">
        <v>16.38540726</v>
      </c>
      <c r="F3058" s="12" t="n">
        <v>0</v>
      </c>
      <c r="G3058" s="11" t="n">
        <v>289.7552368</v>
      </c>
      <c r="H3058" s="13">
        <f>F3058*1000</f>
        <v/>
      </c>
      <c r="I3058" s="14">
        <f>G3058-273.15</f>
        <v/>
      </c>
      <c r="K3058" s="15" t="n">
        <v>2009</v>
      </c>
      <c r="L3058" s="15" t="n">
        <v>6</v>
      </c>
      <c r="M3058" s="15" t="n">
        <v>24</v>
      </c>
      <c r="N3058" s="16" t="n">
        <v>3.742826895e-05</v>
      </c>
      <c r="O3058" s="11" t="n">
        <v>291.5918115</v>
      </c>
      <c r="P3058" s="13">
        <f>N3058*86400</f>
        <v/>
      </c>
      <c r="Q3058" s="14">
        <f>O3058-273.15</f>
        <v/>
      </c>
    </row>
    <row r="3059">
      <c r="A3059" s="9" t="n">
        <v>39946</v>
      </c>
      <c r="B3059" s="7">
        <f>YEAR(A3059)</f>
        <v/>
      </c>
      <c r="C3059" s="7">
        <f>MONTH(A3059)</f>
        <v/>
      </c>
      <c r="D3059" s="10" t="n">
        <v>0</v>
      </c>
      <c r="E3059" s="11" t="n">
        <v>18.19762662</v>
      </c>
      <c r="F3059" s="12" t="n">
        <v>0.004315783686</v>
      </c>
      <c r="G3059" s="11" t="n">
        <v>292.7289311</v>
      </c>
      <c r="H3059" s="13">
        <f>F3059*1000</f>
        <v/>
      </c>
      <c r="I3059" s="14">
        <f>G3059-273.15</f>
        <v/>
      </c>
      <c r="K3059" s="15" t="n">
        <v>2009</v>
      </c>
      <c r="L3059" s="15" t="n">
        <v>6</v>
      </c>
      <c r="M3059" s="15" t="n">
        <v>25</v>
      </c>
      <c r="N3059" s="16" t="n">
        <v>2.634173833e-05</v>
      </c>
      <c r="O3059" s="11" t="n">
        <v>289.1605763</v>
      </c>
      <c r="P3059" s="13">
        <f>N3059*86400</f>
        <v/>
      </c>
      <c r="Q3059" s="14">
        <f>O3059-273.15</f>
        <v/>
      </c>
    </row>
    <row r="3060">
      <c r="A3060" s="9" t="n">
        <v>39947</v>
      </c>
      <c r="B3060" s="7">
        <f>YEAR(A3060)</f>
        <v/>
      </c>
      <c r="C3060" s="7">
        <f>MONTH(A3060)</f>
        <v/>
      </c>
      <c r="D3060" s="10" t="n">
        <v>2.902920506</v>
      </c>
      <c r="E3060" s="11" t="n">
        <v>20.13897582</v>
      </c>
      <c r="F3060" s="12" t="n">
        <v>0.006719818999</v>
      </c>
      <c r="G3060" s="11" t="n">
        <v>294.1206243</v>
      </c>
      <c r="H3060" s="13">
        <f>F3060*1000</f>
        <v/>
      </c>
      <c r="I3060" s="14">
        <f>G3060-273.15</f>
        <v/>
      </c>
      <c r="K3060" s="15" t="n">
        <v>2009</v>
      </c>
      <c r="L3060" s="15" t="n">
        <v>6</v>
      </c>
      <c r="M3060" s="15" t="n">
        <v>26</v>
      </c>
      <c r="N3060" s="16" t="n">
        <v>3.011660111e-05</v>
      </c>
      <c r="O3060" s="11" t="n">
        <v>290.9580924</v>
      </c>
      <c r="P3060" s="13">
        <f>N3060*86400</f>
        <v/>
      </c>
      <c r="Q3060" s="14">
        <f>O3060-273.15</f>
        <v/>
      </c>
    </row>
    <row r="3061">
      <c r="A3061" s="9" t="n">
        <v>39948</v>
      </c>
      <c r="B3061" s="7">
        <f>YEAR(A3061)</f>
        <v/>
      </c>
      <c r="C3061" s="7">
        <f>MONTH(A3061)</f>
        <v/>
      </c>
      <c r="D3061" s="10" t="n">
        <v>0.1800720613</v>
      </c>
      <c r="E3061" s="11" t="n">
        <v>20.67001676</v>
      </c>
      <c r="F3061" s="12" t="n">
        <v>0</v>
      </c>
      <c r="G3061" s="11" t="n">
        <v>293.5629359</v>
      </c>
      <c r="H3061" s="13">
        <f>F3061*1000</f>
        <v/>
      </c>
      <c r="I3061" s="14">
        <f>G3061-273.15</f>
        <v/>
      </c>
      <c r="K3061" s="15" t="n">
        <v>2009</v>
      </c>
      <c r="L3061" s="15" t="n">
        <v>6</v>
      </c>
      <c r="M3061" s="15" t="n">
        <v>27</v>
      </c>
      <c r="N3061" s="16" t="n">
        <v>2.091930302e-05</v>
      </c>
      <c r="O3061" s="11" t="n">
        <v>289.9739074</v>
      </c>
      <c r="P3061" s="13">
        <f>N3061*86400</f>
        <v/>
      </c>
      <c r="Q3061" s="14">
        <f>O3061-273.15</f>
        <v/>
      </c>
    </row>
    <row r="3062">
      <c r="A3062" s="9" t="n">
        <v>39949</v>
      </c>
      <c r="B3062" s="7">
        <f>YEAR(A3062)</f>
        <v/>
      </c>
      <c r="C3062" s="7">
        <f>MONTH(A3062)</f>
        <v/>
      </c>
      <c r="D3062" s="10" t="n">
        <v>4.724720188</v>
      </c>
      <c r="E3062" s="11" t="n">
        <v>18.74183362</v>
      </c>
      <c r="F3062" s="12" t="n">
        <v>0.008768557619</v>
      </c>
      <c r="G3062" s="11" t="n">
        <v>290.8115498</v>
      </c>
      <c r="H3062" s="13">
        <f>F3062*1000</f>
        <v/>
      </c>
      <c r="I3062" s="14">
        <f>G3062-273.15</f>
        <v/>
      </c>
      <c r="K3062" s="15" t="n">
        <v>2009</v>
      </c>
      <c r="L3062" s="15" t="n">
        <v>6</v>
      </c>
      <c r="M3062" s="15" t="n">
        <v>28</v>
      </c>
      <c r="N3062" s="16" t="n">
        <v>1.051183377e-05</v>
      </c>
      <c r="O3062" s="11" t="n">
        <v>288.7001373</v>
      </c>
      <c r="P3062" s="13">
        <f>N3062*86400</f>
        <v/>
      </c>
      <c r="Q3062" s="14">
        <f>O3062-273.15</f>
        <v/>
      </c>
    </row>
    <row r="3063">
      <c r="A3063" s="9" t="n">
        <v>39950</v>
      </c>
      <c r="B3063" s="7">
        <f>YEAR(A3063)</f>
        <v/>
      </c>
      <c r="C3063" s="7">
        <f>MONTH(A3063)</f>
        <v/>
      </c>
      <c r="D3063" s="10" t="n">
        <v>0</v>
      </c>
      <c r="E3063" s="11" t="n">
        <v>16.22348639</v>
      </c>
      <c r="F3063" s="12" t="n">
        <v>0.004265468612</v>
      </c>
      <c r="G3063" s="11" t="n">
        <v>290.1689433</v>
      </c>
      <c r="H3063" s="13">
        <f>F3063*1000</f>
        <v/>
      </c>
      <c r="I3063" s="14">
        <f>G3063-273.15</f>
        <v/>
      </c>
      <c r="K3063" s="15" t="n">
        <v>2009</v>
      </c>
      <c r="L3063" s="15" t="n">
        <v>6</v>
      </c>
      <c r="M3063" s="15" t="n">
        <v>29</v>
      </c>
      <c r="N3063" s="16" t="n">
        <v>8.45549848e-05</v>
      </c>
      <c r="O3063" s="11" t="n">
        <v>291.1549556</v>
      </c>
      <c r="P3063" s="13">
        <f>N3063*86400</f>
        <v/>
      </c>
      <c r="Q3063" s="14">
        <f>O3063-273.15</f>
        <v/>
      </c>
    </row>
    <row r="3064">
      <c r="A3064" s="9" t="n">
        <v>39951</v>
      </c>
      <c r="B3064" s="7">
        <f>YEAR(A3064)</f>
        <v/>
      </c>
      <c r="C3064" s="7">
        <f>MONTH(A3064)</f>
        <v/>
      </c>
      <c r="D3064" s="10" t="n">
        <v>2.510074873</v>
      </c>
      <c r="E3064" s="11" t="n">
        <v>15.9020285</v>
      </c>
      <c r="F3064" s="12" t="n">
        <v>0.001524204128</v>
      </c>
      <c r="G3064" s="11" t="n">
        <v>290.5328074</v>
      </c>
      <c r="H3064" s="13">
        <f>F3064*1000</f>
        <v/>
      </c>
      <c r="I3064" s="14">
        <f>G3064-273.15</f>
        <v/>
      </c>
      <c r="K3064" s="15" t="n">
        <v>2009</v>
      </c>
      <c r="L3064" s="15" t="n">
        <v>6</v>
      </c>
      <c r="M3064" s="15" t="n">
        <v>30</v>
      </c>
      <c r="N3064" s="16" t="n">
        <v>9.853397031e-05</v>
      </c>
      <c r="O3064" s="11" t="n">
        <v>291.3897816</v>
      </c>
      <c r="P3064" s="13">
        <f>N3064*86400</f>
        <v/>
      </c>
      <c r="Q3064" s="14">
        <f>O3064-273.15</f>
        <v/>
      </c>
    </row>
    <row r="3065">
      <c r="A3065" s="9" t="n">
        <v>39952</v>
      </c>
      <c r="B3065" s="7">
        <f>YEAR(A3065)</f>
        <v/>
      </c>
      <c r="C3065" s="7">
        <f>MONTH(A3065)</f>
        <v/>
      </c>
      <c r="D3065" s="10" t="n">
        <v>1.480943417</v>
      </c>
      <c r="E3065" s="11" t="n">
        <v>17.94919165</v>
      </c>
      <c r="F3065" s="12" t="n">
        <v>0.0006730361154</v>
      </c>
      <c r="G3065" s="11" t="n">
        <v>292.8514392</v>
      </c>
      <c r="H3065" s="13">
        <f>F3065*1000</f>
        <v/>
      </c>
      <c r="I3065" s="14">
        <f>G3065-273.15</f>
        <v/>
      </c>
      <c r="K3065" s="15" t="n">
        <v>2009</v>
      </c>
      <c r="L3065" s="15" t="n">
        <v>7</v>
      </c>
      <c r="M3065" s="15" t="n">
        <v>1</v>
      </c>
      <c r="N3065" s="16" t="n">
        <v>3.428815042e-05</v>
      </c>
      <c r="O3065" s="11" t="n">
        <v>291.5726662</v>
      </c>
      <c r="P3065" s="13">
        <f>N3065*86400</f>
        <v/>
      </c>
      <c r="Q3065" s="14">
        <f>O3065-273.15</f>
        <v/>
      </c>
    </row>
    <row r="3066">
      <c r="A3066" s="9" t="n">
        <v>39953</v>
      </c>
      <c r="B3066" s="7">
        <f>YEAR(A3066)</f>
        <v/>
      </c>
      <c r="C3066" s="7">
        <f>MONTH(A3066)</f>
        <v/>
      </c>
      <c r="D3066" s="10" t="n">
        <v>0.04128438321</v>
      </c>
      <c r="E3066" s="11" t="n">
        <v>16.57567779</v>
      </c>
      <c r="F3066" s="12" t="n">
        <v>0.002377131438</v>
      </c>
      <c r="G3066" s="11" t="n">
        <v>291.5284813</v>
      </c>
      <c r="H3066" s="13">
        <f>F3066*1000</f>
        <v/>
      </c>
      <c r="I3066" s="14">
        <f>G3066-273.15</f>
        <v/>
      </c>
      <c r="K3066" s="15" t="n">
        <v>2009</v>
      </c>
      <c r="L3066" s="15" t="n">
        <v>7</v>
      </c>
      <c r="M3066" s="15" t="n">
        <v>2</v>
      </c>
      <c r="N3066" s="16" t="n">
        <v>2.274253629e-05</v>
      </c>
      <c r="O3066" s="11" t="n">
        <v>289.6047406</v>
      </c>
      <c r="P3066" s="13">
        <f>N3066*86400</f>
        <v/>
      </c>
      <c r="Q3066" s="14">
        <f>O3066-273.15</f>
        <v/>
      </c>
    </row>
    <row r="3067">
      <c r="A3067" s="9" t="n">
        <v>39954</v>
      </c>
      <c r="B3067" s="7">
        <f>YEAR(A3067)</f>
        <v/>
      </c>
      <c r="C3067" s="7">
        <f>MONTH(A3067)</f>
        <v/>
      </c>
      <c r="D3067" s="10" t="n">
        <v>5.301603594</v>
      </c>
      <c r="E3067" s="11" t="n">
        <v>16.47206042</v>
      </c>
      <c r="F3067" s="12" t="n">
        <v>0.005916160413</v>
      </c>
      <c r="G3067" s="11" t="n">
        <v>291.1141148</v>
      </c>
      <c r="H3067" s="13">
        <f>F3067*1000</f>
        <v/>
      </c>
      <c r="I3067" s="14">
        <f>G3067-273.15</f>
        <v/>
      </c>
      <c r="K3067" s="15" t="n">
        <v>2009</v>
      </c>
      <c r="L3067" s="15" t="n">
        <v>7</v>
      </c>
      <c r="M3067" s="15" t="n">
        <v>3</v>
      </c>
      <c r="N3067" s="16" t="n">
        <v>1.175121403e-05</v>
      </c>
      <c r="O3067" s="11" t="n">
        <v>291.1126452</v>
      </c>
      <c r="P3067" s="13">
        <f>N3067*86400</f>
        <v/>
      </c>
      <c r="Q3067" s="14">
        <f>O3067-273.15</f>
        <v/>
      </c>
    </row>
    <row r="3068">
      <c r="A3068" s="9" t="n">
        <v>39955</v>
      </c>
      <c r="B3068" s="7">
        <f>YEAR(A3068)</f>
        <v/>
      </c>
      <c r="C3068" s="7">
        <f>MONTH(A3068)</f>
        <v/>
      </c>
      <c r="D3068" s="10" t="n">
        <v>0</v>
      </c>
      <c r="E3068" s="11" t="n">
        <v>15.3965059</v>
      </c>
      <c r="F3068" s="12" t="n">
        <v>0</v>
      </c>
      <c r="G3068" s="11" t="n">
        <v>290.0544879</v>
      </c>
      <c r="H3068" s="13">
        <f>F3068*1000</f>
        <v/>
      </c>
      <c r="I3068" s="14">
        <f>G3068-273.15</f>
        <v/>
      </c>
      <c r="K3068" s="15" t="n">
        <v>2009</v>
      </c>
      <c r="L3068" s="15" t="n">
        <v>7</v>
      </c>
      <c r="M3068" s="15" t="n">
        <v>4</v>
      </c>
      <c r="N3068" s="16" t="n">
        <v>0</v>
      </c>
      <c r="O3068" s="11" t="n">
        <v>292.8499174</v>
      </c>
      <c r="P3068" s="13">
        <f>N3068*86400</f>
        <v/>
      </c>
      <c r="Q3068" s="14">
        <f>O3068-273.15</f>
        <v/>
      </c>
    </row>
    <row r="3069">
      <c r="A3069" s="9" t="n">
        <v>39956</v>
      </c>
      <c r="B3069" s="7">
        <f>YEAR(A3069)</f>
        <v/>
      </c>
      <c r="C3069" s="7">
        <f>MONTH(A3069)</f>
        <v/>
      </c>
      <c r="D3069" s="10" t="n">
        <v>0</v>
      </c>
      <c r="E3069" s="11" t="n">
        <v>15.62790662</v>
      </c>
      <c r="F3069" s="12" t="n">
        <v>0.002259708985</v>
      </c>
      <c r="G3069" s="11" t="n">
        <v>288.6663772</v>
      </c>
      <c r="H3069" s="13">
        <f>F3069*1000</f>
        <v/>
      </c>
      <c r="I3069" s="14">
        <f>G3069-273.15</f>
        <v/>
      </c>
      <c r="K3069" s="15" t="n">
        <v>2009</v>
      </c>
      <c r="L3069" s="15" t="n">
        <v>7</v>
      </c>
      <c r="M3069" s="15" t="n">
        <v>5</v>
      </c>
      <c r="N3069" s="16" t="n">
        <v>1.890869135e-07</v>
      </c>
      <c r="O3069" s="11" t="n">
        <v>290.7913602</v>
      </c>
      <c r="P3069" s="13">
        <f>N3069*86400</f>
        <v/>
      </c>
      <c r="Q3069" s="14">
        <f>O3069-273.15</f>
        <v/>
      </c>
    </row>
    <row r="3070">
      <c r="A3070" s="9" t="n">
        <v>39957</v>
      </c>
      <c r="B3070" s="7">
        <f>YEAR(A3070)</f>
        <v/>
      </c>
      <c r="C3070" s="7">
        <f>MONTH(A3070)</f>
        <v/>
      </c>
      <c r="D3070" s="10" t="n">
        <v>0</v>
      </c>
      <c r="E3070" s="11" t="n">
        <v>15.29968568</v>
      </c>
      <c r="F3070" s="12" t="n">
        <v>0.005355697449</v>
      </c>
      <c r="G3070" s="11" t="n">
        <v>288.6129461</v>
      </c>
      <c r="H3070" s="13">
        <f>F3070*1000</f>
        <v/>
      </c>
      <c r="I3070" s="14">
        <f>G3070-273.15</f>
        <v/>
      </c>
      <c r="K3070" s="15" t="n">
        <v>2009</v>
      </c>
      <c r="L3070" s="15" t="n">
        <v>7</v>
      </c>
      <c r="M3070" s="15" t="n">
        <v>6</v>
      </c>
      <c r="N3070" s="16" t="n">
        <v>3.916630202e-05</v>
      </c>
      <c r="O3070" s="11" t="n">
        <v>290.0847342</v>
      </c>
      <c r="P3070" s="13">
        <f>N3070*86400</f>
        <v/>
      </c>
      <c r="Q3070" s="14">
        <f>O3070-273.15</f>
        <v/>
      </c>
    </row>
    <row r="3071">
      <c r="A3071" s="9" t="n">
        <v>39958</v>
      </c>
      <c r="B3071" s="7">
        <f>YEAR(A3071)</f>
        <v/>
      </c>
      <c r="C3071" s="7">
        <f>MONTH(A3071)</f>
        <v/>
      </c>
      <c r="D3071" s="10" t="n">
        <v>4.657854598</v>
      </c>
      <c r="E3071" s="11" t="n">
        <v>17.53586565</v>
      </c>
      <c r="F3071" s="12" t="n">
        <v>0.005203365523</v>
      </c>
      <c r="G3071" s="11" t="n">
        <v>289.9344125</v>
      </c>
      <c r="H3071" s="13">
        <f>F3071*1000</f>
        <v/>
      </c>
      <c r="I3071" s="14">
        <f>G3071-273.15</f>
        <v/>
      </c>
      <c r="K3071" s="15" t="n">
        <v>2009</v>
      </c>
      <c r="L3071" s="15" t="n">
        <v>7</v>
      </c>
      <c r="M3071" s="15" t="n">
        <v>7</v>
      </c>
      <c r="N3071" s="16" t="n">
        <v>0.0001023246882</v>
      </c>
      <c r="O3071" s="11" t="n">
        <v>289.6320664</v>
      </c>
      <c r="P3071" s="13">
        <f>N3071*86400</f>
        <v/>
      </c>
      <c r="Q3071" s="14">
        <f>O3071-273.15</f>
        <v/>
      </c>
    </row>
    <row r="3072">
      <c r="A3072" s="9" t="n">
        <v>39959</v>
      </c>
      <c r="B3072" s="7">
        <f>YEAR(A3072)</f>
        <v/>
      </c>
      <c r="C3072" s="7">
        <f>MONTH(A3072)</f>
        <v/>
      </c>
      <c r="D3072" s="10" t="n">
        <v>6.778906538</v>
      </c>
      <c r="E3072" s="11" t="n">
        <v>17.93352292</v>
      </c>
      <c r="F3072" s="12" t="n">
        <v>0.008859643723000001</v>
      </c>
      <c r="G3072" s="11" t="n">
        <v>291.5485271</v>
      </c>
      <c r="H3072" s="13">
        <f>F3072*1000</f>
        <v/>
      </c>
      <c r="I3072" s="14">
        <f>G3072-273.15</f>
        <v/>
      </c>
      <c r="K3072" s="15" t="n">
        <v>2009</v>
      </c>
      <c r="L3072" s="15" t="n">
        <v>7</v>
      </c>
      <c r="M3072" s="15" t="n">
        <v>8</v>
      </c>
      <c r="N3072" s="16" t="n">
        <v>4.566339551e-05</v>
      </c>
      <c r="O3072" s="11" t="n">
        <v>290.7255175</v>
      </c>
      <c r="P3072" s="13">
        <f>N3072*86400</f>
        <v/>
      </c>
      <c r="Q3072" s="14">
        <f>O3072-273.15</f>
        <v/>
      </c>
    </row>
    <row r="3073">
      <c r="A3073" s="9" t="n">
        <v>39960</v>
      </c>
      <c r="B3073" s="7">
        <f>YEAR(A3073)</f>
        <v/>
      </c>
      <c r="C3073" s="7">
        <f>MONTH(A3073)</f>
        <v/>
      </c>
      <c r="D3073" s="10" t="n">
        <v>0</v>
      </c>
      <c r="E3073" s="11" t="n">
        <v>18.08284667</v>
      </c>
      <c r="F3073" s="12" t="n">
        <v>0.0001921261884</v>
      </c>
      <c r="G3073" s="11" t="n">
        <v>293.0295414</v>
      </c>
      <c r="H3073" s="13">
        <f>F3073*1000</f>
        <v/>
      </c>
      <c r="I3073" s="14">
        <f>G3073-273.15</f>
        <v/>
      </c>
      <c r="K3073" s="15" t="n">
        <v>2009</v>
      </c>
      <c r="L3073" s="15" t="n">
        <v>7</v>
      </c>
      <c r="M3073" s="15" t="n">
        <v>9</v>
      </c>
      <c r="N3073" s="16" t="n">
        <v>4.078826233e-05</v>
      </c>
      <c r="O3073" s="11" t="n">
        <v>289.3352674</v>
      </c>
      <c r="P3073" s="13">
        <f>N3073*86400</f>
        <v/>
      </c>
      <c r="Q3073" s="14">
        <f>O3073-273.15</f>
        <v/>
      </c>
    </row>
    <row r="3074">
      <c r="A3074" s="9" t="n">
        <v>39961</v>
      </c>
      <c r="B3074" s="7">
        <f>YEAR(A3074)</f>
        <v/>
      </c>
      <c r="C3074" s="7">
        <f>MONTH(A3074)</f>
        <v/>
      </c>
      <c r="D3074" s="10" t="n">
        <v>0</v>
      </c>
      <c r="E3074" s="11" t="n">
        <v>17.52926918</v>
      </c>
      <c r="F3074" s="12" t="n">
        <v>0.0006163917868</v>
      </c>
      <c r="G3074" s="11" t="n">
        <v>291.2693858</v>
      </c>
      <c r="H3074" s="13">
        <f>F3074*1000</f>
        <v/>
      </c>
      <c r="I3074" s="14">
        <f>G3074-273.15</f>
        <v/>
      </c>
      <c r="K3074" s="15" t="n">
        <v>2009</v>
      </c>
      <c r="L3074" s="15" t="n">
        <v>7</v>
      </c>
      <c r="M3074" s="15" t="n">
        <v>10</v>
      </c>
      <c r="N3074" s="16" t="n">
        <v>3.36781933e-05</v>
      </c>
      <c r="O3074" s="11" t="n">
        <v>291.1906846</v>
      </c>
      <c r="P3074" s="13">
        <f>N3074*86400</f>
        <v/>
      </c>
      <c r="Q3074" s="14">
        <f>O3074-273.15</f>
        <v/>
      </c>
    </row>
    <row r="3075">
      <c r="A3075" s="9" t="n">
        <v>39962</v>
      </c>
      <c r="B3075" s="7">
        <f>YEAR(A3075)</f>
        <v/>
      </c>
      <c r="C3075" s="7">
        <f>MONTH(A3075)</f>
        <v/>
      </c>
      <c r="D3075" s="10" t="n">
        <v>0</v>
      </c>
      <c r="E3075" s="11" t="n">
        <v>18.15129768</v>
      </c>
      <c r="F3075" s="12" t="n">
        <v>0</v>
      </c>
      <c r="G3075" s="11" t="n">
        <v>292.0606104</v>
      </c>
      <c r="H3075" s="13">
        <f>F3075*1000</f>
        <v/>
      </c>
      <c r="I3075" s="14">
        <f>G3075-273.15</f>
        <v/>
      </c>
      <c r="K3075" s="15" t="n">
        <v>2009</v>
      </c>
      <c r="L3075" s="15" t="n">
        <v>7</v>
      </c>
      <c r="M3075" s="15" t="n">
        <v>11</v>
      </c>
      <c r="N3075" s="16" t="n">
        <v>8.521206024e-05</v>
      </c>
      <c r="O3075" s="11" t="n">
        <v>290.9515922</v>
      </c>
      <c r="P3075" s="13">
        <f>N3075*86400</f>
        <v/>
      </c>
      <c r="Q3075" s="14">
        <f>O3075-273.15</f>
        <v/>
      </c>
    </row>
    <row r="3076">
      <c r="A3076" s="9" t="n">
        <v>39963</v>
      </c>
      <c r="B3076" s="7">
        <f>YEAR(A3076)</f>
        <v/>
      </c>
      <c r="C3076" s="7">
        <f>MONTH(A3076)</f>
        <v/>
      </c>
      <c r="D3076" s="10" t="n">
        <v>0</v>
      </c>
      <c r="E3076" s="11" t="n">
        <v>18.62249616</v>
      </c>
      <c r="F3076" s="12" t="n">
        <v>0</v>
      </c>
      <c r="G3076" s="11" t="n">
        <v>292.3687058</v>
      </c>
      <c r="H3076" s="13">
        <f>F3076*1000</f>
        <v/>
      </c>
      <c r="I3076" s="14">
        <f>G3076-273.15</f>
        <v/>
      </c>
      <c r="K3076" s="15" t="n">
        <v>2009</v>
      </c>
      <c r="L3076" s="15" t="n">
        <v>7</v>
      </c>
      <c r="M3076" s="15" t="n">
        <v>12</v>
      </c>
      <c r="N3076" s="16" t="n">
        <v>1.250798493e-05</v>
      </c>
      <c r="O3076" s="11" t="n">
        <v>287.69841</v>
      </c>
      <c r="P3076" s="13">
        <f>N3076*86400</f>
        <v/>
      </c>
      <c r="Q3076" s="14">
        <f>O3076-273.15</f>
        <v/>
      </c>
    </row>
    <row r="3077">
      <c r="A3077" s="9" t="n">
        <v>39964</v>
      </c>
      <c r="B3077" s="7">
        <f>YEAR(A3077)</f>
        <v/>
      </c>
      <c r="C3077" s="7">
        <f>MONTH(A3077)</f>
        <v/>
      </c>
      <c r="D3077" s="10" t="n">
        <v>0</v>
      </c>
      <c r="E3077" s="11" t="n">
        <v>20.97290533</v>
      </c>
      <c r="F3077" s="12" t="n">
        <v>0</v>
      </c>
      <c r="G3077" s="11" t="n">
        <v>295.0438902</v>
      </c>
      <c r="H3077" s="13">
        <f>F3077*1000</f>
        <v/>
      </c>
      <c r="I3077" s="14">
        <f>G3077-273.15</f>
        <v/>
      </c>
      <c r="K3077" s="15" t="n">
        <v>2009</v>
      </c>
      <c r="L3077" s="15" t="n">
        <v>7</v>
      </c>
      <c r="M3077" s="15" t="n">
        <v>13</v>
      </c>
      <c r="N3077" s="16" t="n">
        <v>0</v>
      </c>
      <c r="O3077" s="11" t="n">
        <v>289.2281376</v>
      </c>
      <c r="P3077" s="13">
        <f>N3077*86400</f>
        <v/>
      </c>
      <c r="Q3077" s="14">
        <f>O3077-273.15</f>
        <v/>
      </c>
    </row>
    <row r="3078">
      <c r="A3078" s="9" t="n">
        <v>39965</v>
      </c>
      <c r="B3078" s="7">
        <f>YEAR(A3078)</f>
        <v/>
      </c>
      <c r="C3078" s="7">
        <f>MONTH(A3078)</f>
        <v/>
      </c>
      <c r="D3078" s="10" t="n">
        <v>0</v>
      </c>
      <c r="E3078" s="11" t="n">
        <v>20.05554796</v>
      </c>
      <c r="F3078" s="12" t="n">
        <v>0</v>
      </c>
      <c r="G3078" s="11" t="n">
        <v>294.8308612</v>
      </c>
      <c r="H3078" s="13">
        <f>F3078*1000</f>
        <v/>
      </c>
      <c r="I3078" s="14">
        <f>G3078-273.15</f>
        <v/>
      </c>
      <c r="K3078" s="15" t="n">
        <v>2009</v>
      </c>
      <c r="L3078" s="15" t="n">
        <v>7</v>
      </c>
      <c r="M3078" s="15" t="n">
        <v>14</v>
      </c>
      <c r="N3078" s="16" t="n">
        <v>0.0001717735988</v>
      </c>
      <c r="O3078" s="11" t="n">
        <v>291.654453</v>
      </c>
      <c r="P3078" s="13">
        <f>N3078*86400</f>
        <v/>
      </c>
      <c r="Q3078" s="14">
        <f>O3078-273.15</f>
        <v/>
      </c>
    </row>
    <row r="3079">
      <c r="A3079" s="9" t="n">
        <v>39966</v>
      </c>
      <c r="B3079" s="7">
        <f>YEAR(A3079)</f>
        <v/>
      </c>
      <c r="C3079" s="7">
        <f>MONTH(A3079)</f>
        <v/>
      </c>
      <c r="D3079" s="10" t="n">
        <v>0</v>
      </c>
      <c r="E3079" s="11" t="n">
        <v>19.32098032</v>
      </c>
      <c r="F3079" s="12" t="n">
        <v>0</v>
      </c>
      <c r="G3079" s="11" t="n">
        <v>293.9222498</v>
      </c>
      <c r="H3079" s="13">
        <f>F3079*1000</f>
        <v/>
      </c>
      <c r="I3079" s="14">
        <f>G3079-273.15</f>
        <v/>
      </c>
      <c r="K3079" s="15" t="n">
        <v>2009</v>
      </c>
      <c r="L3079" s="15" t="n">
        <v>7</v>
      </c>
      <c r="M3079" s="15" t="n">
        <v>15</v>
      </c>
      <c r="N3079" s="16" t="n">
        <v>8.518905469000001e-05</v>
      </c>
      <c r="O3079" s="11" t="n">
        <v>291.1377859</v>
      </c>
      <c r="P3079" s="13">
        <f>N3079*86400</f>
        <v/>
      </c>
      <c r="Q3079" s="14">
        <f>O3079-273.15</f>
        <v/>
      </c>
    </row>
    <row r="3080">
      <c r="A3080" s="9" t="n">
        <v>39967</v>
      </c>
      <c r="B3080" s="7">
        <f>YEAR(A3080)</f>
        <v/>
      </c>
      <c r="C3080" s="7">
        <f>MONTH(A3080)</f>
        <v/>
      </c>
      <c r="D3080" s="10" t="n">
        <v>0</v>
      </c>
      <c r="E3080" s="11" t="n">
        <v>18.79301352</v>
      </c>
      <c r="F3080" s="12" t="n">
        <v>0.0001620122495</v>
      </c>
      <c r="G3080" s="11" t="n">
        <v>294.3339042</v>
      </c>
      <c r="H3080" s="13">
        <f>F3080*1000</f>
        <v/>
      </c>
      <c r="I3080" s="14">
        <f>G3080-273.15</f>
        <v/>
      </c>
      <c r="K3080" s="15" t="n">
        <v>2009</v>
      </c>
      <c r="L3080" s="15" t="n">
        <v>7</v>
      </c>
      <c r="M3080" s="15" t="n">
        <v>16</v>
      </c>
      <c r="N3080" s="16" t="n">
        <v>6.458023323999999e-05</v>
      </c>
      <c r="O3080" s="11" t="n">
        <v>291.483165</v>
      </c>
      <c r="P3080" s="13">
        <f>N3080*86400</f>
        <v/>
      </c>
      <c r="Q3080" s="14">
        <f>O3080-273.15</f>
        <v/>
      </c>
    </row>
    <row r="3081">
      <c r="A3081" s="9" t="n">
        <v>39968</v>
      </c>
      <c r="B3081" s="7">
        <f>YEAR(A3081)</f>
        <v/>
      </c>
      <c r="C3081" s="7">
        <f>MONTH(A3081)</f>
        <v/>
      </c>
      <c r="D3081" s="10" t="n">
        <v>0</v>
      </c>
      <c r="E3081" s="11" t="n">
        <v>17.52707098</v>
      </c>
      <c r="F3081" s="12" t="n">
        <v>0</v>
      </c>
      <c r="G3081" s="11" t="n">
        <v>294.1404685</v>
      </c>
      <c r="H3081" s="13">
        <f>F3081*1000</f>
        <v/>
      </c>
      <c r="I3081" s="14">
        <f>G3081-273.15</f>
        <v/>
      </c>
      <c r="K3081" s="15" t="n">
        <v>2009</v>
      </c>
      <c r="L3081" s="15" t="n">
        <v>7</v>
      </c>
      <c r="M3081" s="15" t="n">
        <v>17</v>
      </c>
      <c r="N3081" s="16" t="n">
        <v>9.720111437e-05</v>
      </c>
      <c r="O3081" s="11" t="n">
        <v>290.0517571</v>
      </c>
      <c r="P3081" s="13">
        <f>N3081*86400</f>
        <v/>
      </c>
      <c r="Q3081" s="14">
        <f>O3081-273.15</f>
        <v/>
      </c>
    </row>
    <row r="3082">
      <c r="A3082" s="9" t="n">
        <v>39969</v>
      </c>
      <c r="B3082" s="7">
        <f>YEAR(A3082)</f>
        <v/>
      </c>
      <c r="C3082" s="7">
        <f>MONTH(A3082)</f>
        <v/>
      </c>
      <c r="D3082" s="10" t="n">
        <v>0</v>
      </c>
      <c r="E3082" s="11" t="n">
        <v>18.22015396</v>
      </c>
      <c r="F3082" s="12" t="n">
        <v>0.001244722836</v>
      </c>
      <c r="G3082" s="11" t="n">
        <v>295.3966831</v>
      </c>
      <c r="H3082" s="13">
        <f>F3082*1000</f>
        <v/>
      </c>
      <c r="I3082" s="14">
        <f>G3082-273.15</f>
        <v/>
      </c>
      <c r="K3082" s="15" t="n">
        <v>2009</v>
      </c>
      <c r="L3082" s="15" t="n">
        <v>7</v>
      </c>
      <c r="M3082" s="15" t="n">
        <v>18</v>
      </c>
      <c r="N3082" s="16" t="n">
        <v>0.0002204983768</v>
      </c>
      <c r="O3082" s="11" t="n">
        <v>291.0307364</v>
      </c>
      <c r="P3082" s="13">
        <f>N3082*86400</f>
        <v/>
      </c>
      <c r="Q3082" s="14">
        <f>O3082-273.15</f>
        <v/>
      </c>
    </row>
    <row r="3083">
      <c r="A3083" s="9" t="n">
        <v>39970</v>
      </c>
      <c r="B3083" s="7">
        <f>YEAR(A3083)</f>
        <v/>
      </c>
      <c r="C3083" s="7">
        <f>MONTH(A3083)</f>
        <v/>
      </c>
      <c r="D3083" s="10" t="n">
        <v>0</v>
      </c>
      <c r="E3083" s="11" t="n">
        <v>18.15895621</v>
      </c>
      <c r="F3083" s="12" t="n">
        <v>0.003187152164</v>
      </c>
      <c r="G3083" s="11" t="n">
        <v>294.4877469</v>
      </c>
      <c r="H3083" s="13">
        <f>F3083*1000</f>
        <v/>
      </c>
      <c r="I3083" s="14">
        <f>G3083-273.15</f>
        <v/>
      </c>
      <c r="K3083" s="15" t="n">
        <v>2009</v>
      </c>
      <c r="L3083" s="15" t="n">
        <v>7</v>
      </c>
      <c r="M3083" s="15" t="n">
        <v>19</v>
      </c>
      <c r="N3083" s="16" t="n">
        <v>4.7412946e-07</v>
      </c>
      <c r="O3083" s="11" t="n">
        <v>291.1125635</v>
      </c>
      <c r="P3083" s="13">
        <f>N3083*86400</f>
        <v/>
      </c>
      <c r="Q3083" s="14">
        <f>O3083-273.15</f>
        <v/>
      </c>
    </row>
    <row r="3084">
      <c r="A3084" s="9" t="n">
        <v>39971</v>
      </c>
      <c r="B3084" s="7">
        <f>YEAR(A3084)</f>
        <v/>
      </c>
      <c r="C3084" s="7">
        <f>MONTH(A3084)</f>
        <v/>
      </c>
      <c r="D3084" s="10" t="n">
        <v>5.501814875</v>
      </c>
      <c r="E3084" s="11" t="n">
        <v>18.62853601</v>
      </c>
      <c r="F3084" s="12" t="n">
        <v>0.01093968733</v>
      </c>
      <c r="G3084" s="11" t="n">
        <v>294.3425892</v>
      </c>
      <c r="H3084" s="13">
        <f>F3084*1000</f>
        <v/>
      </c>
      <c r="I3084" s="14">
        <f>G3084-273.15</f>
        <v/>
      </c>
      <c r="K3084" s="15" t="n">
        <v>2009</v>
      </c>
      <c r="L3084" s="15" t="n">
        <v>7</v>
      </c>
      <c r="M3084" s="15" t="n">
        <v>20</v>
      </c>
      <c r="N3084" s="16" t="n">
        <v>2.024434824e-06</v>
      </c>
      <c r="O3084" s="11" t="n">
        <v>292.6803949</v>
      </c>
      <c r="P3084" s="13">
        <f>N3084*86400</f>
        <v/>
      </c>
      <c r="Q3084" s="14">
        <f>O3084-273.15</f>
        <v/>
      </c>
    </row>
    <row r="3085">
      <c r="A3085" s="9" t="n">
        <v>39972</v>
      </c>
      <c r="B3085" s="7">
        <f>YEAR(A3085)</f>
        <v/>
      </c>
      <c r="C3085" s="7">
        <f>MONTH(A3085)</f>
        <v/>
      </c>
      <c r="D3085" s="10" t="n">
        <v>0</v>
      </c>
      <c r="E3085" s="11" t="n">
        <v>16.39696533</v>
      </c>
      <c r="F3085" s="12" t="n">
        <v>0.0004113297954</v>
      </c>
      <c r="G3085" s="11" t="n">
        <v>293.0176758</v>
      </c>
      <c r="H3085" s="13">
        <f>F3085*1000</f>
        <v/>
      </c>
      <c r="I3085" s="14">
        <f>G3085-273.15</f>
        <v/>
      </c>
      <c r="K3085" s="15" t="n">
        <v>2009</v>
      </c>
      <c r="L3085" s="15" t="n">
        <v>7</v>
      </c>
      <c r="M3085" s="15" t="n">
        <v>21</v>
      </c>
      <c r="N3085" s="16" t="n">
        <v>6.787324059e-05</v>
      </c>
      <c r="O3085" s="11" t="n">
        <v>291.3969536</v>
      </c>
      <c r="P3085" s="13">
        <f>N3085*86400</f>
        <v/>
      </c>
      <c r="Q3085" s="14">
        <f>O3085-273.15</f>
        <v/>
      </c>
    </row>
    <row r="3086">
      <c r="A3086" s="9" t="n">
        <v>39973</v>
      </c>
      <c r="B3086" s="7">
        <f>YEAR(A3086)</f>
        <v/>
      </c>
      <c r="C3086" s="7">
        <f>MONTH(A3086)</f>
        <v/>
      </c>
      <c r="D3086" s="10" t="n">
        <v>0</v>
      </c>
      <c r="E3086" s="11" t="n">
        <v>17.3490139</v>
      </c>
      <c r="F3086" s="12" t="n">
        <v>0</v>
      </c>
      <c r="G3086" s="11" t="n">
        <v>292.7340371</v>
      </c>
      <c r="H3086" s="13">
        <f>F3086*1000</f>
        <v/>
      </c>
      <c r="I3086" s="14">
        <f>G3086-273.15</f>
        <v/>
      </c>
      <c r="K3086" s="15" t="n">
        <v>2009</v>
      </c>
      <c r="L3086" s="15" t="n">
        <v>7</v>
      </c>
      <c r="M3086" s="15" t="n">
        <v>22</v>
      </c>
      <c r="N3086" s="16" t="n">
        <v>0.0001051000259</v>
      </c>
      <c r="O3086" s="11" t="n">
        <v>290.3955003</v>
      </c>
      <c r="P3086" s="13">
        <f>N3086*86400</f>
        <v/>
      </c>
      <c r="Q3086" s="14">
        <f>O3086-273.15</f>
        <v/>
      </c>
    </row>
    <row r="3087">
      <c r="A3087" s="9" t="n">
        <v>39974</v>
      </c>
      <c r="B3087" s="7">
        <f>YEAR(A3087)</f>
        <v/>
      </c>
      <c r="C3087" s="7">
        <f>MONTH(A3087)</f>
        <v/>
      </c>
      <c r="D3087" s="10" t="n">
        <v>0</v>
      </c>
      <c r="E3087" s="11" t="n">
        <v>18.85280869</v>
      </c>
      <c r="F3087" s="12" t="n">
        <v>0</v>
      </c>
      <c r="G3087" s="11" t="n">
        <v>293.0775311</v>
      </c>
      <c r="H3087" s="13">
        <f>F3087*1000</f>
        <v/>
      </c>
      <c r="I3087" s="14">
        <f>G3087-273.15</f>
        <v/>
      </c>
      <c r="K3087" s="15" t="n">
        <v>2009</v>
      </c>
      <c r="L3087" s="15" t="n">
        <v>7</v>
      </c>
      <c r="M3087" s="15" t="n">
        <v>23</v>
      </c>
      <c r="N3087" s="16" t="n">
        <v>1.228683549e-05</v>
      </c>
      <c r="O3087" s="11" t="n">
        <v>290.0902021</v>
      </c>
      <c r="P3087" s="13">
        <f>N3087*86400</f>
        <v/>
      </c>
      <c r="Q3087" s="14">
        <f>O3087-273.15</f>
        <v/>
      </c>
    </row>
    <row r="3088">
      <c r="A3088" s="9" t="n">
        <v>39975</v>
      </c>
      <c r="B3088" s="7">
        <f>YEAR(A3088)</f>
        <v/>
      </c>
      <c r="C3088" s="7">
        <f>MONTH(A3088)</f>
        <v/>
      </c>
      <c r="D3088" s="10" t="n">
        <v>0</v>
      </c>
      <c r="E3088" s="11" t="n">
        <v>19.61135047</v>
      </c>
      <c r="F3088" s="12" t="n">
        <v>0</v>
      </c>
      <c r="G3088" s="11" t="n">
        <v>294.6059305</v>
      </c>
      <c r="H3088" s="13">
        <f>F3088*1000</f>
        <v/>
      </c>
      <c r="I3088" s="14">
        <f>G3088-273.15</f>
        <v/>
      </c>
      <c r="K3088" s="15" t="n">
        <v>2009</v>
      </c>
      <c r="L3088" s="15" t="n">
        <v>7</v>
      </c>
      <c r="M3088" s="15" t="n">
        <v>24</v>
      </c>
      <c r="N3088" s="16" t="n">
        <v>0.0001458750006</v>
      </c>
      <c r="O3088" s="11" t="n">
        <v>288.6032077</v>
      </c>
      <c r="P3088" s="13">
        <f>N3088*86400</f>
        <v/>
      </c>
      <c r="Q3088" s="14">
        <f>O3088-273.15</f>
        <v/>
      </c>
    </row>
    <row r="3089">
      <c r="A3089" s="9" t="n">
        <v>39976</v>
      </c>
      <c r="B3089" s="7">
        <f>YEAR(A3089)</f>
        <v/>
      </c>
      <c r="C3089" s="7">
        <f>MONTH(A3089)</f>
        <v/>
      </c>
      <c r="D3089" s="10" t="n">
        <v>1.652777795</v>
      </c>
      <c r="E3089" s="11" t="n">
        <v>20.35317086</v>
      </c>
      <c r="F3089" s="12" t="n">
        <v>0.00757399588</v>
      </c>
      <c r="G3089" s="11" t="n">
        <v>293.8759621</v>
      </c>
      <c r="H3089" s="13">
        <f>F3089*1000</f>
        <v/>
      </c>
      <c r="I3089" s="14">
        <f>G3089-273.15</f>
        <v/>
      </c>
      <c r="K3089" s="15" t="n">
        <v>2009</v>
      </c>
      <c r="L3089" s="15" t="n">
        <v>7</v>
      </c>
      <c r="M3089" s="15" t="n">
        <v>25</v>
      </c>
      <c r="N3089" s="16" t="n">
        <v>0.0001671534273</v>
      </c>
      <c r="O3089" s="11" t="n">
        <v>290.0597489</v>
      </c>
      <c r="P3089" s="13">
        <f>N3089*86400</f>
        <v/>
      </c>
      <c r="Q3089" s="14">
        <f>O3089-273.15</f>
        <v/>
      </c>
    </row>
    <row r="3090">
      <c r="A3090" s="9" t="n">
        <v>39977</v>
      </c>
      <c r="B3090" s="7">
        <f>YEAR(A3090)</f>
        <v/>
      </c>
      <c r="C3090" s="7">
        <f>MONTH(A3090)</f>
        <v/>
      </c>
      <c r="D3090" s="10" t="n">
        <v>0</v>
      </c>
      <c r="E3090" s="11" t="n">
        <v>18.31797212</v>
      </c>
      <c r="F3090" s="12" t="n">
        <v>0</v>
      </c>
      <c r="G3090" s="11" t="n">
        <v>292.2323936</v>
      </c>
      <c r="H3090" s="13">
        <f>F3090*1000</f>
        <v/>
      </c>
      <c r="I3090" s="14">
        <f>G3090-273.15</f>
        <v/>
      </c>
      <c r="K3090" s="15" t="n">
        <v>2009</v>
      </c>
      <c r="L3090" s="15" t="n">
        <v>7</v>
      </c>
      <c r="M3090" s="15" t="n">
        <v>26</v>
      </c>
      <c r="N3090" s="16" t="n">
        <v>0.0001137686203</v>
      </c>
      <c r="O3090" s="11" t="n">
        <v>290.1562279</v>
      </c>
      <c r="P3090" s="13">
        <f>N3090*86400</f>
        <v/>
      </c>
      <c r="Q3090" s="14">
        <f>O3090-273.15</f>
        <v/>
      </c>
    </row>
    <row r="3091">
      <c r="A3091" s="9" t="n">
        <v>39978</v>
      </c>
      <c r="B3091" s="7">
        <f>YEAR(A3091)</f>
        <v/>
      </c>
      <c r="C3091" s="7">
        <f>MONTH(A3091)</f>
        <v/>
      </c>
      <c r="D3091" s="10" t="n">
        <v>0</v>
      </c>
      <c r="E3091" s="11" t="n">
        <v>15.81762224</v>
      </c>
      <c r="F3091" s="12" t="n">
        <v>0</v>
      </c>
      <c r="G3091" s="11" t="n">
        <v>290.631456</v>
      </c>
      <c r="H3091" s="13">
        <f>F3091*1000</f>
        <v/>
      </c>
      <c r="I3091" s="14">
        <f>G3091-273.15</f>
        <v/>
      </c>
      <c r="K3091" s="15" t="n">
        <v>2009</v>
      </c>
      <c r="L3091" s="15" t="n">
        <v>7</v>
      </c>
      <c r="M3091" s="15" t="n">
        <v>27</v>
      </c>
      <c r="N3091" s="16" t="n">
        <v>4.050203216e-05</v>
      </c>
      <c r="O3091" s="11" t="n">
        <v>289.8334116</v>
      </c>
      <c r="P3091" s="13">
        <f>N3091*86400</f>
        <v/>
      </c>
      <c r="Q3091" s="14">
        <f>O3091-273.15</f>
        <v/>
      </c>
    </row>
    <row r="3092">
      <c r="A3092" s="9" t="n">
        <v>39979</v>
      </c>
      <c r="B3092" s="7">
        <f>YEAR(A3092)</f>
        <v/>
      </c>
      <c r="C3092" s="7">
        <f>MONTH(A3092)</f>
        <v/>
      </c>
      <c r="D3092" s="10" t="n">
        <v>0.9553376832</v>
      </c>
      <c r="E3092" s="11" t="n">
        <v>17.13808556</v>
      </c>
      <c r="F3092" s="12" t="n">
        <v>0.01194187252</v>
      </c>
      <c r="G3092" s="11" t="n">
        <v>291.9648726</v>
      </c>
      <c r="H3092" s="13">
        <f>F3092*1000</f>
        <v/>
      </c>
      <c r="I3092" s="14">
        <f>G3092-273.15</f>
        <v/>
      </c>
      <c r="K3092" s="15" t="n">
        <v>2009</v>
      </c>
      <c r="L3092" s="15" t="n">
        <v>7</v>
      </c>
      <c r="M3092" s="15" t="n">
        <v>28</v>
      </c>
      <c r="N3092" s="16" t="n">
        <v>0.0001024338936</v>
      </c>
      <c r="O3092" s="11" t="n">
        <v>289.5586057</v>
      </c>
      <c r="P3092" s="13">
        <f>N3092*86400</f>
        <v/>
      </c>
      <c r="Q3092" s="14">
        <f>O3092-273.15</f>
        <v/>
      </c>
    </row>
    <row r="3093">
      <c r="A3093" s="9" t="n">
        <v>39980</v>
      </c>
      <c r="B3093" s="7">
        <f>YEAR(A3093)</f>
        <v/>
      </c>
      <c r="C3093" s="7">
        <f>MONTH(A3093)</f>
        <v/>
      </c>
      <c r="D3093" s="10" t="n">
        <v>11.08094738</v>
      </c>
      <c r="E3093" s="11" t="n">
        <v>17.42341428</v>
      </c>
      <c r="F3093" s="12" t="n">
        <v>0.001045545868</v>
      </c>
      <c r="G3093" s="11" t="n">
        <v>292.2467815</v>
      </c>
      <c r="H3093" s="13">
        <f>F3093*1000</f>
        <v/>
      </c>
      <c r="I3093" s="14">
        <f>G3093-273.15</f>
        <v/>
      </c>
      <c r="K3093" s="15" t="n">
        <v>2009</v>
      </c>
      <c r="L3093" s="15" t="n">
        <v>7</v>
      </c>
      <c r="M3093" s="15" t="n">
        <v>29</v>
      </c>
      <c r="N3093" s="16" t="n">
        <v>2.711324189e-05</v>
      </c>
      <c r="O3093" s="11" t="n">
        <v>289.8694445</v>
      </c>
      <c r="P3093" s="13">
        <f>N3093*86400</f>
        <v/>
      </c>
      <c r="Q3093" s="14">
        <f>O3093-273.15</f>
        <v/>
      </c>
    </row>
    <row r="3094">
      <c r="A3094" s="9" t="n">
        <v>39981</v>
      </c>
      <c r="B3094" s="7">
        <f>YEAR(A3094)</f>
        <v/>
      </c>
      <c r="C3094" s="7">
        <f>MONTH(A3094)</f>
        <v/>
      </c>
      <c r="D3094" s="10" t="n">
        <v>0</v>
      </c>
      <c r="E3094" s="11" t="n">
        <v>17.3801439</v>
      </c>
      <c r="F3094" s="12" t="n">
        <v>0</v>
      </c>
      <c r="G3094" s="11" t="n">
        <v>292.0859279</v>
      </c>
      <c r="H3094" s="13">
        <f>F3094*1000</f>
        <v/>
      </c>
      <c r="I3094" s="14">
        <f>G3094-273.15</f>
        <v/>
      </c>
      <c r="K3094" s="15" t="n">
        <v>2009</v>
      </c>
      <c r="L3094" s="15" t="n">
        <v>7</v>
      </c>
      <c r="M3094" s="15" t="n">
        <v>30</v>
      </c>
      <c r="N3094" s="16" t="n">
        <v>9.05842583e-06</v>
      </c>
      <c r="O3094" s="11" t="n">
        <v>290.5415988</v>
      </c>
      <c r="P3094" s="13">
        <f>N3094*86400</f>
        <v/>
      </c>
      <c r="Q3094" s="14">
        <f>O3094-273.15</f>
        <v/>
      </c>
    </row>
    <row r="3095">
      <c r="A3095" s="9" t="n">
        <v>39982</v>
      </c>
      <c r="B3095" s="7">
        <f>YEAR(A3095)</f>
        <v/>
      </c>
      <c r="C3095" s="7">
        <f>MONTH(A3095)</f>
        <v/>
      </c>
      <c r="D3095" s="10" t="n">
        <v>0</v>
      </c>
      <c r="E3095" s="11" t="n">
        <v>17.03355382</v>
      </c>
      <c r="F3095" s="12" t="n">
        <v>0</v>
      </c>
      <c r="G3095" s="11" t="n">
        <v>292.6697533</v>
      </c>
      <c r="H3095" s="13">
        <f>F3095*1000</f>
        <v/>
      </c>
      <c r="I3095" s="14">
        <f>G3095-273.15</f>
        <v/>
      </c>
      <c r="K3095" s="15" t="n">
        <v>2009</v>
      </c>
      <c r="L3095" s="15" t="n">
        <v>8</v>
      </c>
      <c r="M3095" s="15" t="n">
        <v>1</v>
      </c>
      <c r="N3095" s="16" t="n">
        <v>0.0002623856166</v>
      </c>
      <c r="O3095" s="11" t="n">
        <v>290.463995</v>
      </c>
      <c r="P3095" s="13">
        <f>N3095*86400</f>
        <v/>
      </c>
      <c r="Q3095" s="14">
        <f>O3095-273.15</f>
        <v/>
      </c>
    </row>
    <row r="3096">
      <c r="A3096" s="9" t="n">
        <v>39983</v>
      </c>
      <c r="B3096" s="7">
        <f>YEAR(A3096)</f>
        <v/>
      </c>
      <c r="C3096" s="7">
        <f>MONTH(A3096)</f>
        <v/>
      </c>
      <c r="D3096" s="10" t="n">
        <v>0.7289861554</v>
      </c>
      <c r="E3096" s="11" t="n">
        <v>16.09465233</v>
      </c>
      <c r="F3096" s="12" t="n">
        <v>0.001918276702</v>
      </c>
      <c r="G3096" s="11" t="n">
        <v>291.6484378</v>
      </c>
      <c r="H3096" s="13">
        <f>F3096*1000</f>
        <v/>
      </c>
      <c r="I3096" s="14">
        <f>G3096-273.15</f>
        <v/>
      </c>
      <c r="K3096" s="15" t="n">
        <v>2009</v>
      </c>
      <c r="L3096" s="15" t="n">
        <v>8</v>
      </c>
      <c r="M3096" s="15" t="n">
        <v>2</v>
      </c>
      <c r="N3096" s="16" t="n">
        <v>0.0001152640409</v>
      </c>
      <c r="O3096" s="11" t="n">
        <v>291.2905222</v>
      </c>
      <c r="P3096" s="13">
        <f>N3096*86400</f>
        <v/>
      </c>
      <c r="Q3096" s="14">
        <f>O3096-273.15</f>
        <v/>
      </c>
    </row>
    <row r="3097">
      <c r="A3097" s="9" t="n">
        <v>39984</v>
      </c>
      <c r="B3097" s="7">
        <f>YEAR(A3097)</f>
        <v/>
      </c>
      <c r="C3097" s="7">
        <f>MONTH(A3097)</f>
        <v/>
      </c>
      <c r="D3097" s="10" t="n">
        <v>27.53378444</v>
      </c>
      <c r="E3097" s="11" t="n">
        <v>16.73606869</v>
      </c>
      <c r="F3097" s="12" t="n">
        <v>0.01278769983</v>
      </c>
      <c r="G3097" s="11" t="n">
        <v>291.5451538</v>
      </c>
      <c r="H3097" s="13">
        <f>F3097*1000</f>
        <v/>
      </c>
      <c r="I3097" s="14">
        <f>G3097-273.15</f>
        <v/>
      </c>
      <c r="K3097" s="15" t="n">
        <v>2009</v>
      </c>
      <c r="L3097" s="15" t="n">
        <v>8</v>
      </c>
      <c r="M3097" s="15" t="n">
        <v>3</v>
      </c>
      <c r="N3097" s="16" t="n">
        <v>0.0001760397706</v>
      </c>
      <c r="O3097" s="11" t="n">
        <v>292.344651</v>
      </c>
      <c r="P3097" s="13">
        <f>N3097*86400</f>
        <v/>
      </c>
      <c r="Q3097" s="14">
        <f>O3097-273.15</f>
        <v/>
      </c>
    </row>
    <row r="3098">
      <c r="A3098" s="9" t="n">
        <v>39985</v>
      </c>
      <c r="B3098" s="7">
        <f>YEAR(A3098)</f>
        <v/>
      </c>
      <c r="C3098" s="7">
        <f>MONTH(A3098)</f>
        <v/>
      </c>
      <c r="D3098" s="10" t="n">
        <v>4.435326645</v>
      </c>
      <c r="E3098" s="11" t="n">
        <v>18.00509841</v>
      </c>
      <c r="F3098" s="12" t="n">
        <v>0.003842126092</v>
      </c>
      <c r="G3098" s="11" t="n">
        <v>292.9229306</v>
      </c>
      <c r="H3098" s="13">
        <f>F3098*1000</f>
        <v/>
      </c>
      <c r="I3098" s="14">
        <f>G3098-273.15</f>
        <v/>
      </c>
      <c r="K3098" s="15" t="n">
        <v>2009</v>
      </c>
      <c r="L3098" s="15" t="n">
        <v>8</v>
      </c>
      <c r="M3098" s="15" t="n">
        <v>4</v>
      </c>
      <c r="N3098" s="16" t="n">
        <v>7.942426699e-05</v>
      </c>
      <c r="O3098" s="11" t="n">
        <v>292.3599219</v>
      </c>
      <c r="P3098" s="13">
        <f>N3098*86400</f>
        <v/>
      </c>
      <c r="Q3098" s="14">
        <f>O3098-273.15</f>
        <v/>
      </c>
    </row>
    <row r="3099">
      <c r="A3099" s="9" t="n">
        <v>39986</v>
      </c>
      <c r="B3099" s="7">
        <f>YEAR(A3099)</f>
        <v/>
      </c>
      <c r="C3099" s="7">
        <f>MONTH(A3099)</f>
        <v/>
      </c>
      <c r="D3099" s="10" t="n">
        <v>13.14924197</v>
      </c>
      <c r="E3099" s="11" t="n">
        <v>18.33653622</v>
      </c>
      <c r="F3099" s="12" t="n">
        <v>0.004937706578</v>
      </c>
      <c r="G3099" s="11" t="n">
        <v>293.4943961</v>
      </c>
      <c r="H3099" s="13">
        <f>F3099*1000</f>
        <v/>
      </c>
      <c r="I3099" s="14">
        <f>G3099-273.15</f>
        <v/>
      </c>
      <c r="K3099" s="15" t="n">
        <v>2009</v>
      </c>
      <c r="L3099" s="15" t="n">
        <v>8</v>
      </c>
      <c r="M3099" s="15" t="n">
        <v>5</v>
      </c>
      <c r="N3099" s="16" t="n">
        <v>9.035122314e-05</v>
      </c>
      <c r="O3099" s="11" t="n">
        <v>290.6351693</v>
      </c>
      <c r="P3099" s="13">
        <f>N3099*86400</f>
        <v/>
      </c>
      <c r="Q3099" s="14">
        <f>O3099-273.15</f>
        <v/>
      </c>
    </row>
    <row r="3100">
      <c r="A3100" s="9" t="n">
        <v>39987</v>
      </c>
      <c r="B3100" s="7">
        <f>YEAR(A3100)</f>
        <v/>
      </c>
      <c r="C3100" s="7">
        <f>MONTH(A3100)</f>
        <v/>
      </c>
      <c r="D3100" s="10" t="n">
        <v>12.39880682</v>
      </c>
      <c r="E3100" s="11" t="n">
        <v>17.81937013</v>
      </c>
      <c r="F3100" s="12" t="n">
        <v>0.0165728691</v>
      </c>
      <c r="G3100" s="11" t="n">
        <v>293.5887305</v>
      </c>
      <c r="H3100" s="13">
        <f>F3100*1000</f>
        <v/>
      </c>
      <c r="I3100" s="14">
        <f>G3100-273.15</f>
        <v/>
      </c>
      <c r="K3100" s="15" t="n">
        <v>2009</v>
      </c>
      <c r="L3100" s="15" t="n">
        <v>8</v>
      </c>
      <c r="M3100" s="15" t="n">
        <v>6</v>
      </c>
      <c r="N3100" s="16" t="n">
        <v>6.149503921e-05</v>
      </c>
      <c r="O3100" s="11" t="n">
        <v>289.6687895</v>
      </c>
      <c r="P3100" s="13">
        <f>N3100*86400</f>
        <v/>
      </c>
      <c r="Q3100" s="14">
        <f>O3100-273.15</f>
        <v/>
      </c>
    </row>
    <row r="3101">
      <c r="A3101" s="9" t="n">
        <v>39988</v>
      </c>
      <c r="B3101" s="7">
        <f>YEAR(A3101)</f>
        <v/>
      </c>
      <c r="C3101" s="7">
        <f>MONTH(A3101)</f>
        <v/>
      </c>
      <c r="D3101" s="10" t="n">
        <v>10.95447925</v>
      </c>
      <c r="E3101" s="11" t="n">
        <v>15.87861591</v>
      </c>
      <c r="F3101" s="12" t="n">
        <v>0.02614572297</v>
      </c>
      <c r="G3101" s="11" t="n">
        <v>292.0537468</v>
      </c>
      <c r="H3101" s="13">
        <f>F3101*1000</f>
        <v/>
      </c>
      <c r="I3101" s="14">
        <f>G3101-273.15</f>
        <v/>
      </c>
      <c r="K3101" s="15" t="n">
        <v>2009</v>
      </c>
      <c r="L3101" s="15" t="n">
        <v>8</v>
      </c>
      <c r="M3101" s="15" t="n">
        <v>7</v>
      </c>
      <c r="N3101" s="16" t="n">
        <v>0.0001542111137</v>
      </c>
      <c r="O3101" s="11" t="n">
        <v>290.019484</v>
      </c>
      <c r="P3101" s="13">
        <f>N3101*86400</f>
        <v/>
      </c>
      <c r="Q3101" s="14">
        <f>O3101-273.15</f>
        <v/>
      </c>
    </row>
    <row r="3102">
      <c r="A3102" s="9" t="n">
        <v>39989</v>
      </c>
      <c r="B3102" s="7">
        <f>YEAR(A3102)</f>
        <v/>
      </c>
      <c r="C3102" s="7">
        <f>MONTH(A3102)</f>
        <v/>
      </c>
      <c r="D3102" s="10" t="n">
        <v>1.847122616</v>
      </c>
      <c r="E3102" s="11" t="n">
        <v>18.51066571</v>
      </c>
      <c r="F3102" s="12" t="n">
        <v>0.004258305341</v>
      </c>
      <c r="G3102" s="11" t="n">
        <v>294.0943487</v>
      </c>
      <c r="H3102" s="13">
        <f>F3102*1000</f>
        <v/>
      </c>
      <c r="I3102" s="14">
        <f>G3102-273.15</f>
        <v/>
      </c>
      <c r="K3102" s="15" t="n">
        <v>2009</v>
      </c>
      <c r="L3102" s="15" t="n">
        <v>8</v>
      </c>
      <c r="M3102" s="15" t="n">
        <v>8</v>
      </c>
      <c r="N3102" s="16" t="n">
        <v>0</v>
      </c>
      <c r="O3102" s="11" t="n">
        <v>286.741768</v>
      </c>
      <c r="P3102" s="13">
        <f>N3102*86400</f>
        <v/>
      </c>
      <c r="Q3102" s="14">
        <f>O3102-273.15</f>
        <v/>
      </c>
    </row>
    <row r="3103">
      <c r="A3103" s="9" t="n">
        <v>39990</v>
      </c>
      <c r="B3103" s="7">
        <f>YEAR(A3103)</f>
        <v/>
      </c>
      <c r="C3103" s="7">
        <f>MONTH(A3103)</f>
        <v/>
      </c>
      <c r="D3103" s="10" t="n">
        <v>11.33093189</v>
      </c>
      <c r="E3103" s="11" t="n">
        <v>17.87699302</v>
      </c>
      <c r="F3103" s="12" t="n">
        <v>0.01397715648</v>
      </c>
      <c r="G3103" s="11" t="n">
        <v>293.3066816</v>
      </c>
      <c r="H3103" s="13">
        <f>F3103*1000</f>
        <v/>
      </c>
      <c r="I3103" s="14">
        <f>G3103-273.15</f>
        <v/>
      </c>
      <c r="K3103" s="15" t="n">
        <v>2009</v>
      </c>
      <c r="L3103" s="15" t="n">
        <v>8</v>
      </c>
      <c r="M3103" s="15" t="n">
        <v>9</v>
      </c>
      <c r="N3103" s="16" t="n">
        <v>8.569671805e-06</v>
      </c>
      <c r="O3103" s="11" t="n">
        <v>288.5044695</v>
      </c>
      <c r="P3103" s="13">
        <f>N3103*86400</f>
        <v/>
      </c>
      <c r="Q3103" s="14">
        <f>O3103-273.15</f>
        <v/>
      </c>
    </row>
    <row r="3104">
      <c r="A3104" s="9" t="n">
        <v>39991</v>
      </c>
      <c r="B3104" s="7">
        <f>YEAR(A3104)</f>
        <v/>
      </c>
      <c r="C3104" s="7">
        <f>MONTH(A3104)</f>
        <v/>
      </c>
      <c r="D3104" s="10" t="n">
        <v>14.86796045</v>
      </c>
      <c r="E3104" s="11" t="n">
        <v>19.78565405</v>
      </c>
      <c r="F3104" s="12" t="n">
        <v>0.02129263835</v>
      </c>
      <c r="G3104" s="11" t="n">
        <v>294.0083011</v>
      </c>
      <c r="H3104" s="13">
        <f>F3104*1000</f>
        <v/>
      </c>
      <c r="I3104" s="14">
        <f>G3104-273.15</f>
        <v/>
      </c>
      <c r="K3104" s="15" t="n">
        <v>2009</v>
      </c>
      <c r="L3104" s="15" t="n">
        <v>8</v>
      </c>
      <c r="M3104" s="15" t="n">
        <v>10</v>
      </c>
      <c r="N3104" s="16" t="n">
        <v>0.0002109609823</v>
      </c>
      <c r="O3104" s="11" t="n">
        <v>286.6633304</v>
      </c>
      <c r="P3104" s="13">
        <f>N3104*86400</f>
        <v/>
      </c>
      <c r="Q3104" s="14">
        <f>O3104-273.15</f>
        <v/>
      </c>
    </row>
    <row r="3105">
      <c r="A3105" s="9" t="n">
        <v>39992</v>
      </c>
      <c r="B3105" s="7">
        <f>YEAR(A3105)</f>
        <v/>
      </c>
      <c r="C3105" s="7">
        <f>MONTH(A3105)</f>
        <v/>
      </c>
      <c r="D3105" s="10" t="n">
        <v>14.61344433</v>
      </c>
      <c r="E3105" s="11" t="n">
        <v>17.55413274</v>
      </c>
      <c r="F3105" s="12" t="n">
        <v>0.01389117139</v>
      </c>
      <c r="G3105" s="11" t="n">
        <v>292.9190746</v>
      </c>
      <c r="H3105" s="13">
        <f>F3105*1000</f>
        <v/>
      </c>
      <c r="I3105" s="14">
        <f>G3105-273.15</f>
        <v/>
      </c>
      <c r="K3105" s="15" t="n">
        <v>2009</v>
      </c>
      <c r="L3105" s="15" t="n">
        <v>8</v>
      </c>
      <c r="M3105" s="15" t="n">
        <v>11</v>
      </c>
      <c r="N3105" s="16" t="n">
        <v>0.0001271324362</v>
      </c>
      <c r="O3105" s="11" t="n">
        <v>286.665971</v>
      </c>
      <c r="P3105" s="13">
        <f>N3105*86400</f>
        <v/>
      </c>
      <c r="Q3105" s="14">
        <f>O3105-273.15</f>
        <v/>
      </c>
    </row>
    <row r="3106">
      <c r="A3106" s="9" t="n">
        <v>39993</v>
      </c>
      <c r="B3106" s="7">
        <f>YEAR(A3106)</f>
        <v/>
      </c>
      <c r="C3106" s="7">
        <f>MONTH(A3106)</f>
        <v/>
      </c>
      <c r="D3106" s="10" t="n">
        <v>0</v>
      </c>
      <c r="E3106" s="11" t="n">
        <v>14.96478643</v>
      </c>
      <c r="F3106" s="12" t="n">
        <v>0</v>
      </c>
      <c r="G3106" s="11" t="n">
        <v>291.4549952</v>
      </c>
      <c r="H3106" s="13">
        <f>F3106*1000</f>
        <v/>
      </c>
      <c r="I3106" s="14">
        <f>G3106-273.15</f>
        <v/>
      </c>
      <c r="K3106" s="15" t="n">
        <v>2009</v>
      </c>
      <c r="L3106" s="15" t="n">
        <v>8</v>
      </c>
      <c r="M3106" s="15" t="n">
        <v>12</v>
      </c>
      <c r="N3106" s="16" t="n">
        <v>1.575574279e-05</v>
      </c>
      <c r="O3106" s="11" t="n">
        <v>287.6702102</v>
      </c>
      <c r="P3106" s="13">
        <f>N3106*86400</f>
        <v/>
      </c>
      <c r="Q3106" s="14">
        <f>O3106-273.15</f>
        <v/>
      </c>
    </row>
    <row r="3107">
      <c r="A3107" s="9" t="n">
        <v>39994</v>
      </c>
      <c r="B3107" s="7">
        <f>YEAR(A3107)</f>
        <v/>
      </c>
      <c r="C3107" s="7">
        <f>MONTH(A3107)</f>
        <v/>
      </c>
      <c r="D3107" s="10" t="n">
        <v>0</v>
      </c>
      <c r="E3107" s="11" t="n">
        <v>16.09671944</v>
      </c>
      <c r="F3107" s="12" t="n">
        <v>0.0008097775776999999</v>
      </c>
      <c r="G3107" s="11" t="n">
        <v>293.036121</v>
      </c>
      <c r="H3107" s="13">
        <f>F3107*1000</f>
        <v/>
      </c>
      <c r="I3107" s="14">
        <f>G3107-273.15</f>
        <v/>
      </c>
      <c r="K3107" s="15" t="n">
        <v>2009</v>
      </c>
      <c r="L3107" s="15" t="n">
        <v>8</v>
      </c>
      <c r="M3107" s="15" t="n">
        <v>13</v>
      </c>
      <c r="N3107" s="16" t="n">
        <v>4.361218086e-07</v>
      </c>
      <c r="O3107" s="11" t="n">
        <v>286.2649482</v>
      </c>
      <c r="P3107" s="13">
        <f>N3107*86400</f>
        <v/>
      </c>
      <c r="Q3107" s="14">
        <f>O3107-273.15</f>
        <v/>
      </c>
    </row>
    <row r="3108">
      <c r="A3108" s="9" t="n">
        <v>39995</v>
      </c>
      <c r="B3108" s="7">
        <f>YEAR(A3108)</f>
        <v/>
      </c>
      <c r="C3108" s="7">
        <f>MONTH(A3108)</f>
        <v/>
      </c>
      <c r="D3108" s="10" t="n">
        <v>0</v>
      </c>
      <c r="E3108" s="11" t="n">
        <v>16.1383839</v>
      </c>
      <c r="F3108" s="12" t="n">
        <v>0.002123728561</v>
      </c>
      <c r="G3108" s="11" t="n">
        <v>292.0125491</v>
      </c>
      <c r="H3108" s="13">
        <f>F3108*1000</f>
        <v/>
      </c>
      <c r="I3108" s="14">
        <f>G3108-273.15</f>
        <v/>
      </c>
      <c r="K3108" s="15" t="n">
        <v>2009</v>
      </c>
      <c r="L3108" s="15" t="n">
        <v>8</v>
      </c>
      <c r="M3108" s="15" t="n">
        <v>14</v>
      </c>
      <c r="N3108" s="16" t="n">
        <v>3.659612424e-05</v>
      </c>
      <c r="O3108" s="11" t="n">
        <v>286.7138951</v>
      </c>
      <c r="P3108" s="13">
        <f>N3108*86400</f>
        <v/>
      </c>
      <c r="Q3108" s="14">
        <f>O3108-273.15</f>
        <v/>
      </c>
    </row>
    <row r="3109">
      <c r="A3109" s="9" t="n">
        <v>39996</v>
      </c>
      <c r="B3109" s="7">
        <f>YEAR(A3109)</f>
        <v/>
      </c>
      <c r="C3109" s="7">
        <f>MONTH(A3109)</f>
        <v/>
      </c>
      <c r="D3109" s="10" t="n">
        <v>0</v>
      </c>
      <c r="E3109" s="11" t="n">
        <v>16.35248907</v>
      </c>
      <c r="F3109" s="12" t="n">
        <v>0.001546570601</v>
      </c>
      <c r="G3109" s="11" t="n">
        <v>292.7976249</v>
      </c>
      <c r="H3109" s="13">
        <f>F3109*1000</f>
        <v/>
      </c>
      <c r="I3109" s="14">
        <f>G3109-273.15</f>
        <v/>
      </c>
      <c r="K3109" s="15" t="n">
        <v>2009</v>
      </c>
      <c r="L3109" s="15" t="n">
        <v>8</v>
      </c>
      <c r="M3109" s="15" t="n">
        <v>15</v>
      </c>
      <c r="N3109" s="16" t="n">
        <v>0.0001177757172</v>
      </c>
      <c r="O3109" s="11" t="n">
        <v>285.0955753</v>
      </c>
      <c r="P3109" s="13">
        <f>N3109*86400</f>
        <v/>
      </c>
      <c r="Q3109" s="14">
        <f>O3109-273.15</f>
        <v/>
      </c>
    </row>
    <row r="3110">
      <c r="A3110" s="9" t="n">
        <v>39997</v>
      </c>
      <c r="B3110" s="7">
        <f>YEAR(A3110)</f>
        <v/>
      </c>
      <c r="C3110" s="7">
        <f>MONTH(A3110)</f>
        <v/>
      </c>
      <c r="D3110" s="10" t="n">
        <v>0.5498695042</v>
      </c>
      <c r="E3110" s="11" t="n">
        <v>16.14335565</v>
      </c>
      <c r="F3110" s="12" t="n">
        <v>0.0004104303384</v>
      </c>
      <c r="G3110" s="11" t="n">
        <v>293.0115534</v>
      </c>
      <c r="H3110" s="13">
        <f>F3110*1000</f>
        <v/>
      </c>
      <c r="I3110" s="14">
        <f>G3110-273.15</f>
        <v/>
      </c>
      <c r="K3110" s="15" t="n">
        <v>2009</v>
      </c>
      <c r="L3110" s="15" t="n">
        <v>8</v>
      </c>
      <c r="M3110" s="15" t="n">
        <v>16</v>
      </c>
      <c r="N3110" s="16" t="n">
        <v>1.356687442e-05</v>
      </c>
      <c r="O3110" s="11" t="n">
        <v>286.9064072</v>
      </c>
      <c r="P3110" s="13">
        <f>N3110*86400</f>
        <v/>
      </c>
      <c r="Q3110" s="14">
        <f>O3110-273.15</f>
        <v/>
      </c>
    </row>
    <row r="3111">
      <c r="A3111" s="9" t="n">
        <v>39998</v>
      </c>
      <c r="B3111" s="7">
        <f>YEAR(A3111)</f>
        <v/>
      </c>
      <c r="C3111" s="7">
        <f>MONTH(A3111)</f>
        <v/>
      </c>
      <c r="D3111" s="10" t="n">
        <v>0</v>
      </c>
      <c r="E3111" s="11" t="n">
        <v>15.28181166</v>
      </c>
      <c r="F3111" s="12" t="n">
        <v>0.000455340061</v>
      </c>
      <c r="G3111" s="11" t="n">
        <v>291.8944602</v>
      </c>
      <c r="H3111" s="13">
        <f>F3111*1000</f>
        <v/>
      </c>
      <c r="I3111" s="14">
        <f>G3111-273.15</f>
        <v/>
      </c>
      <c r="K3111" s="15" t="n">
        <v>2009</v>
      </c>
      <c r="L3111" s="15" t="n">
        <v>8</v>
      </c>
      <c r="M3111" s="15" t="n">
        <v>17</v>
      </c>
      <c r="N3111" s="16" t="n">
        <v>1.121315415e-05</v>
      </c>
      <c r="O3111" s="11" t="n">
        <v>287.2739136</v>
      </c>
      <c r="P3111" s="13">
        <f>N3111*86400</f>
        <v/>
      </c>
      <c r="Q3111" s="14">
        <f>O3111-273.15</f>
        <v/>
      </c>
    </row>
    <row r="3112">
      <c r="A3112" s="9" t="n">
        <v>39999</v>
      </c>
      <c r="B3112" s="7">
        <f>YEAR(A3112)</f>
        <v/>
      </c>
      <c r="C3112" s="7">
        <f>MONTH(A3112)</f>
        <v/>
      </c>
      <c r="D3112" s="10" t="n">
        <v>0.4750185077</v>
      </c>
      <c r="E3112" s="11" t="n">
        <v>17.17691654</v>
      </c>
      <c r="F3112" s="12" t="n">
        <v>0.003032513373</v>
      </c>
      <c r="G3112" s="11" t="n">
        <v>292.4535697</v>
      </c>
      <c r="H3112" s="13">
        <f>F3112*1000</f>
        <v/>
      </c>
      <c r="I3112" s="14">
        <f>G3112-273.15</f>
        <v/>
      </c>
      <c r="K3112" s="15" t="n">
        <v>2009</v>
      </c>
      <c r="L3112" s="15" t="n">
        <v>8</v>
      </c>
      <c r="M3112" s="15" t="n">
        <v>18</v>
      </c>
      <c r="N3112" s="16" t="n">
        <v>1.046825198e-06</v>
      </c>
      <c r="O3112" s="11" t="n">
        <v>288.5850223</v>
      </c>
      <c r="P3112" s="13">
        <f>N3112*86400</f>
        <v/>
      </c>
      <c r="Q3112" s="14">
        <f>O3112-273.15</f>
        <v/>
      </c>
    </row>
    <row r="3113">
      <c r="A3113" s="9" t="n">
        <v>40000</v>
      </c>
      <c r="B3113" s="7">
        <f>YEAR(A3113)</f>
        <v/>
      </c>
      <c r="C3113" s="7">
        <f>MONTH(A3113)</f>
        <v/>
      </c>
      <c r="D3113" s="10" t="n">
        <v>3.944335055</v>
      </c>
      <c r="E3113" s="11" t="n">
        <v>16.84215612</v>
      </c>
      <c r="F3113" s="12" t="n">
        <v>0.001289631514</v>
      </c>
      <c r="G3113" s="11" t="n">
        <v>292.1661294</v>
      </c>
      <c r="H3113" s="13">
        <f>F3113*1000</f>
        <v/>
      </c>
      <c r="I3113" s="14">
        <f>G3113-273.15</f>
        <v/>
      </c>
      <c r="K3113" s="15" t="n">
        <v>2009</v>
      </c>
      <c r="L3113" s="15" t="n">
        <v>8</v>
      </c>
      <c r="M3113" s="15" t="n">
        <v>19</v>
      </c>
      <c r="N3113" s="16" t="n">
        <v>8.310046042999999e-06</v>
      </c>
      <c r="O3113" s="11" t="n">
        <v>286.0406684</v>
      </c>
      <c r="P3113" s="13">
        <f>N3113*86400</f>
        <v/>
      </c>
      <c r="Q3113" s="14">
        <f>O3113-273.15</f>
        <v/>
      </c>
    </row>
    <row r="3114">
      <c r="A3114" s="9" t="n">
        <v>40001</v>
      </c>
      <c r="B3114" s="7">
        <f>YEAR(A3114)</f>
        <v/>
      </c>
      <c r="C3114" s="7">
        <f>MONTH(A3114)</f>
        <v/>
      </c>
      <c r="D3114" s="10" t="n">
        <v>10.92121432</v>
      </c>
      <c r="E3114" s="11" t="n">
        <v>20.01831604</v>
      </c>
      <c r="F3114" s="12" t="n">
        <v>0.005323961937</v>
      </c>
      <c r="G3114" s="11" t="n">
        <v>294.3648341</v>
      </c>
      <c r="H3114" s="13">
        <f>F3114*1000</f>
        <v/>
      </c>
      <c r="I3114" s="14">
        <f>G3114-273.15</f>
        <v/>
      </c>
      <c r="K3114" s="15" t="n">
        <v>2009</v>
      </c>
      <c r="L3114" s="15" t="n">
        <v>8</v>
      </c>
      <c r="M3114" s="15" t="n">
        <v>20</v>
      </c>
      <c r="N3114" s="16" t="n">
        <v>4.705133912e-05</v>
      </c>
      <c r="O3114" s="11" t="n">
        <v>287.891152</v>
      </c>
      <c r="P3114" s="13">
        <f>N3114*86400</f>
        <v/>
      </c>
      <c r="Q3114" s="14">
        <f>O3114-273.15</f>
        <v/>
      </c>
    </row>
    <row r="3115">
      <c r="A3115" s="9" t="n">
        <v>40002</v>
      </c>
      <c r="B3115" s="7">
        <f>YEAR(A3115)</f>
        <v/>
      </c>
      <c r="C3115" s="7">
        <f>MONTH(A3115)</f>
        <v/>
      </c>
      <c r="D3115" s="10" t="n">
        <v>12.00900102</v>
      </c>
      <c r="E3115" s="11" t="n">
        <v>19.89030117</v>
      </c>
      <c r="F3115" s="12" t="n">
        <v>0.00651398801</v>
      </c>
      <c r="G3115" s="11" t="n">
        <v>294.9247094</v>
      </c>
      <c r="H3115" s="13">
        <f>F3115*1000</f>
        <v/>
      </c>
      <c r="I3115" s="14">
        <f>G3115-273.15</f>
        <v/>
      </c>
      <c r="K3115" s="15" t="n">
        <v>2009</v>
      </c>
      <c r="L3115" s="15" t="n">
        <v>8</v>
      </c>
      <c r="M3115" s="15" t="n">
        <v>21</v>
      </c>
      <c r="N3115" s="16" t="n">
        <v>6.115044305e-05</v>
      </c>
      <c r="O3115" s="11" t="n">
        <v>286.3195927</v>
      </c>
      <c r="P3115" s="13">
        <f>N3115*86400</f>
        <v/>
      </c>
      <c r="Q3115" s="14">
        <f>O3115-273.15</f>
        <v/>
      </c>
    </row>
    <row r="3116">
      <c r="A3116" s="9" t="n">
        <v>40003</v>
      </c>
      <c r="B3116" s="7">
        <f>YEAR(A3116)</f>
        <v/>
      </c>
      <c r="C3116" s="7">
        <f>MONTH(A3116)</f>
        <v/>
      </c>
      <c r="D3116" s="10" t="n">
        <v>3.887369541</v>
      </c>
      <c r="E3116" s="11" t="n">
        <v>20.16197748</v>
      </c>
      <c r="F3116" s="12" t="n">
        <v>0.008631463922</v>
      </c>
      <c r="G3116" s="11" t="n">
        <v>295.5658843</v>
      </c>
      <c r="H3116" s="13">
        <f>F3116*1000</f>
        <v/>
      </c>
      <c r="I3116" s="14">
        <f>G3116-273.15</f>
        <v/>
      </c>
      <c r="K3116" s="15" t="n">
        <v>2009</v>
      </c>
      <c r="L3116" s="15" t="n">
        <v>8</v>
      </c>
      <c r="M3116" s="15" t="n">
        <v>22</v>
      </c>
      <c r="N3116" s="16" t="n">
        <v>7.052974396e-06</v>
      </c>
      <c r="O3116" s="11" t="n">
        <v>287.9393791</v>
      </c>
      <c r="P3116" s="13">
        <f>N3116*86400</f>
        <v/>
      </c>
      <c r="Q3116" s="14">
        <f>O3116-273.15</f>
        <v/>
      </c>
    </row>
    <row r="3117">
      <c r="A3117" s="9" t="n">
        <v>40004</v>
      </c>
      <c r="B3117" s="7">
        <f>YEAR(A3117)</f>
        <v/>
      </c>
      <c r="C3117" s="7">
        <f>MONTH(A3117)</f>
        <v/>
      </c>
      <c r="D3117" s="10" t="n">
        <v>0</v>
      </c>
      <c r="E3117" s="11" t="n">
        <v>21.28611017</v>
      </c>
      <c r="F3117" s="12" t="n">
        <v>0.004030338126</v>
      </c>
      <c r="G3117" s="11" t="n">
        <v>297.265915</v>
      </c>
      <c r="H3117" s="13">
        <f>F3117*1000</f>
        <v/>
      </c>
      <c r="I3117" s="14">
        <f>G3117-273.15</f>
        <v/>
      </c>
      <c r="K3117" s="15" t="n">
        <v>2009</v>
      </c>
      <c r="L3117" s="15" t="n">
        <v>8</v>
      </c>
      <c r="M3117" s="15" t="n">
        <v>23</v>
      </c>
      <c r="N3117" s="16" t="n">
        <v>3.603151606e-05</v>
      </c>
      <c r="O3117" s="11" t="n">
        <v>287.5194608</v>
      </c>
      <c r="P3117" s="13">
        <f>N3117*86400</f>
        <v/>
      </c>
      <c r="Q3117" s="14">
        <f>O3117-273.15</f>
        <v/>
      </c>
    </row>
    <row r="3118">
      <c r="A3118" s="9" t="n">
        <v>40005</v>
      </c>
      <c r="B3118" s="7">
        <f>YEAR(A3118)</f>
        <v/>
      </c>
      <c r="C3118" s="7">
        <f>MONTH(A3118)</f>
        <v/>
      </c>
      <c r="D3118" s="10" t="n">
        <v>6.839181584</v>
      </c>
      <c r="E3118" s="11" t="n">
        <v>18.8142098</v>
      </c>
      <c r="F3118" s="12" t="n">
        <v>0.009355159938999999</v>
      </c>
      <c r="G3118" s="11" t="n">
        <v>295.3581649</v>
      </c>
      <c r="H3118" s="13">
        <f>F3118*1000</f>
        <v/>
      </c>
      <c r="I3118" s="14">
        <f>G3118-273.15</f>
        <v/>
      </c>
      <c r="K3118" s="15" t="n">
        <v>2009</v>
      </c>
      <c r="L3118" s="15" t="n">
        <v>8</v>
      </c>
      <c r="M3118" s="15" t="n">
        <v>24</v>
      </c>
      <c r="N3118" s="16" t="n">
        <v>1.146035007e-05</v>
      </c>
      <c r="O3118" s="11" t="n">
        <v>287.4640679</v>
      </c>
      <c r="P3118" s="13">
        <f>N3118*86400</f>
        <v/>
      </c>
      <c r="Q3118" s="14">
        <f>O3118-273.15</f>
        <v/>
      </c>
    </row>
    <row r="3119">
      <c r="A3119" s="9" t="n">
        <v>40006</v>
      </c>
      <c r="B3119" s="7">
        <f>YEAR(A3119)</f>
        <v/>
      </c>
      <c r="C3119" s="7">
        <f>MONTH(A3119)</f>
        <v/>
      </c>
      <c r="D3119" s="10" t="n">
        <v>11.2876024</v>
      </c>
      <c r="E3119" s="11" t="n">
        <v>17.89122355</v>
      </c>
      <c r="F3119" s="12" t="n">
        <v>0.009034352690000001</v>
      </c>
      <c r="G3119" s="11" t="n">
        <v>294.2514422</v>
      </c>
      <c r="H3119" s="13">
        <f>F3119*1000</f>
        <v/>
      </c>
      <c r="I3119" s="14">
        <f>G3119-273.15</f>
        <v/>
      </c>
      <c r="K3119" s="15" t="n">
        <v>2009</v>
      </c>
      <c r="L3119" s="15" t="n">
        <v>8</v>
      </c>
      <c r="M3119" s="15" t="n">
        <v>25</v>
      </c>
      <c r="N3119" s="16" t="n">
        <v>2.932617255e-05</v>
      </c>
      <c r="O3119" s="11" t="n">
        <v>286.4257671</v>
      </c>
      <c r="P3119" s="13">
        <f>N3119*86400</f>
        <v/>
      </c>
      <c r="Q3119" s="14">
        <f>O3119-273.15</f>
        <v/>
      </c>
    </row>
    <row r="3120">
      <c r="A3120" s="9" t="n">
        <v>40007</v>
      </c>
      <c r="B3120" s="7">
        <f>YEAR(A3120)</f>
        <v/>
      </c>
      <c r="C3120" s="7">
        <f>MONTH(A3120)</f>
        <v/>
      </c>
      <c r="D3120" s="10" t="n">
        <v>0.2934490833</v>
      </c>
      <c r="E3120" s="11" t="n">
        <v>17.97756135</v>
      </c>
      <c r="F3120" s="12" t="n">
        <v>0.002609277958</v>
      </c>
      <c r="G3120" s="11" t="n">
        <v>293.9597877</v>
      </c>
      <c r="H3120" s="13">
        <f>F3120*1000</f>
        <v/>
      </c>
      <c r="I3120" s="14">
        <f>G3120-273.15</f>
        <v/>
      </c>
      <c r="K3120" s="15" t="n">
        <v>2009</v>
      </c>
      <c r="L3120" s="15" t="n">
        <v>8</v>
      </c>
      <c r="M3120" s="15" t="n">
        <v>26</v>
      </c>
      <c r="N3120" s="16" t="n">
        <v>7.453013794e-05</v>
      </c>
      <c r="O3120" s="11" t="n">
        <v>286.5031503</v>
      </c>
      <c r="P3120" s="13">
        <f>N3120*86400</f>
        <v/>
      </c>
      <c r="Q3120" s="14">
        <f>O3120-273.15</f>
        <v/>
      </c>
    </row>
    <row r="3121">
      <c r="A3121" s="9" t="n">
        <v>40008</v>
      </c>
      <c r="B3121" s="7">
        <f>YEAR(A3121)</f>
        <v/>
      </c>
      <c r="C3121" s="7">
        <f>MONTH(A3121)</f>
        <v/>
      </c>
      <c r="D3121" s="10" t="n">
        <v>11.54766335</v>
      </c>
      <c r="E3121" s="11" t="n">
        <v>15.09179236</v>
      </c>
      <c r="F3121" s="12" t="n">
        <v>0.01263615007</v>
      </c>
      <c r="G3121" s="11" t="n">
        <v>291.1378376</v>
      </c>
      <c r="H3121" s="13">
        <f>F3121*1000</f>
        <v/>
      </c>
      <c r="I3121" s="14">
        <f>G3121-273.15</f>
        <v/>
      </c>
      <c r="K3121" s="15" t="n">
        <v>2009</v>
      </c>
      <c r="L3121" s="15" t="n">
        <v>8</v>
      </c>
      <c r="M3121" s="15" t="n">
        <v>27</v>
      </c>
      <c r="N3121" s="16" t="n">
        <v>0.0002024336913</v>
      </c>
      <c r="O3121" s="11" t="n">
        <v>285.6260143</v>
      </c>
      <c r="P3121" s="13">
        <f>N3121*86400</f>
        <v/>
      </c>
      <c r="Q3121" s="14">
        <f>O3121-273.15</f>
        <v/>
      </c>
    </row>
    <row r="3122">
      <c r="A3122" s="9" t="n">
        <v>40009</v>
      </c>
      <c r="B3122" s="7">
        <f>YEAR(A3122)</f>
        <v/>
      </c>
      <c r="C3122" s="7">
        <f>MONTH(A3122)</f>
        <v/>
      </c>
      <c r="D3122" s="10" t="n">
        <v>15.77555622</v>
      </c>
      <c r="E3122" s="11" t="n">
        <v>16.03605931</v>
      </c>
      <c r="F3122" s="12" t="n">
        <v>0.01649359994</v>
      </c>
      <c r="G3122" s="11" t="n">
        <v>291.5074165</v>
      </c>
      <c r="H3122" s="13">
        <f>F3122*1000</f>
        <v/>
      </c>
      <c r="I3122" s="14">
        <f>G3122-273.15</f>
        <v/>
      </c>
      <c r="K3122" s="15" t="n">
        <v>2009</v>
      </c>
      <c r="L3122" s="15" t="n">
        <v>8</v>
      </c>
      <c r="M3122" s="15" t="n">
        <v>28</v>
      </c>
      <c r="N3122" s="16" t="n">
        <v>6.398234549e-05</v>
      </c>
      <c r="O3122" s="11" t="n">
        <v>287.0383365</v>
      </c>
      <c r="P3122" s="13">
        <f>N3122*86400</f>
        <v/>
      </c>
      <c r="Q3122" s="14">
        <f>O3122-273.15</f>
        <v/>
      </c>
    </row>
    <row r="3123">
      <c r="A3123" s="9" t="n">
        <v>40010</v>
      </c>
      <c r="B3123" s="7">
        <f>YEAR(A3123)</f>
        <v/>
      </c>
      <c r="C3123" s="7">
        <f>MONTH(A3123)</f>
        <v/>
      </c>
      <c r="D3123" s="10" t="n">
        <v>0</v>
      </c>
      <c r="E3123" s="11" t="n">
        <v>15.38633343</v>
      </c>
      <c r="F3123" s="12" t="n">
        <v>6.779879118e-05</v>
      </c>
      <c r="G3123" s="11" t="n">
        <v>291.9906863</v>
      </c>
      <c r="H3123" s="13">
        <f>F3123*1000</f>
        <v/>
      </c>
      <c r="I3123" s="14">
        <f>G3123-273.15</f>
        <v/>
      </c>
      <c r="K3123" s="15" t="n">
        <v>2009</v>
      </c>
      <c r="L3123" s="15" t="n">
        <v>8</v>
      </c>
      <c r="M3123" s="15" t="n">
        <v>29</v>
      </c>
      <c r="N3123" s="16" t="n">
        <v>0</v>
      </c>
      <c r="O3123" s="11" t="n">
        <v>287.04433</v>
      </c>
      <c r="P3123" s="13">
        <f>N3123*86400</f>
        <v/>
      </c>
      <c r="Q3123" s="14">
        <f>O3123-273.15</f>
        <v/>
      </c>
    </row>
    <row r="3124">
      <c r="A3124" s="9" t="n">
        <v>40011</v>
      </c>
      <c r="B3124" s="7">
        <f>YEAR(A3124)</f>
        <v/>
      </c>
      <c r="C3124" s="7">
        <f>MONTH(A3124)</f>
        <v/>
      </c>
      <c r="D3124" s="10" t="n">
        <v>6.603003732</v>
      </c>
      <c r="E3124" s="11" t="n">
        <v>14.51235818</v>
      </c>
      <c r="F3124" s="12" t="n">
        <v>0.00440162213</v>
      </c>
      <c r="G3124" s="11" t="n">
        <v>290.062475</v>
      </c>
      <c r="H3124" s="13">
        <f>F3124*1000</f>
        <v/>
      </c>
      <c r="I3124" s="14">
        <f>G3124-273.15</f>
        <v/>
      </c>
      <c r="K3124" s="15" t="n">
        <v>2009</v>
      </c>
      <c r="L3124" s="15" t="n">
        <v>8</v>
      </c>
      <c r="M3124" s="15" t="n">
        <v>30</v>
      </c>
      <c r="N3124" s="16" t="n">
        <v>5.251013936e-05</v>
      </c>
      <c r="O3124" s="11" t="n">
        <v>284.7267124</v>
      </c>
      <c r="P3124" s="13">
        <f>N3124*86400</f>
        <v/>
      </c>
      <c r="Q3124" s="14">
        <f>O3124-273.15</f>
        <v/>
      </c>
    </row>
    <row r="3125">
      <c r="A3125" s="9" t="n">
        <v>40012</v>
      </c>
      <c r="B3125" s="7">
        <f>YEAR(A3125)</f>
        <v/>
      </c>
      <c r="C3125" s="7">
        <f>MONTH(A3125)</f>
        <v/>
      </c>
      <c r="D3125" s="10" t="n">
        <v>0</v>
      </c>
      <c r="E3125" s="11" t="n">
        <v>16.43690885</v>
      </c>
      <c r="F3125" s="12" t="n">
        <v>3.957841667e-05</v>
      </c>
      <c r="G3125" s="11" t="n">
        <v>292.3685658</v>
      </c>
      <c r="H3125" s="13">
        <f>F3125*1000</f>
        <v/>
      </c>
      <c r="I3125" s="14">
        <f>G3125-273.15</f>
        <v/>
      </c>
      <c r="K3125" s="15" t="n">
        <v>2009</v>
      </c>
      <c r="L3125" s="15" t="n">
        <v>9</v>
      </c>
      <c r="M3125" s="15" t="n">
        <v>1</v>
      </c>
      <c r="N3125" s="16" t="n">
        <v>0.0001521600966</v>
      </c>
      <c r="O3125" s="11" t="n">
        <v>284.5433906</v>
      </c>
      <c r="P3125" s="13">
        <f>N3125*86400</f>
        <v/>
      </c>
      <c r="Q3125" s="14">
        <f>O3125-273.15</f>
        <v/>
      </c>
    </row>
    <row r="3126">
      <c r="A3126" s="9" t="n">
        <v>40013</v>
      </c>
      <c r="B3126" s="7">
        <f>YEAR(A3126)</f>
        <v/>
      </c>
      <c r="C3126" s="7">
        <f>MONTH(A3126)</f>
        <v/>
      </c>
      <c r="D3126" s="10" t="n">
        <v>8.714380615</v>
      </c>
      <c r="E3126" s="11" t="n">
        <v>18.79464712</v>
      </c>
      <c r="F3126" s="12" t="n">
        <v>0.009024998426</v>
      </c>
      <c r="G3126" s="11" t="n">
        <v>293.782678</v>
      </c>
      <c r="H3126" s="13">
        <f>F3126*1000</f>
        <v/>
      </c>
      <c r="I3126" s="14">
        <f>G3126-273.15</f>
        <v/>
      </c>
      <c r="K3126" s="15" t="n">
        <v>2009</v>
      </c>
      <c r="L3126" s="15" t="n">
        <v>9</v>
      </c>
      <c r="M3126" s="15" t="n">
        <v>2</v>
      </c>
      <c r="N3126" s="16" t="n">
        <v>1.713171675e-05</v>
      </c>
      <c r="O3126" s="11" t="n">
        <v>283.1798694</v>
      </c>
      <c r="P3126" s="13">
        <f>N3126*86400</f>
        <v/>
      </c>
      <c r="Q3126" s="14">
        <f>O3126-273.15</f>
        <v/>
      </c>
    </row>
    <row r="3127">
      <c r="A3127" s="9" t="n">
        <v>40014</v>
      </c>
      <c r="B3127" s="7">
        <f>YEAR(A3127)</f>
        <v/>
      </c>
      <c r="C3127" s="7">
        <f>MONTH(A3127)</f>
        <v/>
      </c>
      <c r="D3127" s="10" t="n">
        <v>0</v>
      </c>
      <c r="E3127" s="11" t="n">
        <v>19.01588878</v>
      </c>
      <c r="F3127" s="12" t="n">
        <v>0.00116847365</v>
      </c>
      <c r="G3127" s="11" t="n">
        <v>294.9847242</v>
      </c>
      <c r="H3127" s="13">
        <f>F3127*1000</f>
        <v/>
      </c>
      <c r="I3127" s="14">
        <f>G3127-273.15</f>
        <v/>
      </c>
      <c r="K3127" s="15" t="n">
        <v>2009</v>
      </c>
      <c r="L3127" s="15" t="n">
        <v>9</v>
      </c>
      <c r="M3127" s="15" t="n">
        <v>3</v>
      </c>
      <c r="N3127" s="16" t="n">
        <v>3.027252568e-05</v>
      </c>
      <c r="O3127" s="11" t="n">
        <v>285.0465774</v>
      </c>
      <c r="P3127" s="13">
        <f>N3127*86400</f>
        <v/>
      </c>
      <c r="Q3127" s="14">
        <f>O3127-273.15</f>
        <v/>
      </c>
    </row>
    <row r="3128">
      <c r="A3128" s="9" t="n">
        <v>40015</v>
      </c>
      <c r="B3128" s="7">
        <f>YEAR(A3128)</f>
        <v/>
      </c>
      <c r="C3128" s="7">
        <f>MONTH(A3128)</f>
        <v/>
      </c>
      <c r="D3128" s="10" t="n">
        <v>5.834551299</v>
      </c>
      <c r="E3128" s="11" t="n">
        <v>17.04989783</v>
      </c>
      <c r="F3128" s="12" t="n">
        <v>0.007897794471000001</v>
      </c>
      <c r="G3128" s="11" t="n">
        <v>292.9399284</v>
      </c>
      <c r="H3128" s="13">
        <f>F3128*1000</f>
        <v/>
      </c>
      <c r="I3128" s="14">
        <f>G3128-273.15</f>
        <v/>
      </c>
      <c r="K3128" s="15" t="n">
        <v>2009</v>
      </c>
      <c r="L3128" s="15" t="n">
        <v>9</v>
      </c>
      <c r="M3128" s="15" t="n">
        <v>4</v>
      </c>
      <c r="N3128" s="16" t="n">
        <v>0</v>
      </c>
      <c r="O3128" s="11" t="n">
        <v>284.2632801</v>
      </c>
      <c r="P3128" s="13">
        <f>N3128*86400</f>
        <v/>
      </c>
      <c r="Q3128" s="14">
        <f>O3128-273.15</f>
        <v/>
      </c>
    </row>
    <row r="3129">
      <c r="A3129" s="9" t="n">
        <v>40016</v>
      </c>
      <c r="B3129" s="7">
        <f>YEAR(A3129)</f>
        <v/>
      </c>
      <c r="C3129" s="7">
        <f>MONTH(A3129)</f>
        <v/>
      </c>
      <c r="D3129" s="10" t="n">
        <v>5.010704795</v>
      </c>
      <c r="E3129" s="11" t="n">
        <v>18.098008</v>
      </c>
      <c r="F3129" s="12" t="n">
        <v>0.0009829150021000001</v>
      </c>
      <c r="G3129" s="11" t="n">
        <v>293.1357392</v>
      </c>
      <c r="H3129" s="13">
        <f>F3129*1000</f>
        <v/>
      </c>
      <c r="I3129" s="14">
        <f>G3129-273.15</f>
        <v/>
      </c>
      <c r="K3129" s="15" t="n">
        <v>2009</v>
      </c>
      <c r="L3129" s="15" t="n">
        <v>9</v>
      </c>
      <c r="M3129" s="15" t="n">
        <v>5</v>
      </c>
      <c r="N3129" s="16" t="n">
        <v>0</v>
      </c>
      <c r="O3129" s="11" t="n">
        <v>286.0374981</v>
      </c>
      <c r="P3129" s="13">
        <f>N3129*86400</f>
        <v/>
      </c>
      <c r="Q3129" s="14">
        <f>O3129-273.15</f>
        <v/>
      </c>
    </row>
    <row r="3130">
      <c r="A3130" s="9" t="n">
        <v>40017</v>
      </c>
      <c r="B3130" s="7">
        <f>YEAR(A3130)</f>
        <v/>
      </c>
      <c r="C3130" s="7">
        <f>MONTH(A3130)</f>
        <v/>
      </c>
      <c r="D3130" s="10" t="n">
        <v>3.320312161</v>
      </c>
      <c r="E3130" s="11" t="n">
        <v>15.89669792</v>
      </c>
      <c r="F3130" s="12" t="n">
        <v>0.003167461036</v>
      </c>
      <c r="G3130" s="11" t="n">
        <v>291.2889754</v>
      </c>
      <c r="H3130" s="13">
        <f>F3130*1000</f>
        <v/>
      </c>
      <c r="I3130" s="14">
        <f>G3130-273.15</f>
        <v/>
      </c>
      <c r="K3130" s="15" t="n">
        <v>2009</v>
      </c>
      <c r="L3130" s="15" t="n">
        <v>9</v>
      </c>
      <c r="M3130" s="15" t="n">
        <v>6</v>
      </c>
      <c r="N3130" s="16" t="n">
        <v>0</v>
      </c>
      <c r="O3130" s="11" t="n">
        <v>288.7619956</v>
      </c>
      <c r="P3130" s="13">
        <f>N3130*86400</f>
        <v/>
      </c>
      <c r="Q3130" s="14">
        <f>O3130-273.15</f>
        <v/>
      </c>
    </row>
    <row r="3131">
      <c r="A3131" s="9" t="n">
        <v>40018</v>
      </c>
      <c r="B3131" s="7">
        <f>YEAR(A3131)</f>
        <v/>
      </c>
      <c r="C3131" s="7">
        <f>MONTH(A3131)</f>
        <v/>
      </c>
      <c r="D3131" s="10" t="n">
        <v>0.3636754996</v>
      </c>
      <c r="E3131" s="11" t="n">
        <v>15.89312311</v>
      </c>
      <c r="F3131" s="12" t="n">
        <v>0</v>
      </c>
      <c r="G3131" s="11" t="n">
        <v>291.3550323</v>
      </c>
      <c r="H3131" s="13">
        <f>F3131*1000</f>
        <v/>
      </c>
      <c r="I3131" s="14">
        <f>G3131-273.15</f>
        <v/>
      </c>
      <c r="K3131" s="15" t="n">
        <v>2009</v>
      </c>
      <c r="L3131" s="15" t="n">
        <v>9</v>
      </c>
      <c r="M3131" s="15" t="n">
        <v>7</v>
      </c>
      <c r="N3131" s="16" t="n">
        <v>1.013582188e-05</v>
      </c>
      <c r="O3131" s="11" t="n">
        <v>286.975921</v>
      </c>
      <c r="P3131" s="13">
        <f>N3131*86400</f>
        <v/>
      </c>
      <c r="Q3131" s="14">
        <f>O3131-273.15</f>
        <v/>
      </c>
    </row>
    <row r="3132">
      <c r="A3132" s="9" t="n">
        <v>40019</v>
      </c>
      <c r="B3132" s="7">
        <f>YEAR(A3132)</f>
        <v/>
      </c>
      <c r="C3132" s="7">
        <f>MONTH(A3132)</f>
        <v/>
      </c>
      <c r="D3132" s="10" t="n">
        <v>1.248071632</v>
      </c>
      <c r="E3132" s="11" t="n">
        <v>16.63206784</v>
      </c>
      <c r="F3132" s="12" t="n">
        <v>0.0006005802103</v>
      </c>
      <c r="G3132" s="11" t="n">
        <v>291.9361207</v>
      </c>
      <c r="H3132" s="13">
        <f>F3132*1000</f>
        <v/>
      </c>
      <c r="I3132" s="14">
        <f>G3132-273.15</f>
        <v/>
      </c>
      <c r="K3132" s="15" t="n">
        <v>2009</v>
      </c>
      <c r="L3132" s="15" t="n">
        <v>9</v>
      </c>
      <c r="M3132" s="15" t="n">
        <v>8</v>
      </c>
      <c r="N3132" s="16" t="n">
        <v>1.275286509e-05</v>
      </c>
      <c r="O3132" s="11" t="n">
        <v>286.2660743</v>
      </c>
      <c r="P3132" s="13">
        <f>N3132*86400</f>
        <v/>
      </c>
      <c r="Q3132" s="14">
        <f>O3132-273.15</f>
        <v/>
      </c>
    </row>
    <row r="3133">
      <c r="A3133" s="9" t="n">
        <v>40020</v>
      </c>
      <c r="B3133" s="7">
        <f>YEAR(A3133)</f>
        <v/>
      </c>
      <c r="C3133" s="7">
        <f>MONTH(A3133)</f>
        <v/>
      </c>
      <c r="D3133" s="10" t="n">
        <v>8.743445766000001</v>
      </c>
      <c r="E3133" s="11" t="n">
        <v>16.55057905</v>
      </c>
      <c r="F3133" s="12" t="n">
        <v>0.00633369373</v>
      </c>
      <c r="G3133" s="11" t="n">
        <v>291.137504</v>
      </c>
      <c r="H3133" s="13">
        <f>F3133*1000</f>
        <v/>
      </c>
      <c r="I3133" s="14">
        <f>G3133-273.15</f>
        <v/>
      </c>
      <c r="K3133" s="15" t="n">
        <v>2009</v>
      </c>
      <c r="L3133" s="15" t="n">
        <v>9</v>
      </c>
      <c r="M3133" s="15" t="n">
        <v>9</v>
      </c>
      <c r="N3133" s="16" t="n">
        <v>0</v>
      </c>
      <c r="O3133" s="11" t="n">
        <v>286.3217515</v>
      </c>
      <c r="P3133" s="13">
        <f>N3133*86400</f>
        <v/>
      </c>
      <c r="Q3133" s="14">
        <f>O3133-273.15</f>
        <v/>
      </c>
    </row>
    <row r="3134">
      <c r="A3134" s="9" t="n">
        <v>40021</v>
      </c>
      <c r="B3134" s="7">
        <f>YEAR(A3134)</f>
        <v/>
      </c>
      <c r="C3134" s="7">
        <f>MONTH(A3134)</f>
        <v/>
      </c>
      <c r="D3134" s="10" t="n">
        <v>1.572069468</v>
      </c>
      <c r="E3134" s="11" t="n">
        <v>15.34458668</v>
      </c>
      <c r="F3134" s="12" t="n">
        <v>0.006180229066</v>
      </c>
      <c r="G3134" s="11" t="n">
        <v>290.1309673</v>
      </c>
      <c r="H3134" s="13">
        <f>F3134*1000</f>
        <v/>
      </c>
      <c r="I3134" s="14">
        <f>G3134-273.15</f>
        <v/>
      </c>
      <c r="K3134" s="15" t="n">
        <v>2009</v>
      </c>
      <c r="L3134" s="15" t="n">
        <v>9</v>
      </c>
      <c r="M3134" s="15" t="n">
        <v>10</v>
      </c>
      <c r="N3134" s="16" t="n">
        <v>0</v>
      </c>
      <c r="O3134" s="11" t="n">
        <v>287.7702196</v>
      </c>
      <c r="P3134" s="13">
        <f>N3134*86400</f>
        <v/>
      </c>
      <c r="Q3134" s="14">
        <f>O3134-273.15</f>
        <v/>
      </c>
    </row>
    <row r="3135">
      <c r="A3135" s="9" t="n">
        <v>40022</v>
      </c>
      <c r="B3135" s="7">
        <f>YEAR(A3135)</f>
        <v/>
      </c>
      <c r="C3135" s="7">
        <f>MONTH(A3135)</f>
        <v/>
      </c>
      <c r="D3135" s="10" t="n">
        <v>2.495480542</v>
      </c>
      <c r="E3135" s="11" t="n">
        <v>16.30675796</v>
      </c>
      <c r="F3135" s="12" t="n">
        <v>0.002084303938</v>
      </c>
      <c r="G3135" s="11" t="n">
        <v>290.232186</v>
      </c>
      <c r="H3135" s="13">
        <f>F3135*1000</f>
        <v/>
      </c>
      <c r="I3135" s="14">
        <f>G3135-273.15</f>
        <v/>
      </c>
      <c r="K3135" s="15" t="n">
        <v>2009</v>
      </c>
      <c r="L3135" s="15" t="n">
        <v>9</v>
      </c>
      <c r="M3135" s="15" t="n">
        <v>11</v>
      </c>
      <c r="N3135" s="16" t="n">
        <v>4.649390963e-05</v>
      </c>
      <c r="O3135" s="11" t="n">
        <v>287.013158</v>
      </c>
      <c r="P3135" s="13">
        <f>N3135*86400</f>
        <v/>
      </c>
      <c r="Q3135" s="14">
        <f>O3135-273.15</f>
        <v/>
      </c>
    </row>
    <row r="3136">
      <c r="A3136" s="9" t="n">
        <v>40023</v>
      </c>
      <c r="B3136" s="7">
        <f>YEAR(A3136)</f>
        <v/>
      </c>
      <c r="C3136" s="7">
        <f>MONTH(A3136)</f>
        <v/>
      </c>
      <c r="D3136" s="10" t="n">
        <v>0</v>
      </c>
      <c r="E3136" s="11" t="n">
        <v>16.83913147</v>
      </c>
      <c r="F3136" s="12" t="n">
        <v>0</v>
      </c>
      <c r="G3136" s="11" t="n">
        <v>291.5938065</v>
      </c>
      <c r="H3136" s="13">
        <f>F3136*1000</f>
        <v/>
      </c>
      <c r="I3136" s="14">
        <f>G3136-273.15</f>
        <v/>
      </c>
      <c r="K3136" s="15" t="n">
        <v>2009</v>
      </c>
      <c r="L3136" s="15" t="n">
        <v>9</v>
      </c>
      <c r="M3136" s="15" t="n">
        <v>12</v>
      </c>
      <c r="N3136" s="16" t="n">
        <v>5.841087479e-05</v>
      </c>
      <c r="O3136" s="11" t="n">
        <v>285.8940408</v>
      </c>
      <c r="P3136" s="13">
        <f>N3136*86400</f>
        <v/>
      </c>
      <c r="Q3136" s="14">
        <f>O3136-273.15</f>
        <v/>
      </c>
    </row>
    <row r="3137">
      <c r="A3137" s="9" t="n">
        <v>40024</v>
      </c>
      <c r="B3137" s="7">
        <f>YEAR(A3137)</f>
        <v/>
      </c>
      <c r="C3137" s="7">
        <f>MONTH(A3137)</f>
        <v/>
      </c>
      <c r="D3137" s="10" t="n">
        <v>1.370223604</v>
      </c>
      <c r="E3137" s="11" t="n">
        <v>16.84678291</v>
      </c>
      <c r="F3137" s="12" t="n">
        <v>0.0005694514737</v>
      </c>
      <c r="G3137" s="11" t="n">
        <v>290.0988796</v>
      </c>
      <c r="H3137" s="13">
        <f>F3137*1000</f>
        <v/>
      </c>
      <c r="I3137" s="14">
        <f>G3137-273.15</f>
        <v/>
      </c>
      <c r="K3137" s="15" t="n">
        <v>2009</v>
      </c>
      <c r="L3137" s="15" t="n">
        <v>9</v>
      </c>
      <c r="M3137" s="15" t="n">
        <v>13</v>
      </c>
      <c r="N3137" s="16" t="n">
        <v>0.0001003223532</v>
      </c>
      <c r="O3137" s="11" t="n">
        <v>285.0407</v>
      </c>
      <c r="P3137" s="13">
        <f>N3137*86400</f>
        <v/>
      </c>
      <c r="Q3137" s="14">
        <f>O3137-273.15</f>
        <v/>
      </c>
    </row>
    <row r="3138">
      <c r="A3138" s="9" t="n">
        <v>40025</v>
      </c>
      <c r="B3138" s="7">
        <f>YEAR(A3138)</f>
        <v/>
      </c>
      <c r="C3138" s="7">
        <f>MONTH(A3138)</f>
        <v/>
      </c>
      <c r="D3138" s="10" t="n">
        <v>1.514531455</v>
      </c>
      <c r="E3138" s="11" t="n">
        <v>14.76412665</v>
      </c>
      <c r="F3138" s="12" t="n">
        <v>0.001191445392</v>
      </c>
      <c r="G3138" s="11" t="n">
        <v>289.2343292</v>
      </c>
      <c r="H3138" s="13">
        <f>F3138*1000</f>
        <v/>
      </c>
      <c r="I3138" s="14">
        <f>G3138-273.15</f>
        <v/>
      </c>
      <c r="K3138" s="15" t="n">
        <v>2009</v>
      </c>
      <c r="L3138" s="15" t="n">
        <v>9</v>
      </c>
      <c r="M3138" s="15" t="n">
        <v>14</v>
      </c>
      <c r="N3138" s="16" t="n">
        <v>1.512947965e-06</v>
      </c>
      <c r="O3138" s="11" t="n">
        <v>285.1515874</v>
      </c>
      <c r="P3138" s="13">
        <f>N3138*86400</f>
        <v/>
      </c>
      <c r="Q3138" s="14">
        <f>O3138-273.15</f>
        <v/>
      </c>
    </row>
    <row r="3139">
      <c r="A3139" s="9" t="n">
        <v>40026</v>
      </c>
      <c r="B3139" s="7">
        <f>YEAR(A3139)</f>
        <v/>
      </c>
      <c r="C3139" s="7">
        <f>MONTH(A3139)</f>
        <v/>
      </c>
      <c r="D3139" s="10" t="n">
        <v>4.442410689</v>
      </c>
      <c r="E3139" s="11" t="n">
        <v>17.28354982</v>
      </c>
      <c r="F3139" s="12" t="n">
        <v>0.003946208725</v>
      </c>
      <c r="G3139" s="11" t="n">
        <v>291.3696187</v>
      </c>
      <c r="H3139" s="13">
        <f>F3139*1000</f>
        <v/>
      </c>
      <c r="I3139" s="14">
        <f>G3139-273.15</f>
        <v/>
      </c>
      <c r="K3139" s="15" t="n">
        <v>2009</v>
      </c>
      <c r="L3139" s="15" t="n">
        <v>9</v>
      </c>
      <c r="M3139" s="15" t="n">
        <v>15</v>
      </c>
      <c r="N3139" s="16" t="n">
        <v>1.063932547e-05</v>
      </c>
      <c r="O3139" s="11" t="n">
        <v>287.4990829</v>
      </c>
      <c r="P3139" s="13">
        <f>N3139*86400</f>
        <v/>
      </c>
      <c r="Q3139" s="14">
        <f>O3139-273.15</f>
        <v/>
      </c>
    </row>
    <row r="3140">
      <c r="A3140" s="9" t="n">
        <v>40027</v>
      </c>
      <c r="B3140" s="7">
        <f>YEAR(A3140)</f>
        <v/>
      </c>
      <c r="C3140" s="7">
        <f>MONTH(A3140)</f>
        <v/>
      </c>
      <c r="D3140" s="10" t="n">
        <v>57.54532272</v>
      </c>
      <c r="E3140" s="11" t="n">
        <v>15.23343612</v>
      </c>
      <c r="F3140" s="12" t="n">
        <v>0.03410279126</v>
      </c>
      <c r="G3140" s="11" t="n">
        <v>289.9481989</v>
      </c>
      <c r="H3140" s="13">
        <f>F3140*1000</f>
        <v/>
      </c>
      <c r="I3140" s="14">
        <f>G3140-273.15</f>
        <v/>
      </c>
      <c r="K3140" s="15" t="n">
        <v>2009</v>
      </c>
      <c r="L3140" s="15" t="n">
        <v>9</v>
      </c>
      <c r="M3140" s="15" t="n">
        <v>16</v>
      </c>
      <c r="N3140" s="16" t="n">
        <v>4.29692361e-05</v>
      </c>
      <c r="O3140" s="11" t="n">
        <v>286.5674527</v>
      </c>
      <c r="P3140" s="13">
        <f>N3140*86400</f>
        <v/>
      </c>
      <c r="Q3140" s="14">
        <f>O3140-273.15</f>
        <v/>
      </c>
    </row>
    <row r="3141">
      <c r="A3141" s="9" t="n">
        <v>40028</v>
      </c>
      <c r="B3141" s="7">
        <f>YEAR(A3141)</f>
        <v/>
      </c>
      <c r="C3141" s="7">
        <f>MONTH(A3141)</f>
        <v/>
      </c>
      <c r="D3141" s="10" t="n">
        <v>21.98895699</v>
      </c>
      <c r="E3141" s="11" t="n">
        <v>13.10350868</v>
      </c>
      <c r="F3141" s="12" t="n">
        <v>0.01692748723</v>
      </c>
      <c r="G3141" s="11" t="n">
        <v>288.2911827</v>
      </c>
      <c r="H3141" s="13">
        <f>F3141*1000</f>
        <v/>
      </c>
      <c r="I3141" s="14">
        <f>G3141-273.15</f>
        <v/>
      </c>
      <c r="K3141" s="15" t="n">
        <v>2009</v>
      </c>
      <c r="L3141" s="15" t="n">
        <v>9</v>
      </c>
      <c r="M3141" s="15" t="n">
        <v>17</v>
      </c>
      <c r="N3141" s="16" t="n">
        <v>0.0001996918514</v>
      </c>
      <c r="O3141" s="11" t="n">
        <v>286.3900724</v>
      </c>
      <c r="P3141" s="13">
        <f>N3141*86400</f>
        <v/>
      </c>
      <c r="Q3141" s="14">
        <f>O3141-273.15</f>
        <v/>
      </c>
    </row>
    <row r="3142">
      <c r="A3142" s="9" t="n">
        <v>40029</v>
      </c>
      <c r="B3142" s="7">
        <f>YEAR(A3142)</f>
        <v/>
      </c>
      <c r="C3142" s="7">
        <f>MONTH(A3142)</f>
        <v/>
      </c>
      <c r="D3142" s="10" t="n">
        <v>14.35457949</v>
      </c>
      <c r="E3142" s="11" t="n">
        <v>12.59897667</v>
      </c>
      <c r="F3142" s="12" t="n">
        <v>0.01048660726</v>
      </c>
      <c r="G3142" s="11" t="n">
        <v>287.0190576</v>
      </c>
      <c r="H3142" s="13">
        <f>F3142*1000</f>
        <v/>
      </c>
      <c r="I3142" s="14">
        <f>G3142-273.15</f>
        <v/>
      </c>
      <c r="K3142" s="15" t="n">
        <v>2009</v>
      </c>
      <c r="L3142" s="15" t="n">
        <v>9</v>
      </c>
      <c r="M3142" s="15" t="n">
        <v>18</v>
      </c>
      <c r="N3142" s="16" t="n">
        <v>0.0001419580543</v>
      </c>
      <c r="O3142" s="11" t="n">
        <v>285.2334696</v>
      </c>
      <c r="P3142" s="13">
        <f>N3142*86400</f>
        <v/>
      </c>
      <c r="Q3142" s="14">
        <f>O3142-273.15</f>
        <v/>
      </c>
    </row>
    <row r="3143">
      <c r="A3143" s="9" t="n">
        <v>40030</v>
      </c>
      <c r="B3143" s="7">
        <f>YEAR(A3143)</f>
        <v/>
      </c>
      <c r="C3143" s="7">
        <f>MONTH(A3143)</f>
        <v/>
      </c>
      <c r="D3143" s="10" t="n">
        <v>24.84982754</v>
      </c>
      <c r="E3143" s="11" t="n">
        <v>14.88047737</v>
      </c>
      <c r="F3143" s="12" t="n">
        <v>0.006112039602</v>
      </c>
      <c r="G3143" s="11" t="n">
        <v>289.3573802</v>
      </c>
      <c r="H3143" s="13">
        <f>F3143*1000</f>
        <v/>
      </c>
      <c r="I3143" s="14">
        <f>G3143-273.15</f>
        <v/>
      </c>
      <c r="K3143" s="15" t="n">
        <v>2009</v>
      </c>
      <c r="L3143" s="15" t="n">
        <v>9</v>
      </c>
      <c r="M3143" s="15" t="n">
        <v>19</v>
      </c>
      <c r="N3143" s="16" t="n">
        <v>1.481566536e-05</v>
      </c>
      <c r="O3143" s="11" t="n">
        <v>286.2492834</v>
      </c>
      <c r="P3143" s="13">
        <f>N3143*86400</f>
        <v/>
      </c>
      <c r="Q3143" s="14">
        <f>O3143-273.15</f>
        <v/>
      </c>
    </row>
    <row r="3144">
      <c r="A3144" s="9" t="n">
        <v>40031</v>
      </c>
      <c r="B3144" s="7">
        <f>YEAR(A3144)</f>
        <v/>
      </c>
      <c r="C3144" s="7">
        <f>MONTH(A3144)</f>
        <v/>
      </c>
      <c r="D3144" s="10" t="n">
        <v>7.200825288</v>
      </c>
      <c r="E3144" s="11" t="n">
        <v>14.41829013</v>
      </c>
      <c r="F3144" s="12" t="n">
        <v>0.01045017317</v>
      </c>
      <c r="G3144" s="11" t="n">
        <v>289.1473509</v>
      </c>
      <c r="H3144" s="13">
        <f>F3144*1000</f>
        <v/>
      </c>
      <c r="I3144" s="14">
        <f>G3144-273.15</f>
        <v/>
      </c>
      <c r="K3144" s="15" t="n">
        <v>2009</v>
      </c>
      <c r="L3144" s="15" t="n">
        <v>9</v>
      </c>
      <c r="M3144" s="15" t="n">
        <v>20</v>
      </c>
      <c r="N3144" s="16" t="n">
        <v>5.140843906e-05</v>
      </c>
      <c r="O3144" s="11" t="n">
        <v>285.6113762</v>
      </c>
      <c r="P3144" s="13">
        <f>N3144*86400</f>
        <v/>
      </c>
      <c r="Q3144" s="14">
        <f>O3144-273.15</f>
        <v/>
      </c>
    </row>
    <row r="3145">
      <c r="A3145" s="9" t="n">
        <v>40032</v>
      </c>
      <c r="B3145" s="7">
        <f>YEAR(A3145)</f>
        <v/>
      </c>
      <c r="C3145" s="7">
        <f>MONTH(A3145)</f>
        <v/>
      </c>
      <c r="D3145" s="10" t="n">
        <v>4.082437871</v>
      </c>
      <c r="E3145" s="11" t="n">
        <v>14.45171722</v>
      </c>
      <c r="F3145" s="12" t="n">
        <v>0.01283718707</v>
      </c>
      <c r="G3145" s="11" t="n">
        <v>289.4069872</v>
      </c>
      <c r="H3145" s="13">
        <f>F3145*1000</f>
        <v/>
      </c>
      <c r="I3145" s="14">
        <f>G3145-273.15</f>
        <v/>
      </c>
      <c r="K3145" s="15" t="n">
        <v>2009</v>
      </c>
      <c r="L3145" s="15" t="n">
        <v>9</v>
      </c>
      <c r="M3145" s="15" t="n">
        <v>21</v>
      </c>
      <c r="N3145" s="16" t="n">
        <v>2.526705722e-05</v>
      </c>
      <c r="O3145" s="11" t="n">
        <v>284.8990171</v>
      </c>
      <c r="P3145" s="13">
        <f>N3145*86400</f>
        <v/>
      </c>
      <c r="Q3145" s="14">
        <f>O3145-273.15</f>
        <v/>
      </c>
    </row>
    <row r="3146">
      <c r="A3146" s="9" t="n">
        <v>40033</v>
      </c>
      <c r="B3146" s="7">
        <f>YEAR(A3146)</f>
        <v/>
      </c>
      <c r="C3146" s="7">
        <f>MONTH(A3146)</f>
        <v/>
      </c>
      <c r="D3146" s="10" t="n">
        <v>21.80675286</v>
      </c>
      <c r="E3146" s="11" t="n">
        <v>14.35708845</v>
      </c>
      <c r="F3146" s="12" t="n">
        <v>0.01228049993</v>
      </c>
      <c r="G3146" s="11" t="n">
        <v>289.0188026</v>
      </c>
      <c r="H3146" s="13">
        <f>F3146*1000</f>
        <v/>
      </c>
      <c r="I3146" s="14">
        <f>G3146-273.15</f>
        <v/>
      </c>
      <c r="K3146" s="15" t="n">
        <v>2009</v>
      </c>
      <c r="L3146" s="15" t="n">
        <v>9</v>
      </c>
      <c r="M3146" s="15" t="n">
        <v>22</v>
      </c>
      <c r="N3146" s="16" t="n">
        <v>9.400740587e-06</v>
      </c>
      <c r="O3146" s="11" t="n">
        <v>283.2112009</v>
      </c>
      <c r="P3146" s="13">
        <f>N3146*86400</f>
        <v/>
      </c>
      <c r="Q3146" s="14">
        <f>O3146-273.15</f>
        <v/>
      </c>
    </row>
    <row r="3147">
      <c r="A3147" s="9" t="n">
        <v>40034</v>
      </c>
      <c r="B3147" s="7">
        <f>YEAR(A3147)</f>
        <v/>
      </c>
      <c r="C3147" s="7">
        <f>MONTH(A3147)</f>
        <v/>
      </c>
      <c r="D3147" s="10" t="n">
        <v>1.918483351</v>
      </c>
      <c r="E3147" s="11" t="n">
        <v>15.20741874</v>
      </c>
      <c r="F3147" s="12" t="n">
        <v>0.001970425611</v>
      </c>
      <c r="G3147" s="11" t="n">
        <v>290.3500376</v>
      </c>
      <c r="H3147" s="13">
        <f>F3147*1000</f>
        <v/>
      </c>
      <c r="I3147" s="14">
        <f>G3147-273.15</f>
        <v/>
      </c>
      <c r="K3147" s="15" t="n">
        <v>2009</v>
      </c>
      <c r="L3147" s="15" t="n">
        <v>9</v>
      </c>
      <c r="M3147" s="15" t="n">
        <v>23</v>
      </c>
      <c r="N3147" s="16" t="n">
        <v>0.0001080238588</v>
      </c>
      <c r="O3147" s="11" t="n">
        <v>283.2562251</v>
      </c>
      <c r="P3147" s="13">
        <f>N3147*86400</f>
        <v/>
      </c>
      <c r="Q3147" s="14">
        <f>O3147-273.15</f>
        <v/>
      </c>
    </row>
    <row r="3148">
      <c r="A3148" s="9" t="n">
        <v>40035</v>
      </c>
      <c r="B3148" s="7">
        <f>YEAR(A3148)</f>
        <v/>
      </c>
      <c r="C3148" s="7">
        <f>MONTH(A3148)</f>
        <v/>
      </c>
      <c r="D3148" s="10" t="n">
        <v>0</v>
      </c>
      <c r="E3148" s="11" t="n">
        <v>15.55259439</v>
      </c>
      <c r="F3148" s="12" t="n">
        <v>0.0005334006827</v>
      </c>
      <c r="G3148" s="11" t="n">
        <v>290.8066539</v>
      </c>
      <c r="H3148" s="13">
        <f>F3148*1000</f>
        <v/>
      </c>
      <c r="I3148" s="14">
        <f>G3148-273.15</f>
        <v/>
      </c>
      <c r="K3148" s="15" t="n">
        <v>2009</v>
      </c>
      <c r="L3148" s="15" t="n">
        <v>9</v>
      </c>
      <c r="M3148" s="15" t="n">
        <v>24</v>
      </c>
      <c r="N3148" s="16" t="n">
        <v>9.746359736000001e-05</v>
      </c>
      <c r="O3148" s="11" t="n">
        <v>283.7382589</v>
      </c>
      <c r="P3148" s="13">
        <f>N3148*86400</f>
        <v/>
      </c>
      <c r="Q3148" s="14">
        <f>O3148-273.15</f>
        <v/>
      </c>
    </row>
    <row r="3149">
      <c r="A3149" s="9" t="n">
        <v>40036</v>
      </c>
      <c r="B3149" s="7">
        <f>YEAR(A3149)</f>
        <v/>
      </c>
      <c r="C3149" s="7">
        <f>MONTH(A3149)</f>
        <v/>
      </c>
      <c r="D3149" s="10" t="n">
        <v>0.907775034</v>
      </c>
      <c r="E3149" s="11" t="n">
        <v>15.13780717</v>
      </c>
      <c r="F3149" s="12" t="n">
        <v>0.0008692954314</v>
      </c>
      <c r="G3149" s="11" t="n">
        <v>289.4361683</v>
      </c>
      <c r="H3149" s="13">
        <f>F3149*1000</f>
        <v/>
      </c>
      <c r="I3149" s="14">
        <f>G3149-273.15</f>
        <v/>
      </c>
      <c r="K3149" s="15" t="n">
        <v>2009</v>
      </c>
      <c r="L3149" s="15" t="n">
        <v>9</v>
      </c>
      <c r="M3149" s="15" t="n">
        <v>25</v>
      </c>
      <c r="N3149" s="16" t="n">
        <v>5.749842627e-05</v>
      </c>
      <c r="O3149" s="11" t="n">
        <v>284.8152613</v>
      </c>
      <c r="P3149" s="13">
        <f>N3149*86400</f>
        <v/>
      </c>
      <c r="Q3149" s="14">
        <f>O3149-273.15</f>
        <v/>
      </c>
    </row>
    <row r="3150">
      <c r="A3150" s="9" t="n">
        <v>40037</v>
      </c>
      <c r="B3150" s="7">
        <f>YEAR(A3150)</f>
        <v/>
      </c>
      <c r="C3150" s="7">
        <f>MONTH(A3150)</f>
        <v/>
      </c>
      <c r="D3150" s="10" t="n">
        <v>21.44139364</v>
      </c>
      <c r="E3150" s="11" t="n">
        <v>14.27652429</v>
      </c>
      <c r="F3150" s="12" t="n">
        <v>0.01586996536</v>
      </c>
      <c r="G3150" s="11" t="n">
        <v>289.152641</v>
      </c>
      <c r="H3150" s="13">
        <f>F3150*1000</f>
        <v/>
      </c>
      <c r="I3150" s="14">
        <f>G3150-273.15</f>
        <v/>
      </c>
      <c r="K3150" s="15" t="n">
        <v>2009</v>
      </c>
      <c r="L3150" s="15" t="n">
        <v>9</v>
      </c>
      <c r="M3150" s="15" t="n">
        <v>26</v>
      </c>
      <c r="N3150" s="16" t="n">
        <v>3.706618319e-05</v>
      </c>
      <c r="O3150" s="11" t="n">
        <v>285.2086722</v>
      </c>
      <c r="P3150" s="13">
        <f>N3150*86400</f>
        <v/>
      </c>
      <c r="Q3150" s="14">
        <f>O3150-273.15</f>
        <v/>
      </c>
    </row>
    <row r="3151">
      <c r="A3151" s="9" t="n">
        <v>40038</v>
      </c>
      <c r="B3151" s="7">
        <f>YEAR(A3151)</f>
        <v/>
      </c>
      <c r="C3151" s="7">
        <f>MONTH(A3151)</f>
        <v/>
      </c>
      <c r="D3151" s="10" t="n">
        <v>17.65255149</v>
      </c>
      <c r="E3151" s="11" t="n">
        <v>12.67895207</v>
      </c>
      <c r="F3151" s="12" t="n">
        <v>0.02438273408</v>
      </c>
      <c r="G3151" s="11" t="n">
        <v>287.9514082</v>
      </c>
      <c r="H3151" s="13">
        <f>F3151*1000</f>
        <v/>
      </c>
      <c r="I3151" s="14">
        <f>G3151-273.15</f>
        <v/>
      </c>
      <c r="K3151" s="15" t="n">
        <v>2009</v>
      </c>
      <c r="L3151" s="15" t="n">
        <v>9</v>
      </c>
      <c r="M3151" s="15" t="n">
        <v>27</v>
      </c>
      <c r="N3151" s="16" t="n">
        <v>1.460073002e-05</v>
      </c>
      <c r="O3151" s="11" t="n">
        <v>283.7573882</v>
      </c>
      <c r="P3151" s="13">
        <f>N3151*86400</f>
        <v/>
      </c>
      <c r="Q3151" s="14">
        <f>O3151-273.15</f>
        <v/>
      </c>
    </row>
    <row r="3152">
      <c r="A3152" s="9" t="n">
        <v>40039</v>
      </c>
      <c r="B3152" s="7">
        <f>YEAR(A3152)</f>
        <v/>
      </c>
      <c r="C3152" s="7">
        <f>MONTH(A3152)</f>
        <v/>
      </c>
      <c r="D3152" s="10" t="n">
        <v>0</v>
      </c>
      <c r="E3152" s="11" t="n">
        <v>13.24371568</v>
      </c>
      <c r="F3152" s="12" t="n">
        <v>0.002786791689</v>
      </c>
      <c r="G3152" s="11" t="n">
        <v>288.8307202</v>
      </c>
      <c r="H3152" s="13">
        <f>F3152*1000</f>
        <v/>
      </c>
      <c r="I3152" s="14">
        <f>G3152-273.15</f>
        <v/>
      </c>
      <c r="K3152" s="15" t="n">
        <v>2009</v>
      </c>
      <c r="L3152" s="15" t="n">
        <v>9</v>
      </c>
      <c r="M3152" s="15" t="n">
        <v>28</v>
      </c>
      <c r="N3152" s="16" t="n">
        <v>0</v>
      </c>
      <c r="O3152" s="11" t="n">
        <v>282.4520207</v>
      </c>
      <c r="P3152" s="13">
        <f>N3152*86400</f>
        <v/>
      </c>
      <c r="Q3152" s="14">
        <f>O3152-273.15</f>
        <v/>
      </c>
    </row>
    <row r="3153">
      <c r="A3153" s="9" t="n">
        <v>40040</v>
      </c>
      <c r="B3153" s="7">
        <f>YEAR(A3153)</f>
        <v/>
      </c>
      <c r="C3153" s="7">
        <f>MONTH(A3153)</f>
        <v/>
      </c>
      <c r="D3153" s="10" t="n">
        <v>4.904638971</v>
      </c>
      <c r="E3153" s="11" t="n">
        <v>14.1665581</v>
      </c>
      <c r="F3153" s="12" t="n">
        <v>0.003880704537</v>
      </c>
      <c r="G3153" s="11" t="n">
        <v>288.8599814</v>
      </c>
      <c r="H3153" s="13">
        <f>F3153*1000</f>
        <v/>
      </c>
      <c r="I3153" s="14">
        <f>G3153-273.15</f>
        <v/>
      </c>
      <c r="K3153" s="15" t="n">
        <v>2009</v>
      </c>
      <c r="L3153" s="15" t="n">
        <v>9</v>
      </c>
      <c r="M3153" s="15" t="n">
        <v>29</v>
      </c>
      <c r="N3153" s="16" t="n">
        <v>0</v>
      </c>
      <c r="O3153" s="11" t="n">
        <v>282.5118497</v>
      </c>
      <c r="P3153" s="13">
        <f>N3153*86400</f>
        <v/>
      </c>
      <c r="Q3153" s="14">
        <f>O3153-273.15</f>
        <v/>
      </c>
    </row>
    <row r="3154">
      <c r="A3154" s="9" t="n">
        <v>40041</v>
      </c>
      <c r="B3154" s="7">
        <f>YEAR(A3154)</f>
        <v/>
      </c>
      <c r="C3154" s="7">
        <f>MONTH(A3154)</f>
        <v/>
      </c>
      <c r="D3154" s="10" t="n">
        <v>3.364949403</v>
      </c>
      <c r="E3154" s="11" t="n">
        <v>13.10862231</v>
      </c>
      <c r="F3154" s="12" t="n">
        <v>0.007983603859</v>
      </c>
      <c r="G3154" s="11" t="n">
        <v>287.36095</v>
      </c>
      <c r="H3154" s="13">
        <f>F3154*1000</f>
        <v/>
      </c>
      <c r="I3154" s="14">
        <f>G3154-273.15</f>
        <v/>
      </c>
      <c r="K3154" s="15" t="n">
        <v>2009</v>
      </c>
      <c r="L3154" s="15" t="n">
        <v>9</v>
      </c>
      <c r="M3154" s="15" t="n">
        <v>30</v>
      </c>
      <c r="N3154" s="16" t="n">
        <v>1.620361384e-05</v>
      </c>
      <c r="O3154" s="11" t="n">
        <v>282.9781821</v>
      </c>
      <c r="P3154" s="13">
        <f>N3154*86400</f>
        <v/>
      </c>
      <c r="Q3154" s="14">
        <f>O3154-273.15</f>
        <v/>
      </c>
    </row>
    <row r="3155">
      <c r="A3155" s="9" t="n">
        <v>40042</v>
      </c>
      <c r="B3155" s="7">
        <f>YEAR(A3155)</f>
        <v/>
      </c>
      <c r="C3155" s="7">
        <f>MONTH(A3155)</f>
        <v/>
      </c>
      <c r="D3155" s="10" t="n">
        <v>1.747745956</v>
      </c>
      <c r="E3155" s="11" t="n">
        <v>11.58234813</v>
      </c>
      <c r="F3155" s="12" t="n">
        <v>0.01017628136</v>
      </c>
      <c r="G3155" s="11" t="n">
        <v>287.2029317</v>
      </c>
      <c r="H3155" s="13">
        <f>F3155*1000</f>
        <v/>
      </c>
      <c r="I3155" s="14">
        <f>G3155-273.15</f>
        <v/>
      </c>
      <c r="K3155" s="15" t="n">
        <v>2009</v>
      </c>
      <c r="L3155" s="15" t="n">
        <v>10</v>
      </c>
      <c r="M3155" s="15" t="n">
        <v>1</v>
      </c>
      <c r="N3155" s="16" t="n">
        <v>0</v>
      </c>
      <c r="O3155" s="11" t="n">
        <v>282.8479072</v>
      </c>
      <c r="P3155" s="13">
        <f>N3155*86400</f>
        <v/>
      </c>
      <c r="Q3155" s="14">
        <f>O3155-273.15</f>
        <v/>
      </c>
    </row>
    <row r="3156">
      <c r="A3156" s="9" t="n">
        <v>40043</v>
      </c>
      <c r="B3156" s="7">
        <f>YEAR(A3156)</f>
        <v/>
      </c>
      <c r="C3156" s="7">
        <f>MONTH(A3156)</f>
        <v/>
      </c>
      <c r="D3156" s="10" t="n">
        <v>21.50749037</v>
      </c>
      <c r="E3156" s="11" t="n">
        <v>13.45751439</v>
      </c>
      <c r="F3156" s="12" t="n">
        <v>0.008421765625000001</v>
      </c>
      <c r="G3156" s="11" t="n">
        <v>288.6658619</v>
      </c>
      <c r="H3156" s="13">
        <f>F3156*1000</f>
        <v/>
      </c>
      <c r="I3156" s="14">
        <f>G3156-273.15</f>
        <v/>
      </c>
      <c r="K3156" s="15" t="n">
        <v>2009</v>
      </c>
      <c r="L3156" s="15" t="n">
        <v>10</v>
      </c>
      <c r="M3156" s="15" t="n">
        <v>2</v>
      </c>
      <c r="N3156" s="16" t="n">
        <v>3.251689391e-07</v>
      </c>
      <c r="O3156" s="11" t="n">
        <v>283.3817978</v>
      </c>
      <c r="P3156" s="13">
        <f>N3156*86400</f>
        <v/>
      </c>
      <c r="Q3156" s="14">
        <f>O3156-273.15</f>
        <v/>
      </c>
    </row>
    <row r="3157">
      <c r="A3157" s="9" t="n">
        <v>40044</v>
      </c>
      <c r="B3157" s="7">
        <f>YEAR(A3157)</f>
        <v/>
      </c>
      <c r="C3157" s="7">
        <f>MONTH(A3157)</f>
        <v/>
      </c>
      <c r="D3157" s="10" t="n">
        <v>0</v>
      </c>
      <c r="E3157" s="11" t="n">
        <v>12.79820213</v>
      </c>
      <c r="F3157" s="12" t="n">
        <v>0</v>
      </c>
      <c r="G3157" s="11" t="n">
        <v>288.4352335</v>
      </c>
      <c r="H3157" s="13">
        <f>F3157*1000</f>
        <v/>
      </c>
      <c r="I3157" s="14">
        <f>G3157-273.15</f>
        <v/>
      </c>
      <c r="K3157" s="15" t="n">
        <v>2009</v>
      </c>
      <c r="L3157" s="15" t="n">
        <v>10</v>
      </c>
      <c r="M3157" s="15" t="n">
        <v>3</v>
      </c>
      <c r="N3157" s="16" t="n">
        <v>0</v>
      </c>
      <c r="O3157" s="11" t="n">
        <v>283.8768153</v>
      </c>
      <c r="P3157" s="13">
        <f>N3157*86400</f>
        <v/>
      </c>
      <c r="Q3157" s="14">
        <f>O3157-273.15</f>
        <v/>
      </c>
    </row>
    <row r="3158">
      <c r="A3158" s="9" t="n">
        <v>40045</v>
      </c>
      <c r="B3158" s="7">
        <f>YEAR(A3158)</f>
        <v/>
      </c>
      <c r="C3158" s="7">
        <f>MONTH(A3158)</f>
        <v/>
      </c>
      <c r="D3158" s="10" t="n">
        <v>0</v>
      </c>
      <c r="E3158" s="11" t="n">
        <v>14.59326419</v>
      </c>
      <c r="F3158" s="12" t="n">
        <v>0</v>
      </c>
      <c r="G3158" s="11" t="n">
        <v>290.6318364</v>
      </c>
      <c r="H3158" s="13">
        <f>F3158*1000</f>
        <v/>
      </c>
      <c r="I3158" s="14">
        <f>G3158-273.15</f>
        <v/>
      </c>
      <c r="K3158" s="15" t="n">
        <v>2009</v>
      </c>
      <c r="L3158" s="15" t="n">
        <v>10</v>
      </c>
      <c r="M3158" s="15" t="n">
        <v>4</v>
      </c>
      <c r="N3158" s="16" t="n">
        <v>0</v>
      </c>
      <c r="O3158" s="11" t="n">
        <v>283.1206244</v>
      </c>
      <c r="P3158" s="13">
        <f>N3158*86400</f>
        <v/>
      </c>
      <c r="Q3158" s="14">
        <f>O3158-273.15</f>
        <v/>
      </c>
    </row>
    <row r="3159">
      <c r="A3159" s="9" t="n">
        <v>40046</v>
      </c>
      <c r="B3159" s="7">
        <f>YEAR(A3159)</f>
        <v/>
      </c>
      <c r="C3159" s="7">
        <f>MONTH(A3159)</f>
        <v/>
      </c>
      <c r="D3159" s="10" t="n">
        <v>0</v>
      </c>
      <c r="E3159" s="11" t="n">
        <v>15.18144748</v>
      </c>
      <c r="F3159" s="12" t="n">
        <v>0</v>
      </c>
      <c r="G3159" s="11" t="n">
        <v>289.8215704</v>
      </c>
      <c r="H3159" s="13">
        <f>F3159*1000</f>
        <v/>
      </c>
      <c r="I3159" s="14">
        <f>G3159-273.15</f>
        <v/>
      </c>
      <c r="K3159" s="15" t="n">
        <v>2009</v>
      </c>
      <c r="L3159" s="15" t="n">
        <v>10</v>
      </c>
      <c r="M3159" s="15" t="n">
        <v>5</v>
      </c>
      <c r="N3159" s="16" t="n">
        <v>0</v>
      </c>
      <c r="O3159" s="11" t="n">
        <v>282.7533868</v>
      </c>
      <c r="P3159" s="13">
        <f>N3159*86400</f>
        <v/>
      </c>
      <c r="Q3159" s="14">
        <f>O3159-273.15</f>
        <v/>
      </c>
    </row>
    <row r="3160">
      <c r="A3160" s="9" t="n">
        <v>40047</v>
      </c>
      <c r="B3160" s="7">
        <f>YEAR(A3160)</f>
        <v/>
      </c>
      <c r="C3160" s="7">
        <f>MONTH(A3160)</f>
        <v/>
      </c>
      <c r="D3160" s="10" t="n">
        <v>1.464011154</v>
      </c>
      <c r="E3160" s="11" t="n">
        <v>14.81085208</v>
      </c>
      <c r="F3160" s="12" t="n">
        <v>0.0001453558205</v>
      </c>
      <c r="G3160" s="11" t="n">
        <v>290.5572969</v>
      </c>
      <c r="H3160" s="13">
        <f>F3160*1000</f>
        <v/>
      </c>
      <c r="I3160" s="14">
        <f>G3160-273.15</f>
        <v/>
      </c>
      <c r="K3160" s="15" t="n">
        <v>2009</v>
      </c>
      <c r="L3160" s="15" t="n">
        <v>10</v>
      </c>
      <c r="M3160" s="15" t="n">
        <v>6</v>
      </c>
      <c r="N3160" s="16" t="n">
        <v>8.481346423000001e-06</v>
      </c>
      <c r="O3160" s="11" t="n">
        <v>283.5990456</v>
      </c>
      <c r="P3160" s="13">
        <f>N3160*86400</f>
        <v/>
      </c>
      <c r="Q3160" s="14">
        <f>O3160-273.15</f>
        <v/>
      </c>
    </row>
    <row r="3161">
      <c r="A3161" s="9" t="n">
        <v>40048</v>
      </c>
      <c r="B3161" s="7">
        <f>YEAR(A3161)</f>
        <v/>
      </c>
      <c r="C3161" s="7">
        <f>MONTH(A3161)</f>
        <v/>
      </c>
      <c r="D3161" s="10" t="n">
        <v>0</v>
      </c>
      <c r="E3161" s="11" t="n">
        <v>14.7320614</v>
      </c>
      <c r="F3161" s="12" t="n">
        <v>0</v>
      </c>
      <c r="G3161" s="11" t="n">
        <v>290.994264</v>
      </c>
      <c r="H3161" s="13">
        <f>F3161*1000</f>
        <v/>
      </c>
      <c r="I3161" s="14">
        <f>G3161-273.15</f>
        <v/>
      </c>
      <c r="K3161" s="15" t="n">
        <v>2009</v>
      </c>
      <c r="L3161" s="15" t="n">
        <v>10</v>
      </c>
      <c r="M3161" s="15" t="n">
        <v>7</v>
      </c>
      <c r="N3161" s="16" t="n">
        <v>0</v>
      </c>
      <c r="O3161" s="11" t="n">
        <v>284.1288498</v>
      </c>
      <c r="P3161" s="13">
        <f>N3161*86400</f>
        <v/>
      </c>
      <c r="Q3161" s="14">
        <f>O3161-273.15</f>
        <v/>
      </c>
    </row>
    <row r="3162">
      <c r="A3162" s="9" t="n">
        <v>40049</v>
      </c>
      <c r="B3162" s="7">
        <f>YEAR(A3162)</f>
        <v/>
      </c>
      <c r="C3162" s="7">
        <f>MONTH(A3162)</f>
        <v/>
      </c>
      <c r="D3162" s="10" t="n">
        <v>0</v>
      </c>
      <c r="E3162" s="11" t="n">
        <v>11.78601275</v>
      </c>
      <c r="F3162" s="12" t="n">
        <v>0.0002832369266</v>
      </c>
      <c r="G3162" s="11" t="n">
        <v>289.8681989</v>
      </c>
      <c r="H3162" s="13">
        <f>F3162*1000</f>
        <v/>
      </c>
      <c r="I3162" s="14">
        <f>G3162-273.15</f>
        <v/>
      </c>
      <c r="K3162" s="15" t="n">
        <v>2009</v>
      </c>
      <c r="L3162" s="15" t="n">
        <v>10</v>
      </c>
      <c r="M3162" s="15" t="n">
        <v>8</v>
      </c>
      <c r="N3162" s="16" t="n">
        <v>3.189953253e-06</v>
      </c>
      <c r="O3162" s="11" t="n">
        <v>285.2779695</v>
      </c>
      <c r="P3162" s="13">
        <f>N3162*86400</f>
        <v/>
      </c>
      <c r="Q3162" s="14">
        <f>O3162-273.15</f>
        <v/>
      </c>
    </row>
    <row r="3163">
      <c r="A3163" s="9" t="n">
        <v>40050</v>
      </c>
      <c r="B3163" s="7">
        <f>YEAR(A3163)</f>
        <v/>
      </c>
      <c r="C3163" s="7">
        <f>MONTH(A3163)</f>
        <v/>
      </c>
      <c r="D3163" s="10" t="n">
        <v>6.477763038</v>
      </c>
      <c r="E3163" s="11" t="n">
        <v>11.16790386</v>
      </c>
      <c r="F3163" s="12" t="n">
        <v>0.004031488451</v>
      </c>
      <c r="G3163" s="11" t="n">
        <v>288.3799102</v>
      </c>
      <c r="H3163" s="13">
        <f>F3163*1000</f>
        <v/>
      </c>
      <c r="I3163" s="14">
        <f>G3163-273.15</f>
        <v/>
      </c>
      <c r="K3163" s="15" t="n">
        <v>2009</v>
      </c>
      <c r="L3163" s="15" t="n">
        <v>10</v>
      </c>
      <c r="M3163" s="15" t="n">
        <v>9</v>
      </c>
      <c r="N3163" s="16" t="n">
        <v>2.64612246e-05</v>
      </c>
      <c r="O3163" s="11" t="n">
        <v>285.4500693</v>
      </c>
      <c r="P3163" s="13">
        <f>N3163*86400</f>
        <v/>
      </c>
      <c r="Q3163" s="14">
        <f>O3163-273.15</f>
        <v/>
      </c>
    </row>
    <row r="3164">
      <c r="A3164" s="9" t="n">
        <v>40051</v>
      </c>
      <c r="B3164" s="7">
        <f>YEAR(A3164)</f>
        <v/>
      </c>
      <c r="C3164" s="7">
        <f>MONTH(A3164)</f>
        <v/>
      </c>
      <c r="D3164" s="10" t="n">
        <v>0</v>
      </c>
      <c r="E3164" s="11" t="n">
        <v>12.77121416</v>
      </c>
      <c r="F3164" s="12" t="n">
        <v>0</v>
      </c>
      <c r="G3164" s="11" t="n">
        <v>288.4789656</v>
      </c>
      <c r="H3164" s="13">
        <f>F3164*1000</f>
        <v/>
      </c>
      <c r="I3164" s="14">
        <f>G3164-273.15</f>
        <v/>
      </c>
      <c r="K3164" s="15" t="n">
        <v>2009</v>
      </c>
      <c r="L3164" s="15" t="n">
        <v>10</v>
      </c>
      <c r="M3164" s="15" t="n">
        <v>10</v>
      </c>
      <c r="N3164" s="16" t="n">
        <v>7.001776536e-06</v>
      </c>
      <c r="O3164" s="11" t="n">
        <v>286.5546554</v>
      </c>
      <c r="P3164" s="13">
        <f>N3164*86400</f>
        <v/>
      </c>
      <c r="Q3164" s="14">
        <f>O3164-273.15</f>
        <v/>
      </c>
    </row>
    <row r="3165">
      <c r="A3165" s="9" t="n">
        <v>40052</v>
      </c>
      <c r="B3165" s="7">
        <f>YEAR(A3165)</f>
        <v/>
      </c>
      <c r="C3165" s="7">
        <f>MONTH(A3165)</f>
        <v/>
      </c>
      <c r="D3165" s="10" t="n">
        <v>0.1087151565</v>
      </c>
      <c r="E3165" s="11" t="n">
        <v>15.17444093</v>
      </c>
      <c r="F3165" s="12" t="n">
        <v>0</v>
      </c>
      <c r="G3165" s="11" t="n">
        <v>290.3384447</v>
      </c>
      <c r="H3165" s="13">
        <f>F3165*1000</f>
        <v/>
      </c>
      <c r="I3165" s="14">
        <f>G3165-273.15</f>
        <v/>
      </c>
      <c r="K3165" s="15" t="n">
        <v>2009</v>
      </c>
      <c r="L3165" s="15" t="n">
        <v>10</v>
      </c>
      <c r="M3165" s="15" t="n">
        <v>11</v>
      </c>
      <c r="N3165" s="16" t="n">
        <v>9.796876866999999e-06</v>
      </c>
      <c r="O3165" s="11" t="n">
        <v>285.8022269</v>
      </c>
      <c r="P3165" s="13">
        <f>N3165*86400</f>
        <v/>
      </c>
      <c r="Q3165" s="14">
        <f>O3165-273.15</f>
        <v/>
      </c>
    </row>
    <row r="3166">
      <c r="A3166" s="9" t="n">
        <v>40053</v>
      </c>
      <c r="B3166" s="7">
        <f>YEAR(A3166)</f>
        <v/>
      </c>
      <c r="C3166" s="7">
        <f>MONTH(A3166)</f>
        <v/>
      </c>
      <c r="D3166" s="10" t="n">
        <v>0</v>
      </c>
      <c r="E3166" s="11" t="n">
        <v>15.01272021</v>
      </c>
      <c r="F3166" s="12" t="n">
        <v>0</v>
      </c>
      <c r="G3166" s="11" t="n">
        <v>289.9130484</v>
      </c>
      <c r="H3166" s="13">
        <f>F3166*1000</f>
        <v/>
      </c>
      <c r="I3166" s="14">
        <f>G3166-273.15</f>
        <v/>
      </c>
      <c r="K3166" s="15" t="n">
        <v>2009</v>
      </c>
      <c r="L3166" s="15" t="n">
        <v>10</v>
      </c>
      <c r="M3166" s="15" t="n">
        <v>12</v>
      </c>
      <c r="N3166" s="16" t="n">
        <v>1.044153322e-05</v>
      </c>
      <c r="O3166" s="11" t="n">
        <v>284.0237115</v>
      </c>
      <c r="P3166" s="13">
        <f>N3166*86400</f>
        <v/>
      </c>
      <c r="Q3166" s="14">
        <f>O3166-273.15</f>
        <v/>
      </c>
    </row>
    <row r="3167">
      <c r="A3167" s="9" t="n">
        <v>40054</v>
      </c>
      <c r="B3167" s="7">
        <f>YEAR(A3167)</f>
        <v/>
      </c>
      <c r="C3167" s="7">
        <f>MONTH(A3167)</f>
        <v/>
      </c>
      <c r="D3167" s="10" t="n">
        <v>12.5064953</v>
      </c>
      <c r="E3167" s="11" t="n">
        <v>12.973193</v>
      </c>
      <c r="F3167" s="12" t="n">
        <v>0.002012409107</v>
      </c>
      <c r="G3167" s="11" t="n">
        <v>288.5199597</v>
      </c>
      <c r="H3167" s="13">
        <f>F3167*1000</f>
        <v/>
      </c>
      <c r="I3167" s="14">
        <f>G3167-273.15</f>
        <v/>
      </c>
      <c r="K3167" s="15" t="n">
        <v>2009</v>
      </c>
      <c r="L3167" s="15" t="n">
        <v>10</v>
      </c>
      <c r="M3167" s="15" t="n">
        <v>13</v>
      </c>
      <c r="N3167" s="16" t="n">
        <v>5.546976295e-06</v>
      </c>
      <c r="O3167" s="11" t="n">
        <v>285.79542</v>
      </c>
      <c r="P3167" s="13">
        <f>N3167*86400</f>
        <v/>
      </c>
      <c r="Q3167" s="14">
        <f>O3167-273.15</f>
        <v/>
      </c>
    </row>
    <row r="3168">
      <c r="A3168" s="9" t="n">
        <v>40055</v>
      </c>
      <c r="B3168" s="7">
        <f>YEAR(A3168)</f>
        <v/>
      </c>
      <c r="C3168" s="7">
        <f>MONTH(A3168)</f>
        <v/>
      </c>
      <c r="D3168" s="10" t="n">
        <v>9.961713380000001</v>
      </c>
      <c r="E3168" s="11" t="n">
        <v>10.51543024</v>
      </c>
      <c r="F3168" s="12" t="n">
        <v>0.003030484451</v>
      </c>
      <c r="G3168" s="11" t="n">
        <v>287.5534471</v>
      </c>
      <c r="H3168" s="13">
        <f>F3168*1000</f>
        <v/>
      </c>
      <c r="I3168" s="14">
        <f>G3168-273.15</f>
        <v/>
      </c>
      <c r="K3168" s="15" t="n">
        <v>2009</v>
      </c>
      <c r="L3168" s="15" t="n">
        <v>10</v>
      </c>
      <c r="M3168" s="15" t="n">
        <v>14</v>
      </c>
      <c r="N3168" s="16" t="n">
        <v>1.48953621e-05</v>
      </c>
      <c r="O3168" s="11" t="n">
        <v>285.1607181</v>
      </c>
      <c r="P3168" s="13">
        <f>N3168*86400</f>
        <v/>
      </c>
      <c r="Q3168" s="14">
        <f>O3168-273.15</f>
        <v/>
      </c>
    </row>
    <row r="3169">
      <c r="A3169" s="9" t="n">
        <v>40056</v>
      </c>
      <c r="B3169" s="7">
        <f>YEAR(A3169)</f>
        <v/>
      </c>
      <c r="C3169" s="7">
        <f>MONTH(A3169)</f>
        <v/>
      </c>
      <c r="D3169" s="10" t="n">
        <v>6.566566521</v>
      </c>
      <c r="E3169" s="11" t="n">
        <v>8.925581005</v>
      </c>
      <c r="F3169" s="12" t="n">
        <v>0.0001168537862</v>
      </c>
      <c r="G3169" s="11" t="n">
        <v>286.3300815</v>
      </c>
      <c r="H3169" s="13">
        <f>F3169*1000</f>
        <v/>
      </c>
      <c r="I3169" s="14">
        <f>G3169-273.15</f>
        <v/>
      </c>
      <c r="K3169" s="15" t="n">
        <v>2009</v>
      </c>
      <c r="L3169" s="15" t="n">
        <v>10</v>
      </c>
      <c r="M3169" s="15" t="n">
        <v>15</v>
      </c>
      <c r="N3169" s="16" t="n">
        <v>7.249517979e-05</v>
      </c>
      <c r="O3169" s="11" t="n">
        <v>285.6334213</v>
      </c>
      <c r="P3169" s="13">
        <f>N3169*86400</f>
        <v/>
      </c>
      <c r="Q3169" s="14">
        <f>O3169-273.15</f>
        <v/>
      </c>
    </row>
    <row r="3170">
      <c r="A3170" s="9" t="n">
        <v>40057</v>
      </c>
      <c r="B3170" s="7">
        <f>YEAR(A3170)</f>
        <v/>
      </c>
      <c r="C3170" s="7">
        <f>MONTH(A3170)</f>
        <v/>
      </c>
      <c r="D3170" s="10" t="n">
        <v>5.207672266</v>
      </c>
      <c r="E3170" s="11" t="n">
        <v>9.527923396</v>
      </c>
      <c r="F3170" s="12" t="n">
        <v>0</v>
      </c>
      <c r="G3170" s="11" t="n">
        <v>286.1231359</v>
      </c>
      <c r="H3170" s="13">
        <f>F3170*1000</f>
        <v/>
      </c>
      <c r="I3170" s="14">
        <f>G3170-273.15</f>
        <v/>
      </c>
      <c r="K3170" s="15" t="n">
        <v>2009</v>
      </c>
      <c r="L3170" s="15" t="n">
        <v>10</v>
      </c>
      <c r="M3170" s="15" t="n">
        <v>16</v>
      </c>
      <c r="N3170" s="16" t="n">
        <v>5.22355018e-05</v>
      </c>
      <c r="O3170" s="11" t="n">
        <v>285.4061604</v>
      </c>
      <c r="P3170" s="13">
        <f>N3170*86400</f>
        <v/>
      </c>
      <c r="Q3170" s="14">
        <f>O3170-273.15</f>
        <v/>
      </c>
    </row>
    <row r="3171">
      <c r="A3171" s="9" t="n">
        <v>40058</v>
      </c>
      <c r="B3171" s="7">
        <f>YEAR(A3171)</f>
        <v/>
      </c>
      <c r="C3171" s="7">
        <f>MONTH(A3171)</f>
        <v/>
      </c>
      <c r="D3171" s="10" t="n">
        <v>0</v>
      </c>
      <c r="E3171" s="11" t="n">
        <v>9.364789477</v>
      </c>
      <c r="F3171" s="12" t="n">
        <v>0</v>
      </c>
      <c r="G3171" s="11" t="n">
        <v>285.0613756</v>
      </c>
      <c r="H3171" s="13">
        <f>F3171*1000</f>
        <v/>
      </c>
      <c r="I3171" s="14">
        <f>G3171-273.15</f>
        <v/>
      </c>
      <c r="K3171" s="15" t="n">
        <v>2009</v>
      </c>
      <c r="L3171" s="15" t="n">
        <v>10</v>
      </c>
      <c r="M3171" s="15" t="n">
        <v>17</v>
      </c>
      <c r="N3171" s="16" t="n">
        <v>6.639346617e-08</v>
      </c>
      <c r="O3171" s="11" t="n">
        <v>284.739242</v>
      </c>
      <c r="P3171" s="13">
        <f>N3171*86400</f>
        <v/>
      </c>
      <c r="Q3171" s="14">
        <f>O3171-273.15</f>
        <v/>
      </c>
    </row>
    <row r="3172">
      <c r="A3172" s="9" t="n">
        <v>40059</v>
      </c>
      <c r="B3172" s="7">
        <f>YEAR(A3172)</f>
        <v/>
      </c>
      <c r="C3172" s="7">
        <f>MONTH(A3172)</f>
        <v/>
      </c>
      <c r="D3172" s="10" t="n">
        <v>6.083747089</v>
      </c>
      <c r="E3172" s="11" t="n">
        <v>9.910023936</v>
      </c>
      <c r="F3172" s="12" t="n">
        <v>0.001624219116</v>
      </c>
      <c r="G3172" s="11" t="n">
        <v>286.6106147</v>
      </c>
      <c r="H3172" s="13">
        <f>F3172*1000</f>
        <v/>
      </c>
      <c r="I3172" s="14">
        <f>G3172-273.15</f>
        <v/>
      </c>
      <c r="K3172" s="15" t="n">
        <v>2009</v>
      </c>
      <c r="L3172" s="15" t="n">
        <v>10</v>
      </c>
      <c r="M3172" s="15" t="n">
        <v>18</v>
      </c>
      <c r="N3172" s="16" t="n">
        <v>0</v>
      </c>
      <c r="O3172" s="11" t="n">
        <v>283.478751</v>
      </c>
      <c r="P3172" s="13">
        <f>N3172*86400</f>
        <v/>
      </c>
      <c r="Q3172" s="14">
        <f>O3172-273.15</f>
        <v/>
      </c>
    </row>
    <row r="3173">
      <c r="A3173" s="9" t="n">
        <v>40060</v>
      </c>
      <c r="B3173" s="7">
        <f>YEAR(A3173)</f>
        <v/>
      </c>
      <c r="C3173" s="7">
        <f>MONTH(A3173)</f>
        <v/>
      </c>
      <c r="D3173" s="10" t="n">
        <v>0</v>
      </c>
      <c r="E3173" s="11" t="n">
        <v>9.070241673</v>
      </c>
      <c r="F3173" s="12" t="n">
        <v>0</v>
      </c>
      <c r="G3173" s="11" t="n">
        <v>285.541158</v>
      </c>
      <c r="H3173" s="13">
        <f>F3173*1000</f>
        <v/>
      </c>
      <c r="I3173" s="14">
        <f>G3173-273.15</f>
        <v/>
      </c>
      <c r="K3173" s="15" t="n">
        <v>2009</v>
      </c>
      <c r="L3173" s="15" t="n">
        <v>10</v>
      </c>
      <c r="M3173" s="15" t="n">
        <v>19</v>
      </c>
      <c r="N3173" s="16" t="n">
        <v>1.524723377e-05</v>
      </c>
      <c r="O3173" s="11" t="n">
        <v>284.5562142</v>
      </c>
      <c r="P3173" s="13">
        <f>N3173*86400</f>
        <v/>
      </c>
      <c r="Q3173" s="14">
        <f>O3173-273.15</f>
        <v/>
      </c>
    </row>
    <row r="3174">
      <c r="A3174" s="9" t="n">
        <v>40061</v>
      </c>
      <c r="B3174" s="7">
        <f>YEAR(A3174)</f>
        <v/>
      </c>
      <c r="C3174" s="7">
        <f>MONTH(A3174)</f>
        <v/>
      </c>
      <c r="D3174" s="10" t="n">
        <v>0</v>
      </c>
      <c r="E3174" s="11" t="n">
        <v>10.51940265</v>
      </c>
      <c r="F3174" s="12" t="n">
        <v>0.003895605163</v>
      </c>
      <c r="G3174" s="11" t="n">
        <v>286.1846426</v>
      </c>
      <c r="H3174" s="13">
        <f>F3174*1000</f>
        <v/>
      </c>
      <c r="I3174" s="14">
        <f>G3174-273.15</f>
        <v/>
      </c>
      <c r="K3174" s="15" t="n">
        <v>2009</v>
      </c>
      <c r="L3174" s="15" t="n">
        <v>10</v>
      </c>
      <c r="M3174" s="15" t="n">
        <v>20</v>
      </c>
      <c r="N3174" s="16" t="n">
        <v>2.667179894e-05</v>
      </c>
      <c r="O3174" s="11" t="n">
        <v>282.8946191</v>
      </c>
      <c r="P3174" s="13">
        <f>N3174*86400</f>
        <v/>
      </c>
      <c r="Q3174" s="14">
        <f>O3174-273.15</f>
        <v/>
      </c>
    </row>
    <row r="3175">
      <c r="A3175" s="9" t="n">
        <v>40062</v>
      </c>
      <c r="B3175" s="7">
        <f>YEAR(A3175)</f>
        <v/>
      </c>
      <c r="C3175" s="7">
        <f>MONTH(A3175)</f>
        <v/>
      </c>
      <c r="D3175" s="10" t="n">
        <v>0</v>
      </c>
      <c r="E3175" s="11" t="n">
        <v>11.27344851</v>
      </c>
      <c r="F3175" s="12" t="n">
        <v>8.062467849e-05</v>
      </c>
      <c r="G3175" s="11" t="n">
        <v>287.05588</v>
      </c>
      <c r="H3175" s="13">
        <f>F3175*1000</f>
        <v/>
      </c>
      <c r="I3175" s="14">
        <f>G3175-273.15</f>
        <v/>
      </c>
      <c r="K3175" s="15" t="n">
        <v>2009</v>
      </c>
      <c r="L3175" s="15" t="n">
        <v>10</v>
      </c>
      <c r="M3175" s="15" t="n">
        <v>21</v>
      </c>
      <c r="N3175" s="16" t="n">
        <v>8.943084694e-06</v>
      </c>
      <c r="O3175" s="11" t="n">
        <v>279.3562099</v>
      </c>
      <c r="P3175" s="13">
        <f>N3175*86400</f>
        <v/>
      </c>
      <c r="Q3175" s="14">
        <f>O3175-273.15</f>
        <v/>
      </c>
    </row>
    <row r="3176">
      <c r="A3176" s="9" t="n">
        <v>40063</v>
      </c>
      <c r="B3176" s="7">
        <f>YEAR(A3176)</f>
        <v/>
      </c>
      <c r="C3176" s="7">
        <f>MONTH(A3176)</f>
        <v/>
      </c>
      <c r="D3176" s="10" t="n">
        <v>0</v>
      </c>
      <c r="E3176" s="11" t="n">
        <v>10.87591432</v>
      </c>
      <c r="F3176" s="12" t="n">
        <v>0.001070440348</v>
      </c>
      <c r="G3176" s="11" t="n">
        <v>286.7073773</v>
      </c>
      <c r="H3176" s="13">
        <f>F3176*1000</f>
        <v/>
      </c>
      <c r="I3176" s="14">
        <f>G3176-273.15</f>
        <v/>
      </c>
      <c r="K3176" s="15" t="n">
        <v>2009</v>
      </c>
      <c r="L3176" s="15" t="n">
        <v>10</v>
      </c>
      <c r="M3176" s="15" t="n">
        <v>22</v>
      </c>
      <c r="N3176" s="16" t="n">
        <v>0</v>
      </c>
      <c r="O3176" s="11" t="n">
        <v>281.4818257</v>
      </c>
      <c r="P3176" s="13">
        <f>N3176*86400</f>
        <v/>
      </c>
      <c r="Q3176" s="14">
        <f>O3176-273.15</f>
        <v/>
      </c>
    </row>
    <row r="3177">
      <c r="A3177" s="9" t="n">
        <v>40064</v>
      </c>
      <c r="B3177" s="7">
        <f>YEAR(A3177)</f>
        <v/>
      </c>
      <c r="C3177" s="7">
        <f>MONTH(A3177)</f>
        <v/>
      </c>
      <c r="D3177" s="10" t="n">
        <v>0</v>
      </c>
      <c r="E3177" s="11" t="n">
        <v>8.761375873</v>
      </c>
      <c r="F3177" s="12" t="n">
        <v>5.900822311e-06</v>
      </c>
      <c r="G3177" s="11" t="n">
        <v>283.7246756</v>
      </c>
      <c r="H3177" s="13">
        <f>F3177*1000</f>
        <v/>
      </c>
      <c r="I3177" s="14">
        <f>G3177-273.15</f>
        <v/>
      </c>
      <c r="K3177" s="15" t="n">
        <v>2009</v>
      </c>
      <c r="L3177" s="15" t="n">
        <v>10</v>
      </c>
      <c r="M3177" s="15" t="n">
        <v>23</v>
      </c>
      <c r="N3177" s="16" t="n">
        <v>0</v>
      </c>
      <c r="O3177" s="11" t="n">
        <v>283.003287</v>
      </c>
      <c r="P3177" s="13">
        <f>N3177*86400</f>
        <v/>
      </c>
      <c r="Q3177" s="14">
        <f>O3177-273.15</f>
        <v/>
      </c>
    </row>
    <row r="3178">
      <c r="A3178" s="9" t="n">
        <v>40065</v>
      </c>
      <c r="B3178" s="7">
        <f>YEAR(A3178)</f>
        <v/>
      </c>
      <c r="C3178" s="7">
        <f>MONTH(A3178)</f>
        <v/>
      </c>
      <c r="D3178" s="10" t="n">
        <v>0</v>
      </c>
      <c r="E3178" s="11" t="n">
        <v>9.744479328000001</v>
      </c>
      <c r="F3178" s="12" t="n">
        <v>0</v>
      </c>
      <c r="G3178" s="11" t="n">
        <v>283.977006</v>
      </c>
      <c r="H3178" s="13">
        <f>F3178*1000</f>
        <v/>
      </c>
      <c r="I3178" s="14">
        <f>G3178-273.15</f>
        <v/>
      </c>
      <c r="K3178" s="15" t="n">
        <v>2009</v>
      </c>
      <c r="L3178" s="15" t="n">
        <v>10</v>
      </c>
      <c r="M3178" s="15" t="n">
        <v>24</v>
      </c>
      <c r="N3178" s="16" t="n">
        <v>2.266283364e-06</v>
      </c>
      <c r="O3178" s="11" t="n">
        <v>281.8876892</v>
      </c>
      <c r="P3178" s="13">
        <f>N3178*86400</f>
        <v/>
      </c>
      <c r="Q3178" s="14">
        <f>O3178-273.15</f>
        <v/>
      </c>
    </row>
    <row r="3179">
      <c r="A3179" s="9" t="n">
        <v>40066</v>
      </c>
      <c r="B3179" s="7">
        <f>YEAR(A3179)</f>
        <v/>
      </c>
      <c r="C3179" s="7">
        <f>MONTH(A3179)</f>
        <v/>
      </c>
      <c r="D3179" s="10" t="n">
        <v>0</v>
      </c>
      <c r="E3179" s="11" t="n">
        <v>8.733135874</v>
      </c>
      <c r="F3179" s="12" t="n">
        <v>0.000181566885</v>
      </c>
      <c r="G3179" s="11" t="n">
        <v>283.3030931</v>
      </c>
      <c r="H3179" s="13">
        <f>F3179*1000</f>
        <v/>
      </c>
      <c r="I3179" s="14">
        <f>G3179-273.15</f>
        <v/>
      </c>
      <c r="K3179" s="15" t="n">
        <v>2009</v>
      </c>
      <c r="L3179" s="15" t="n">
        <v>10</v>
      </c>
      <c r="M3179" s="15" t="n">
        <v>25</v>
      </c>
      <c r="N3179" s="16" t="n">
        <v>5.487422616e-05</v>
      </c>
      <c r="O3179" s="11" t="n">
        <v>279.5746499</v>
      </c>
      <c r="P3179" s="13">
        <f>N3179*86400</f>
        <v/>
      </c>
      <c r="Q3179" s="14">
        <f>O3179-273.15</f>
        <v/>
      </c>
    </row>
    <row r="3180">
      <c r="A3180" s="9" t="n">
        <v>40067</v>
      </c>
      <c r="B3180" s="7">
        <f>YEAR(A3180)</f>
        <v/>
      </c>
      <c r="C3180" s="7">
        <f>MONTH(A3180)</f>
        <v/>
      </c>
      <c r="D3180" s="10" t="n">
        <v>0</v>
      </c>
      <c r="E3180" s="11" t="n">
        <v>9.530052935000001</v>
      </c>
      <c r="F3180" s="12" t="n">
        <v>0.0001842207532</v>
      </c>
      <c r="G3180" s="11" t="n">
        <v>284.8178543</v>
      </c>
      <c r="H3180" s="13">
        <f>F3180*1000</f>
        <v/>
      </c>
      <c r="I3180" s="14">
        <f>G3180-273.15</f>
        <v/>
      </c>
      <c r="K3180" s="15" t="n">
        <v>2009</v>
      </c>
      <c r="L3180" s="15" t="n">
        <v>10</v>
      </c>
      <c r="M3180" s="15" t="n">
        <v>26</v>
      </c>
      <c r="N3180" s="16" t="n">
        <v>6.81008599e-05</v>
      </c>
      <c r="O3180" s="11" t="n">
        <v>282.0213851</v>
      </c>
      <c r="P3180" s="13">
        <f>N3180*86400</f>
        <v/>
      </c>
      <c r="Q3180" s="14">
        <f>O3180-273.15</f>
        <v/>
      </c>
    </row>
    <row r="3181">
      <c r="A3181" s="9" t="n">
        <v>40068</v>
      </c>
      <c r="B3181" s="7">
        <f>YEAR(A3181)</f>
        <v/>
      </c>
      <c r="C3181" s="7">
        <f>MONTH(A3181)</f>
        <v/>
      </c>
      <c r="D3181" s="10" t="n">
        <v>0</v>
      </c>
      <c r="E3181" s="11" t="n">
        <v>8.429679152</v>
      </c>
      <c r="F3181" s="12" t="n">
        <v>0.000357989162</v>
      </c>
      <c r="G3181" s="11" t="n">
        <v>283.938292</v>
      </c>
      <c r="H3181" s="13">
        <f>F3181*1000</f>
        <v/>
      </c>
      <c r="I3181" s="14">
        <f>G3181-273.15</f>
        <v/>
      </c>
      <c r="K3181" s="15" t="n">
        <v>2009</v>
      </c>
      <c r="L3181" s="15" t="n">
        <v>10</v>
      </c>
      <c r="M3181" s="15" t="n">
        <v>27</v>
      </c>
      <c r="N3181" s="16" t="n">
        <v>1.522162903e-07</v>
      </c>
      <c r="O3181" s="11" t="n">
        <v>284.6598943</v>
      </c>
      <c r="P3181" s="13">
        <f>N3181*86400</f>
        <v/>
      </c>
      <c r="Q3181" s="14">
        <f>O3181-273.15</f>
        <v/>
      </c>
    </row>
    <row r="3182">
      <c r="A3182" s="9" t="n">
        <v>40069</v>
      </c>
      <c r="B3182" s="7">
        <f>YEAR(A3182)</f>
        <v/>
      </c>
      <c r="C3182" s="7">
        <f>MONTH(A3182)</f>
        <v/>
      </c>
      <c r="D3182" s="10" t="n">
        <v>0</v>
      </c>
      <c r="E3182" s="11" t="n">
        <v>9.934773102999999</v>
      </c>
      <c r="F3182" s="12" t="n">
        <v>0</v>
      </c>
      <c r="G3182" s="11" t="n">
        <v>284.9358489</v>
      </c>
      <c r="H3182" s="13">
        <f>F3182*1000</f>
        <v/>
      </c>
      <c r="I3182" s="14">
        <f>G3182-273.15</f>
        <v/>
      </c>
      <c r="K3182" s="15" t="n">
        <v>2009</v>
      </c>
      <c r="L3182" s="15" t="n">
        <v>10</v>
      </c>
      <c r="M3182" s="15" t="n">
        <v>28</v>
      </c>
      <c r="N3182" s="16" t="n">
        <v>3.678401085e-05</v>
      </c>
      <c r="O3182" s="11" t="n">
        <v>283.6636056</v>
      </c>
      <c r="P3182" s="13">
        <f>N3182*86400</f>
        <v/>
      </c>
      <c r="Q3182" s="14">
        <f>O3182-273.15</f>
        <v/>
      </c>
    </row>
    <row r="3183">
      <c r="A3183" s="9" t="n">
        <v>40070</v>
      </c>
      <c r="B3183" s="7">
        <f>YEAR(A3183)</f>
        <v/>
      </c>
      <c r="C3183" s="7">
        <f>MONTH(A3183)</f>
        <v/>
      </c>
      <c r="D3183" s="10" t="n">
        <v>0</v>
      </c>
      <c r="E3183" s="11" t="n">
        <v>10.53615633</v>
      </c>
      <c r="F3183" s="12" t="n">
        <v>0</v>
      </c>
      <c r="G3183" s="11" t="n">
        <v>285.9382628</v>
      </c>
      <c r="H3183" s="13">
        <f>F3183*1000</f>
        <v/>
      </c>
      <c r="I3183" s="14">
        <f>G3183-273.15</f>
        <v/>
      </c>
      <c r="K3183" s="15" t="n">
        <v>2009</v>
      </c>
      <c r="L3183" s="15" t="n">
        <v>10</v>
      </c>
      <c r="M3183" s="15" t="n">
        <v>29</v>
      </c>
      <c r="N3183" s="16" t="n">
        <v>8.260662276e-06</v>
      </c>
      <c r="O3183" s="11" t="n">
        <v>283.1764029</v>
      </c>
      <c r="P3183" s="13">
        <f>N3183*86400</f>
        <v/>
      </c>
      <c r="Q3183" s="14">
        <f>O3183-273.15</f>
        <v/>
      </c>
    </row>
    <row r="3184">
      <c r="A3184" s="9" t="n">
        <v>40071</v>
      </c>
      <c r="B3184" s="7">
        <f>YEAR(A3184)</f>
        <v/>
      </c>
      <c r="C3184" s="7">
        <f>MONTH(A3184)</f>
        <v/>
      </c>
      <c r="D3184" s="10" t="n">
        <v>0</v>
      </c>
      <c r="E3184" s="11" t="n">
        <v>10.84817322</v>
      </c>
      <c r="F3184" s="12" t="n">
        <v>0</v>
      </c>
      <c r="G3184" s="11" t="n">
        <v>286.0333308</v>
      </c>
      <c r="H3184" s="13">
        <f>F3184*1000</f>
        <v/>
      </c>
      <c r="I3184" s="14">
        <f>G3184-273.15</f>
        <v/>
      </c>
      <c r="K3184" s="15" t="n">
        <v>2009</v>
      </c>
      <c r="L3184" s="15" t="n">
        <v>10</v>
      </c>
      <c r="M3184" s="15" t="n">
        <v>30</v>
      </c>
      <c r="N3184" s="16" t="n">
        <v>0</v>
      </c>
      <c r="O3184" s="11" t="n">
        <v>283.0835926</v>
      </c>
      <c r="P3184" s="13">
        <f>N3184*86400</f>
        <v/>
      </c>
      <c r="Q3184" s="14">
        <f>O3184-273.15</f>
        <v/>
      </c>
    </row>
    <row r="3185">
      <c r="A3185" s="9" t="n">
        <v>40072</v>
      </c>
      <c r="B3185" s="7">
        <f>YEAR(A3185)</f>
        <v/>
      </c>
      <c r="C3185" s="7">
        <f>MONTH(A3185)</f>
        <v/>
      </c>
      <c r="D3185" s="10" t="n">
        <v>2.108495395</v>
      </c>
      <c r="E3185" s="11" t="n">
        <v>11.95951958</v>
      </c>
      <c r="F3185" s="12" t="n">
        <v>0.001183674583</v>
      </c>
      <c r="G3185" s="11" t="n">
        <v>286.2920372</v>
      </c>
      <c r="H3185" s="13">
        <f>F3185*1000</f>
        <v/>
      </c>
      <c r="I3185" s="14">
        <f>G3185-273.15</f>
        <v/>
      </c>
      <c r="K3185" s="15" t="n">
        <v>2009</v>
      </c>
      <c r="L3185" s="15" t="n">
        <v>11</v>
      </c>
      <c r="M3185" s="15" t="n">
        <v>1</v>
      </c>
      <c r="N3185" s="16" t="n">
        <v>6.546175268e-07</v>
      </c>
      <c r="O3185" s="11" t="n">
        <v>283.1646334</v>
      </c>
      <c r="P3185" s="13">
        <f>N3185*86400</f>
        <v/>
      </c>
      <c r="Q3185" s="14">
        <f>O3185-273.15</f>
        <v/>
      </c>
    </row>
    <row r="3186">
      <c r="A3186" s="9" t="n">
        <v>40073</v>
      </c>
      <c r="B3186" s="7">
        <f>YEAR(A3186)</f>
        <v/>
      </c>
      <c r="C3186" s="7">
        <f>MONTH(A3186)</f>
        <v/>
      </c>
      <c r="D3186" s="10" t="n">
        <v>0</v>
      </c>
      <c r="E3186" s="11" t="n">
        <v>10.73222349</v>
      </c>
      <c r="F3186" s="12" t="n">
        <v>0.0001554317219</v>
      </c>
      <c r="G3186" s="11" t="n">
        <v>286.4326033</v>
      </c>
      <c r="H3186" s="13">
        <f>F3186*1000</f>
        <v/>
      </c>
      <c r="I3186" s="14">
        <f>G3186-273.15</f>
        <v/>
      </c>
      <c r="K3186" s="15" t="n">
        <v>2009</v>
      </c>
      <c r="L3186" s="15" t="n">
        <v>11</v>
      </c>
      <c r="M3186" s="15" t="n">
        <v>2</v>
      </c>
      <c r="N3186" s="16" t="n">
        <v>6.483714189e-06</v>
      </c>
      <c r="O3186" s="11" t="n">
        <v>282.8711669</v>
      </c>
      <c r="P3186" s="13">
        <f>N3186*86400</f>
        <v/>
      </c>
      <c r="Q3186" s="14">
        <f>O3186-273.15</f>
        <v/>
      </c>
    </row>
    <row r="3187">
      <c r="A3187" s="9" t="n">
        <v>40074</v>
      </c>
      <c r="B3187" s="7">
        <f>YEAR(A3187)</f>
        <v/>
      </c>
      <c r="C3187" s="7">
        <f>MONTH(A3187)</f>
        <v/>
      </c>
      <c r="D3187" s="10" t="n">
        <v>5.79500727</v>
      </c>
      <c r="E3187" s="11" t="n">
        <v>11.20134941</v>
      </c>
      <c r="F3187" s="12" t="n">
        <v>0</v>
      </c>
      <c r="G3187" s="11" t="n">
        <v>286.1878361</v>
      </c>
      <c r="H3187" s="13">
        <f>F3187*1000</f>
        <v/>
      </c>
      <c r="I3187" s="14">
        <f>G3187-273.15</f>
        <v/>
      </c>
      <c r="K3187" s="15" t="n">
        <v>2009</v>
      </c>
      <c r="L3187" s="15" t="n">
        <v>11</v>
      </c>
      <c r="M3187" s="15" t="n">
        <v>3</v>
      </c>
      <c r="N3187" s="16" t="n">
        <v>9.410882516e-07</v>
      </c>
      <c r="O3187" s="11" t="n">
        <v>281.0288409</v>
      </c>
      <c r="P3187" s="13">
        <f>N3187*86400</f>
        <v/>
      </c>
      <c r="Q3187" s="14">
        <f>O3187-273.15</f>
        <v/>
      </c>
    </row>
    <row r="3188">
      <c r="A3188" s="9" t="n">
        <v>40075</v>
      </c>
      <c r="B3188" s="7">
        <f>YEAR(A3188)</f>
        <v/>
      </c>
      <c r="C3188" s="7">
        <f>MONTH(A3188)</f>
        <v/>
      </c>
      <c r="D3188" s="10" t="n">
        <v>0</v>
      </c>
      <c r="E3188" s="11" t="n">
        <v>8.778665992000001</v>
      </c>
      <c r="F3188" s="12" t="n">
        <v>0</v>
      </c>
      <c r="G3188" s="11" t="n">
        <v>284.7565275</v>
      </c>
      <c r="H3188" s="13">
        <f>F3188*1000</f>
        <v/>
      </c>
      <c r="I3188" s="14">
        <f>G3188-273.15</f>
        <v/>
      </c>
      <c r="K3188" s="15" t="n">
        <v>2009</v>
      </c>
      <c r="L3188" s="15" t="n">
        <v>11</v>
      </c>
      <c r="M3188" s="15" t="n">
        <v>4</v>
      </c>
      <c r="N3188" s="16" t="n">
        <v>1.592627552e-06</v>
      </c>
      <c r="O3188" s="11" t="n">
        <v>280.621567</v>
      </c>
      <c r="P3188" s="13">
        <f>N3188*86400</f>
        <v/>
      </c>
      <c r="Q3188" s="14">
        <f>O3188-273.15</f>
        <v/>
      </c>
    </row>
    <row r="3189">
      <c r="A3189" s="9" t="n">
        <v>40076</v>
      </c>
      <c r="B3189" s="7">
        <f>YEAR(A3189)</f>
        <v/>
      </c>
      <c r="C3189" s="7">
        <f>MONTH(A3189)</f>
        <v/>
      </c>
      <c r="D3189" s="10" t="n">
        <v>0</v>
      </c>
      <c r="E3189" s="11" t="n">
        <v>6.623179508</v>
      </c>
      <c r="F3189" s="12" t="n">
        <v>0.0003311253977</v>
      </c>
      <c r="G3189" s="11" t="n">
        <v>282.1126954</v>
      </c>
      <c r="H3189" s="13">
        <f>F3189*1000</f>
        <v/>
      </c>
      <c r="I3189" s="14">
        <f>G3189-273.15</f>
        <v/>
      </c>
      <c r="K3189" s="15" t="n">
        <v>2009</v>
      </c>
      <c r="L3189" s="15" t="n">
        <v>11</v>
      </c>
      <c r="M3189" s="15" t="n">
        <v>5</v>
      </c>
      <c r="N3189" s="16" t="n">
        <v>4.314829897e-07</v>
      </c>
      <c r="O3189" s="11" t="n">
        <v>278.4749693</v>
      </c>
      <c r="P3189" s="13">
        <f>N3189*86400</f>
        <v/>
      </c>
      <c r="Q3189" s="14">
        <f>O3189-273.15</f>
        <v/>
      </c>
    </row>
    <row r="3190">
      <c r="A3190" s="9" t="n">
        <v>40077</v>
      </c>
      <c r="B3190" s="7">
        <f>YEAR(A3190)</f>
        <v/>
      </c>
      <c r="C3190" s="7">
        <f>MONTH(A3190)</f>
        <v/>
      </c>
      <c r="D3190" s="10" t="n">
        <v>0</v>
      </c>
      <c r="E3190" s="11" t="n">
        <v>9.257560564</v>
      </c>
      <c r="F3190" s="12" t="n">
        <v>0</v>
      </c>
      <c r="G3190" s="11" t="n">
        <v>285.7450711</v>
      </c>
      <c r="H3190" s="13">
        <f>F3190*1000</f>
        <v/>
      </c>
      <c r="I3190" s="14">
        <f>G3190-273.15</f>
        <v/>
      </c>
      <c r="K3190" s="15" t="n">
        <v>2009</v>
      </c>
      <c r="L3190" s="15" t="n">
        <v>11</v>
      </c>
      <c r="M3190" s="15" t="n">
        <v>6</v>
      </c>
      <c r="N3190" s="16" t="n">
        <v>0</v>
      </c>
      <c r="O3190" s="11" t="n">
        <v>277.5050644</v>
      </c>
      <c r="P3190" s="13">
        <f>N3190*86400</f>
        <v/>
      </c>
      <c r="Q3190" s="14">
        <f>O3190-273.15</f>
        <v/>
      </c>
    </row>
    <row r="3191">
      <c r="A3191" s="9" t="n">
        <v>40078</v>
      </c>
      <c r="B3191" s="7">
        <f>YEAR(A3191)</f>
        <v/>
      </c>
      <c r="C3191" s="7">
        <f>MONTH(A3191)</f>
        <v/>
      </c>
      <c r="D3191" s="10" t="n">
        <v>0</v>
      </c>
      <c r="E3191" s="11" t="n">
        <v>8.961071207</v>
      </c>
      <c r="F3191" s="12" t="n">
        <v>0.0002574742978</v>
      </c>
      <c r="G3191" s="11" t="n">
        <v>285.3701492</v>
      </c>
      <c r="H3191" s="13">
        <f>F3191*1000</f>
        <v/>
      </c>
      <c r="I3191" s="14">
        <f>G3191-273.15</f>
        <v/>
      </c>
      <c r="K3191" s="15" t="n">
        <v>2009</v>
      </c>
      <c r="L3191" s="15" t="n">
        <v>11</v>
      </c>
      <c r="M3191" s="15" t="n">
        <v>7</v>
      </c>
      <c r="N3191" s="16" t="n">
        <v>0</v>
      </c>
      <c r="O3191" s="11" t="n">
        <v>279.1490012</v>
      </c>
      <c r="P3191" s="13">
        <f>N3191*86400</f>
        <v/>
      </c>
      <c r="Q3191" s="14">
        <f>O3191-273.15</f>
        <v/>
      </c>
    </row>
    <row r="3192">
      <c r="A3192" s="9" t="n">
        <v>40079</v>
      </c>
      <c r="B3192" s="7">
        <f>YEAR(A3192)</f>
        <v/>
      </c>
      <c r="C3192" s="7">
        <f>MONTH(A3192)</f>
        <v/>
      </c>
      <c r="D3192" s="10" t="n">
        <v>1.184177564</v>
      </c>
      <c r="E3192" s="11" t="n">
        <v>8.744334544999999</v>
      </c>
      <c r="F3192" s="12" t="n">
        <v>0.001300459631</v>
      </c>
      <c r="G3192" s="11" t="n">
        <v>285.657104</v>
      </c>
      <c r="H3192" s="13">
        <f>F3192*1000</f>
        <v/>
      </c>
      <c r="I3192" s="14">
        <f>G3192-273.15</f>
        <v/>
      </c>
      <c r="K3192" s="15" t="n">
        <v>2009</v>
      </c>
      <c r="L3192" s="15" t="n">
        <v>11</v>
      </c>
      <c r="M3192" s="15" t="n">
        <v>8</v>
      </c>
      <c r="N3192" s="16" t="n">
        <v>7.170316879e-08</v>
      </c>
      <c r="O3192" s="11" t="n">
        <v>279.8857033</v>
      </c>
      <c r="P3192" s="13">
        <f>N3192*86400</f>
        <v/>
      </c>
      <c r="Q3192" s="14">
        <f>O3192-273.15</f>
        <v/>
      </c>
    </row>
    <row r="3193">
      <c r="A3193" s="9" t="n">
        <v>40080</v>
      </c>
      <c r="B3193" s="7">
        <f>YEAR(A3193)</f>
        <v/>
      </c>
      <c r="C3193" s="7">
        <f>MONTH(A3193)</f>
        <v/>
      </c>
      <c r="D3193" s="10" t="n">
        <v>0</v>
      </c>
      <c r="E3193" s="11" t="n">
        <v>9.624136159000001</v>
      </c>
      <c r="F3193" s="12" t="n">
        <v>0</v>
      </c>
      <c r="G3193" s="11" t="n">
        <v>286.8827193</v>
      </c>
      <c r="H3193" s="13">
        <f>F3193*1000</f>
        <v/>
      </c>
      <c r="I3193" s="14">
        <f>G3193-273.15</f>
        <v/>
      </c>
      <c r="K3193" s="15" t="n">
        <v>2009</v>
      </c>
      <c r="L3193" s="15" t="n">
        <v>11</v>
      </c>
      <c r="M3193" s="15" t="n">
        <v>9</v>
      </c>
      <c r="N3193" s="16" t="n">
        <v>6.888900835e-08</v>
      </c>
      <c r="O3193" s="11" t="n">
        <v>279.0117833</v>
      </c>
      <c r="P3193" s="13">
        <f>N3193*86400</f>
        <v/>
      </c>
      <c r="Q3193" s="14">
        <f>O3193-273.15</f>
        <v/>
      </c>
    </row>
    <row r="3194">
      <c r="A3194" s="9" t="n">
        <v>40081</v>
      </c>
      <c r="B3194" s="7">
        <f>YEAR(A3194)</f>
        <v/>
      </c>
      <c r="C3194" s="7">
        <f>MONTH(A3194)</f>
        <v/>
      </c>
      <c r="D3194" s="10" t="n">
        <v>0.7069493888</v>
      </c>
      <c r="E3194" s="11" t="n">
        <v>9.409628371</v>
      </c>
      <c r="F3194" s="12" t="n">
        <v>0.003157799427</v>
      </c>
      <c r="G3194" s="11" t="n">
        <v>286.3145669</v>
      </c>
      <c r="H3194" s="13">
        <f>F3194*1000</f>
        <v/>
      </c>
      <c r="I3194" s="14">
        <f>G3194-273.15</f>
        <v/>
      </c>
      <c r="K3194" s="15" t="n">
        <v>2009</v>
      </c>
      <c r="L3194" s="15" t="n">
        <v>11</v>
      </c>
      <c r="M3194" s="15" t="n">
        <v>10</v>
      </c>
      <c r="N3194" s="16" t="n">
        <v>4.582027445e-06</v>
      </c>
      <c r="O3194" s="11" t="n">
        <v>279.1013798</v>
      </c>
      <c r="P3194" s="13">
        <f>N3194*86400</f>
        <v/>
      </c>
      <c r="Q3194" s="14">
        <f>O3194-273.15</f>
        <v/>
      </c>
    </row>
    <row r="3195">
      <c r="A3195" s="9" t="n">
        <v>40082</v>
      </c>
      <c r="B3195" s="7">
        <f>YEAR(A3195)</f>
        <v/>
      </c>
      <c r="C3195" s="7">
        <f>MONTH(A3195)</f>
        <v/>
      </c>
      <c r="D3195" s="10" t="n">
        <v>13.28654011</v>
      </c>
      <c r="E3195" s="11" t="n">
        <v>8.318913256</v>
      </c>
      <c r="F3195" s="12" t="n">
        <v>0.01744776253</v>
      </c>
      <c r="G3195" s="11" t="n">
        <v>284.2295202</v>
      </c>
      <c r="H3195" s="13">
        <f>F3195*1000</f>
        <v/>
      </c>
      <c r="I3195" s="14">
        <f>G3195-273.15</f>
        <v/>
      </c>
      <c r="K3195" s="15" t="n">
        <v>2009</v>
      </c>
      <c r="L3195" s="15" t="n">
        <v>11</v>
      </c>
      <c r="M3195" s="15" t="n">
        <v>11</v>
      </c>
      <c r="N3195" s="16" t="n">
        <v>0</v>
      </c>
      <c r="O3195" s="11" t="n">
        <v>278.8982328</v>
      </c>
      <c r="P3195" s="13">
        <f>N3195*86400</f>
        <v/>
      </c>
      <c r="Q3195" s="14">
        <f>O3195-273.15</f>
        <v/>
      </c>
    </row>
    <row r="3196">
      <c r="A3196" s="9" t="n">
        <v>40083</v>
      </c>
      <c r="B3196" s="7">
        <f>YEAR(A3196)</f>
        <v/>
      </c>
      <c r="C3196" s="7">
        <f>MONTH(A3196)</f>
        <v/>
      </c>
      <c r="D3196" s="10" t="n">
        <v>5.514461348</v>
      </c>
      <c r="E3196" s="11" t="n">
        <v>8.879936274</v>
      </c>
      <c r="F3196" s="12" t="n">
        <v>0.01030707243</v>
      </c>
      <c r="G3196" s="11" t="n">
        <v>284.2784891</v>
      </c>
      <c r="H3196" s="13">
        <f>F3196*1000</f>
        <v/>
      </c>
      <c r="I3196" s="14">
        <f>G3196-273.15</f>
        <v/>
      </c>
      <c r="K3196" s="15" t="n">
        <v>2009</v>
      </c>
      <c r="L3196" s="15" t="n">
        <v>11</v>
      </c>
      <c r="M3196" s="15" t="n">
        <v>12</v>
      </c>
      <c r="N3196" s="16" t="n">
        <v>0</v>
      </c>
      <c r="O3196" s="11" t="n">
        <v>280.2481735</v>
      </c>
      <c r="P3196" s="13">
        <f>N3196*86400</f>
        <v/>
      </c>
      <c r="Q3196" s="14">
        <f>O3196-273.15</f>
        <v/>
      </c>
    </row>
    <row r="3197">
      <c r="A3197" s="9" t="n">
        <v>40084</v>
      </c>
      <c r="B3197" s="7">
        <f>YEAR(A3197)</f>
        <v/>
      </c>
      <c r="C3197" s="7">
        <f>MONTH(A3197)</f>
        <v/>
      </c>
      <c r="D3197" s="10" t="n">
        <v>0</v>
      </c>
      <c r="E3197" s="11" t="n">
        <v>7.918703785</v>
      </c>
      <c r="F3197" s="12" t="n">
        <v>0.0003483716638</v>
      </c>
      <c r="G3197" s="11" t="n">
        <v>283.1743989</v>
      </c>
      <c r="H3197" s="13">
        <f>F3197*1000</f>
        <v/>
      </c>
      <c r="I3197" s="14">
        <f>G3197-273.15</f>
        <v/>
      </c>
      <c r="K3197" s="15" t="n">
        <v>2009</v>
      </c>
      <c r="L3197" s="15" t="n">
        <v>11</v>
      </c>
      <c r="M3197" s="15" t="n">
        <v>13</v>
      </c>
      <c r="N3197" s="16" t="n">
        <v>0</v>
      </c>
      <c r="O3197" s="11" t="n">
        <v>279.8718015</v>
      </c>
      <c r="P3197" s="13">
        <f>N3197*86400</f>
        <v/>
      </c>
      <c r="Q3197" s="14">
        <f>O3197-273.15</f>
        <v/>
      </c>
    </row>
    <row r="3198">
      <c r="A3198" s="9" t="n">
        <v>40085</v>
      </c>
      <c r="B3198" s="7">
        <f>YEAR(A3198)</f>
        <v/>
      </c>
      <c r="C3198" s="7">
        <f>MONTH(A3198)</f>
        <v/>
      </c>
      <c r="D3198" s="10" t="n">
        <v>0</v>
      </c>
      <c r="E3198" s="11" t="n">
        <v>7.739585611</v>
      </c>
      <c r="F3198" s="12" t="n">
        <v>0</v>
      </c>
      <c r="G3198" s="11" t="n">
        <v>283.402993</v>
      </c>
      <c r="H3198" s="13">
        <f>F3198*1000</f>
        <v/>
      </c>
      <c r="I3198" s="14">
        <f>G3198-273.15</f>
        <v/>
      </c>
      <c r="K3198" s="15" t="n">
        <v>2009</v>
      </c>
      <c r="L3198" s="15" t="n">
        <v>11</v>
      </c>
      <c r="M3198" s="15" t="n">
        <v>14</v>
      </c>
      <c r="N3198" s="16" t="n">
        <v>0</v>
      </c>
      <c r="O3198" s="11" t="n">
        <v>282.1474157</v>
      </c>
      <c r="P3198" s="13">
        <f>N3198*86400</f>
        <v/>
      </c>
      <c r="Q3198" s="14">
        <f>O3198-273.15</f>
        <v/>
      </c>
    </row>
    <row r="3199">
      <c r="A3199" s="9" t="n">
        <v>40086</v>
      </c>
      <c r="B3199" s="7">
        <f>YEAR(A3199)</f>
        <v/>
      </c>
      <c r="C3199" s="7">
        <f>MONTH(A3199)</f>
        <v/>
      </c>
      <c r="D3199" s="10" t="n">
        <v>0</v>
      </c>
      <c r="E3199" s="11" t="n">
        <v>7.240799578</v>
      </c>
      <c r="F3199" s="12" t="n">
        <v>0</v>
      </c>
      <c r="G3199" s="11" t="n">
        <v>283.4067486</v>
      </c>
      <c r="H3199" s="13">
        <f>F3199*1000</f>
        <v/>
      </c>
      <c r="I3199" s="14">
        <f>G3199-273.15</f>
        <v/>
      </c>
      <c r="K3199" s="15" t="n">
        <v>2009</v>
      </c>
      <c r="L3199" s="15" t="n">
        <v>11</v>
      </c>
      <c r="M3199" s="15" t="n">
        <v>15</v>
      </c>
      <c r="N3199" s="16" t="n">
        <v>0</v>
      </c>
      <c r="O3199" s="11" t="n">
        <v>282.0636782</v>
      </c>
      <c r="P3199" s="13">
        <f>N3199*86400</f>
        <v/>
      </c>
      <c r="Q3199" s="14">
        <f>O3199-273.15</f>
        <v/>
      </c>
    </row>
    <row r="3200">
      <c r="A3200" s="9" t="n">
        <v>40087</v>
      </c>
      <c r="B3200" s="7">
        <f>YEAR(A3200)</f>
        <v/>
      </c>
      <c r="C3200" s="7">
        <f>MONTH(A3200)</f>
        <v/>
      </c>
      <c r="D3200" s="10" t="n">
        <v>0</v>
      </c>
      <c r="E3200" s="11" t="n">
        <v>8.424139014</v>
      </c>
      <c r="F3200" s="12" t="n">
        <v>0</v>
      </c>
      <c r="G3200" s="11" t="n">
        <v>284.3248725</v>
      </c>
      <c r="H3200" s="13">
        <f>F3200*1000</f>
        <v/>
      </c>
      <c r="I3200" s="14">
        <f>G3200-273.15</f>
        <v/>
      </c>
      <c r="K3200" s="15" t="n">
        <v>2009</v>
      </c>
      <c r="L3200" s="15" t="n">
        <v>11</v>
      </c>
      <c r="M3200" s="15" t="n">
        <v>16</v>
      </c>
      <c r="N3200" s="16" t="n">
        <v>2.743515895e-06</v>
      </c>
      <c r="O3200" s="11" t="n">
        <v>281.3176694</v>
      </c>
      <c r="P3200" s="13">
        <f>N3200*86400</f>
        <v/>
      </c>
      <c r="Q3200" s="14">
        <f>O3200-273.15</f>
        <v/>
      </c>
    </row>
    <row r="3201">
      <c r="A3201" s="9" t="n">
        <v>40088</v>
      </c>
      <c r="B3201" s="7">
        <f>YEAR(A3201)</f>
        <v/>
      </c>
      <c r="C3201" s="7">
        <f>MONTH(A3201)</f>
        <v/>
      </c>
      <c r="D3201" s="10" t="n">
        <v>0.1106610345</v>
      </c>
      <c r="E3201" s="11" t="n">
        <v>9.789649862999999</v>
      </c>
      <c r="F3201" s="12" t="n">
        <v>0</v>
      </c>
      <c r="G3201" s="11" t="n">
        <v>286.1297001</v>
      </c>
      <c r="H3201" s="13">
        <f>F3201*1000</f>
        <v/>
      </c>
      <c r="I3201" s="14">
        <f>G3201-273.15</f>
        <v/>
      </c>
      <c r="K3201" s="15" t="n">
        <v>2009</v>
      </c>
      <c r="L3201" s="15" t="n">
        <v>11</v>
      </c>
      <c r="M3201" s="15" t="n">
        <v>17</v>
      </c>
      <c r="N3201" s="16" t="n">
        <v>1.164026701e-05</v>
      </c>
      <c r="O3201" s="11" t="n">
        <v>282.5675158</v>
      </c>
      <c r="P3201" s="13">
        <f>N3201*86400</f>
        <v/>
      </c>
      <c r="Q3201" s="14">
        <f>O3201-273.15</f>
        <v/>
      </c>
    </row>
    <row r="3202">
      <c r="A3202" s="9" t="n">
        <v>40089</v>
      </c>
      <c r="B3202" s="7">
        <f>YEAR(A3202)</f>
        <v/>
      </c>
      <c r="C3202" s="7">
        <f>MONTH(A3202)</f>
        <v/>
      </c>
      <c r="D3202" s="10" t="n">
        <v>0</v>
      </c>
      <c r="E3202" s="11" t="n">
        <v>8.148376609</v>
      </c>
      <c r="F3202" s="12" t="n">
        <v>0</v>
      </c>
      <c r="G3202" s="11" t="n">
        <v>284.4966514</v>
      </c>
      <c r="H3202" s="13">
        <f>F3202*1000</f>
        <v/>
      </c>
      <c r="I3202" s="14">
        <f>G3202-273.15</f>
        <v/>
      </c>
      <c r="K3202" s="15" t="n">
        <v>2009</v>
      </c>
      <c r="L3202" s="15" t="n">
        <v>11</v>
      </c>
      <c r="M3202" s="15" t="n">
        <v>18</v>
      </c>
      <c r="N3202" s="16" t="n">
        <v>0</v>
      </c>
      <c r="O3202" s="11" t="n">
        <v>281.0664157</v>
      </c>
      <c r="P3202" s="13">
        <f>N3202*86400</f>
        <v/>
      </c>
      <c r="Q3202" s="14">
        <f>O3202-273.15</f>
        <v/>
      </c>
    </row>
    <row r="3203">
      <c r="A3203" s="9" t="n">
        <v>40090</v>
      </c>
      <c r="B3203" s="7">
        <f>YEAR(A3203)</f>
        <v/>
      </c>
      <c r="C3203" s="7">
        <f>MONTH(A3203)</f>
        <v/>
      </c>
      <c r="D3203" s="10" t="n">
        <v>15.20750477</v>
      </c>
      <c r="E3203" s="11" t="n">
        <v>8.0915044</v>
      </c>
      <c r="F3203" s="12" t="n">
        <v>0.009350440675</v>
      </c>
      <c r="G3203" s="11" t="n">
        <v>284.466782</v>
      </c>
      <c r="H3203" s="13">
        <f>F3203*1000</f>
        <v/>
      </c>
      <c r="I3203" s="14">
        <f>G3203-273.15</f>
        <v/>
      </c>
      <c r="K3203" s="15" t="n">
        <v>2009</v>
      </c>
      <c r="L3203" s="15" t="n">
        <v>11</v>
      </c>
      <c r="M3203" s="15" t="n">
        <v>19</v>
      </c>
      <c r="N3203" s="16" t="n">
        <v>7.051786857e-06</v>
      </c>
      <c r="O3203" s="11" t="n">
        <v>282.014772</v>
      </c>
      <c r="P3203" s="13">
        <f>N3203*86400</f>
        <v/>
      </c>
      <c r="Q3203" s="14">
        <f>O3203-273.15</f>
        <v/>
      </c>
    </row>
    <row r="3204">
      <c r="A3204" s="9" t="n">
        <v>40091</v>
      </c>
      <c r="B3204" s="7">
        <f>YEAR(A3204)</f>
        <v/>
      </c>
      <c r="C3204" s="7">
        <f>MONTH(A3204)</f>
        <v/>
      </c>
      <c r="D3204" s="10" t="n">
        <v>0</v>
      </c>
      <c r="E3204" s="11" t="n">
        <v>6.721476648</v>
      </c>
      <c r="F3204" s="12" t="n">
        <v>0.0004218181248</v>
      </c>
      <c r="G3204" s="11" t="n">
        <v>283.4732633</v>
      </c>
      <c r="H3204" s="13">
        <f>F3204*1000</f>
        <v/>
      </c>
      <c r="I3204" s="14">
        <f>G3204-273.15</f>
        <v/>
      </c>
      <c r="K3204" s="15" t="n">
        <v>2009</v>
      </c>
      <c r="L3204" s="15" t="n">
        <v>11</v>
      </c>
      <c r="M3204" s="15" t="n">
        <v>20</v>
      </c>
      <c r="N3204" s="16" t="n">
        <v>4.06171045e-06</v>
      </c>
      <c r="O3204" s="11" t="n">
        <v>282.2012937</v>
      </c>
      <c r="P3204" s="13">
        <f>N3204*86400</f>
        <v/>
      </c>
      <c r="Q3204" s="14">
        <f>O3204-273.15</f>
        <v/>
      </c>
    </row>
    <row r="3205">
      <c r="A3205" s="9" t="n">
        <v>40092</v>
      </c>
      <c r="B3205" s="7">
        <f>YEAR(A3205)</f>
        <v/>
      </c>
      <c r="C3205" s="7">
        <f>MONTH(A3205)</f>
        <v/>
      </c>
      <c r="D3205" s="10" t="n">
        <v>0</v>
      </c>
      <c r="E3205" s="11" t="n">
        <v>6.702900087</v>
      </c>
      <c r="F3205" s="12" t="n">
        <v>0</v>
      </c>
      <c r="G3205" s="11" t="n">
        <v>282.6602529</v>
      </c>
      <c r="H3205" s="13">
        <f>F3205*1000</f>
        <v/>
      </c>
      <c r="I3205" s="14">
        <f>G3205-273.15</f>
        <v/>
      </c>
      <c r="K3205" s="15" t="n">
        <v>2009</v>
      </c>
      <c r="L3205" s="15" t="n">
        <v>11</v>
      </c>
      <c r="M3205" s="15" t="n">
        <v>21</v>
      </c>
      <c r="N3205" s="16" t="n">
        <v>0</v>
      </c>
      <c r="O3205" s="11" t="n">
        <v>282.06108</v>
      </c>
      <c r="P3205" s="13">
        <f>N3205*86400</f>
        <v/>
      </c>
      <c r="Q3205" s="14">
        <f>O3205-273.15</f>
        <v/>
      </c>
    </row>
    <row r="3206">
      <c r="A3206" s="9" t="n">
        <v>40093</v>
      </c>
      <c r="B3206" s="7">
        <f>YEAR(A3206)</f>
        <v/>
      </c>
      <c r="C3206" s="7">
        <f>MONTH(A3206)</f>
        <v/>
      </c>
      <c r="D3206" s="10" t="n">
        <v>0</v>
      </c>
      <c r="E3206" s="11" t="n">
        <v>8.639628852</v>
      </c>
      <c r="F3206" s="12" t="n">
        <v>0</v>
      </c>
      <c r="G3206" s="11" t="n">
        <v>284.4524046</v>
      </c>
      <c r="H3206" s="13">
        <f>F3206*1000</f>
        <v/>
      </c>
      <c r="I3206" s="14">
        <f>G3206-273.15</f>
        <v/>
      </c>
      <c r="K3206" s="15" t="n">
        <v>2009</v>
      </c>
      <c r="L3206" s="15" t="n">
        <v>11</v>
      </c>
      <c r="M3206" s="15" t="n">
        <v>22</v>
      </c>
      <c r="N3206" s="16" t="n">
        <v>0</v>
      </c>
      <c r="O3206" s="11" t="n">
        <v>280.8221609</v>
      </c>
      <c r="P3206" s="13">
        <f>N3206*86400</f>
        <v/>
      </c>
      <c r="Q3206" s="14">
        <f>O3206-273.15</f>
        <v/>
      </c>
    </row>
    <row r="3207">
      <c r="A3207" s="9" t="n">
        <v>40094</v>
      </c>
      <c r="B3207" s="7">
        <f>YEAR(A3207)</f>
        <v/>
      </c>
      <c r="C3207" s="7">
        <f>MONTH(A3207)</f>
        <v/>
      </c>
      <c r="D3207" s="10" t="n">
        <v>0</v>
      </c>
      <c r="E3207" s="11" t="n">
        <v>7.31094436</v>
      </c>
      <c r="F3207" s="12" t="n">
        <v>0</v>
      </c>
      <c r="G3207" s="11" t="n">
        <v>284.0784279</v>
      </c>
      <c r="H3207" s="13">
        <f>F3207*1000</f>
        <v/>
      </c>
      <c r="I3207" s="14">
        <f>G3207-273.15</f>
        <v/>
      </c>
      <c r="K3207" s="15" t="n">
        <v>2009</v>
      </c>
      <c r="L3207" s="15" t="n">
        <v>11</v>
      </c>
      <c r="M3207" s="15" t="n">
        <v>23</v>
      </c>
      <c r="N3207" s="16" t="n">
        <v>0</v>
      </c>
      <c r="O3207" s="11" t="n">
        <v>279.1890749</v>
      </c>
      <c r="P3207" s="13">
        <f>N3207*86400</f>
        <v/>
      </c>
      <c r="Q3207" s="14">
        <f>O3207-273.15</f>
        <v/>
      </c>
    </row>
    <row r="3208">
      <c r="A3208" s="9" t="n">
        <v>40095</v>
      </c>
      <c r="B3208" s="7">
        <f>YEAR(A3208)</f>
        <v/>
      </c>
      <c r="C3208" s="7">
        <f>MONTH(A3208)</f>
        <v/>
      </c>
      <c r="D3208" s="10" t="n">
        <v>0</v>
      </c>
      <c r="E3208" s="11" t="n">
        <v>8.510493682</v>
      </c>
      <c r="F3208" s="12" t="n">
        <v>0</v>
      </c>
      <c r="G3208" s="11" t="n">
        <v>284.7239108</v>
      </c>
      <c r="H3208" s="13">
        <f>F3208*1000</f>
        <v/>
      </c>
      <c r="I3208" s="14">
        <f>G3208-273.15</f>
        <v/>
      </c>
      <c r="K3208" s="15" t="n">
        <v>2009</v>
      </c>
      <c r="L3208" s="15" t="n">
        <v>11</v>
      </c>
      <c r="M3208" s="15" t="n">
        <v>24</v>
      </c>
      <c r="N3208" s="16" t="n">
        <v>0</v>
      </c>
      <c r="O3208" s="11" t="n">
        <v>281.5019437</v>
      </c>
      <c r="P3208" s="13">
        <f>N3208*86400</f>
        <v/>
      </c>
      <c r="Q3208" s="14">
        <f>O3208-273.15</f>
        <v/>
      </c>
    </row>
    <row r="3209">
      <c r="A3209" s="9" t="n">
        <v>40096</v>
      </c>
      <c r="B3209" s="7">
        <f>YEAR(A3209)</f>
        <v/>
      </c>
      <c r="C3209" s="7">
        <f>MONTH(A3209)</f>
        <v/>
      </c>
      <c r="D3209" s="10" t="n">
        <v>0</v>
      </c>
      <c r="E3209" s="11" t="n">
        <v>7.212525596</v>
      </c>
      <c r="F3209" s="12" t="n">
        <v>0</v>
      </c>
      <c r="G3209" s="11" t="n">
        <v>282.3722349</v>
      </c>
      <c r="H3209" s="13">
        <f>F3209*1000</f>
        <v/>
      </c>
      <c r="I3209" s="14">
        <f>G3209-273.15</f>
        <v/>
      </c>
      <c r="K3209" s="15" t="n">
        <v>2009</v>
      </c>
      <c r="L3209" s="15" t="n">
        <v>11</v>
      </c>
      <c r="M3209" s="15" t="n">
        <v>25</v>
      </c>
      <c r="N3209" s="16" t="n">
        <v>0</v>
      </c>
      <c r="O3209" s="11" t="n">
        <v>282.1875617</v>
      </c>
      <c r="P3209" s="13">
        <f>N3209*86400</f>
        <v/>
      </c>
      <c r="Q3209" s="14">
        <f>O3209-273.15</f>
        <v/>
      </c>
    </row>
    <row r="3210">
      <c r="A3210" s="9" t="n">
        <v>40097</v>
      </c>
      <c r="B3210" s="7">
        <f>YEAR(A3210)</f>
        <v/>
      </c>
      <c r="C3210" s="7">
        <f>MONTH(A3210)</f>
        <v/>
      </c>
      <c r="D3210" s="10" t="n">
        <v>0</v>
      </c>
      <c r="E3210" s="11" t="n">
        <v>6.011612577</v>
      </c>
      <c r="F3210" s="12" t="n">
        <v>0</v>
      </c>
      <c r="G3210" s="11" t="n">
        <v>281.0317938</v>
      </c>
      <c r="H3210" s="13">
        <f>F3210*1000</f>
        <v/>
      </c>
      <c r="I3210" s="14">
        <f>G3210-273.15</f>
        <v/>
      </c>
      <c r="K3210" s="15" t="n">
        <v>2009</v>
      </c>
      <c r="L3210" s="15" t="n">
        <v>11</v>
      </c>
      <c r="M3210" s="15" t="n">
        <v>26</v>
      </c>
      <c r="N3210" s="16" t="n">
        <v>4.217008012e-08</v>
      </c>
      <c r="O3210" s="11" t="n">
        <v>281.1780473</v>
      </c>
      <c r="P3210" s="13">
        <f>N3210*86400</f>
        <v/>
      </c>
      <c r="Q3210" s="14">
        <f>O3210-273.15</f>
        <v/>
      </c>
    </row>
    <row r="3211">
      <c r="A3211" s="9" t="n">
        <v>40098</v>
      </c>
      <c r="B3211" s="7">
        <f>YEAR(A3211)</f>
        <v/>
      </c>
      <c r="C3211" s="7">
        <f>MONTH(A3211)</f>
        <v/>
      </c>
      <c r="D3211" s="10" t="n">
        <v>0</v>
      </c>
      <c r="E3211" s="11" t="n">
        <v>5.340786662</v>
      </c>
      <c r="F3211" s="12" t="n">
        <v>0</v>
      </c>
      <c r="G3211" s="11" t="n">
        <v>280.8752705</v>
      </c>
      <c r="H3211" s="13">
        <f>F3211*1000</f>
        <v/>
      </c>
      <c r="I3211" s="14">
        <f>G3211-273.15</f>
        <v/>
      </c>
      <c r="K3211" s="15" t="n">
        <v>2009</v>
      </c>
      <c r="L3211" s="15" t="n">
        <v>11</v>
      </c>
      <c r="M3211" s="15" t="n">
        <v>27</v>
      </c>
      <c r="N3211" s="16" t="n">
        <v>3.850933964e-06</v>
      </c>
      <c r="O3211" s="11" t="n">
        <v>281.4951861</v>
      </c>
      <c r="P3211" s="13">
        <f>N3211*86400</f>
        <v/>
      </c>
      <c r="Q3211" s="14">
        <f>O3211-273.15</f>
        <v/>
      </c>
    </row>
    <row r="3212">
      <c r="A3212" s="9" t="n">
        <v>40099</v>
      </c>
      <c r="B3212" s="7">
        <f>YEAR(A3212)</f>
        <v/>
      </c>
      <c r="C3212" s="7">
        <f>MONTH(A3212)</f>
        <v/>
      </c>
      <c r="D3212" s="10" t="n">
        <v>0</v>
      </c>
      <c r="E3212" s="11" t="n">
        <v>6.950463279</v>
      </c>
      <c r="F3212" s="12" t="n">
        <v>0</v>
      </c>
      <c r="G3212" s="11" t="n">
        <v>283.4604762</v>
      </c>
      <c r="H3212" s="13">
        <f>F3212*1000</f>
        <v/>
      </c>
      <c r="I3212" s="14">
        <f>G3212-273.15</f>
        <v/>
      </c>
      <c r="K3212" s="15" t="n">
        <v>2009</v>
      </c>
      <c r="L3212" s="15" t="n">
        <v>11</v>
      </c>
      <c r="M3212" s="15" t="n">
        <v>28</v>
      </c>
      <c r="N3212" s="16" t="n">
        <v>0</v>
      </c>
      <c r="O3212" s="11" t="n">
        <v>280.2937451</v>
      </c>
      <c r="P3212" s="13">
        <f>N3212*86400</f>
        <v/>
      </c>
      <c r="Q3212" s="14">
        <f>O3212-273.15</f>
        <v/>
      </c>
    </row>
    <row r="3213">
      <c r="A3213" s="9" t="n">
        <v>40100</v>
      </c>
      <c r="B3213" s="7">
        <f>YEAR(A3213)</f>
        <v/>
      </c>
      <c r="C3213" s="7">
        <f>MONTH(A3213)</f>
        <v/>
      </c>
      <c r="D3213" s="10" t="n">
        <v>0</v>
      </c>
      <c r="E3213" s="11" t="n">
        <v>7.014473073</v>
      </c>
      <c r="F3213" s="12" t="n">
        <v>0</v>
      </c>
      <c r="G3213" s="11" t="n">
        <v>283.4897319</v>
      </c>
      <c r="H3213" s="13">
        <f>F3213*1000</f>
        <v/>
      </c>
      <c r="I3213" s="14">
        <f>G3213-273.15</f>
        <v/>
      </c>
      <c r="K3213" s="15" t="n">
        <v>2009</v>
      </c>
      <c r="L3213" s="15" t="n">
        <v>11</v>
      </c>
      <c r="M3213" s="15" t="n">
        <v>29</v>
      </c>
      <c r="N3213" s="16" t="n">
        <v>2.866547415e-06</v>
      </c>
      <c r="O3213" s="11" t="n">
        <v>283.8356628</v>
      </c>
      <c r="P3213" s="13">
        <f>N3213*86400</f>
        <v/>
      </c>
      <c r="Q3213" s="14">
        <f>O3213-273.15</f>
        <v/>
      </c>
    </row>
    <row r="3214">
      <c r="A3214" s="9" t="n">
        <v>40101</v>
      </c>
      <c r="B3214" s="7">
        <f>YEAR(A3214)</f>
        <v/>
      </c>
      <c r="C3214" s="7">
        <f>MONTH(A3214)</f>
        <v/>
      </c>
      <c r="D3214" s="10" t="n">
        <v>0</v>
      </c>
      <c r="E3214" s="11" t="n">
        <v>8.691800831</v>
      </c>
      <c r="F3214" s="12" t="n">
        <v>2.302320979e-05</v>
      </c>
      <c r="G3214" s="11" t="n">
        <v>284.9365552</v>
      </c>
      <c r="H3214" s="13">
        <f>F3214*1000</f>
        <v/>
      </c>
      <c r="I3214" s="14">
        <f>G3214-273.15</f>
        <v/>
      </c>
      <c r="K3214" s="15" t="n">
        <v>2009</v>
      </c>
      <c r="L3214" s="15" t="n">
        <v>11</v>
      </c>
      <c r="M3214" s="15" t="n">
        <v>30</v>
      </c>
      <c r="N3214" s="16" t="n">
        <v>0</v>
      </c>
      <c r="O3214" s="11" t="n">
        <v>281.1218736</v>
      </c>
      <c r="P3214" s="13">
        <f>N3214*86400</f>
        <v/>
      </c>
      <c r="Q3214" s="14">
        <f>O3214-273.15</f>
        <v/>
      </c>
    </row>
    <row r="3215">
      <c r="A3215" s="9" t="n">
        <v>40102</v>
      </c>
      <c r="B3215" s="7">
        <f>YEAR(A3215)</f>
        <v/>
      </c>
      <c r="C3215" s="7">
        <f>MONTH(A3215)</f>
        <v/>
      </c>
      <c r="D3215" s="10" t="n">
        <v>0</v>
      </c>
      <c r="E3215" s="11" t="n">
        <v>6.20982317</v>
      </c>
      <c r="F3215" s="12" t="n">
        <v>0</v>
      </c>
      <c r="G3215" s="11" t="n">
        <v>281.7952361</v>
      </c>
      <c r="H3215" s="13">
        <f>F3215*1000</f>
        <v/>
      </c>
      <c r="I3215" s="14">
        <f>G3215-273.15</f>
        <v/>
      </c>
      <c r="K3215" s="15" t="n">
        <v>2009</v>
      </c>
      <c r="L3215" s="15" t="n">
        <v>12</v>
      </c>
      <c r="M3215" s="15" t="n">
        <v>1</v>
      </c>
      <c r="N3215" s="16" t="n">
        <v>0</v>
      </c>
      <c r="O3215" s="11" t="n">
        <v>282.3268131</v>
      </c>
      <c r="P3215" s="13">
        <f>N3215*86400</f>
        <v/>
      </c>
      <c r="Q3215" s="14">
        <f>O3215-273.15</f>
        <v/>
      </c>
    </row>
    <row r="3216">
      <c r="A3216" s="9" t="n">
        <v>40103</v>
      </c>
      <c r="B3216" s="7">
        <f>YEAR(A3216)</f>
        <v/>
      </c>
      <c r="C3216" s="7">
        <f>MONTH(A3216)</f>
        <v/>
      </c>
      <c r="D3216" s="10" t="n">
        <v>0</v>
      </c>
      <c r="E3216" s="11" t="n">
        <v>5.080237281</v>
      </c>
      <c r="F3216" s="12" t="n">
        <v>0</v>
      </c>
      <c r="G3216" s="11" t="n">
        <v>280.6112636</v>
      </c>
      <c r="H3216" s="13">
        <f>F3216*1000</f>
        <v/>
      </c>
      <c r="I3216" s="14">
        <f>G3216-273.15</f>
        <v/>
      </c>
      <c r="K3216" s="15" t="n">
        <v>2009</v>
      </c>
      <c r="L3216" s="15" t="n">
        <v>12</v>
      </c>
      <c r="M3216" s="15" t="n">
        <v>2</v>
      </c>
      <c r="N3216" s="16" t="n">
        <v>0</v>
      </c>
      <c r="O3216" s="11" t="n">
        <v>281.6220751</v>
      </c>
      <c r="P3216" s="13">
        <f>N3216*86400</f>
        <v/>
      </c>
      <c r="Q3216" s="14">
        <f>O3216-273.15</f>
        <v/>
      </c>
    </row>
    <row r="3217">
      <c r="A3217" s="9" t="n">
        <v>40104</v>
      </c>
      <c r="B3217" s="7">
        <f>YEAR(A3217)</f>
        <v/>
      </c>
      <c r="C3217" s="7">
        <f>MONTH(A3217)</f>
        <v/>
      </c>
      <c r="D3217" s="10" t="n">
        <v>0</v>
      </c>
      <c r="E3217" s="11" t="n">
        <v>6.305294705</v>
      </c>
      <c r="F3217" s="12" t="n">
        <v>0</v>
      </c>
      <c r="G3217" s="11" t="n">
        <v>281.5502952</v>
      </c>
      <c r="H3217" s="13">
        <f>F3217*1000</f>
        <v/>
      </c>
      <c r="I3217" s="14">
        <f>G3217-273.15</f>
        <v/>
      </c>
      <c r="K3217" s="15" t="n">
        <v>2009</v>
      </c>
      <c r="L3217" s="15" t="n">
        <v>12</v>
      </c>
      <c r="M3217" s="15" t="n">
        <v>3</v>
      </c>
      <c r="N3217" s="16" t="n">
        <v>0</v>
      </c>
      <c r="O3217" s="11" t="n">
        <v>283.0721148</v>
      </c>
      <c r="P3217" s="13">
        <f>N3217*86400</f>
        <v/>
      </c>
      <c r="Q3217" s="14">
        <f>O3217-273.15</f>
        <v/>
      </c>
    </row>
    <row r="3218">
      <c r="A3218" s="9" t="n">
        <v>40105</v>
      </c>
      <c r="B3218" s="7">
        <f>YEAR(A3218)</f>
        <v/>
      </c>
      <c r="C3218" s="7">
        <f>MONTH(A3218)</f>
        <v/>
      </c>
      <c r="D3218" s="10" t="n">
        <v>0.7423914223</v>
      </c>
      <c r="E3218" s="11" t="n">
        <v>5.172094179</v>
      </c>
      <c r="F3218" s="12" t="n">
        <v>0.003218019895</v>
      </c>
      <c r="G3218" s="11" t="n">
        <v>279.505111</v>
      </c>
      <c r="H3218" s="13">
        <f>F3218*1000</f>
        <v/>
      </c>
      <c r="I3218" s="14">
        <f>G3218-273.15</f>
        <v/>
      </c>
      <c r="K3218" s="15" t="n">
        <v>2009</v>
      </c>
      <c r="L3218" s="15" t="n">
        <v>12</v>
      </c>
      <c r="M3218" s="15" t="n">
        <v>4</v>
      </c>
      <c r="N3218" s="16" t="n">
        <v>0</v>
      </c>
      <c r="O3218" s="11" t="n">
        <v>282.0056849</v>
      </c>
      <c r="P3218" s="13">
        <f>N3218*86400</f>
        <v/>
      </c>
      <c r="Q3218" s="14">
        <f>O3218-273.15</f>
        <v/>
      </c>
    </row>
    <row r="3219">
      <c r="A3219" s="9" t="n">
        <v>40106</v>
      </c>
      <c r="B3219" s="7">
        <f>YEAR(A3219)</f>
        <v/>
      </c>
      <c r="C3219" s="7">
        <f>MONTH(A3219)</f>
        <v/>
      </c>
      <c r="D3219" s="10" t="n">
        <v>14.64540138</v>
      </c>
      <c r="E3219" s="11" t="n">
        <v>4.676564173</v>
      </c>
      <c r="F3219" s="12" t="n">
        <v>0.00728738922</v>
      </c>
      <c r="G3219" s="11" t="n">
        <v>278.760381</v>
      </c>
      <c r="H3219" s="13">
        <f>F3219*1000</f>
        <v/>
      </c>
      <c r="I3219" s="14">
        <f>G3219-273.15</f>
        <v/>
      </c>
      <c r="K3219" s="15" t="n">
        <v>2009</v>
      </c>
      <c r="L3219" s="15" t="n">
        <v>12</v>
      </c>
      <c r="M3219" s="15" t="n">
        <v>5</v>
      </c>
      <c r="N3219" s="16" t="n">
        <v>2.495284827e-06</v>
      </c>
      <c r="O3219" s="11" t="n">
        <v>281.0314174</v>
      </c>
      <c r="P3219" s="13">
        <f>N3219*86400</f>
        <v/>
      </c>
      <c r="Q3219" s="14">
        <f>O3219-273.15</f>
        <v/>
      </c>
    </row>
    <row r="3220">
      <c r="A3220" s="9" t="n">
        <v>40107</v>
      </c>
      <c r="B3220" s="7">
        <f>YEAR(A3220)</f>
        <v/>
      </c>
      <c r="C3220" s="7">
        <f>MONTH(A3220)</f>
        <v/>
      </c>
      <c r="D3220" s="10" t="n">
        <v>0</v>
      </c>
      <c r="E3220" s="11" t="n">
        <v>4.986588013</v>
      </c>
      <c r="F3220" s="12" t="n">
        <v>0</v>
      </c>
      <c r="G3220" s="11" t="n">
        <v>279.2992933</v>
      </c>
      <c r="H3220" s="13">
        <f>F3220*1000</f>
        <v/>
      </c>
      <c r="I3220" s="14">
        <f>G3220-273.15</f>
        <v/>
      </c>
      <c r="K3220" s="15" t="n">
        <v>2009</v>
      </c>
      <c r="L3220" s="15" t="n">
        <v>12</v>
      </c>
      <c r="M3220" s="15" t="n">
        <v>6</v>
      </c>
      <c r="N3220" s="16" t="n">
        <v>0</v>
      </c>
      <c r="O3220" s="11" t="n">
        <v>281.2881592</v>
      </c>
      <c r="P3220" s="13">
        <f>N3220*86400</f>
        <v/>
      </c>
      <c r="Q3220" s="14">
        <f>O3220-273.15</f>
        <v/>
      </c>
    </row>
    <row r="3221">
      <c r="A3221" s="9" t="n">
        <v>40108</v>
      </c>
      <c r="B3221" s="7">
        <f>YEAR(A3221)</f>
        <v/>
      </c>
      <c r="C3221" s="7">
        <f>MONTH(A3221)</f>
        <v/>
      </c>
      <c r="D3221" s="10" t="n">
        <v>1.556199493</v>
      </c>
      <c r="E3221" s="11" t="n">
        <v>4.922950224</v>
      </c>
      <c r="F3221" s="12" t="n">
        <v>0.001117149452</v>
      </c>
      <c r="G3221" s="11" t="n">
        <v>280.4760069</v>
      </c>
      <c r="H3221" s="13">
        <f>F3221*1000</f>
        <v/>
      </c>
      <c r="I3221" s="14">
        <f>G3221-273.15</f>
        <v/>
      </c>
      <c r="K3221" s="15" t="n">
        <v>2009</v>
      </c>
      <c r="L3221" s="15" t="n">
        <v>12</v>
      </c>
      <c r="M3221" s="15" t="n">
        <v>7</v>
      </c>
      <c r="N3221" s="16" t="n">
        <v>0</v>
      </c>
      <c r="O3221" s="11" t="n">
        <v>280.9804747</v>
      </c>
      <c r="P3221" s="13">
        <f>N3221*86400</f>
        <v/>
      </c>
      <c r="Q3221" s="14">
        <f>O3221-273.15</f>
        <v/>
      </c>
    </row>
    <row r="3222">
      <c r="A3222" s="9" t="n">
        <v>40109</v>
      </c>
      <c r="B3222" s="7">
        <f>YEAR(A3222)</f>
        <v/>
      </c>
      <c r="C3222" s="7">
        <f>MONTH(A3222)</f>
        <v/>
      </c>
      <c r="D3222" s="10" t="n">
        <v>4.640941233</v>
      </c>
      <c r="E3222" s="11" t="n">
        <v>4.139073045</v>
      </c>
      <c r="F3222" s="12" t="n">
        <v>0.004750682913</v>
      </c>
      <c r="G3222" s="11" t="n">
        <v>279.7883037</v>
      </c>
      <c r="H3222" s="13">
        <f>F3222*1000</f>
        <v/>
      </c>
      <c r="I3222" s="14">
        <f>G3222-273.15</f>
        <v/>
      </c>
      <c r="K3222" s="15" t="n">
        <v>2009</v>
      </c>
      <c r="L3222" s="15" t="n">
        <v>12</v>
      </c>
      <c r="M3222" s="15" t="n">
        <v>8</v>
      </c>
      <c r="N3222" s="16" t="n">
        <v>0</v>
      </c>
      <c r="O3222" s="11" t="n">
        <v>280.9116282</v>
      </c>
      <c r="P3222" s="13">
        <f>N3222*86400</f>
        <v/>
      </c>
      <c r="Q3222" s="14">
        <f>O3222-273.15</f>
        <v/>
      </c>
    </row>
    <row r="3223">
      <c r="A3223" s="9" t="n">
        <v>40110</v>
      </c>
      <c r="B3223" s="7">
        <f>YEAR(A3223)</f>
        <v/>
      </c>
      <c r="C3223" s="7">
        <f>MONTH(A3223)</f>
        <v/>
      </c>
      <c r="D3223" s="10" t="n">
        <v>0</v>
      </c>
      <c r="E3223" s="11" t="n">
        <v>2.476140676</v>
      </c>
      <c r="F3223" s="12" t="n">
        <v>0.001371101485</v>
      </c>
      <c r="G3223" s="11" t="n">
        <v>278.337152</v>
      </c>
      <c r="H3223" s="13">
        <f>F3223*1000</f>
        <v/>
      </c>
      <c r="I3223" s="14">
        <f>G3223-273.15</f>
        <v/>
      </c>
      <c r="K3223" s="15" t="n">
        <v>2009</v>
      </c>
      <c r="L3223" s="15" t="n">
        <v>12</v>
      </c>
      <c r="M3223" s="15" t="n">
        <v>9</v>
      </c>
      <c r="N3223" s="16" t="n">
        <v>2.566671346e-06</v>
      </c>
      <c r="O3223" s="11" t="n">
        <v>277.1781946</v>
      </c>
      <c r="P3223" s="13">
        <f>N3223*86400</f>
        <v/>
      </c>
      <c r="Q3223" s="14">
        <f>O3223-273.15</f>
        <v/>
      </c>
    </row>
    <row r="3224">
      <c r="A3224" s="9" t="n">
        <v>40111</v>
      </c>
      <c r="B3224" s="7">
        <f>YEAR(A3224)</f>
        <v/>
      </c>
      <c r="C3224" s="7">
        <f>MONTH(A3224)</f>
        <v/>
      </c>
      <c r="D3224" s="10" t="n">
        <v>0</v>
      </c>
      <c r="E3224" s="11" t="n">
        <v>2.709684042</v>
      </c>
      <c r="F3224" s="12" t="n">
        <v>0.001184711836</v>
      </c>
      <c r="G3224" s="11" t="n">
        <v>278.5508903</v>
      </c>
      <c r="H3224" s="13">
        <f>F3224*1000</f>
        <v/>
      </c>
      <c r="I3224" s="14">
        <f>G3224-273.15</f>
        <v/>
      </c>
      <c r="K3224" s="15" t="n">
        <v>2009</v>
      </c>
      <c r="L3224" s="15" t="n">
        <v>12</v>
      </c>
      <c r="M3224" s="15" t="n">
        <v>10</v>
      </c>
      <c r="N3224" s="16" t="n">
        <v>0</v>
      </c>
      <c r="O3224" s="11" t="n">
        <v>276.8897173</v>
      </c>
      <c r="P3224" s="13">
        <f>N3224*86400</f>
        <v/>
      </c>
      <c r="Q3224" s="14">
        <f>O3224-273.15</f>
        <v/>
      </c>
    </row>
    <row r="3225">
      <c r="A3225" s="9" t="n">
        <v>40112</v>
      </c>
      <c r="B3225" s="7">
        <f>YEAR(A3225)</f>
        <v/>
      </c>
      <c r="C3225" s="7">
        <f>MONTH(A3225)</f>
        <v/>
      </c>
      <c r="D3225" s="10" t="n">
        <v>0</v>
      </c>
      <c r="E3225" s="11" t="n">
        <v>5.537683143</v>
      </c>
      <c r="F3225" s="12" t="n">
        <v>0.0006786933304</v>
      </c>
      <c r="G3225" s="11" t="n">
        <v>281.0398638</v>
      </c>
      <c r="H3225" s="13">
        <f>F3225*1000</f>
        <v/>
      </c>
      <c r="I3225" s="14">
        <f>G3225-273.15</f>
        <v/>
      </c>
      <c r="K3225" s="15" t="n">
        <v>2009</v>
      </c>
      <c r="L3225" s="15" t="n">
        <v>12</v>
      </c>
      <c r="M3225" s="15" t="n">
        <v>11</v>
      </c>
      <c r="N3225" s="16" t="n">
        <v>0</v>
      </c>
      <c r="O3225" s="11" t="n">
        <v>276.6601355</v>
      </c>
      <c r="P3225" s="13">
        <f>N3225*86400</f>
        <v/>
      </c>
      <c r="Q3225" s="14">
        <f>O3225-273.15</f>
        <v/>
      </c>
    </row>
    <row r="3226">
      <c r="A3226" s="9" t="n">
        <v>40113</v>
      </c>
      <c r="B3226" s="7">
        <f>YEAR(A3226)</f>
        <v/>
      </c>
      <c r="C3226" s="7">
        <f>MONTH(A3226)</f>
        <v/>
      </c>
      <c r="D3226" s="10" t="n">
        <v>0</v>
      </c>
      <c r="E3226" s="11" t="n">
        <v>4.753376003</v>
      </c>
      <c r="F3226" s="12" t="n">
        <v>0.00240512697</v>
      </c>
      <c r="G3226" s="11" t="n">
        <v>279.5628461</v>
      </c>
      <c r="H3226" s="13">
        <f>F3226*1000</f>
        <v/>
      </c>
      <c r="I3226" s="14">
        <f>G3226-273.15</f>
        <v/>
      </c>
      <c r="K3226" s="15" t="n">
        <v>2009</v>
      </c>
      <c r="L3226" s="15" t="n">
        <v>12</v>
      </c>
      <c r="M3226" s="15" t="n">
        <v>12</v>
      </c>
      <c r="N3226" s="16" t="n">
        <v>3.211088239e-05</v>
      </c>
      <c r="O3226" s="11" t="n">
        <v>277.2266726</v>
      </c>
      <c r="P3226" s="13">
        <f>N3226*86400</f>
        <v/>
      </c>
      <c r="Q3226" s="14">
        <f>O3226-273.15</f>
        <v/>
      </c>
    </row>
    <row r="3227">
      <c r="A3227" s="9" t="n">
        <v>40114</v>
      </c>
      <c r="B3227" s="7">
        <f>YEAR(A3227)</f>
        <v/>
      </c>
      <c r="C3227" s="7">
        <f>MONTH(A3227)</f>
        <v/>
      </c>
      <c r="D3227" s="10" t="n">
        <v>0</v>
      </c>
      <c r="E3227" s="11" t="n">
        <v>4.896690046</v>
      </c>
      <c r="F3227" s="12" t="n">
        <v>0.0001391415158</v>
      </c>
      <c r="G3227" s="11" t="n">
        <v>280.477622</v>
      </c>
      <c r="H3227" s="13">
        <f>F3227*1000</f>
        <v/>
      </c>
      <c r="I3227" s="14">
        <f>G3227-273.15</f>
        <v/>
      </c>
      <c r="K3227" s="15" t="n">
        <v>2009</v>
      </c>
      <c r="L3227" s="15" t="n">
        <v>12</v>
      </c>
      <c r="M3227" s="15" t="n">
        <v>13</v>
      </c>
      <c r="N3227" s="16" t="n">
        <v>3.260380016e-06</v>
      </c>
      <c r="O3227" s="11" t="n">
        <v>277.0864394</v>
      </c>
      <c r="P3227" s="13">
        <f>N3227*86400</f>
        <v/>
      </c>
      <c r="Q3227" s="14">
        <f>O3227-273.15</f>
        <v/>
      </c>
    </row>
    <row r="3228">
      <c r="A3228" s="9" t="n">
        <v>40115</v>
      </c>
      <c r="B3228" s="7">
        <f>YEAR(A3228)</f>
        <v/>
      </c>
      <c r="C3228" s="7">
        <f>MONTH(A3228)</f>
        <v/>
      </c>
      <c r="D3228" s="10" t="n">
        <v>0</v>
      </c>
      <c r="E3228" s="11" t="n">
        <v>6.552069608</v>
      </c>
      <c r="F3228" s="12" t="n">
        <v>0</v>
      </c>
      <c r="G3228" s="11" t="n">
        <v>281.4815298</v>
      </c>
      <c r="H3228" s="13">
        <f>F3228*1000</f>
        <v/>
      </c>
      <c r="I3228" s="14">
        <f>G3228-273.15</f>
        <v/>
      </c>
      <c r="K3228" s="15" t="n">
        <v>2009</v>
      </c>
      <c r="L3228" s="15" t="n">
        <v>12</v>
      </c>
      <c r="M3228" s="15" t="n">
        <v>14</v>
      </c>
      <c r="N3228" s="16" t="n">
        <v>8.672985458e-07</v>
      </c>
      <c r="O3228" s="11" t="n">
        <v>277.6816363</v>
      </c>
      <c r="P3228" s="13">
        <f>N3228*86400</f>
        <v/>
      </c>
      <c r="Q3228" s="14">
        <f>O3228-273.15</f>
        <v/>
      </c>
    </row>
    <row r="3229">
      <c r="A3229" s="9" t="n">
        <v>40116</v>
      </c>
      <c r="B3229" s="7">
        <f>YEAR(A3229)</f>
        <v/>
      </c>
      <c r="C3229" s="7">
        <f>MONTH(A3229)</f>
        <v/>
      </c>
      <c r="D3229" s="10" t="n">
        <v>0</v>
      </c>
      <c r="E3229" s="11" t="n">
        <v>7.282305945</v>
      </c>
      <c r="F3229" s="12" t="n">
        <v>0</v>
      </c>
      <c r="G3229" s="11" t="n">
        <v>281.8335205</v>
      </c>
      <c r="H3229" s="13">
        <f>F3229*1000</f>
        <v/>
      </c>
      <c r="I3229" s="14">
        <f>G3229-273.15</f>
        <v/>
      </c>
      <c r="K3229" s="15" t="n">
        <v>2009</v>
      </c>
      <c r="L3229" s="15" t="n">
        <v>12</v>
      </c>
      <c r="M3229" s="15" t="n">
        <v>15</v>
      </c>
      <c r="N3229" s="16" t="n">
        <v>9.640805055000001e-09</v>
      </c>
      <c r="O3229" s="11" t="n">
        <v>278.9508669</v>
      </c>
      <c r="P3229" s="13">
        <f>N3229*86400</f>
        <v/>
      </c>
      <c r="Q3229" s="14">
        <f>O3229-273.15</f>
        <v/>
      </c>
    </row>
    <row r="3230">
      <c r="A3230" s="9" t="n">
        <v>40117</v>
      </c>
      <c r="B3230" s="7">
        <f>YEAR(A3230)</f>
        <v/>
      </c>
      <c r="C3230" s="7">
        <f>MONTH(A3230)</f>
        <v/>
      </c>
      <c r="D3230" s="10" t="n">
        <v>0</v>
      </c>
      <c r="E3230" s="11" t="n">
        <v>6.145717186</v>
      </c>
      <c r="F3230" s="12" t="n">
        <v>0</v>
      </c>
      <c r="G3230" s="11" t="n">
        <v>280.5830882</v>
      </c>
      <c r="H3230" s="13">
        <f>F3230*1000</f>
        <v/>
      </c>
      <c r="I3230" s="14">
        <f>G3230-273.15</f>
        <v/>
      </c>
      <c r="K3230" s="15" t="n">
        <v>2009</v>
      </c>
      <c r="L3230" s="15" t="n">
        <v>12</v>
      </c>
      <c r="M3230" s="15" t="n">
        <v>16</v>
      </c>
      <c r="N3230" s="16" t="n">
        <v>2.997334137e-07</v>
      </c>
      <c r="O3230" s="11" t="n">
        <v>278.4955605</v>
      </c>
      <c r="P3230" s="13">
        <f>N3230*86400</f>
        <v/>
      </c>
      <c r="Q3230" s="14">
        <f>O3230-273.15</f>
        <v/>
      </c>
    </row>
    <row r="3231">
      <c r="A3231" s="9" t="n">
        <v>40118</v>
      </c>
      <c r="B3231" s="7">
        <f>YEAR(A3231)</f>
        <v/>
      </c>
      <c r="C3231" s="7">
        <f>MONTH(A3231)</f>
        <v/>
      </c>
      <c r="D3231" s="10" t="n">
        <v>0</v>
      </c>
      <c r="E3231" s="11" t="n">
        <v>6.637312807</v>
      </c>
      <c r="F3231" s="12" t="n">
        <v>0.001133338216</v>
      </c>
      <c r="G3231" s="11" t="n">
        <v>281.1553668</v>
      </c>
      <c r="H3231" s="13">
        <f>F3231*1000</f>
        <v/>
      </c>
      <c r="I3231" s="14">
        <f>G3231-273.15</f>
        <v/>
      </c>
      <c r="K3231" s="15" t="n">
        <v>2009</v>
      </c>
      <c r="L3231" s="15" t="n">
        <v>12</v>
      </c>
      <c r="M3231" s="15" t="n">
        <v>17</v>
      </c>
      <c r="N3231" s="16" t="n">
        <v>0</v>
      </c>
      <c r="O3231" s="11" t="n">
        <v>279.3749319</v>
      </c>
      <c r="P3231" s="13">
        <f>N3231*86400</f>
        <v/>
      </c>
      <c r="Q3231" s="14">
        <f>O3231-273.15</f>
        <v/>
      </c>
    </row>
    <row r="3232">
      <c r="A3232" s="9" t="n">
        <v>40119</v>
      </c>
      <c r="B3232" s="7">
        <f>YEAR(A3232)</f>
        <v/>
      </c>
      <c r="C3232" s="7">
        <f>MONTH(A3232)</f>
        <v/>
      </c>
      <c r="D3232" s="10" t="n">
        <v>0</v>
      </c>
      <c r="E3232" s="11" t="n">
        <v>6.055404153</v>
      </c>
      <c r="F3232" s="12" t="n">
        <v>0.0001354296095</v>
      </c>
      <c r="G3232" s="11" t="n">
        <v>281.1075784</v>
      </c>
      <c r="H3232" s="13">
        <f>F3232*1000</f>
        <v/>
      </c>
      <c r="I3232" s="14">
        <f>G3232-273.15</f>
        <v/>
      </c>
      <c r="K3232" s="15" t="n">
        <v>2009</v>
      </c>
      <c r="L3232" s="15" t="n">
        <v>12</v>
      </c>
      <c r="M3232" s="15" t="n">
        <v>18</v>
      </c>
      <c r="N3232" s="16" t="n">
        <v>0</v>
      </c>
      <c r="O3232" s="11" t="n">
        <v>279.8535992</v>
      </c>
      <c r="P3232" s="13">
        <f>N3232*86400</f>
        <v/>
      </c>
      <c r="Q3232" s="14">
        <f>O3232-273.15</f>
        <v/>
      </c>
    </row>
    <row r="3233">
      <c r="A3233" s="9" t="n">
        <v>40120</v>
      </c>
      <c r="B3233" s="7">
        <f>YEAR(A3233)</f>
        <v/>
      </c>
      <c r="C3233" s="7">
        <f>MONTH(A3233)</f>
        <v/>
      </c>
      <c r="D3233" s="10" t="n">
        <v>0</v>
      </c>
      <c r="E3233" s="11" t="n">
        <v>7.814301296</v>
      </c>
      <c r="F3233" s="12" t="n">
        <v>0.0001093574402</v>
      </c>
      <c r="G3233" s="11" t="n">
        <v>281.2885184</v>
      </c>
      <c r="H3233" s="13">
        <f>F3233*1000</f>
        <v/>
      </c>
      <c r="I3233" s="14">
        <f>G3233-273.15</f>
        <v/>
      </c>
      <c r="K3233" s="15" t="n">
        <v>2009</v>
      </c>
      <c r="L3233" s="15" t="n">
        <v>12</v>
      </c>
      <c r="M3233" s="15" t="n">
        <v>19</v>
      </c>
      <c r="N3233" s="16" t="n">
        <v>0</v>
      </c>
      <c r="O3233" s="11" t="n">
        <v>280.1121855</v>
      </c>
      <c r="P3233" s="13">
        <f>N3233*86400</f>
        <v/>
      </c>
      <c r="Q3233" s="14">
        <f>O3233-273.15</f>
        <v/>
      </c>
    </row>
    <row r="3234">
      <c r="A3234" s="9" t="n">
        <v>40121</v>
      </c>
      <c r="B3234" s="7">
        <f>YEAR(A3234)</f>
        <v/>
      </c>
      <c r="C3234" s="7">
        <f>MONTH(A3234)</f>
        <v/>
      </c>
      <c r="D3234" s="10" t="n">
        <v>0</v>
      </c>
      <c r="E3234" s="11" t="n">
        <v>5.918467948</v>
      </c>
      <c r="F3234" s="12" t="n">
        <v>0.0008629921071</v>
      </c>
      <c r="G3234" s="11" t="n">
        <v>279.4630247</v>
      </c>
      <c r="H3234" s="13">
        <f>F3234*1000</f>
        <v/>
      </c>
      <c r="I3234" s="14">
        <f>G3234-273.15</f>
        <v/>
      </c>
      <c r="K3234" s="15" t="n">
        <v>2009</v>
      </c>
      <c r="L3234" s="15" t="n">
        <v>12</v>
      </c>
      <c r="M3234" s="15" t="n">
        <v>20</v>
      </c>
      <c r="N3234" s="16" t="n">
        <v>2.634216392e-06</v>
      </c>
      <c r="O3234" s="11" t="n">
        <v>281.2641659</v>
      </c>
      <c r="P3234" s="13">
        <f>N3234*86400</f>
        <v/>
      </c>
      <c r="Q3234" s="14">
        <f>O3234-273.15</f>
        <v/>
      </c>
    </row>
    <row r="3235">
      <c r="A3235" s="9" t="n">
        <v>40122</v>
      </c>
      <c r="B3235" s="7">
        <f>YEAR(A3235)</f>
        <v/>
      </c>
      <c r="C3235" s="7">
        <f>MONTH(A3235)</f>
        <v/>
      </c>
      <c r="D3235" s="10" t="n">
        <v>0</v>
      </c>
      <c r="E3235" s="11" t="n">
        <v>4.821708736</v>
      </c>
      <c r="F3235" s="12" t="n">
        <v>0.002439622451</v>
      </c>
      <c r="G3235" s="11" t="n">
        <v>279.4039054</v>
      </c>
      <c r="H3235" s="13">
        <f>F3235*1000</f>
        <v/>
      </c>
      <c r="I3235" s="14">
        <f>G3235-273.15</f>
        <v/>
      </c>
      <c r="K3235" s="15" t="n">
        <v>2009</v>
      </c>
      <c r="L3235" s="15" t="n">
        <v>12</v>
      </c>
      <c r="M3235" s="15" t="n">
        <v>21</v>
      </c>
      <c r="N3235" s="16" t="n">
        <v>3.675719594e-05</v>
      </c>
      <c r="O3235" s="11" t="n">
        <v>280.9192995</v>
      </c>
      <c r="P3235" s="13">
        <f>N3235*86400</f>
        <v/>
      </c>
      <c r="Q3235" s="14">
        <f>O3235-273.15</f>
        <v/>
      </c>
    </row>
    <row r="3236">
      <c r="A3236" s="9" t="n">
        <v>40123</v>
      </c>
      <c r="B3236" s="7">
        <f>YEAR(A3236)</f>
        <v/>
      </c>
      <c r="C3236" s="7">
        <f>MONTH(A3236)</f>
        <v/>
      </c>
      <c r="D3236" s="10" t="n">
        <v>0</v>
      </c>
      <c r="E3236" s="11" t="n">
        <v>2.48006379</v>
      </c>
      <c r="F3236" s="12" t="n">
        <v>0</v>
      </c>
      <c r="G3236" s="11" t="n">
        <v>277.9571828</v>
      </c>
      <c r="H3236" s="13">
        <f>F3236*1000</f>
        <v/>
      </c>
      <c r="I3236" s="14">
        <f>G3236-273.15</f>
        <v/>
      </c>
      <c r="K3236" s="15" t="n">
        <v>2009</v>
      </c>
      <c r="L3236" s="15" t="n">
        <v>12</v>
      </c>
      <c r="M3236" s="15" t="n">
        <v>22</v>
      </c>
      <c r="N3236" s="16" t="n">
        <v>1.875537856e-05</v>
      </c>
      <c r="O3236" s="11" t="n">
        <v>281.1432193</v>
      </c>
      <c r="P3236" s="13">
        <f>N3236*86400</f>
        <v/>
      </c>
      <c r="Q3236" s="14">
        <f>O3236-273.15</f>
        <v/>
      </c>
    </row>
    <row r="3237">
      <c r="A3237" s="9" t="n">
        <v>40124</v>
      </c>
      <c r="B3237" s="7">
        <f>YEAR(A3237)</f>
        <v/>
      </c>
      <c r="C3237" s="7">
        <f>MONTH(A3237)</f>
        <v/>
      </c>
      <c r="D3237" s="10" t="n">
        <v>0</v>
      </c>
      <c r="E3237" s="11" t="n">
        <v>4.734094293</v>
      </c>
      <c r="F3237" s="12" t="n">
        <v>0</v>
      </c>
      <c r="G3237" s="11" t="n">
        <v>280.3555855</v>
      </c>
      <c r="H3237" s="13">
        <f>F3237*1000</f>
        <v/>
      </c>
      <c r="I3237" s="14">
        <f>G3237-273.15</f>
        <v/>
      </c>
      <c r="K3237" s="15" t="n">
        <v>2009</v>
      </c>
      <c r="L3237" s="15" t="n">
        <v>12</v>
      </c>
      <c r="M3237" s="15" t="n">
        <v>23</v>
      </c>
      <c r="N3237" s="16" t="n">
        <v>3.639509434e-06</v>
      </c>
      <c r="O3237" s="11" t="n">
        <v>283.2258584</v>
      </c>
      <c r="P3237" s="13">
        <f>N3237*86400</f>
        <v/>
      </c>
      <c r="Q3237" s="14">
        <f>O3237-273.15</f>
        <v/>
      </c>
    </row>
    <row r="3238">
      <c r="A3238" s="9" t="n">
        <v>40125</v>
      </c>
      <c r="B3238" s="7">
        <f>YEAR(A3238)</f>
        <v/>
      </c>
      <c r="C3238" s="7">
        <f>MONTH(A3238)</f>
        <v/>
      </c>
      <c r="D3238" s="10" t="n">
        <v>0</v>
      </c>
      <c r="E3238" s="11" t="n">
        <v>6.103219308</v>
      </c>
      <c r="F3238" s="12" t="n">
        <v>2.739992559e-05</v>
      </c>
      <c r="G3238" s="11" t="n">
        <v>280.4422441</v>
      </c>
      <c r="H3238" s="13">
        <f>F3238*1000</f>
        <v/>
      </c>
      <c r="I3238" s="14">
        <f>G3238-273.15</f>
        <v/>
      </c>
      <c r="K3238" s="15" t="n">
        <v>2009</v>
      </c>
      <c r="L3238" s="15" t="n">
        <v>12</v>
      </c>
      <c r="M3238" s="15" t="n">
        <v>24</v>
      </c>
      <c r="N3238" s="16" t="n">
        <v>0</v>
      </c>
      <c r="O3238" s="11" t="n">
        <v>280.4461853</v>
      </c>
      <c r="P3238" s="13">
        <f>N3238*86400</f>
        <v/>
      </c>
      <c r="Q3238" s="14">
        <f>O3238-273.15</f>
        <v/>
      </c>
    </row>
    <row r="3239">
      <c r="A3239" s="9" t="n">
        <v>40126</v>
      </c>
      <c r="B3239" s="7">
        <f>YEAR(A3239)</f>
        <v/>
      </c>
      <c r="C3239" s="7">
        <f>MONTH(A3239)</f>
        <v/>
      </c>
      <c r="D3239" s="10" t="n">
        <v>0</v>
      </c>
      <c r="E3239" s="11" t="n">
        <v>4.281270737</v>
      </c>
      <c r="F3239" s="12" t="n">
        <v>0.001001920104</v>
      </c>
      <c r="G3239" s="11" t="n">
        <v>278.834382</v>
      </c>
      <c r="H3239" s="13">
        <f>F3239*1000</f>
        <v/>
      </c>
      <c r="I3239" s="14">
        <f>G3239-273.15</f>
        <v/>
      </c>
      <c r="K3239" s="15" t="n">
        <v>2009</v>
      </c>
      <c r="L3239" s="15" t="n">
        <v>12</v>
      </c>
      <c r="M3239" s="15" t="n">
        <v>25</v>
      </c>
      <c r="N3239" s="16" t="n">
        <v>0</v>
      </c>
      <c r="O3239" s="11" t="n">
        <v>281.2496515</v>
      </c>
      <c r="P3239" s="13">
        <f>N3239*86400</f>
        <v/>
      </c>
      <c r="Q3239" s="14">
        <f>O3239-273.15</f>
        <v/>
      </c>
    </row>
    <row r="3240">
      <c r="A3240" s="9" t="n">
        <v>40127</v>
      </c>
      <c r="B3240" s="7">
        <f>YEAR(A3240)</f>
        <v/>
      </c>
      <c r="C3240" s="7">
        <f>MONTH(A3240)</f>
        <v/>
      </c>
      <c r="D3240" s="10" t="n">
        <v>0</v>
      </c>
      <c r="E3240" s="11" t="n">
        <v>2.969578963</v>
      </c>
      <c r="F3240" s="12" t="n">
        <v>0</v>
      </c>
      <c r="G3240" s="11" t="n">
        <v>278.7914232</v>
      </c>
      <c r="H3240" s="13">
        <f>F3240*1000</f>
        <v/>
      </c>
      <c r="I3240" s="14">
        <f>G3240-273.15</f>
        <v/>
      </c>
      <c r="K3240" s="15" t="n">
        <v>2009</v>
      </c>
      <c r="L3240" s="15" t="n">
        <v>12</v>
      </c>
      <c r="M3240" s="15" t="n">
        <v>26</v>
      </c>
      <c r="N3240" s="16" t="n">
        <v>0</v>
      </c>
      <c r="O3240" s="11" t="n">
        <v>280.7449403</v>
      </c>
      <c r="P3240" s="13">
        <f>N3240*86400</f>
        <v/>
      </c>
      <c r="Q3240" s="14">
        <f>O3240-273.15</f>
        <v/>
      </c>
    </row>
    <row r="3241">
      <c r="A3241" s="9" t="n">
        <v>40128</v>
      </c>
      <c r="B3241" s="7">
        <f>YEAR(A3241)</f>
        <v/>
      </c>
      <c r="C3241" s="7">
        <f>MONTH(A3241)</f>
        <v/>
      </c>
      <c r="D3241" s="10" t="n">
        <v>0</v>
      </c>
      <c r="E3241" s="11" t="n">
        <v>5.164146651</v>
      </c>
      <c r="F3241" s="12" t="n">
        <v>0</v>
      </c>
      <c r="G3241" s="11" t="n">
        <v>280.8114574</v>
      </c>
      <c r="H3241" s="13">
        <f>F3241*1000</f>
        <v/>
      </c>
      <c r="I3241" s="14">
        <f>G3241-273.15</f>
        <v/>
      </c>
      <c r="K3241" s="15" t="n">
        <v>2009</v>
      </c>
      <c r="L3241" s="15" t="n">
        <v>12</v>
      </c>
      <c r="M3241" s="15" t="n">
        <v>27</v>
      </c>
      <c r="N3241" s="16" t="n">
        <v>9.271221522e-07</v>
      </c>
      <c r="O3241" s="11" t="n">
        <v>282.1498441</v>
      </c>
      <c r="P3241" s="13">
        <f>N3241*86400</f>
        <v/>
      </c>
      <c r="Q3241" s="14">
        <f>O3241-273.15</f>
        <v/>
      </c>
    </row>
    <row r="3242">
      <c r="A3242" s="9" t="n">
        <v>40129</v>
      </c>
      <c r="B3242" s="7">
        <f>YEAR(A3242)</f>
        <v/>
      </c>
      <c r="C3242" s="7">
        <f>MONTH(A3242)</f>
        <v/>
      </c>
      <c r="D3242" s="10" t="n">
        <v>0</v>
      </c>
      <c r="E3242" s="11" t="n">
        <v>3.793240771</v>
      </c>
      <c r="F3242" s="12" t="n">
        <v>0</v>
      </c>
      <c r="G3242" s="11" t="n">
        <v>278.5012308</v>
      </c>
      <c r="H3242" s="13">
        <f>F3242*1000</f>
        <v/>
      </c>
      <c r="I3242" s="14">
        <f>G3242-273.15</f>
        <v/>
      </c>
      <c r="K3242" s="15" t="n">
        <v>2009</v>
      </c>
      <c r="L3242" s="15" t="n">
        <v>12</v>
      </c>
      <c r="M3242" s="15" t="n">
        <v>28</v>
      </c>
      <c r="N3242" s="16" t="n">
        <v>0</v>
      </c>
      <c r="O3242" s="11" t="n">
        <v>280.8076085</v>
      </c>
      <c r="P3242" s="13">
        <f>N3242*86400</f>
        <v/>
      </c>
      <c r="Q3242" s="14">
        <f>O3242-273.15</f>
        <v/>
      </c>
    </row>
    <row r="3243">
      <c r="A3243" s="9" t="n">
        <v>40130</v>
      </c>
      <c r="B3243" s="7">
        <f>YEAR(A3243)</f>
        <v/>
      </c>
      <c r="C3243" s="7">
        <f>MONTH(A3243)</f>
        <v/>
      </c>
      <c r="D3243" s="10" t="n">
        <v>0</v>
      </c>
      <c r="E3243" s="11" t="n">
        <v>3.882003034</v>
      </c>
      <c r="F3243" s="12" t="n">
        <v>0</v>
      </c>
      <c r="G3243" s="11" t="n">
        <v>279.0561033</v>
      </c>
      <c r="H3243" s="13">
        <f>F3243*1000</f>
        <v/>
      </c>
      <c r="I3243" s="14">
        <f>G3243-273.15</f>
        <v/>
      </c>
      <c r="K3243" s="15" t="n">
        <v>2009</v>
      </c>
      <c r="L3243" s="15" t="n">
        <v>12</v>
      </c>
      <c r="M3243" s="15" t="n">
        <v>29</v>
      </c>
      <c r="N3243" s="16" t="n">
        <v>0</v>
      </c>
      <c r="O3243" s="11" t="n">
        <v>281.2222012</v>
      </c>
      <c r="P3243" s="13">
        <f>N3243*86400</f>
        <v/>
      </c>
      <c r="Q3243" s="14">
        <f>O3243-273.15</f>
        <v/>
      </c>
    </row>
    <row r="3244">
      <c r="A3244" s="9" t="n">
        <v>40131</v>
      </c>
      <c r="B3244" s="7">
        <f>YEAR(A3244)</f>
        <v/>
      </c>
      <c r="C3244" s="7">
        <f>MONTH(A3244)</f>
        <v/>
      </c>
      <c r="D3244" s="10" t="n">
        <v>0</v>
      </c>
      <c r="E3244" s="11" t="n">
        <v>5.752164695</v>
      </c>
      <c r="F3244" s="12" t="n">
        <v>0</v>
      </c>
      <c r="G3244" s="11" t="n">
        <v>279.1576864</v>
      </c>
      <c r="H3244" s="13">
        <f>F3244*1000</f>
        <v/>
      </c>
      <c r="I3244" s="14">
        <f>G3244-273.15</f>
        <v/>
      </c>
      <c r="K3244" s="15" t="n">
        <v>2009</v>
      </c>
      <c r="L3244" s="15" t="n">
        <v>12</v>
      </c>
      <c r="M3244" s="15" t="n">
        <v>30</v>
      </c>
      <c r="N3244" s="16" t="n">
        <v>1.914783627e-06</v>
      </c>
      <c r="O3244" s="11" t="n">
        <v>282.0757454</v>
      </c>
      <c r="P3244" s="13">
        <f>N3244*86400</f>
        <v/>
      </c>
      <c r="Q3244" s="14">
        <f>O3244-273.15</f>
        <v/>
      </c>
    </row>
    <row r="3245">
      <c r="A3245" s="9" t="n">
        <v>40132</v>
      </c>
      <c r="B3245" s="7">
        <f>YEAR(A3245)</f>
        <v/>
      </c>
      <c r="C3245" s="7">
        <f>MONTH(A3245)</f>
        <v/>
      </c>
      <c r="D3245" s="10" t="n">
        <v>0</v>
      </c>
      <c r="E3245" s="11" t="n">
        <v>6.678300296</v>
      </c>
      <c r="F3245" s="12" t="n">
        <v>0.0002161734624</v>
      </c>
      <c r="G3245" s="11" t="n">
        <v>280.6478205</v>
      </c>
      <c r="H3245" s="13">
        <f>F3245*1000</f>
        <v/>
      </c>
      <c r="I3245" s="14">
        <f>G3245-273.15</f>
        <v/>
      </c>
      <c r="K3245" s="15" t="n">
        <v>2010</v>
      </c>
      <c r="L3245" s="15" t="n">
        <v>1</v>
      </c>
      <c r="M3245" s="15" t="n">
        <v>1</v>
      </c>
      <c r="N3245" s="16" t="n">
        <v>0</v>
      </c>
      <c r="O3245" s="11" t="n">
        <v>280.6862355</v>
      </c>
      <c r="P3245" s="13">
        <f>N3245*86400</f>
        <v/>
      </c>
      <c r="Q3245" s="14">
        <f>O3245-273.15</f>
        <v/>
      </c>
    </row>
    <row r="3246">
      <c r="A3246" s="9" t="n">
        <v>40133</v>
      </c>
      <c r="B3246" s="7">
        <f>YEAR(A3246)</f>
        <v/>
      </c>
      <c r="C3246" s="7">
        <f>MONTH(A3246)</f>
        <v/>
      </c>
      <c r="D3246" s="10" t="n">
        <v>2.235033092</v>
      </c>
      <c r="E3246" s="11" t="n">
        <v>5.616124428</v>
      </c>
      <c r="F3246" s="12" t="n">
        <v>0</v>
      </c>
      <c r="G3246" s="11" t="n">
        <v>280.1159224</v>
      </c>
      <c r="H3246" s="13">
        <f>F3246*1000</f>
        <v/>
      </c>
      <c r="I3246" s="14">
        <f>G3246-273.15</f>
        <v/>
      </c>
      <c r="K3246" s="15" t="n">
        <v>2010</v>
      </c>
      <c r="L3246" s="15" t="n">
        <v>1</v>
      </c>
      <c r="M3246" s="15" t="n">
        <v>2</v>
      </c>
      <c r="N3246" s="16" t="n">
        <v>0</v>
      </c>
      <c r="O3246" s="11" t="n">
        <v>280.3810413</v>
      </c>
      <c r="P3246" s="13">
        <f>N3246*86400</f>
        <v/>
      </c>
      <c r="Q3246" s="14">
        <f>O3246-273.15</f>
        <v/>
      </c>
    </row>
    <row r="3247">
      <c r="A3247" s="9" t="n">
        <v>40134</v>
      </c>
      <c r="B3247" s="7">
        <f>YEAR(A3247)</f>
        <v/>
      </c>
      <c r="C3247" s="7">
        <f>MONTH(A3247)</f>
        <v/>
      </c>
      <c r="D3247" s="10" t="n">
        <v>0</v>
      </c>
      <c r="E3247" s="11" t="n">
        <v>4.099930022</v>
      </c>
      <c r="F3247" s="12" t="n">
        <v>0.0005443389948</v>
      </c>
      <c r="G3247" s="11" t="n">
        <v>279.3483164</v>
      </c>
      <c r="H3247" s="13">
        <f>F3247*1000</f>
        <v/>
      </c>
      <c r="I3247" s="14">
        <f>G3247-273.15</f>
        <v/>
      </c>
      <c r="K3247" s="15" t="n">
        <v>2010</v>
      </c>
      <c r="L3247" s="15" t="n">
        <v>1</v>
      </c>
      <c r="M3247" s="15" t="n">
        <v>3</v>
      </c>
      <c r="N3247" s="16" t="n">
        <v>0</v>
      </c>
      <c r="O3247" s="11" t="n">
        <v>281.1425816</v>
      </c>
      <c r="P3247" s="13">
        <f>N3247*86400</f>
        <v/>
      </c>
      <c r="Q3247" s="14">
        <f>O3247-273.15</f>
        <v/>
      </c>
    </row>
    <row r="3248">
      <c r="A3248" s="9" t="n">
        <v>40135</v>
      </c>
      <c r="B3248" s="7">
        <f>YEAR(A3248)</f>
        <v/>
      </c>
      <c r="C3248" s="7">
        <f>MONTH(A3248)</f>
        <v/>
      </c>
      <c r="D3248" s="10" t="n">
        <v>0</v>
      </c>
      <c r="E3248" s="11" t="n">
        <v>5.020963165</v>
      </c>
      <c r="F3248" s="12" t="n">
        <v>0</v>
      </c>
      <c r="G3248" s="11" t="n">
        <v>279.7329179</v>
      </c>
      <c r="H3248" s="13">
        <f>F3248*1000</f>
        <v/>
      </c>
      <c r="I3248" s="14">
        <f>G3248-273.15</f>
        <v/>
      </c>
      <c r="K3248" s="15" t="n">
        <v>2010</v>
      </c>
      <c r="L3248" s="15" t="n">
        <v>1</v>
      </c>
      <c r="M3248" s="15" t="n">
        <v>4</v>
      </c>
      <c r="N3248" s="16" t="n">
        <v>8.163303013e-07</v>
      </c>
      <c r="O3248" s="11" t="n">
        <v>281.3324826</v>
      </c>
      <c r="P3248" s="13">
        <f>N3248*86400</f>
        <v/>
      </c>
      <c r="Q3248" s="14">
        <f>O3248-273.15</f>
        <v/>
      </c>
    </row>
    <row r="3249">
      <c r="A3249" s="9" t="n">
        <v>40136</v>
      </c>
      <c r="B3249" s="7">
        <f>YEAR(A3249)</f>
        <v/>
      </c>
      <c r="C3249" s="7">
        <f>MONTH(A3249)</f>
        <v/>
      </c>
      <c r="D3249" s="10" t="n">
        <v>0.1901950956</v>
      </c>
      <c r="E3249" s="11" t="n">
        <v>3.370360576</v>
      </c>
      <c r="F3249" s="12" t="n">
        <v>0.0005259458643000001</v>
      </c>
      <c r="G3249" s="11" t="n">
        <v>279.0577113</v>
      </c>
      <c r="H3249" s="13">
        <f>F3249*1000</f>
        <v/>
      </c>
      <c r="I3249" s="14">
        <f>G3249-273.15</f>
        <v/>
      </c>
      <c r="K3249" s="15" t="n">
        <v>2010</v>
      </c>
      <c r="L3249" s="15" t="n">
        <v>1</v>
      </c>
      <c r="M3249" s="15" t="n">
        <v>5</v>
      </c>
      <c r="N3249" s="16" t="n">
        <v>2.740305961e-05</v>
      </c>
      <c r="O3249" s="11" t="n">
        <v>281.2256232</v>
      </c>
      <c r="P3249" s="13">
        <f>N3249*86400</f>
        <v/>
      </c>
      <c r="Q3249" s="14">
        <f>O3249-273.15</f>
        <v/>
      </c>
    </row>
    <row r="3250">
      <c r="A3250" s="9" t="n">
        <v>40137</v>
      </c>
      <c r="B3250" s="7">
        <f>YEAR(A3250)</f>
        <v/>
      </c>
      <c r="C3250" s="7">
        <f>MONTH(A3250)</f>
        <v/>
      </c>
      <c r="D3250" s="10" t="n">
        <v>0.4841575845</v>
      </c>
      <c r="E3250" s="11" t="n">
        <v>2.046919263</v>
      </c>
      <c r="F3250" s="12" t="n">
        <v>0.0007684746946</v>
      </c>
      <c r="G3250" s="11" t="n">
        <v>278.560989</v>
      </c>
      <c r="H3250" s="13">
        <f>F3250*1000</f>
        <v/>
      </c>
      <c r="I3250" s="14">
        <f>G3250-273.15</f>
        <v/>
      </c>
      <c r="K3250" s="15" t="n">
        <v>2010</v>
      </c>
      <c r="L3250" s="15" t="n">
        <v>1</v>
      </c>
      <c r="M3250" s="15" t="n">
        <v>6</v>
      </c>
      <c r="N3250" s="16" t="n">
        <v>1.321756581e-07</v>
      </c>
      <c r="O3250" s="11" t="n">
        <v>279.8178171</v>
      </c>
      <c r="P3250" s="13">
        <f>N3250*86400</f>
        <v/>
      </c>
      <c r="Q3250" s="14">
        <f>O3250-273.15</f>
        <v/>
      </c>
    </row>
    <row r="3251">
      <c r="A3251" s="9" t="n">
        <v>40138</v>
      </c>
      <c r="B3251" s="7">
        <f>YEAR(A3251)</f>
        <v/>
      </c>
      <c r="C3251" s="7">
        <f>MONTH(A3251)</f>
        <v/>
      </c>
      <c r="D3251" s="10" t="n">
        <v>4.98205756</v>
      </c>
      <c r="E3251" s="11" t="n">
        <v>3.898672683</v>
      </c>
      <c r="F3251" s="12" t="n">
        <v>6.851016589e-05</v>
      </c>
      <c r="G3251" s="11" t="n">
        <v>279.1910935</v>
      </c>
      <c r="H3251" s="13">
        <f>F3251*1000</f>
        <v/>
      </c>
      <c r="I3251" s="14">
        <f>G3251-273.15</f>
        <v/>
      </c>
      <c r="K3251" s="15" t="n">
        <v>2010</v>
      </c>
      <c r="L3251" s="15" t="n">
        <v>1</v>
      </c>
      <c r="M3251" s="15" t="n">
        <v>7</v>
      </c>
      <c r="N3251" s="16" t="n">
        <v>0</v>
      </c>
      <c r="O3251" s="11" t="n">
        <v>280.4517442</v>
      </c>
      <c r="P3251" s="13">
        <f>N3251*86400</f>
        <v/>
      </c>
      <c r="Q3251" s="14">
        <f>O3251-273.15</f>
        <v/>
      </c>
    </row>
    <row r="3252">
      <c r="A3252" s="9" t="n">
        <v>40139</v>
      </c>
      <c r="B3252" s="7">
        <f>YEAR(A3252)</f>
        <v/>
      </c>
      <c r="C3252" s="7">
        <f>MONTH(A3252)</f>
        <v/>
      </c>
      <c r="D3252" s="10" t="n">
        <v>0</v>
      </c>
      <c r="E3252" s="11" t="n">
        <v>1.343212322</v>
      </c>
      <c r="F3252" s="12" t="n">
        <v>0</v>
      </c>
      <c r="G3252" s="11" t="n">
        <v>276.1651784</v>
      </c>
      <c r="H3252" s="13">
        <f>F3252*1000</f>
        <v/>
      </c>
      <c r="I3252" s="14">
        <f>G3252-273.15</f>
        <v/>
      </c>
      <c r="K3252" s="15" t="n">
        <v>2010</v>
      </c>
      <c r="L3252" s="15" t="n">
        <v>1</v>
      </c>
      <c r="M3252" s="15" t="n">
        <v>8</v>
      </c>
      <c r="N3252" s="16" t="n">
        <v>0</v>
      </c>
      <c r="O3252" s="11" t="n">
        <v>282.1366171</v>
      </c>
      <c r="P3252" s="13">
        <f>N3252*86400</f>
        <v/>
      </c>
      <c r="Q3252" s="14">
        <f>O3252-273.15</f>
        <v/>
      </c>
    </row>
    <row r="3253">
      <c r="A3253" s="9" t="n">
        <v>40140</v>
      </c>
      <c r="B3253" s="7">
        <f>YEAR(A3253)</f>
        <v/>
      </c>
      <c r="C3253" s="7">
        <f>MONTH(A3253)</f>
        <v/>
      </c>
      <c r="D3253" s="10" t="n">
        <v>0</v>
      </c>
      <c r="E3253" s="11" t="n">
        <v>3.779155103</v>
      </c>
      <c r="F3253" s="12" t="n">
        <v>0</v>
      </c>
      <c r="G3253" s="11" t="n">
        <v>278.0114177</v>
      </c>
      <c r="H3253" s="13">
        <f>F3253*1000</f>
        <v/>
      </c>
      <c r="I3253" s="14">
        <f>G3253-273.15</f>
        <v/>
      </c>
      <c r="K3253" s="15" t="n">
        <v>2010</v>
      </c>
      <c r="L3253" s="15" t="n">
        <v>1</v>
      </c>
      <c r="M3253" s="15" t="n">
        <v>9</v>
      </c>
      <c r="N3253" s="16" t="n">
        <v>2.276788581e-07</v>
      </c>
      <c r="O3253" s="11" t="n">
        <v>280.372932</v>
      </c>
      <c r="P3253" s="13">
        <f>N3253*86400</f>
        <v/>
      </c>
      <c r="Q3253" s="14">
        <f>O3253-273.15</f>
        <v/>
      </c>
    </row>
    <row r="3254">
      <c r="A3254" s="9" t="n">
        <v>40141</v>
      </c>
      <c r="B3254" s="7">
        <f>YEAR(A3254)</f>
        <v/>
      </c>
      <c r="C3254" s="7">
        <f>MONTH(A3254)</f>
        <v/>
      </c>
      <c r="D3254" s="10" t="n">
        <v>0</v>
      </c>
      <c r="E3254" s="11" t="n">
        <v>5.859330887</v>
      </c>
      <c r="F3254" s="12" t="n">
        <v>0</v>
      </c>
      <c r="G3254" s="11" t="n">
        <v>281.1571534</v>
      </c>
      <c r="H3254" s="13">
        <f>F3254*1000</f>
        <v/>
      </c>
      <c r="I3254" s="14">
        <f>G3254-273.15</f>
        <v/>
      </c>
      <c r="K3254" s="15" t="n">
        <v>2010</v>
      </c>
      <c r="L3254" s="15" t="n">
        <v>1</v>
      </c>
      <c r="M3254" s="15" t="n">
        <v>10</v>
      </c>
      <c r="N3254" s="16" t="n">
        <v>0</v>
      </c>
      <c r="O3254" s="11" t="n">
        <v>280.0874843</v>
      </c>
      <c r="P3254" s="13">
        <f>N3254*86400</f>
        <v/>
      </c>
      <c r="Q3254" s="14">
        <f>O3254-273.15</f>
        <v/>
      </c>
    </row>
    <row r="3255">
      <c r="A3255" s="9" t="n">
        <v>40142</v>
      </c>
      <c r="B3255" s="7">
        <f>YEAR(A3255)</f>
        <v/>
      </c>
      <c r="C3255" s="7">
        <f>MONTH(A3255)</f>
        <v/>
      </c>
      <c r="D3255" s="10" t="n">
        <v>0</v>
      </c>
      <c r="E3255" s="11" t="n">
        <v>6.490229453</v>
      </c>
      <c r="F3255" s="12" t="n">
        <v>0.0003454327808</v>
      </c>
      <c r="G3255" s="11" t="n">
        <v>280.9689182</v>
      </c>
      <c r="H3255" s="13">
        <f>F3255*1000</f>
        <v/>
      </c>
      <c r="I3255" s="14">
        <f>G3255-273.15</f>
        <v/>
      </c>
      <c r="K3255" s="15" t="n">
        <v>2010</v>
      </c>
      <c r="L3255" s="15" t="n">
        <v>1</v>
      </c>
      <c r="M3255" s="15" t="n">
        <v>11</v>
      </c>
      <c r="N3255" s="16" t="n">
        <v>0</v>
      </c>
      <c r="O3255" s="11" t="n">
        <v>279.1297009</v>
      </c>
      <c r="P3255" s="13">
        <f>N3255*86400</f>
        <v/>
      </c>
      <c r="Q3255" s="14">
        <f>O3255-273.15</f>
        <v/>
      </c>
    </row>
    <row r="3256">
      <c r="A3256" s="9" t="n">
        <v>40143</v>
      </c>
      <c r="B3256" s="7">
        <f>YEAR(A3256)</f>
        <v/>
      </c>
      <c r="C3256" s="7">
        <f>MONTH(A3256)</f>
        <v/>
      </c>
      <c r="D3256" s="10" t="n">
        <v>0</v>
      </c>
      <c r="E3256" s="11" t="n">
        <v>6.357142423</v>
      </c>
      <c r="F3256" s="12" t="n">
        <v>0.0002725497058</v>
      </c>
      <c r="G3256" s="11" t="n">
        <v>280.7612873</v>
      </c>
      <c r="H3256" s="13">
        <f>F3256*1000</f>
        <v/>
      </c>
      <c r="I3256" s="14">
        <f>G3256-273.15</f>
        <v/>
      </c>
      <c r="K3256" s="15" t="n">
        <v>2010</v>
      </c>
      <c r="L3256" s="15" t="n">
        <v>1</v>
      </c>
      <c r="M3256" s="15" t="n">
        <v>12</v>
      </c>
      <c r="N3256" s="16" t="n">
        <v>4.045207814e-06</v>
      </c>
      <c r="O3256" s="11" t="n">
        <v>277.8135134</v>
      </c>
      <c r="P3256" s="13">
        <f>N3256*86400</f>
        <v/>
      </c>
      <c r="Q3256" s="14">
        <f>O3256-273.15</f>
        <v/>
      </c>
    </row>
    <row r="3257">
      <c r="A3257" s="9" t="n">
        <v>40144</v>
      </c>
      <c r="B3257" s="7">
        <f>YEAR(A3257)</f>
        <v/>
      </c>
      <c r="C3257" s="7">
        <f>MONTH(A3257)</f>
        <v/>
      </c>
      <c r="D3257" s="10" t="n">
        <v>0</v>
      </c>
      <c r="E3257" s="11" t="n">
        <v>5.712450612</v>
      </c>
      <c r="F3257" s="12" t="n">
        <v>0</v>
      </c>
      <c r="G3257" s="11" t="n">
        <v>280.3201179</v>
      </c>
      <c r="H3257" s="13">
        <f>F3257*1000</f>
        <v/>
      </c>
      <c r="I3257" s="14">
        <f>G3257-273.15</f>
        <v/>
      </c>
      <c r="K3257" s="15" t="n">
        <v>2010</v>
      </c>
      <c r="L3257" s="15" t="n">
        <v>1</v>
      </c>
      <c r="M3257" s="15" t="n">
        <v>13</v>
      </c>
      <c r="N3257" s="16" t="n">
        <v>8.110482778e-06</v>
      </c>
      <c r="O3257" s="11" t="n">
        <v>278.963789</v>
      </c>
      <c r="P3257" s="13">
        <f>N3257*86400</f>
        <v/>
      </c>
      <c r="Q3257" s="14">
        <f>O3257-273.15</f>
        <v/>
      </c>
    </row>
    <row r="3258">
      <c r="A3258" s="9" t="n">
        <v>40145</v>
      </c>
      <c r="B3258" s="7">
        <f>YEAR(A3258)</f>
        <v/>
      </c>
      <c r="C3258" s="7">
        <f>MONTH(A3258)</f>
        <v/>
      </c>
      <c r="D3258" s="10" t="n">
        <v>0</v>
      </c>
      <c r="E3258" s="11" t="n">
        <v>6.409636271</v>
      </c>
      <c r="F3258" s="12" t="n">
        <v>0</v>
      </c>
      <c r="G3258" s="11" t="n">
        <v>279.8945306</v>
      </c>
      <c r="H3258" s="13">
        <f>F3258*1000</f>
        <v/>
      </c>
      <c r="I3258" s="14">
        <f>G3258-273.15</f>
        <v/>
      </c>
      <c r="K3258" s="15" t="n">
        <v>2010</v>
      </c>
      <c r="L3258" s="15" t="n">
        <v>1</v>
      </c>
      <c r="M3258" s="15" t="n">
        <v>14</v>
      </c>
      <c r="N3258" s="16" t="n">
        <v>5.936039566e-05</v>
      </c>
      <c r="O3258" s="11" t="n">
        <v>279.220742</v>
      </c>
      <c r="P3258" s="13">
        <f>N3258*86400</f>
        <v/>
      </c>
      <c r="Q3258" s="14">
        <f>O3258-273.15</f>
        <v/>
      </c>
    </row>
    <row r="3259">
      <c r="A3259" s="9" t="n">
        <v>40146</v>
      </c>
      <c r="B3259" s="7">
        <f>YEAR(A3259)</f>
        <v/>
      </c>
      <c r="C3259" s="7">
        <f>MONTH(A3259)</f>
        <v/>
      </c>
      <c r="D3259" s="10" t="n">
        <v>0</v>
      </c>
      <c r="E3259" s="11" t="n">
        <v>6.571566943</v>
      </c>
      <c r="F3259" s="12" t="n">
        <v>0</v>
      </c>
      <c r="G3259" s="11" t="n">
        <v>280.9954055</v>
      </c>
      <c r="H3259" s="13">
        <f>F3259*1000</f>
        <v/>
      </c>
      <c r="I3259" s="14">
        <f>G3259-273.15</f>
        <v/>
      </c>
      <c r="K3259" s="15" t="n">
        <v>2010</v>
      </c>
      <c r="L3259" s="15" t="n">
        <v>1</v>
      </c>
      <c r="M3259" s="15" t="n">
        <v>15</v>
      </c>
      <c r="N3259" s="16" t="n">
        <v>6.982465343e-06</v>
      </c>
      <c r="O3259" s="11" t="n">
        <v>278.8246875</v>
      </c>
      <c r="P3259" s="13">
        <f>N3259*86400</f>
        <v/>
      </c>
      <c r="Q3259" s="14">
        <f>O3259-273.15</f>
        <v/>
      </c>
    </row>
    <row r="3260">
      <c r="A3260" s="9" t="n">
        <v>40147</v>
      </c>
      <c r="B3260" s="7">
        <f>YEAR(A3260)</f>
        <v/>
      </c>
      <c r="C3260" s="7">
        <f>MONTH(A3260)</f>
        <v/>
      </c>
      <c r="D3260" s="10" t="n">
        <v>0</v>
      </c>
      <c r="E3260" s="11" t="n">
        <v>5.499936215</v>
      </c>
      <c r="F3260" s="12" t="n">
        <v>0</v>
      </c>
      <c r="G3260" s="11" t="n">
        <v>280.7267165</v>
      </c>
      <c r="H3260" s="13">
        <f>F3260*1000</f>
        <v/>
      </c>
      <c r="I3260" s="14">
        <f>G3260-273.15</f>
        <v/>
      </c>
      <c r="K3260" s="15" t="n">
        <v>2010</v>
      </c>
      <c r="L3260" s="15" t="n">
        <v>1</v>
      </c>
      <c r="M3260" s="15" t="n">
        <v>16</v>
      </c>
      <c r="N3260" s="16" t="n">
        <v>7.946134622000001e-05</v>
      </c>
      <c r="O3260" s="11" t="n">
        <v>279.5266092</v>
      </c>
      <c r="P3260" s="13">
        <f>N3260*86400</f>
        <v/>
      </c>
      <c r="Q3260" s="14">
        <f>O3260-273.15</f>
        <v/>
      </c>
    </row>
    <row r="3261">
      <c r="A3261" s="9" t="n">
        <v>40148</v>
      </c>
      <c r="B3261" s="7">
        <f>YEAR(A3261)</f>
        <v/>
      </c>
      <c r="C3261" s="7">
        <f>MONTH(A3261)</f>
        <v/>
      </c>
      <c r="D3261" s="10" t="n">
        <v>0</v>
      </c>
      <c r="E3261" s="11" t="n">
        <v>7.26666514</v>
      </c>
      <c r="F3261" s="12" t="n">
        <v>0</v>
      </c>
      <c r="G3261" s="11" t="n">
        <v>282.0284006</v>
      </c>
      <c r="H3261" s="13">
        <f>F3261*1000</f>
        <v/>
      </c>
      <c r="I3261" s="14">
        <f>G3261-273.15</f>
        <v/>
      </c>
      <c r="K3261" s="15" t="n">
        <v>2010</v>
      </c>
      <c r="L3261" s="15" t="n">
        <v>1</v>
      </c>
      <c r="M3261" s="15" t="n">
        <v>17</v>
      </c>
      <c r="N3261" s="16" t="n">
        <v>6.318682612000001e-05</v>
      </c>
      <c r="O3261" s="11" t="n">
        <v>281.7412918</v>
      </c>
      <c r="P3261" s="13">
        <f>N3261*86400</f>
        <v/>
      </c>
      <c r="Q3261" s="14">
        <f>O3261-273.15</f>
        <v/>
      </c>
    </row>
    <row r="3262">
      <c r="A3262" s="9" t="n">
        <v>40149</v>
      </c>
      <c r="B3262" s="7">
        <f>YEAR(A3262)</f>
        <v/>
      </c>
      <c r="C3262" s="7">
        <f>MONTH(A3262)</f>
        <v/>
      </c>
      <c r="D3262" s="10" t="n">
        <v>0</v>
      </c>
      <c r="E3262" s="11" t="n">
        <v>7.60769662</v>
      </c>
      <c r="F3262" s="12" t="n">
        <v>0</v>
      </c>
      <c r="G3262" s="11" t="n">
        <v>282.6345004</v>
      </c>
      <c r="H3262" s="13">
        <f>F3262*1000</f>
        <v/>
      </c>
      <c r="I3262" s="14">
        <f>G3262-273.15</f>
        <v/>
      </c>
      <c r="K3262" s="15" t="n">
        <v>2010</v>
      </c>
      <c r="L3262" s="15" t="n">
        <v>1</v>
      </c>
      <c r="M3262" s="15" t="n">
        <v>18</v>
      </c>
      <c r="N3262" s="16" t="n">
        <v>0</v>
      </c>
      <c r="O3262" s="11" t="n">
        <v>281.028773</v>
      </c>
      <c r="P3262" s="13">
        <f>N3262*86400</f>
        <v/>
      </c>
      <c r="Q3262" s="14">
        <f>O3262-273.15</f>
        <v/>
      </c>
    </row>
    <row r="3263">
      <c r="A3263" s="9" t="n">
        <v>40150</v>
      </c>
      <c r="B3263" s="7">
        <f>YEAR(A3263)</f>
        <v/>
      </c>
      <c r="C3263" s="7">
        <f>MONTH(A3263)</f>
        <v/>
      </c>
      <c r="D3263" s="10" t="n">
        <v>0</v>
      </c>
      <c r="E3263" s="11" t="n">
        <v>6.722755811</v>
      </c>
      <c r="F3263" s="12" t="n">
        <v>0</v>
      </c>
      <c r="G3263" s="11" t="n">
        <v>281.9824291</v>
      </c>
      <c r="H3263" s="13">
        <f>F3263*1000</f>
        <v/>
      </c>
      <c r="I3263" s="14">
        <f>G3263-273.15</f>
        <v/>
      </c>
      <c r="K3263" s="15" t="n">
        <v>2010</v>
      </c>
      <c r="L3263" s="15" t="n">
        <v>1</v>
      </c>
      <c r="M3263" s="15" t="n">
        <v>19</v>
      </c>
      <c r="N3263" s="16" t="n">
        <v>0</v>
      </c>
      <c r="O3263" s="11" t="n">
        <v>278.3260231</v>
      </c>
      <c r="P3263" s="13">
        <f>N3263*86400</f>
        <v/>
      </c>
      <c r="Q3263" s="14">
        <f>O3263-273.15</f>
        <v/>
      </c>
    </row>
    <row r="3264">
      <c r="A3264" s="9" t="n">
        <v>40151</v>
      </c>
      <c r="B3264" s="7">
        <f>YEAR(A3264)</f>
        <v/>
      </c>
      <c r="C3264" s="7">
        <f>MONTH(A3264)</f>
        <v/>
      </c>
      <c r="D3264" s="10" t="n">
        <v>0</v>
      </c>
      <c r="E3264" s="11" t="n">
        <v>5.798718866</v>
      </c>
      <c r="F3264" s="12" t="n">
        <v>0</v>
      </c>
      <c r="G3264" s="11" t="n">
        <v>280.7386404</v>
      </c>
      <c r="H3264" s="13">
        <f>F3264*1000</f>
        <v/>
      </c>
      <c r="I3264" s="14">
        <f>G3264-273.15</f>
        <v/>
      </c>
      <c r="K3264" s="15" t="n">
        <v>2010</v>
      </c>
      <c r="L3264" s="15" t="n">
        <v>1</v>
      </c>
      <c r="M3264" s="15" t="n">
        <v>20</v>
      </c>
      <c r="N3264" s="16" t="n">
        <v>0</v>
      </c>
      <c r="O3264" s="11" t="n">
        <v>278.5783366</v>
      </c>
      <c r="P3264" s="13">
        <f>N3264*86400</f>
        <v/>
      </c>
      <c r="Q3264" s="14">
        <f>O3264-273.15</f>
        <v/>
      </c>
    </row>
    <row r="3265">
      <c r="A3265" s="9" t="n">
        <v>40152</v>
      </c>
      <c r="B3265" s="7">
        <f>YEAR(A3265)</f>
        <v/>
      </c>
      <c r="C3265" s="7">
        <f>MONTH(A3265)</f>
        <v/>
      </c>
      <c r="D3265" s="10" t="n">
        <v>0</v>
      </c>
      <c r="E3265" s="11" t="n">
        <v>2.580079758</v>
      </c>
      <c r="F3265" s="12" t="n">
        <v>0.0002586907664</v>
      </c>
      <c r="G3265" s="11" t="n">
        <v>277.2940148</v>
      </c>
      <c r="H3265" s="13">
        <f>F3265*1000</f>
        <v/>
      </c>
      <c r="I3265" s="14">
        <f>G3265-273.15</f>
        <v/>
      </c>
      <c r="K3265" s="15" t="n">
        <v>2010</v>
      </c>
      <c r="L3265" s="15" t="n">
        <v>1</v>
      </c>
      <c r="M3265" s="15" t="n">
        <v>21</v>
      </c>
      <c r="N3265" s="16" t="n">
        <v>2.605873081e-08</v>
      </c>
      <c r="O3265" s="11" t="n">
        <v>282.0998461</v>
      </c>
      <c r="P3265" s="13">
        <f>N3265*86400</f>
        <v/>
      </c>
      <c r="Q3265" s="14">
        <f>O3265-273.15</f>
        <v/>
      </c>
    </row>
    <row r="3266">
      <c r="A3266" s="9" t="n">
        <v>40153</v>
      </c>
      <c r="B3266" s="7">
        <f>YEAR(A3266)</f>
        <v/>
      </c>
      <c r="C3266" s="7">
        <f>MONTH(A3266)</f>
        <v/>
      </c>
      <c r="D3266" s="10" t="n">
        <v>0</v>
      </c>
      <c r="E3266" s="11" t="n">
        <v>1.516162297</v>
      </c>
      <c r="F3266" s="12" t="n">
        <v>8.597649257e-05</v>
      </c>
      <c r="G3266" s="11" t="n">
        <v>277.1266499</v>
      </c>
      <c r="H3266" s="13">
        <f>F3266*1000</f>
        <v/>
      </c>
      <c r="I3266" s="14">
        <f>G3266-273.15</f>
        <v/>
      </c>
      <c r="K3266" s="15" t="n">
        <v>2010</v>
      </c>
      <c r="L3266" s="15" t="n">
        <v>1</v>
      </c>
      <c r="M3266" s="15" t="n">
        <v>22</v>
      </c>
      <c r="N3266" s="16" t="n">
        <v>4.600119472e-08</v>
      </c>
      <c r="O3266" s="11" t="n">
        <v>281.7976312</v>
      </c>
      <c r="P3266" s="13">
        <f>N3266*86400</f>
        <v/>
      </c>
      <c r="Q3266" s="14">
        <f>O3266-273.15</f>
        <v/>
      </c>
    </row>
    <row r="3267">
      <c r="A3267" s="9" t="n">
        <v>40154</v>
      </c>
      <c r="B3267" s="7">
        <f>YEAR(A3267)</f>
        <v/>
      </c>
      <c r="C3267" s="7">
        <f>MONTH(A3267)</f>
        <v/>
      </c>
      <c r="D3267" s="10" t="n">
        <v>0</v>
      </c>
      <c r="E3267" s="11" t="n">
        <v>3.469569599</v>
      </c>
      <c r="F3267" s="12" t="n">
        <v>0</v>
      </c>
      <c r="G3267" s="11" t="n">
        <v>278.4406874</v>
      </c>
      <c r="H3267" s="13">
        <f>F3267*1000</f>
        <v/>
      </c>
      <c r="I3267" s="14">
        <f>G3267-273.15</f>
        <v/>
      </c>
      <c r="K3267" s="15" t="n">
        <v>2010</v>
      </c>
      <c r="L3267" s="15" t="n">
        <v>1</v>
      </c>
      <c r="M3267" s="15" t="n">
        <v>23</v>
      </c>
      <c r="N3267" s="16" t="n">
        <v>0</v>
      </c>
      <c r="O3267" s="11" t="n">
        <v>282.1316909</v>
      </c>
      <c r="P3267" s="13">
        <f>N3267*86400</f>
        <v/>
      </c>
      <c r="Q3267" s="14">
        <f>O3267-273.15</f>
        <v/>
      </c>
    </row>
    <row r="3268">
      <c r="A3268" s="9" t="n">
        <v>40155</v>
      </c>
      <c r="B3268" s="7">
        <f>YEAR(A3268)</f>
        <v/>
      </c>
      <c r="C3268" s="7">
        <f>MONTH(A3268)</f>
        <v/>
      </c>
      <c r="D3268" s="10" t="n">
        <v>0</v>
      </c>
      <c r="E3268" s="11" t="n">
        <v>4.174030033</v>
      </c>
      <c r="F3268" s="12" t="n">
        <v>0</v>
      </c>
      <c r="G3268" s="11" t="n">
        <v>279.3113837</v>
      </c>
      <c r="H3268" s="13">
        <f>F3268*1000</f>
        <v/>
      </c>
      <c r="I3268" s="14">
        <f>G3268-273.15</f>
        <v/>
      </c>
      <c r="K3268" s="15" t="n">
        <v>2010</v>
      </c>
      <c r="L3268" s="15" t="n">
        <v>1</v>
      </c>
      <c r="M3268" s="15" t="n">
        <v>24</v>
      </c>
      <c r="N3268" s="16" t="n">
        <v>1.53241341e-07</v>
      </c>
      <c r="O3268" s="11" t="n">
        <v>280.7225766</v>
      </c>
      <c r="P3268" s="13">
        <f>N3268*86400</f>
        <v/>
      </c>
      <c r="Q3268" s="14">
        <f>O3268-273.15</f>
        <v/>
      </c>
    </row>
    <row r="3269">
      <c r="A3269" s="9" t="n">
        <v>40156</v>
      </c>
      <c r="B3269" s="7">
        <f>YEAR(A3269)</f>
        <v/>
      </c>
      <c r="C3269" s="7">
        <f>MONTH(A3269)</f>
        <v/>
      </c>
      <c r="D3269" s="10" t="n">
        <v>0</v>
      </c>
      <c r="E3269" s="11" t="n">
        <v>1.653014286</v>
      </c>
      <c r="F3269" s="12" t="n">
        <v>0</v>
      </c>
      <c r="G3269" s="11" t="n">
        <v>277.912442</v>
      </c>
      <c r="H3269" s="13">
        <f>F3269*1000</f>
        <v/>
      </c>
      <c r="I3269" s="14">
        <f>G3269-273.15</f>
        <v/>
      </c>
      <c r="K3269" s="15" t="n">
        <v>2010</v>
      </c>
      <c r="L3269" s="15" t="n">
        <v>1</v>
      </c>
      <c r="M3269" s="15" t="n">
        <v>25</v>
      </c>
      <c r="N3269" s="16" t="n">
        <v>4.143558943e-06</v>
      </c>
      <c r="O3269" s="11" t="n">
        <v>281.1610853</v>
      </c>
      <c r="P3269" s="13">
        <f>N3269*86400</f>
        <v/>
      </c>
      <c r="Q3269" s="14">
        <f>O3269-273.15</f>
        <v/>
      </c>
    </row>
    <row r="3270">
      <c r="A3270" s="9" t="n">
        <v>40157</v>
      </c>
      <c r="B3270" s="7">
        <f>YEAR(A3270)</f>
        <v/>
      </c>
      <c r="C3270" s="7">
        <f>MONTH(A3270)</f>
        <v/>
      </c>
      <c r="D3270" s="10" t="n">
        <v>0</v>
      </c>
      <c r="E3270" s="11" t="n">
        <v>2.004353509</v>
      </c>
      <c r="F3270" s="12" t="n">
        <v>0</v>
      </c>
      <c r="G3270" s="11" t="n">
        <v>278.5439925</v>
      </c>
      <c r="H3270" s="13">
        <f>F3270*1000</f>
        <v/>
      </c>
      <c r="I3270" s="14">
        <f>G3270-273.15</f>
        <v/>
      </c>
      <c r="K3270" s="15" t="n">
        <v>2010</v>
      </c>
      <c r="L3270" s="15" t="n">
        <v>1</v>
      </c>
      <c r="M3270" s="15" t="n">
        <v>26</v>
      </c>
      <c r="N3270" s="16" t="n">
        <v>0</v>
      </c>
      <c r="O3270" s="11" t="n">
        <v>281.8236768</v>
      </c>
      <c r="P3270" s="13">
        <f>N3270*86400</f>
        <v/>
      </c>
      <c r="Q3270" s="14">
        <f>O3270-273.15</f>
        <v/>
      </c>
    </row>
    <row r="3271">
      <c r="A3271" s="9" t="n">
        <v>40158</v>
      </c>
      <c r="B3271" s="7">
        <f>YEAR(A3271)</f>
        <v/>
      </c>
      <c r="C3271" s="7">
        <f>MONTH(A3271)</f>
        <v/>
      </c>
      <c r="D3271" s="10" t="n">
        <v>0</v>
      </c>
      <c r="E3271" s="11" t="n">
        <v>0.2831207404</v>
      </c>
      <c r="F3271" s="12" t="n">
        <v>0</v>
      </c>
      <c r="G3271" s="11" t="n">
        <v>276.9978667</v>
      </c>
      <c r="H3271" s="13">
        <f>F3271*1000</f>
        <v/>
      </c>
      <c r="I3271" s="14">
        <f>G3271-273.15</f>
        <v/>
      </c>
      <c r="K3271" s="15" t="n">
        <v>2010</v>
      </c>
      <c r="L3271" s="15" t="n">
        <v>1</v>
      </c>
      <c r="M3271" s="15" t="n">
        <v>27</v>
      </c>
      <c r="N3271" s="16" t="n">
        <v>0</v>
      </c>
      <c r="O3271" s="11" t="n">
        <v>283.7076884</v>
      </c>
      <c r="P3271" s="13">
        <f>N3271*86400</f>
        <v/>
      </c>
      <c r="Q3271" s="14">
        <f>O3271-273.15</f>
        <v/>
      </c>
    </row>
    <row r="3272">
      <c r="A3272" s="9" t="n">
        <v>40159</v>
      </c>
      <c r="B3272" s="7">
        <f>YEAR(A3272)</f>
        <v/>
      </c>
      <c r="C3272" s="7">
        <f>MONTH(A3272)</f>
        <v/>
      </c>
      <c r="D3272" s="10" t="n">
        <v>0</v>
      </c>
      <c r="E3272" s="11" t="n">
        <v>0.4122741532</v>
      </c>
      <c r="F3272" s="12" t="n">
        <v>0.000113536166</v>
      </c>
      <c r="G3272" s="11" t="n">
        <v>276.9700578</v>
      </c>
      <c r="H3272" s="13">
        <f>F3272*1000</f>
        <v/>
      </c>
      <c r="I3272" s="14">
        <f>G3272-273.15</f>
        <v/>
      </c>
      <c r="K3272" s="15" t="n">
        <v>2010</v>
      </c>
      <c r="L3272" s="15" t="n">
        <v>1</v>
      </c>
      <c r="M3272" s="15" t="n">
        <v>28</v>
      </c>
      <c r="N3272" s="16" t="n">
        <v>0</v>
      </c>
      <c r="O3272" s="11" t="n">
        <v>282.3855307</v>
      </c>
      <c r="P3272" s="13">
        <f>N3272*86400</f>
        <v/>
      </c>
      <c r="Q3272" s="14">
        <f>O3272-273.15</f>
        <v/>
      </c>
    </row>
    <row r="3273">
      <c r="A3273" s="9" t="n">
        <v>40160</v>
      </c>
      <c r="B3273" s="7">
        <f>YEAR(A3273)</f>
        <v/>
      </c>
      <c r="C3273" s="7">
        <f>MONTH(A3273)</f>
        <v/>
      </c>
      <c r="D3273" s="10" t="n">
        <v>0</v>
      </c>
      <c r="E3273" s="11" t="n">
        <v>2.771599014</v>
      </c>
      <c r="F3273" s="12" t="n">
        <v>0.0001486029632</v>
      </c>
      <c r="G3273" s="11" t="n">
        <v>278.3954539</v>
      </c>
      <c r="H3273" s="13">
        <f>F3273*1000</f>
        <v/>
      </c>
      <c r="I3273" s="14">
        <f>G3273-273.15</f>
        <v/>
      </c>
      <c r="K3273" s="15" t="n">
        <v>2010</v>
      </c>
      <c r="L3273" s="15" t="n">
        <v>1</v>
      </c>
      <c r="M3273" s="15" t="n">
        <v>29</v>
      </c>
      <c r="N3273" s="16" t="n">
        <v>1.106669185e-05</v>
      </c>
      <c r="O3273" s="11" t="n">
        <v>280.5723066</v>
      </c>
      <c r="P3273" s="13">
        <f>N3273*86400</f>
        <v/>
      </c>
      <c r="Q3273" s="14">
        <f>O3273-273.15</f>
        <v/>
      </c>
    </row>
    <row r="3274">
      <c r="A3274" s="9" t="n">
        <v>40161</v>
      </c>
      <c r="B3274" s="7">
        <f>YEAR(A3274)</f>
        <v/>
      </c>
      <c r="C3274" s="7">
        <f>MONTH(A3274)</f>
        <v/>
      </c>
      <c r="D3274" s="10" t="n">
        <v>0</v>
      </c>
      <c r="E3274" s="11" t="n">
        <v>3.282006584</v>
      </c>
      <c r="F3274" s="12" t="n">
        <v>0</v>
      </c>
      <c r="G3274" s="11" t="n">
        <v>278.7031027</v>
      </c>
      <c r="H3274" s="13">
        <f>F3274*1000</f>
        <v/>
      </c>
      <c r="I3274" s="14">
        <f>G3274-273.15</f>
        <v/>
      </c>
      <c r="K3274" s="15" t="n">
        <v>2010</v>
      </c>
      <c r="L3274" s="15" t="n">
        <v>1</v>
      </c>
      <c r="M3274" s="15" t="n">
        <v>30</v>
      </c>
      <c r="N3274" s="16" t="n">
        <v>0</v>
      </c>
      <c r="O3274" s="11" t="n">
        <v>281.1438127</v>
      </c>
      <c r="P3274" s="13">
        <f>N3274*86400</f>
        <v/>
      </c>
      <c r="Q3274" s="14">
        <f>O3274-273.15</f>
        <v/>
      </c>
    </row>
    <row r="3275">
      <c r="A3275" s="9" t="n">
        <v>40162</v>
      </c>
      <c r="B3275" s="7">
        <f>YEAR(A3275)</f>
        <v/>
      </c>
      <c r="C3275" s="7">
        <f>MONTH(A3275)</f>
        <v/>
      </c>
      <c r="D3275" s="10" t="n">
        <v>0</v>
      </c>
      <c r="E3275" s="11" t="n">
        <v>1.819040865</v>
      </c>
      <c r="F3275" s="12" t="n">
        <v>0</v>
      </c>
      <c r="G3275" s="11" t="n">
        <v>276.6037356</v>
      </c>
      <c r="H3275" s="13">
        <f>F3275*1000</f>
        <v/>
      </c>
      <c r="I3275" s="14">
        <f>G3275-273.15</f>
        <v/>
      </c>
      <c r="K3275" s="15" t="n">
        <v>2010</v>
      </c>
      <c r="L3275" s="15" t="n">
        <v>2</v>
      </c>
      <c r="M3275" s="15" t="n">
        <v>1</v>
      </c>
      <c r="N3275" s="16" t="n">
        <v>1.401157945e-05</v>
      </c>
      <c r="O3275" s="11" t="n">
        <v>280.9445416</v>
      </c>
      <c r="P3275" s="13">
        <f>N3275*86400</f>
        <v/>
      </c>
      <c r="Q3275" s="14">
        <f>O3275-273.15</f>
        <v/>
      </c>
    </row>
    <row r="3276">
      <c r="A3276" s="9" t="n">
        <v>40163</v>
      </c>
      <c r="B3276" s="7">
        <f>YEAR(A3276)</f>
        <v/>
      </c>
      <c r="C3276" s="7">
        <f>MONTH(A3276)</f>
        <v/>
      </c>
      <c r="D3276" s="10" t="n">
        <v>2.095226578</v>
      </c>
      <c r="E3276" s="11" t="n">
        <v>5.99591356</v>
      </c>
      <c r="F3276" s="12" t="n">
        <v>0.001327699559</v>
      </c>
      <c r="G3276" s="11" t="n">
        <v>279.7913038</v>
      </c>
      <c r="H3276" s="13">
        <f>F3276*1000</f>
        <v/>
      </c>
      <c r="I3276" s="14">
        <f>G3276-273.15</f>
        <v/>
      </c>
      <c r="K3276" s="15" t="n">
        <v>2010</v>
      </c>
      <c r="L3276" s="15" t="n">
        <v>2</v>
      </c>
      <c r="M3276" s="15" t="n">
        <v>2</v>
      </c>
      <c r="N3276" s="16" t="n">
        <v>0</v>
      </c>
      <c r="O3276" s="11" t="n">
        <v>281.2838126</v>
      </c>
      <c r="P3276" s="13">
        <f>N3276*86400</f>
        <v/>
      </c>
      <c r="Q3276" s="14">
        <f>O3276-273.15</f>
        <v/>
      </c>
    </row>
    <row r="3277">
      <c r="A3277" s="9" t="n">
        <v>40164</v>
      </c>
      <c r="B3277" s="7">
        <f>YEAR(A3277)</f>
        <v/>
      </c>
      <c r="C3277" s="7">
        <f>MONTH(A3277)</f>
        <v/>
      </c>
      <c r="D3277" s="10" t="n">
        <v>11.02439517</v>
      </c>
      <c r="E3277" s="11" t="n">
        <v>4.514292755</v>
      </c>
      <c r="F3277" s="12" t="n">
        <v>0.0002038677868</v>
      </c>
      <c r="G3277" s="11" t="n">
        <v>278.0201029</v>
      </c>
      <c r="H3277" s="13">
        <f>F3277*1000</f>
        <v/>
      </c>
      <c r="I3277" s="14">
        <f>G3277-273.15</f>
        <v/>
      </c>
      <c r="K3277" s="15" t="n">
        <v>2010</v>
      </c>
      <c r="L3277" s="15" t="n">
        <v>2</v>
      </c>
      <c r="M3277" s="15" t="n">
        <v>3</v>
      </c>
      <c r="N3277" s="16" t="n">
        <v>0</v>
      </c>
      <c r="O3277" s="11" t="n">
        <v>282.7926658</v>
      </c>
      <c r="P3277" s="13">
        <f>N3277*86400</f>
        <v/>
      </c>
      <c r="Q3277" s="14">
        <f>O3277-273.15</f>
        <v/>
      </c>
    </row>
    <row r="3278">
      <c r="A3278" s="9" t="n">
        <v>40165</v>
      </c>
      <c r="B3278" s="7">
        <f>YEAR(A3278)</f>
        <v/>
      </c>
      <c r="C3278" s="7">
        <f>MONTH(A3278)</f>
        <v/>
      </c>
      <c r="D3278" s="10" t="n">
        <v>0</v>
      </c>
      <c r="E3278" s="11" t="n">
        <v>1.91808378</v>
      </c>
      <c r="F3278" s="12" t="n">
        <v>0</v>
      </c>
      <c r="G3278" s="11" t="n">
        <v>276.5694788</v>
      </c>
      <c r="H3278" s="13">
        <f>F3278*1000</f>
        <v/>
      </c>
      <c r="I3278" s="14">
        <f>G3278-273.15</f>
        <v/>
      </c>
      <c r="K3278" s="15" t="n">
        <v>2010</v>
      </c>
      <c r="L3278" s="15" t="n">
        <v>2</v>
      </c>
      <c r="M3278" s="15" t="n">
        <v>4</v>
      </c>
      <c r="N3278" s="16" t="n">
        <v>0.000132362033</v>
      </c>
      <c r="O3278" s="11" t="n">
        <v>282.8376392</v>
      </c>
      <c r="P3278" s="13">
        <f>N3278*86400</f>
        <v/>
      </c>
      <c r="Q3278" s="14">
        <f>O3278-273.15</f>
        <v/>
      </c>
    </row>
    <row r="3279">
      <c r="A3279" s="9" t="n">
        <v>40166</v>
      </c>
      <c r="B3279" s="7">
        <f>YEAR(A3279)</f>
        <v/>
      </c>
      <c r="C3279" s="7">
        <f>MONTH(A3279)</f>
        <v/>
      </c>
      <c r="D3279" s="10" t="n">
        <v>0</v>
      </c>
      <c r="E3279" s="11" t="n">
        <v>0.537603151</v>
      </c>
      <c r="F3279" s="12" t="n">
        <v>0</v>
      </c>
      <c r="G3279" s="11" t="n">
        <v>275.6274633</v>
      </c>
      <c r="H3279" s="13">
        <f>F3279*1000</f>
        <v/>
      </c>
      <c r="I3279" s="14">
        <f>G3279-273.15</f>
        <v/>
      </c>
      <c r="K3279" s="15" t="n">
        <v>2010</v>
      </c>
      <c r="L3279" s="15" t="n">
        <v>2</v>
      </c>
      <c r="M3279" s="15" t="n">
        <v>5</v>
      </c>
      <c r="N3279" s="16" t="n">
        <v>5.148633922e-06</v>
      </c>
      <c r="O3279" s="11" t="n">
        <v>284.0335672</v>
      </c>
      <c r="P3279" s="13">
        <f>N3279*86400</f>
        <v/>
      </c>
      <c r="Q3279" s="14">
        <f>O3279-273.15</f>
        <v/>
      </c>
    </row>
    <row r="3280">
      <c r="A3280" s="9" t="n">
        <v>40167</v>
      </c>
      <c r="B3280" s="7">
        <f>YEAR(A3280)</f>
        <v/>
      </c>
      <c r="C3280" s="7">
        <f>MONTH(A3280)</f>
        <v/>
      </c>
      <c r="D3280" s="10" t="n">
        <v>0</v>
      </c>
      <c r="E3280" s="11" t="n">
        <v>0.6303215732</v>
      </c>
      <c r="F3280" s="12" t="n">
        <v>0.0001692049754</v>
      </c>
      <c r="G3280" s="11" t="n">
        <v>276.5318072</v>
      </c>
      <c r="H3280" s="13">
        <f>F3280*1000</f>
        <v/>
      </c>
      <c r="I3280" s="14">
        <f>G3280-273.15</f>
        <v/>
      </c>
      <c r="K3280" s="15" t="n">
        <v>2010</v>
      </c>
      <c r="L3280" s="15" t="n">
        <v>2</v>
      </c>
      <c r="M3280" s="15" t="n">
        <v>6</v>
      </c>
      <c r="N3280" s="16" t="n">
        <v>0</v>
      </c>
      <c r="O3280" s="11" t="n">
        <v>283.275249</v>
      </c>
      <c r="P3280" s="13">
        <f>N3280*86400</f>
        <v/>
      </c>
      <c r="Q3280" s="14">
        <f>O3280-273.15</f>
        <v/>
      </c>
    </row>
    <row r="3281">
      <c r="A3281" s="9" t="n">
        <v>40168</v>
      </c>
      <c r="B3281" s="7">
        <f>YEAR(A3281)</f>
        <v/>
      </c>
      <c r="C3281" s="7">
        <f>MONTH(A3281)</f>
        <v/>
      </c>
      <c r="D3281" s="10" t="n">
        <v>0</v>
      </c>
      <c r="E3281" s="11" t="n">
        <v>-1.360672065</v>
      </c>
      <c r="F3281" s="12" t="n">
        <v>0</v>
      </c>
      <c r="G3281" s="11" t="n">
        <v>274.2054782</v>
      </c>
      <c r="H3281" s="13">
        <f>F3281*1000</f>
        <v/>
      </c>
      <c r="I3281" s="14">
        <f>G3281-273.15</f>
        <v/>
      </c>
      <c r="K3281" s="15" t="n">
        <v>2010</v>
      </c>
      <c r="L3281" s="15" t="n">
        <v>2</v>
      </c>
      <c r="M3281" s="15" t="n">
        <v>7</v>
      </c>
      <c r="N3281" s="16" t="n">
        <v>2.770357802e-05</v>
      </c>
      <c r="O3281" s="11" t="n">
        <v>283.9534916</v>
      </c>
      <c r="P3281" s="13">
        <f>N3281*86400</f>
        <v/>
      </c>
      <c r="Q3281" s="14">
        <f>O3281-273.15</f>
        <v/>
      </c>
    </row>
    <row r="3282">
      <c r="A3282" s="9" t="n">
        <v>40169</v>
      </c>
      <c r="B3282" s="7">
        <f>YEAR(A3282)</f>
        <v/>
      </c>
      <c r="C3282" s="7">
        <f>MONTH(A3282)</f>
        <v/>
      </c>
      <c r="D3282" s="10" t="n">
        <v>0</v>
      </c>
      <c r="E3282" s="11" t="n">
        <v>0.3849492207</v>
      </c>
      <c r="F3282" s="12" t="n">
        <v>0.001150495535</v>
      </c>
      <c r="G3282" s="11" t="n">
        <v>275.7751081</v>
      </c>
      <c r="H3282" s="13">
        <f>F3282*1000</f>
        <v/>
      </c>
      <c r="I3282" s="14">
        <f>G3282-273.15</f>
        <v/>
      </c>
      <c r="K3282" s="15" t="n">
        <v>2010</v>
      </c>
      <c r="L3282" s="15" t="n">
        <v>2</v>
      </c>
      <c r="M3282" s="15" t="n">
        <v>8</v>
      </c>
      <c r="N3282" s="16" t="n">
        <v>2.651657762e-05</v>
      </c>
      <c r="O3282" s="11" t="n">
        <v>284.9357387</v>
      </c>
      <c r="P3282" s="13">
        <f>N3282*86400</f>
        <v/>
      </c>
      <c r="Q3282" s="14">
        <f>O3282-273.15</f>
        <v/>
      </c>
    </row>
    <row r="3283">
      <c r="A3283" s="9" t="n">
        <v>40170</v>
      </c>
      <c r="B3283" s="7">
        <f>YEAR(A3283)</f>
        <v/>
      </c>
      <c r="C3283" s="7">
        <f>MONTH(A3283)</f>
        <v/>
      </c>
      <c r="D3283" s="10" t="n">
        <v>0</v>
      </c>
      <c r="E3283" s="11" t="n">
        <v>2.031352544</v>
      </c>
      <c r="F3283" s="12" t="n">
        <v>0</v>
      </c>
      <c r="G3283" s="11" t="n">
        <v>276.3109698</v>
      </c>
      <c r="H3283" s="13">
        <f>F3283*1000</f>
        <v/>
      </c>
      <c r="I3283" s="14">
        <f>G3283-273.15</f>
        <v/>
      </c>
      <c r="K3283" s="15" t="n">
        <v>2010</v>
      </c>
      <c r="L3283" s="15" t="n">
        <v>2</v>
      </c>
      <c r="M3283" s="15" t="n">
        <v>9</v>
      </c>
      <c r="N3283" s="16" t="n">
        <v>0</v>
      </c>
      <c r="O3283" s="11" t="n">
        <v>283.5428014</v>
      </c>
      <c r="P3283" s="13">
        <f>N3283*86400</f>
        <v/>
      </c>
      <c r="Q3283" s="14">
        <f>O3283-273.15</f>
        <v/>
      </c>
    </row>
    <row r="3284">
      <c r="A3284" s="9" t="n">
        <v>40171</v>
      </c>
      <c r="B3284" s="7">
        <f>YEAR(A3284)</f>
        <v/>
      </c>
      <c r="C3284" s="7">
        <f>MONTH(A3284)</f>
        <v/>
      </c>
      <c r="D3284" s="10" t="n">
        <v>0</v>
      </c>
      <c r="E3284" s="11" t="n">
        <v>1.634188011</v>
      </c>
      <c r="F3284" s="12" t="n">
        <v>0</v>
      </c>
      <c r="G3284" s="11" t="n">
        <v>276.1470717</v>
      </c>
      <c r="H3284" s="13">
        <f>F3284*1000</f>
        <v/>
      </c>
      <c r="I3284" s="14">
        <f>G3284-273.15</f>
        <v/>
      </c>
      <c r="K3284" s="15" t="n">
        <v>2010</v>
      </c>
      <c r="L3284" s="15" t="n">
        <v>2</v>
      </c>
      <c r="M3284" s="15" t="n">
        <v>10</v>
      </c>
      <c r="N3284" s="16" t="n">
        <v>0</v>
      </c>
      <c r="O3284" s="11" t="n">
        <v>283.5808278</v>
      </c>
      <c r="P3284" s="13">
        <f>N3284*86400</f>
        <v/>
      </c>
      <c r="Q3284" s="14">
        <f>O3284-273.15</f>
        <v/>
      </c>
    </row>
    <row r="3285">
      <c r="A3285" s="9" t="n">
        <v>40172</v>
      </c>
      <c r="B3285" s="7">
        <f>YEAR(A3285)</f>
        <v/>
      </c>
      <c r="C3285" s="7">
        <f>MONTH(A3285)</f>
        <v/>
      </c>
      <c r="D3285" s="10" t="n">
        <v>0</v>
      </c>
      <c r="E3285" s="11" t="n">
        <v>1.586369789</v>
      </c>
      <c r="F3285" s="12" t="n">
        <v>0.0001797290526</v>
      </c>
      <c r="G3285" s="11" t="n">
        <v>276.4470651</v>
      </c>
      <c r="H3285" s="13">
        <f>F3285*1000</f>
        <v/>
      </c>
      <c r="I3285" s="14">
        <f>G3285-273.15</f>
        <v/>
      </c>
      <c r="K3285" s="15" t="n">
        <v>2010</v>
      </c>
      <c r="L3285" s="15" t="n">
        <v>2</v>
      </c>
      <c r="M3285" s="15" t="n">
        <v>11</v>
      </c>
      <c r="N3285" s="16" t="n">
        <v>0</v>
      </c>
      <c r="O3285" s="11" t="n">
        <v>284.6867173</v>
      </c>
      <c r="P3285" s="13">
        <f>N3285*86400</f>
        <v/>
      </c>
      <c r="Q3285" s="14">
        <f>O3285-273.15</f>
        <v/>
      </c>
    </row>
    <row r="3286">
      <c r="A3286" s="9" t="n">
        <v>40173</v>
      </c>
      <c r="B3286" s="7">
        <f>YEAR(A3286)</f>
        <v/>
      </c>
      <c r="C3286" s="7">
        <f>MONTH(A3286)</f>
        <v/>
      </c>
      <c r="D3286" s="10" t="n">
        <v>0</v>
      </c>
      <c r="E3286" s="11" t="n">
        <v>0.5256632153</v>
      </c>
      <c r="F3286" s="12" t="n">
        <v>0</v>
      </c>
      <c r="G3286" s="11" t="n">
        <v>276.4127051</v>
      </c>
      <c r="H3286" s="13">
        <f>F3286*1000</f>
        <v/>
      </c>
      <c r="I3286" s="14">
        <f>G3286-273.15</f>
        <v/>
      </c>
      <c r="K3286" s="15" t="n">
        <v>2010</v>
      </c>
      <c r="L3286" s="15" t="n">
        <v>2</v>
      </c>
      <c r="M3286" s="15" t="n">
        <v>12</v>
      </c>
      <c r="N3286" s="16" t="n">
        <v>0</v>
      </c>
      <c r="O3286" s="11" t="n">
        <v>285.2513293</v>
      </c>
      <c r="P3286" s="13">
        <f>N3286*86400</f>
        <v/>
      </c>
      <c r="Q3286" s="14">
        <f>O3286-273.15</f>
        <v/>
      </c>
    </row>
    <row r="3287">
      <c r="A3287" s="9" t="n">
        <v>40174</v>
      </c>
      <c r="B3287" s="7">
        <f>YEAR(A3287)</f>
        <v/>
      </c>
      <c r="C3287" s="7">
        <f>MONTH(A3287)</f>
        <v/>
      </c>
      <c r="D3287" s="10" t="n">
        <v>0</v>
      </c>
      <c r="E3287" s="11" t="n">
        <v>5.05997125</v>
      </c>
      <c r="F3287" s="12" t="n">
        <v>0</v>
      </c>
      <c r="G3287" s="11" t="n">
        <v>280.8391998</v>
      </c>
      <c r="H3287" s="13">
        <f>F3287*1000</f>
        <v/>
      </c>
      <c r="I3287" s="14">
        <f>G3287-273.15</f>
        <v/>
      </c>
      <c r="K3287" s="15" t="n">
        <v>2010</v>
      </c>
      <c r="L3287" s="15" t="n">
        <v>2</v>
      </c>
      <c r="M3287" s="15" t="n">
        <v>13</v>
      </c>
      <c r="N3287" s="16" t="n">
        <v>0</v>
      </c>
      <c r="O3287" s="11" t="n">
        <v>285.3901192</v>
      </c>
      <c r="P3287" s="13">
        <f>N3287*86400</f>
        <v/>
      </c>
      <c r="Q3287" s="14">
        <f>O3287-273.15</f>
        <v/>
      </c>
    </row>
    <row r="3288">
      <c r="A3288" s="9" t="n">
        <v>40175</v>
      </c>
      <c r="B3288" s="7">
        <f>YEAR(A3288)</f>
        <v/>
      </c>
      <c r="C3288" s="7">
        <f>MONTH(A3288)</f>
        <v/>
      </c>
      <c r="D3288" s="10" t="n">
        <v>0</v>
      </c>
      <c r="E3288" s="11" t="n">
        <v>3.503069442</v>
      </c>
      <c r="F3288" s="12" t="n">
        <v>0</v>
      </c>
      <c r="G3288" s="11" t="n">
        <v>279.0875049</v>
      </c>
      <c r="H3288" s="13">
        <f>F3288*1000</f>
        <v/>
      </c>
      <c r="I3288" s="14">
        <f>G3288-273.15</f>
        <v/>
      </c>
      <c r="K3288" s="15" t="n">
        <v>2010</v>
      </c>
      <c r="L3288" s="15" t="n">
        <v>2</v>
      </c>
      <c r="M3288" s="15" t="n">
        <v>14</v>
      </c>
      <c r="N3288" s="16" t="n">
        <v>0</v>
      </c>
      <c r="O3288" s="11" t="n">
        <v>286.0762135</v>
      </c>
      <c r="P3288" s="13">
        <f>N3288*86400</f>
        <v/>
      </c>
      <c r="Q3288" s="14">
        <f>O3288-273.15</f>
        <v/>
      </c>
    </row>
    <row r="3289">
      <c r="A3289" s="9" t="n">
        <v>40176</v>
      </c>
      <c r="B3289" s="7">
        <f>YEAR(A3289)</f>
        <v/>
      </c>
      <c r="C3289" s="7">
        <f>MONTH(A3289)</f>
        <v/>
      </c>
      <c r="D3289" s="10" t="n">
        <v>0</v>
      </c>
      <c r="E3289" s="11" t="n">
        <v>3.341867273</v>
      </c>
      <c r="F3289" s="12" t="n">
        <v>0.0004690477689</v>
      </c>
      <c r="G3289" s="11" t="n">
        <v>278.3454114</v>
      </c>
      <c r="H3289" s="13">
        <f>F3289*1000</f>
        <v/>
      </c>
      <c r="I3289" s="14">
        <f>G3289-273.15</f>
        <v/>
      </c>
      <c r="K3289" s="15" t="n">
        <v>2010</v>
      </c>
      <c r="L3289" s="15" t="n">
        <v>2</v>
      </c>
      <c r="M3289" s="15" t="n">
        <v>15</v>
      </c>
      <c r="N3289" s="16" t="n">
        <v>0</v>
      </c>
      <c r="O3289" s="11" t="n">
        <v>287.8862929</v>
      </c>
      <c r="P3289" s="13">
        <f>N3289*86400</f>
        <v/>
      </c>
      <c r="Q3289" s="14">
        <f>O3289-273.15</f>
        <v/>
      </c>
    </row>
    <row r="3290">
      <c r="A3290" s="9" t="n">
        <v>40177</v>
      </c>
      <c r="B3290" s="7">
        <f>YEAR(A3290)</f>
        <v/>
      </c>
      <c r="C3290" s="7">
        <f>MONTH(A3290)</f>
        <v/>
      </c>
      <c r="D3290" s="10" t="n">
        <v>0</v>
      </c>
      <c r="E3290" s="11" t="n">
        <v>3.39550154</v>
      </c>
      <c r="F3290" s="12" t="n">
        <v>0.0003312699468</v>
      </c>
      <c r="G3290" s="11" t="n">
        <v>278.0457602</v>
      </c>
      <c r="H3290" s="13">
        <f>F3290*1000</f>
        <v/>
      </c>
      <c r="I3290" s="14">
        <f>G3290-273.15</f>
        <v/>
      </c>
      <c r="K3290" s="15" t="n">
        <v>2010</v>
      </c>
      <c r="L3290" s="15" t="n">
        <v>2</v>
      </c>
      <c r="M3290" s="15" t="n">
        <v>16</v>
      </c>
      <c r="N3290" s="16" t="n">
        <v>0</v>
      </c>
      <c r="O3290" s="11" t="n">
        <v>287.404368</v>
      </c>
      <c r="P3290" s="13">
        <f>N3290*86400</f>
        <v/>
      </c>
      <c r="Q3290" s="14">
        <f>O3290-273.15</f>
        <v/>
      </c>
    </row>
    <row r="3291">
      <c r="A3291" s="9" t="n">
        <v>40178</v>
      </c>
      <c r="B3291" s="7">
        <f>YEAR(A3291)</f>
        <v/>
      </c>
      <c r="C3291" s="7">
        <f>MONTH(A3291)</f>
        <v/>
      </c>
      <c r="D3291" s="10" t="n">
        <v>0</v>
      </c>
      <c r="E3291" s="11" t="n">
        <v>5.61833912</v>
      </c>
      <c r="F3291" s="12" t="n">
        <v>0</v>
      </c>
      <c r="G3291" s="11" t="n">
        <v>279.761832</v>
      </c>
      <c r="H3291" s="13">
        <f>F3291*1000</f>
        <v/>
      </c>
      <c r="I3291" s="14">
        <f>G3291-273.15</f>
        <v/>
      </c>
      <c r="K3291" s="15" t="n">
        <v>2010</v>
      </c>
      <c r="L3291" s="15" t="n">
        <v>2</v>
      </c>
      <c r="M3291" s="15" t="n">
        <v>17</v>
      </c>
      <c r="N3291" s="16" t="n">
        <v>0</v>
      </c>
      <c r="O3291" s="11" t="n">
        <v>286.3758252</v>
      </c>
      <c r="P3291" s="13">
        <f>N3291*86400</f>
        <v/>
      </c>
      <c r="Q3291" s="14">
        <f>O3291-273.15</f>
        <v/>
      </c>
    </row>
    <row r="3292">
      <c r="A3292" s="9" t="n">
        <v>40179</v>
      </c>
      <c r="B3292" s="7">
        <f>YEAR(A3292)</f>
        <v/>
      </c>
      <c r="C3292" s="7">
        <f>MONTH(A3292)</f>
        <v/>
      </c>
      <c r="D3292" s="10" t="n">
        <v>0</v>
      </c>
      <c r="E3292" s="11" t="n">
        <v>3.24135206</v>
      </c>
      <c r="F3292" s="12" t="n">
        <v>0</v>
      </c>
      <c r="G3292" s="11" t="n">
        <v>278.5856328</v>
      </c>
      <c r="H3292" s="13">
        <f>F3292*1000</f>
        <v/>
      </c>
      <c r="I3292" s="14">
        <f>G3292-273.15</f>
        <v/>
      </c>
      <c r="K3292" s="15" t="n">
        <v>2010</v>
      </c>
      <c r="L3292" s="15" t="n">
        <v>2</v>
      </c>
      <c r="M3292" s="15" t="n">
        <v>18</v>
      </c>
      <c r="N3292" s="16" t="n">
        <v>0</v>
      </c>
      <c r="O3292" s="11" t="n">
        <v>285.0383734</v>
      </c>
      <c r="P3292" s="13">
        <f>N3292*86400</f>
        <v/>
      </c>
      <c r="Q3292" s="14">
        <f>O3292-273.15</f>
        <v/>
      </c>
    </row>
    <row r="3293">
      <c r="A3293" s="9" t="n">
        <v>40180</v>
      </c>
      <c r="B3293" s="7">
        <f>YEAR(A3293)</f>
        <v/>
      </c>
      <c r="C3293" s="7">
        <f>MONTH(A3293)</f>
        <v/>
      </c>
      <c r="D3293" s="10" t="n">
        <v>0</v>
      </c>
      <c r="E3293" s="11" t="n">
        <v>6.016897673</v>
      </c>
      <c r="F3293" s="12" t="n">
        <v>0</v>
      </c>
      <c r="G3293" s="11" t="n">
        <v>282.2601164</v>
      </c>
      <c r="H3293" s="13">
        <f>F3293*1000</f>
        <v/>
      </c>
      <c r="I3293" s="14">
        <f>G3293-273.15</f>
        <v/>
      </c>
      <c r="K3293" s="15" t="n">
        <v>2010</v>
      </c>
      <c r="L3293" s="15" t="n">
        <v>2</v>
      </c>
      <c r="M3293" s="15" t="n">
        <v>19</v>
      </c>
      <c r="N3293" s="16" t="n">
        <v>0</v>
      </c>
      <c r="O3293" s="11" t="n">
        <v>282.8173021</v>
      </c>
      <c r="P3293" s="13">
        <f>N3293*86400</f>
        <v/>
      </c>
      <c r="Q3293" s="14">
        <f>O3293-273.15</f>
        <v/>
      </c>
    </row>
    <row r="3294">
      <c r="A3294" s="9" t="n">
        <v>40181</v>
      </c>
      <c r="B3294" s="7">
        <f>YEAR(A3294)</f>
        <v/>
      </c>
      <c r="C3294" s="7">
        <f>MONTH(A3294)</f>
        <v/>
      </c>
      <c r="D3294" s="10" t="n">
        <v>0</v>
      </c>
      <c r="E3294" s="11" t="n">
        <v>6.025509442</v>
      </c>
      <c r="F3294" s="12" t="n">
        <v>3.297434134e-05</v>
      </c>
      <c r="G3294" s="11" t="n">
        <v>280.9426023</v>
      </c>
      <c r="H3294" s="13">
        <f>F3294*1000</f>
        <v/>
      </c>
      <c r="I3294" s="14">
        <f>G3294-273.15</f>
        <v/>
      </c>
      <c r="K3294" s="15" t="n">
        <v>2010</v>
      </c>
      <c r="L3294" s="15" t="n">
        <v>2</v>
      </c>
      <c r="M3294" s="15" t="n">
        <v>20</v>
      </c>
      <c r="N3294" s="16" t="n">
        <v>0</v>
      </c>
      <c r="O3294" s="11" t="n">
        <v>280.4965146</v>
      </c>
      <c r="P3294" s="13">
        <f>N3294*86400</f>
        <v/>
      </c>
      <c r="Q3294" s="14">
        <f>O3294-273.15</f>
        <v/>
      </c>
    </row>
    <row r="3295">
      <c r="A3295" s="9" t="n">
        <v>40182</v>
      </c>
      <c r="B3295" s="7">
        <f>YEAR(A3295)</f>
        <v/>
      </c>
      <c r="C3295" s="7">
        <f>MONTH(A3295)</f>
        <v/>
      </c>
      <c r="D3295" s="10" t="n">
        <v>2.228101717</v>
      </c>
      <c r="E3295" s="11" t="n">
        <v>5.939687777</v>
      </c>
      <c r="F3295" s="12" t="n">
        <v>0.002265812045</v>
      </c>
      <c r="G3295" s="11" t="n">
        <v>281.4310113</v>
      </c>
      <c r="H3295" s="13">
        <f>F3295*1000</f>
        <v/>
      </c>
      <c r="I3295" s="14">
        <f>G3295-273.15</f>
        <v/>
      </c>
      <c r="K3295" s="15" t="n">
        <v>2010</v>
      </c>
      <c r="L3295" s="15" t="n">
        <v>2</v>
      </c>
      <c r="M3295" s="15" t="n">
        <v>21</v>
      </c>
      <c r="N3295" s="16" t="n">
        <v>1.742769273e-05</v>
      </c>
      <c r="O3295" s="11" t="n">
        <v>283.0255419</v>
      </c>
      <c r="P3295" s="13">
        <f>N3295*86400</f>
        <v/>
      </c>
      <c r="Q3295" s="14">
        <f>O3295-273.15</f>
        <v/>
      </c>
    </row>
    <row r="3296">
      <c r="A3296" s="9" t="n">
        <v>40183</v>
      </c>
      <c r="B3296" s="7">
        <f>YEAR(A3296)</f>
        <v/>
      </c>
      <c r="C3296" s="7">
        <f>MONTH(A3296)</f>
        <v/>
      </c>
      <c r="D3296" s="10" t="n">
        <v>0</v>
      </c>
      <c r="E3296" s="11" t="n">
        <v>4.546327569</v>
      </c>
      <c r="F3296" s="12" t="n">
        <v>0</v>
      </c>
      <c r="G3296" s="11" t="n">
        <v>279.1190547</v>
      </c>
      <c r="H3296" s="13">
        <f>F3296*1000</f>
        <v/>
      </c>
      <c r="I3296" s="14">
        <f>G3296-273.15</f>
        <v/>
      </c>
      <c r="K3296" s="15" t="n">
        <v>2010</v>
      </c>
      <c r="L3296" s="15" t="n">
        <v>2</v>
      </c>
      <c r="M3296" s="15" t="n">
        <v>22</v>
      </c>
      <c r="N3296" s="16" t="n">
        <v>0</v>
      </c>
      <c r="O3296" s="11" t="n">
        <v>284.2446749</v>
      </c>
      <c r="P3296" s="13">
        <f>N3296*86400</f>
        <v/>
      </c>
      <c r="Q3296" s="14">
        <f>O3296-273.15</f>
        <v/>
      </c>
    </row>
    <row r="3297">
      <c r="A3297" s="9" t="n">
        <v>40184</v>
      </c>
      <c r="B3297" s="7">
        <f>YEAR(A3297)</f>
        <v/>
      </c>
      <c r="C3297" s="7">
        <f>MONTH(A3297)</f>
        <v/>
      </c>
      <c r="D3297" s="10" t="n">
        <v>0.7377257768</v>
      </c>
      <c r="E3297" s="11" t="n">
        <v>6.18509239</v>
      </c>
      <c r="F3297" s="12" t="n">
        <v>0.001976447804</v>
      </c>
      <c r="G3297" s="11" t="n">
        <v>280.6869998</v>
      </c>
      <c r="H3297" s="13">
        <f>F3297*1000</f>
        <v/>
      </c>
      <c r="I3297" s="14">
        <f>G3297-273.15</f>
        <v/>
      </c>
      <c r="K3297" s="15" t="n">
        <v>2010</v>
      </c>
      <c r="L3297" s="15" t="n">
        <v>2</v>
      </c>
      <c r="M3297" s="15" t="n">
        <v>23</v>
      </c>
      <c r="N3297" s="16" t="n">
        <v>1.043501968e-05</v>
      </c>
      <c r="O3297" s="11" t="n">
        <v>284.0076408</v>
      </c>
      <c r="P3297" s="13">
        <f>N3297*86400</f>
        <v/>
      </c>
      <c r="Q3297" s="14">
        <f>O3297-273.15</f>
        <v/>
      </c>
    </row>
    <row r="3298">
      <c r="A3298" s="9" t="n">
        <v>40185</v>
      </c>
      <c r="B3298" s="7">
        <f>YEAR(A3298)</f>
        <v/>
      </c>
      <c r="C3298" s="7">
        <f>MONTH(A3298)</f>
        <v/>
      </c>
      <c r="D3298" s="10" t="n">
        <v>0</v>
      </c>
      <c r="E3298" s="11" t="n">
        <v>6.432148131</v>
      </c>
      <c r="F3298" s="12" t="n">
        <v>0.003149081988</v>
      </c>
      <c r="G3298" s="11" t="n">
        <v>281.375707</v>
      </c>
      <c r="H3298" s="13">
        <f>F3298*1000</f>
        <v/>
      </c>
      <c r="I3298" s="14">
        <f>G3298-273.15</f>
        <v/>
      </c>
      <c r="K3298" s="15" t="n">
        <v>2010</v>
      </c>
      <c r="L3298" s="15" t="n">
        <v>2</v>
      </c>
      <c r="M3298" s="15" t="n">
        <v>24</v>
      </c>
      <c r="N3298" s="16" t="n">
        <v>1.863980329e-06</v>
      </c>
      <c r="O3298" s="11" t="n">
        <v>282.0609013</v>
      </c>
      <c r="P3298" s="13">
        <f>N3298*86400</f>
        <v/>
      </c>
      <c r="Q3298" s="14">
        <f>O3298-273.15</f>
        <v/>
      </c>
    </row>
    <row r="3299">
      <c r="A3299" s="9" t="n">
        <v>40186</v>
      </c>
      <c r="B3299" s="7">
        <f>YEAR(A3299)</f>
        <v/>
      </c>
      <c r="C3299" s="7">
        <f>MONTH(A3299)</f>
        <v/>
      </c>
      <c r="D3299" s="10" t="n">
        <v>0</v>
      </c>
      <c r="E3299" s="11" t="n">
        <v>5.176214652</v>
      </c>
      <c r="F3299" s="12" t="n">
        <v>0</v>
      </c>
      <c r="G3299" s="11" t="n">
        <v>280.6541964</v>
      </c>
      <c r="H3299" s="13">
        <f>F3299*1000</f>
        <v/>
      </c>
      <c r="I3299" s="14">
        <f>G3299-273.15</f>
        <v/>
      </c>
      <c r="K3299" s="15" t="n">
        <v>2010</v>
      </c>
      <c r="L3299" s="15" t="n">
        <v>2</v>
      </c>
      <c r="M3299" s="15" t="n">
        <v>25</v>
      </c>
      <c r="N3299" s="16" t="n">
        <v>7.507297023e-06</v>
      </c>
      <c r="O3299" s="11" t="n">
        <v>283.7005218</v>
      </c>
      <c r="P3299" s="13">
        <f>N3299*86400</f>
        <v/>
      </c>
      <c r="Q3299" s="14">
        <f>O3299-273.15</f>
        <v/>
      </c>
    </row>
    <row r="3300">
      <c r="A3300" s="9" t="n">
        <v>40187</v>
      </c>
      <c r="B3300" s="7">
        <f>YEAR(A3300)</f>
        <v/>
      </c>
      <c r="C3300" s="7">
        <f>MONTH(A3300)</f>
        <v/>
      </c>
      <c r="D3300" s="10" t="n">
        <v>0</v>
      </c>
      <c r="E3300" s="11" t="n">
        <v>6.297107121</v>
      </c>
      <c r="F3300" s="12" t="n">
        <v>0.0003899301653</v>
      </c>
      <c r="G3300" s="11" t="n">
        <v>281.365441</v>
      </c>
      <c r="H3300" s="13">
        <f>F3300*1000</f>
        <v/>
      </c>
      <c r="I3300" s="14">
        <f>G3300-273.15</f>
        <v/>
      </c>
      <c r="K3300" s="15" t="n">
        <v>2010</v>
      </c>
      <c r="L3300" s="15" t="n">
        <v>2</v>
      </c>
      <c r="M3300" s="15" t="n">
        <v>26</v>
      </c>
      <c r="N3300" s="16" t="n">
        <v>5.301366386e-05</v>
      </c>
      <c r="O3300" s="11" t="n">
        <v>285.5193058</v>
      </c>
      <c r="P3300" s="13">
        <f>N3300*86400</f>
        <v/>
      </c>
      <c r="Q3300" s="14">
        <f>O3300-273.15</f>
        <v/>
      </c>
    </row>
    <row r="3301">
      <c r="A3301" s="9" t="n">
        <v>40188</v>
      </c>
      <c r="B3301" s="7">
        <f>YEAR(A3301)</f>
        <v/>
      </c>
      <c r="C3301" s="7">
        <f>MONTH(A3301)</f>
        <v/>
      </c>
      <c r="D3301" s="10" t="n">
        <v>0</v>
      </c>
      <c r="E3301" s="11" t="n">
        <v>5.47293895</v>
      </c>
      <c r="F3301" s="12" t="n">
        <v>0</v>
      </c>
      <c r="G3301" s="11" t="n">
        <v>280.6393174</v>
      </c>
      <c r="H3301" s="13">
        <f>F3301*1000</f>
        <v/>
      </c>
      <c r="I3301" s="14">
        <f>G3301-273.15</f>
        <v/>
      </c>
      <c r="K3301" s="15" t="n">
        <v>2010</v>
      </c>
      <c r="L3301" s="15" t="n">
        <v>2</v>
      </c>
      <c r="M3301" s="15" t="n">
        <v>27</v>
      </c>
      <c r="N3301" s="16" t="n">
        <v>0</v>
      </c>
      <c r="O3301" s="11" t="n">
        <v>285.6082101</v>
      </c>
      <c r="P3301" s="13">
        <f>N3301*86400</f>
        <v/>
      </c>
      <c r="Q3301" s="14">
        <f>O3301-273.15</f>
        <v/>
      </c>
    </row>
    <row r="3302">
      <c r="A3302" s="9" t="n">
        <v>40189</v>
      </c>
      <c r="B3302" s="7">
        <f>YEAR(A3302)</f>
        <v/>
      </c>
      <c r="C3302" s="7">
        <f>MONTH(A3302)</f>
        <v/>
      </c>
      <c r="D3302" s="10" t="n">
        <v>0</v>
      </c>
      <c r="E3302" s="11" t="n">
        <v>6.228091155</v>
      </c>
      <c r="F3302" s="12" t="n">
        <v>0</v>
      </c>
      <c r="G3302" s="11" t="n">
        <v>280.537364</v>
      </c>
      <c r="H3302" s="13">
        <f>F3302*1000</f>
        <v/>
      </c>
      <c r="I3302" s="14">
        <f>G3302-273.15</f>
        <v/>
      </c>
      <c r="K3302" s="15" t="n">
        <v>2010</v>
      </c>
      <c r="L3302" s="15" t="n">
        <v>2</v>
      </c>
      <c r="M3302" s="15" t="n">
        <v>28</v>
      </c>
      <c r="N3302" s="16" t="n">
        <v>0</v>
      </c>
      <c r="O3302" s="11" t="n">
        <v>285.2006258</v>
      </c>
      <c r="P3302" s="13">
        <f>N3302*86400</f>
        <v/>
      </c>
      <c r="Q3302" s="14">
        <f>O3302-273.15</f>
        <v/>
      </c>
    </row>
    <row r="3303">
      <c r="A3303" s="9" t="n">
        <v>40190</v>
      </c>
      <c r="B3303" s="7">
        <f>YEAR(A3303)</f>
        <v/>
      </c>
      <c r="C3303" s="7">
        <f>MONTH(A3303)</f>
        <v/>
      </c>
      <c r="D3303" s="10" t="n">
        <v>0.1622004292</v>
      </c>
      <c r="E3303" s="11" t="n">
        <v>6.962002948</v>
      </c>
      <c r="F3303" s="12" t="n">
        <v>0.0009157594101</v>
      </c>
      <c r="G3303" s="11" t="n">
        <v>280.387859</v>
      </c>
      <c r="H3303" s="13">
        <f>F3303*1000</f>
        <v/>
      </c>
      <c r="I3303" s="14">
        <f>G3303-273.15</f>
        <v/>
      </c>
      <c r="K3303" s="15" t="n">
        <v>2010</v>
      </c>
      <c r="L3303" s="15" t="n">
        <v>2</v>
      </c>
      <c r="M3303" s="15" t="n">
        <v>29</v>
      </c>
      <c r="N3303" s="16" t="n">
        <v>1.59519572e-05</v>
      </c>
      <c r="O3303" s="11" t="n">
        <v>284.1532</v>
      </c>
      <c r="P3303" s="13">
        <f>N3303*86400</f>
        <v/>
      </c>
      <c r="Q3303" s="14">
        <f>O3303-273.15</f>
        <v/>
      </c>
    </row>
    <row r="3304">
      <c r="A3304" s="9" t="n">
        <v>40191</v>
      </c>
      <c r="B3304" s="7">
        <f>YEAR(A3304)</f>
        <v/>
      </c>
      <c r="C3304" s="7">
        <f>MONTH(A3304)</f>
        <v/>
      </c>
      <c r="D3304" s="10" t="n">
        <v>0</v>
      </c>
      <c r="E3304" s="11" t="n">
        <v>7.423905941</v>
      </c>
      <c r="F3304" s="12" t="n">
        <v>0</v>
      </c>
      <c r="G3304" s="11" t="n">
        <v>280.8691702</v>
      </c>
      <c r="H3304" s="13">
        <f>F3304*1000</f>
        <v/>
      </c>
      <c r="I3304" s="14">
        <f>G3304-273.15</f>
        <v/>
      </c>
      <c r="K3304" s="15" t="n">
        <v>2010</v>
      </c>
      <c r="L3304" s="15" t="n">
        <v>2</v>
      </c>
      <c r="M3304" s="15" t="n">
        <v>30</v>
      </c>
      <c r="N3304" s="16" t="n">
        <v>0</v>
      </c>
      <c r="O3304" s="11" t="n">
        <v>285.0117034</v>
      </c>
      <c r="P3304" s="13">
        <f>N3304*86400</f>
        <v/>
      </c>
      <c r="Q3304" s="14">
        <f>O3304-273.15</f>
        <v/>
      </c>
    </row>
    <row r="3305">
      <c r="A3305" s="9" t="n">
        <v>40192</v>
      </c>
      <c r="B3305" s="7">
        <f>YEAR(A3305)</f>
        <v/>
      </c>
      <c r="C3305" s="7">
        <f>MONTH(A3305)</f>
        <v/>
      </c>
      <c r="D3305" s="10" t="n">
        <v>0</v>
      </c>
      <c r="E3305" s="11" t="n">
        <v>6.865842675</v>
      </c>
      <c r="F3305" s="12" t="n">
        <v>0</v>
      </c>
      <c r="G3305" s="11" t="n">
        <v>280.5377737</v>
      </c>
      <c r="H3305" s="13">
        <f>F3305*1000</f>
        <v/>
      </c>
      <c r="I3305" s="14">
        <f>G3305-273.15</f>
        <v/>
      </c>
      <c r="K3305" s="15" t="n">
        <v>2010</v>
      </c>
      <c r="L3305" s="15" t="n">
        <v>3</v>
      </c>
      <c r="M3305" s="15" t="n">
        <v>1</v>
      </c>
      <c r="N3305" s="16" t="n">
        <v>2.84889328e-06</v>
      </c>
      <c r="O3305" s="11" t="n">
        <v>283.9434559</v>
      </c>
      <c r="P3305" s="13">
        <f>N3305*86400</f>
        <v/>
      </c>
      <c r="Q3305" s="14">
        <f>O3305-273.15</f>
        <v/>
      </c>
    </row>
    <row r="3306">
      <c r="A3306" s="9" t="n">
        <v>40193</v>
      </c>
      <c r="B3306" s="7">
        <f>YEAR(A3306)</f>
        <v/>
      </c>
      <c r="C3306" s="7">
        <f>MONTH(A3306)</f>
        <v/>
      </c>
      <c r="D3306" s="10" t="n">
        <v>0</v>
      </c>
      <c r="E3306" s="11" t="n">
        <v>4.262551713</v>
      </c>
      <c r="F3306" s="12" t="n">
        <v>0</v>
      </c>
      <c r="G3306" s="11" t="n">
        <v>278.4168445</v>
      </c>
      <c r="H3306" s="13">
        <f>F3306*1000</f>
        <v/>
      </c>
      <c r="I3306" s="14">
        <f>G3306-273.15</f>
        <v/>
      </c>
      <c r="K3306" s="15" t="n">
        <v>2010</v>
      </c>
      <c r="L3306" s="15" t="n">
        <v>3</v>
      </c>
      <c r="M3306" s="15" t="n">
        <v>2</v>
      </c>
      <c r="N3306" s="16" t="n">
        <v>0</v>
      </c>
      <c r="O3306" s="11" t="n">
        <v>282.8326475</v>
      </c>
      <c r="P3306" s="13">
        <f>N3306*86400</f>
        <v/>
      </c>
      <c r="Q3306" s="14">
        <f>O3306-273.15</f>
        <v/>
      </c>
    </row>
    <row r="3307">
      <c r="A3307" s="9" t="n">
        <v>40194</v>
      </c>
      <c r="B3307" s="7">
        <f>YEAR(A3307)</f>
        <v/>
      </c>
      <c r="C3307" s="7">
        <f>MONTH(A3307)</f>
        <v/>
      </c>
      <c r="D3307" s="10" t="n">
        <v>0</v>
      </c>
      <c r="E3307" s="11" t="n">
        <v>5.308934811</v>
      </c>
      <c r="F3307" s="12" t="n">
        <v>0</v>
      </c>
      <c r="G3307" s="11" t="n">
        <v>280.0444242</v>
      </c>
      <c r="H3307" s="13">
        <f>F3307*1000</f>
        <v/>
      </c>
      <c r="I3307" s="14">
        <f>G3307-273.15</f>
        <v/>
      </c>
      <c r="K3307" s="15" t="n">
        <v>2010</v>
      </c>
      <c r="L3307" s="15" t="n">
        <v>3</v>
      </c>
      <c r="M3307" s="15" t="n">
        <v>3</v>
      </c>
      <c r="N3307" s="16" t="n">
        <v>0</v>
      </c>
      <c r="O3307" s="11" t="n">
        <v>284.0051583</v>
      </c>
      <c r="P3307" s="13">
        <f>N3307*86400</f>
        <v/>
      </c>
      <c r="Q3307" s="14">
        <f>O3307-273.15</f>
        <v/>
      </c>
    </row>
    <row r="3308">
      <c r="A3308" s="9" t="n">
        <v>40195</v>
      </c>
      <c r="B3308" s="7">
        <f>YEAR(A3308)</f>
        <v/>
      </c>
      <c r="C3308" s="7">
        <f>MONTH(A3308)</f>
        <v/>
      </c>
      <c r="D3308" s="10" t="n">
        <v>0</v>
      </c>
      <c r="E3308" s="11" t="n">
        <v>5.214837779</v>
      </c>
      <c r="F3308" s="12" t="n">
        <v>0</v>
      </c>
      <c r="G3308" s="11" t="n">
        <v>278.9928463</v>
      </c>
      <c r="H3308" s="13">
        <f>F3308*1000</f>
        <v/>
      </c>
      <c r="I3308" s="14">
        <f>G3308-273.15</f>
        <v/>
      </c>
      <c r="K3308" s="15" t="n">
        <v>2010</v>
      </c>
      <c r="L3308" s="15" t="n">
        <v>3</v>
      </c>
      <c r="M3308" s="15" t="n">
        <v>4</v>
      </c>
      <c r="N3308" s="16" t="n">
        <v>1.307146174e-06</v>
      </c>
      <c r="O3308" s="11" t="n">
        <v>283.8455162</v>
      </c>
      <c r="P3308" s="13">
        <f>N3308*86400</f>
        <v/>
      </c>
      <c r="Q3308" s="14">
        <f>O3308-273.15</f>
        <v/>
      </c>
    </row>
    <row r="3309">
      <c r="A3309" s="9" t="n">
        <v>40196</v>
      </c>
      <c r="B3309" s="7">
        <f>YEAR(A3309)</f>
        <v/>
      </c>
      <c r="C3309" s="7">
        <f>MONTH(A3309)</f>
        <v/>
      </c>
      <c r="D3309" s="10" t="n">
        <v>0</v>
      </c>
      <c r="E3309" s="11" t="n">
        <v>2.358986311</v>
      </c>
      <c r="F3309" s="12" t="n">
        <v>0.0001846545983</v>
      </c>
      <c r="G3309" s="11" t="n">
        <v>276.4409176</v>
      </c>
      <c r="H3309" s="13">
        <f>F3309*1000</f>
        <v/>
      </c>
      <c r="I3309" s="14">
        <f>G3309-273.15</f>
        <v/>
      </c>
      <c r="K3309" s="15" t="n">
        <v>2010</v>
      </c>
      <c r="L3309" s="15" t="n">
        <v>3</v>
      </c>
      <c r="M3309" s="15" t="n">
        <v>5</v>
      </c>
      <c r="N3309" s="16" t="n">
        <v>1.034367172e-05</v>
      </c>
      <c r="O3309" s="11" t="n">
        <v>283.1921594</v>
      </c>
      <c r="P3309" s="13">
        <f>N3309*86400</f>
        <v/>
      </c>
      <c r="Q3309" s="14">
        <f>O3309-273.15</f>
        <v/>
      </c>
    </row>
    <row r="3310">
      <c r="A3310" s="9" t="n">
        <v>40197</v>
      </c>
      <c r="B3310" s="7">
        <f>YEAR(A3310)</f>
        <v/>
      </c>
      <c r="C3310" s="7">
        <f>MONTH(A3310)</f>
        <v/>
      </c>
      <c r="D3310" s="10" t="n">
        <v>0</v>
      </c>
      <c r="E3310" s="11" t="n">
        <v>3.006577557</v>
      </c>
      <c r="F3310" s="12" t="n">
        <v>0.001503393934</v>
      </c>
      <c r="G3310" s="11" t="n">
        <v>277.7641175</v>
      </c>
      <c r="H3310" s="13">
        <f>F3310*1000</f>
        <v/>
      </c>
      <c r="I3310" s="14">
        <f>G3310-273.15</f>
        <v/>
      </c>
      <c r="K3310" s="15" t="n">
        <v>2010</v>
      </c>
      <c r="L3310" s="15" t="n">
        <v>3</v>
      </c>
      <c r="M3310" s="15" t="n">
        <v>6</v>
      </c>
      <c r="N3310" s="16" t="n">
        <v>7.501820859e-06</v>
      </c>
      <c r="O3310" s="11" t="n">
        <v>284.4133788</v>
      </c>
      <c r="P3310" s="13">
        <f>N3310*86400</f>
        <v/>
      </c>
      <c r="Q3310" s="14">
        <f>O3310-273.15</f>
        <v/>
      </c>
    </row>
    <row r="3311">
      <c r="A3311" s="9" t="n">
        <v>40198</v>
      </c>
      <c r="B3311" s="7">
        <f>YEAR(A3311)</f>
        <v/>
      </c>
      <c r="C3311" s="7">
        <f>MONTH(A3311)</f>
        <v/>
      </c>
      <c r="D3311" s="10" t="n">
        <v>0</v>
      </c>
      <c r="E3311" s="11" t="n">
        <v>5.263849384</v>
      </c>
      <c r="F3311" s="12" t="n">
        <v>0</v>
      </c>
      <c r="G3311" s="11" t="n">
        <v>279.5351294</v>
      </c>
      <c r="H3311" s="13">
        <f>F3311*1000</f>
        <v/>
      </c>
      <c r="I3311" s="14">
        <f>G3311-273.15</f>
        <v/>
      </c>
      <c r="K3311" s="15" t="n">
        <v>2010</v>
      </c>
      <c r="L3311" s="15" t="n">
        <v>3</v>
      </c>
      <c r="M3311" s="15" t="n">
        <v>7</v>
      </c>
      <c r="N3311" s="16" t="n">
        <v>4.001540488e-06</v>
      </c>
      <c r="O3311" s="11" t="n">
        <v>286.1328792</v>
      </c>
      <c r="P3311" s="13">
        <f>N3311*86400</f>
        <v/>
      </c>
      <c r="Q3311" s="14">
        <f>O3311-273.15</f>
        <v/>
      </c>
    </row>
    <row r="3312">
      <c r="A3312" s="9" t="n">
        <v>40199</v>
      </c>
      <c r="B3312" s="7">
        <f>YEAR(A3312)</f>
        <v/>
      </c>
      <c r="C3312" s="7">
        <f>MONTH(A3312)</f>
        <v/>
      </c>
      <c r="D3312" s="10" t="n">
        <v>0</v>
      </c>
      <c r="E3312" s="11" t="n">
        <v>6.850114326</v>
      </c>
      <c r="F3312" s="12" t="n">
        <v>0.0002618921226</v>
      </c>
      <c r="G3312" s="11" t="n">
        <v>279.9646542</v>
      </c>
      <c r="H3312" s="13">
        <f>F3312*1000</f>
        <v/>
      </c>
      <c r="I3312" s="14">
        <f>G3312-273.15</f>
        <v/>
      </c>
      <c r="K3312" s="15" t="n">
        <v>2010</v>
      </c>
      <c r="L3312" s="15" t="n">
        <v>3</v>
      </c>
      <c r="M3312" s="15" t="n">
        <v>8</v>
      </c>
      <c r="N3312" s="16" t="n">
        <v>2.727114484e-06</v>
      </c>
      <c r="O3312" s="11" t="n">
        <v>285.016114</v>
      </c>
      <c r="P3312" s="13">
        <f>N3312*86400</f>
        <v/>
      </c>
      <c r="Q3312" s="14">
        <f>O3312-273.15</f>
        <v/>
      </c>
    </row>
    <row r="3313">
      <c r="A3313" s="9" t="n">
        <v>40200</v>
      </c>
      <c r="B3313" s="7">
        <f>YEAR(A3313)</f>
        <v/>
      </c>
      <c r="C3313" s="7">
        <f>MONTH(A3313)</f>
        <v/>
      </c>
      <c r="D3313" s="10" t="n">
        <v>0</v>
      </c>
      <c r="E3313" s="11" t="n">
        <v>6.579767961</v>
      </c>
      <c r="F3313" s="12" t="n">
        <v>0</v>
      </c>
      <c r="G3313" s="11" t="n">
        <v>279.6558029</v>
      </c>
      <c r="H3313" s="13">
        <f>F3313*1000</f>
        <v/>
      </c>
      <c r="I3313" s="14">
        <f>G3313-273.15</f>
        <v/>
      </c>
      <c r="K3313" s="15" t="n">
        <v>2010</v>
      </c>
      <c r="L3313" s="15" t="n">
        <v>3</v>
      </c>
      <c r="M3313" s="15" t="n">
        <v>9</v>
      </c>
      <c r="N3313" s="16" t="n">
        <v>1.99477142e-05</v>
      </c>
      <c r="O3313" s="11" t="n">
        <v>283.299527</v>
      </c>
      <c r="P3313" s="13">
        <f>N3313*86400</f>
        <v/>
      </c>
      <c r="Q3313" s="14">
        <f>O3313-273.15</f>
        <v/>
      </c>
    </row>
    <row r="3314">
      <c r="A3314" s="9" t="n">
        <v>40201</v>
      </c>
      <c r="B3314" s="7">
        <f>YEAR(A3314)</f>
        <v/>
      </c>
      <c r="C3314" s="7">
        <f>MONTH(A3314)</f>
        <v/>
      </c>
      <c r="D3314" s="10" t="n">
        <v>1.405291083</v>
      </c>
      <c r="E3314" s="11" t="n">
        <v>4.017495298</v>
      </c>
      <c r="F3314" s="12" t="n">
        <v>0.002897950828</v>
      </c>
      <c r="G3314" s="11" t="n">
        <v>278.5280673</v>
      </c>
      <c r="H3314" s="13">
        <f>F3314*1000</f>
        <v/>
      </c>
      <c r="I3314" s="14">
        <f>G3314-273.15</f>
        <v/>
      </c>
      <c r="K3314" s="15" t="n">
        <v>2010</v>
      </c>
      <c r="L3314" s="15" t="n">
        <v>3</v>
      </c>
      <c r="M3314" s="15" t="n">
        <v>10</v>
      </c>
      <c r="N3314" s="16" t="n">
        <v>3.768045828e-05</v>
      </c>
      <c r="O3314" s="11" t="n">
        <v>285.7702308</v>
      </c>
      <c r="P3314" s="13">
        <f>N3314*86400</f>
        <v/>
      </c>
      <c r="Q3314" s="14">
        <f>O3314-273.15</f>
        <v/>
      </c>
    </row>
    <row r="3315">
      <c r="A3315" s="9" t="n">
        <v>40202</v>
      </c>
      <c r="B3315" s="7">
        <f>YEAR(A3315)</f>
        <v/>
      </c>
      <c r="C3315" s="7">
        <f>MONTH(A3315)</f>
        <v/>
      </c>
      <c r="D3315" s="10" t="n">
        <v>0</v>
      </c>
      <c r="E3315" s="11" t="n">
        <v>5.839416049</v>
      </c>
      <c r="F3315" s="12" t="n">
        <v>0</v>
      </c>
      <c r="G3315" s="11" t="n">
        <v>281.0031559</v>
      </c>
      <c r="H3315" s="13">
        <f>F3315*1000</f>
        <v/>
      </c>
      <c r="I3315" s="14">
        <f>G3315-273.15</f>
        <v/>
      </c>
      <c r="K3315" s="15" t="n">
        <v>2010</v>
      </c>
      <c r="L3315" s="15" t="n">
        <v>3</v>
      </c>
      <c r="M3315" s="15" t="n">
        <v>11</v>
      </c>
      <c r="N3315" s="16" t="n">
        <v>0</v>
      </c>
      <c r="O3315" s="11" t="n">
        <v>285.9346513</v>
      </c>
      <c r="P3315" s="13">
        <f>N3315*86400</f>
        <v/>
      </c>
      <c r="Q3315" s="14">
        <f>O3315-273.15</f>
        <v/>
      </c>
    </row>
    <row r="3316">
      <c r="A3316" s="9" t="n">
        <v>40203</v>
      </c>
      <c r="B3316" s="7">
        <f>YEAR(A3316)</f>
        <v/>
      </c>
      <c r="C3316" s="7">
        <f>MONTH(A3316)</f>
        <v/>
      </c>
      <c r="D3316" s="10" t="n">
        <v>0</v>
      </c>
      <c r="E3316" s="11" t="n">
        <v>5.318539991</v>
      </c>
      <c r="F3316" s="12" t="n">
        <v>0</v>
      </c>
      <c r="G3316" s="11" t="n">
        <v>279.5621967</v>
      </c>
      <c r="H3316" s="13">
        <f>F3316*1000</f>
        <v/>
      </c>
      <c r="I3316" s="14">
        <f>G3316-273.15</f>
        <v/>
      </c>
      <c r="K3316" s="15" t="n">
        <v>2010</v>
      </c>
      <c r="L3316" s="15" t="n">
        <v>3</v>
      </c>
      <c r="M3316" s="15" t="n">
        <v>12</v>
      </c>
      <c r="N3316" s="16" t="n">
        <v>0</v>
      </c>
      <c r="O3316" s="11" t="n">
        <v>284.5798511</v>
      </c>
      <c r="P3316" s="13">
        <f>N3316*86400</f>
        <v/>
      </c>
      <c r="Q3316" s="14">
        <f>O3316-273.15</f>
        <v/>
      </c>
    </row>
    <row r="3317">
      <c r="A3317" s="9" t="n">
        <v>40204</v>
      </c>
      <c r="B3317" s="7">
        <f>YEAR(A3317)</f>
        <v/>
      </c>
      <c r="C3317" s="7">
        <f>MONTH(A3317)</f>
        <v/>
      </c>
      <c r="D3317" s="10" t="n">
        <v>0</v>
      </c>
      <c r="E3317" s="11" t="n">
        <v>7.547748851</v>
      </c>
      <c r="F3317" s="12" t="n">
        <v>2.127182442e-06</v>
      </c>
      <c r="G3317" s="11" t="n">
        <v>280.6244233</v>
      </c>
      <c r="H3317" s="13">
        <f>F3317*1000</f>
        <v/>
      </c>
      <c r="I3317" s="14">
        <f>G3317-273.15</f>
        <v/>
      </c>
      <c r="K3317" s="15" t="n">
        <v>2010</v>
      </c>
      <c r="L3317" s="15" t="n">
        <v>3</v>
      </c>
      <c r="M3317" s="15" t="n">
        <v>13</v>
      </c>
      <c r="N3317" s="16" t="n">
        <v>0</v>
      </c>
      <c r="O3317" s="11" t="n">
        <v>284.2957537</v>
      </c>
      <c r="P3317" s="13">
        <f>N3317*86400</f>
        <v/>
      </c>
      <c r="Q3317" s="14">
        <f>O3317-273.15</f>
        <v/>
      </c>
    </row>
    <row r="3318">
      <c r="A3318" s="9" t="n">
        <v>40205</v>
      </c>
      <c r="B3318" s="7">
        <f>YEAR(A3318)</f>
        <v/>
      </c>
      <c r="C3318" s="7">
        <f>MONTH(A3318)</f>
        <v/>
      </c>
      <c r="D3318" s="10" t="n">
        <v>0</v>
      </c>
      <c r="E3318" s="11" t="n">
        <v>5.732282685</v>
      </c>
      <c r="F3318" s="12" t="n">
        <v>0</v>
      </c>
      <c r="G3318" s="11" t="n">
        <v>278.8398629</v>
      </c>
      <c r="H3318" s="13">
        <f>F3318*1000</f>
        <v/>
      </c>
      <c r="I3318" s="14">
        <f>G3318-273.15</f>
        <v/>
      </c>
      <c r="K3318" s="15" t="n">
        <v>2010</v>
      </c>
      <c r="L3318" s="15" t="n">
        <v>3</v>
      </c>
      <c r="M3318" s="15" t="n">
        <v>14</v>
      </c>
      <c r="N3318" s="16" t="n">
        <v>1.821079564e-06</v>
      </c>
      <c r="O3318" s="11" t="n">
        <v>286.7717658</v>
      </c>
      <c r="P3318" s="13">
        <f>N3318*86400</f>
        <v/>
      </c>
      <c r="Q3318" s="14">
        <f>O3318-273.15</f>
        <v/>
      </c>
    </row>
    <row r="3319">
      <c r="A3319" s="9" t="n">
        <v>40206</v>
      </c>
      <c r="B3319" s="7">
        <f>YEAR(A3319)</f>
        <v/>
      </c>
      <c r="C3319" s="7">
        <f>MONTH(A3319)</f>
        <v/>
      </c>
      <c r="D3319" s="10" t="n">
        <v>0</v>
      </c>
      <c r="E3319" s="11" t="n">
        <v>6.680241162</v>
      </c>
      <c r="F3319" s="12" t="n">
        <v>0.0009863813354999999</v>
      </c>
      <c r="G3319" s="11" t="n">
        <v>279.8533867</v>
      </c>
      <c r="H3319" s="13">
        <f>F3319*1000</f>
        <v/>
      </c>
      <c r="I3319" s="14">
        <f>G3319-273.15</f>
        <v/>
      </c>
      <c r="K3319" s="15" t="n">
        <v>2010</v>
      </c>
      <c r="L3319" s="15" t="n">
        <v>3</v>
      </c>
      <c r="M3319" s="15" t="n">
        <v>15</v>
      </c>
      <c r="N3319" s="16" t="n">
        <v>0</v>
      </c>
      <c r="O3319" s="11" t="n">
        <v>286.4399886</v>
      </c>
      <c r="P3319" s="13">
        <f>N3319*86400</f>
        <v/>
      </c>
      <c r="Q3319" s="14">
        <f>O3319-273.15</f>
        <v/>
      </c>
    </row>
    <row r="3320">
      <c r="A3320" s="9" t="n">
        <v>40207</v>
      </c>
      <c r="B3320" s="7">
        <f>YEAR(A3320)</f>
        <v/>
      </c>
      <c r="C3320" s="7">
        <f>MONTH(A3320)</f>
        <v/>
      </c>
      <c r="D3320" s="10" t="n">
        <v>0</v>
      </c>
      <c r="E3320" s="11" t="n">
        <v>6.21327353</v>
      </c>
      <c r="F3320" s="12" t="n">
        <v>0.0004925128746</v>
      </c>
      <c r="G3320" s="11" t="n">
        <v>278.9677883</v>
      </c>
      <c r="H3320" s="13">
        <f>F3320*1000</f>
        <v/>
      </c>
      <c r="I3320" s="14">
        <f>G3320-273.15</f>
        <v/>
      </c>
      <c r="K3320" s="15" t="n">
        <v>2010</v>
      </c>
      <c r="L3320" s="15" t="n">
        <v>3</v>
      </c>
      <c r="M3320" s="15" t="n">
        <v>16</v>
      </c>
      <c r="N3320" s="16" t="n">
        <v>0</v>
      </c>
      <c r="O3320" s="11" t="n">
        <v>287.999108</v>
      </c>
      <c r="P3320" s="13">
        <f>N3320*86400</f>
        <v/>
      </c>
      <c r="Q3320" s="14">
        <f>O3320-273.15</f>
        <v/>
      </c>
    </row>
    <row r="3321">
      <c r="A3321" s="9" t="n">
        <v>40208</v>
      </c>
      <c r="B3321" s="7">
        <f>YEAR(A3321)</f>
        <v/>
      </c>
      <c r="C3321" s="7">
        <f>MONTH(A3321)</f>
        <v/>
      </c>
      <c r="D3321" s="10" t="n">
        <v>0</v>
      </c>
      <c r="E3321" s="11" t="n">
        <v>6.264088139</v>
      </c>
      <c r="F3321" s="12" t="n">
        <v>0.0009071051686</v>
      </c>
      <c r="G3321" s="11" t="n">
        <v>280.2408589</v>
      </c>
      <c r="H3321" s="13">
        <f>F3321*1000</f>
        <v/>
      </c>
      <c r="I3321" s="14">
        <f>G3321-273.15</f>
        <v/>
      </c>
      <c r="K3321" s="15" t="n">
        <v>2010</v>
      </c>
      <c r="L3321" s="15" t="n">
        <v>3</v>
      </c>
      <c r="M3321" s="15" t="n">
        <v>17</v>
      </c>
      <c r="N3321" s="16" t="n">
        <v>0</v>
      </c>
      <c r="O3321" s="11" t="n">
        <v>286.8396426</v>
      </c>
      <c r="P3321" s="13">
        <f>N3321*86400</f>
        <v/>
      </c>
      <c r="Q3321" s="14">
        <f>O3321-273.15</f>
        <v/>
      </c>
    </row>
    <row r="3322">
      <c r="A3322" s="9" t="n">
        <v>40209</v>
      </c>
      <c r="B3322" s="7">
        <f>YEAR(A3322)</f>
        <v/>
      </c>
      <c r="C3322" s="7">
        <f>MONTH(A3322)</f>
        <v/>
      </c>
      <c r="D3322" s="10" t="n">
        <v>0</v>
      </c>
      <c r="E3322" s="11" t="n">
        <v>7.118465736</v>
      </c>
      <c r="F3322" s="12" t="n">
        <v>0</v>
      </c>
      <c r="G3322" s="11" t="n">
        <v>281.1690938</v>
      </c>
      <c r="H3322" s="13">
        <f>F3322*1000</f>
        <v/>
      </c>
      <c r="I3322" s="14">
        <f>G3322-273.15</f>
        <v/>
      </c>
      <c r="K3322" s="15" t="n">
        <v>2010</v>
      </c>
      <c r="L3322" s="15" t="n">
        <v>3</v>
      </c>
      <c r="M3322" s="15" t="n">
        <v>18</v>
      </c>
      <c r="N3322" s="16" t="n">
        <v>9.675002802e-06</v>
      </c>
      <c r="O3322" s="11" t="n">
        <v>285.8817232</v>
      </c>
      <c r="P3322" s="13">
        <f>N3322*86400</f>
        <v/>
      </c>
      <c r="Q3322" s="14">
        <f>O3322-273.15</f>
        <v/>
      </c>
    </row>
    <row r="3323">
      <c r="A3323" s="9" t="n">
        <v>40210</v>
      </c>
      <c r="B3323" s="7">
        <f>YEAR(A3323)</f>
        <v/>
      </c>
      <c r="C3323" s="7">
        <f>MONTH(A3323)</f>
        <v/>
      </c>
      <c r="D3323" s="10" t="n">
        <v>0</v>
      </c>
      <c r="E3323" s="11" t="n">
        <v>6.450472165</v>
      </c>
      <c r="F3323" s="12" t="n">
        <v>0</v>
      </c>
      <c r="G3323" s="11" t="n">
        <v>280.1867209</v>
      </c>
      <c r="H3323" s="13">
        <f>F3323*1000</f>
        <v/>
      </c>
      <c r="I3323" s="14">
        <f>G3323-273.15</f>
        <v/>
      </c>
      <c r="K3323" s="15" t="n">
        <v>2010</v>
      </c>
      <c r="L3323" s="15" t="n">
        <v>3</v>
      </c>
      <c r="M3323" s="15" t="n">
        <v>19</v>
      </c>
      <c r="N3323" s="16" t="n">
        <v>0</v>
      </c>
      <c r="O3323" s="11" t="n">
        <v>285.9727478</v>
      </c>
      <c r="P3323" s="13">
        <f>N3323*86400</f>
        <v/>
      </c>
      <c r="Q3323" s="14">
        <f>O3323-273.15</f>
        <v/>
      </c>
    </row>
    <row r="3324">
      <c r="A3324" s="9" t="n">
        <v>40211</v>
      </c>
      <c r="B3324" s="7">
        <f>YEAR(A3324)</f>
        <v/>
      </c>
      <c r="C3324" s="7">
        <f>MONTH(A3324)</f>
        <v/>
      </c>
      <c r="D3324" s="10" t="n">
        <v>0</v>
      </c>
      <c r="E3324" s="11" t="n">
        <v>3.89776001</v>
      </c>
      <c r="F3324" s="12" t="n">
        <v>0.0005889925786</v>
      </c>
      <c r="G3324" s="11" t="n">
        <v>278.9792522</v>
      </c>
      <c r="H3324" s="13">
        <f>F3324*1000</f>
        <v/>
      </c>
      <c r="I3324" s="14">
        <f>G3324-273.15</f>
        <v/>
      </c>
      <c r="K3324" s="15" t="n">
        <v>2010</v>
      </c>
      <c r="L3324" s="15" t="n">
        <v>3</v>
      </c>
      <c r="M3324" s="15" t="n">
        <v>20</v>
      </c>
      <c r="N3324" s="16" t="n">
        <v>0</v>
      </c>
      <c r="O3324" s="11" t="n">
        <v>283.4581592</v>
      </c>
      <c r="P3324" s="13">
        <f>N3324*86400</f>
        <v/>
      </c>
      <c r="Q3324" s="14">
        <f>O3324-273.15</f>
        <v/>
      </c>
    </row>
    <row r="3325">
      <c r="A3325" s="9" t="n">
        <v>40212</v>
      </c>
      <c r="B3325" s="7">
        <f>YEAR(A3325)</f>
        <v/>
      </c>
      <c r="C3325" s="7">
        <f>MONTH(A3325)</f>
        <v/>
      </c>
      <c r="D3325" s="10" t="n">
        <v>0</v>
      </c>
      <c r="E3325" s="11" t="n">
        <v>3.91967263</v>
      </c>
      <c r="F3325" s="12" t="n">
        <v>3.134914294e-05</v>
      </c>
      <c r="G3325" s="11" t="n">
        <v>279.2367782</v>
      </c>
      <c r="H3325" s="13">
        <f>F3325*1000</f>
        <v/>
      </c>
      <c r="I3325" s="14">
        <f>G3325-273.15</f>
        <v/>
      </c>
      <c r="K3325" s="15" t="n">
        <v>2010</v>
      </c>
      <c r="L3325" s="15" t="n">
        <v>3</v>
      </c>
      <c r="M3325" s="15" t="n">
        <v>21</v>
      </c>
      <c r="N3325" s="16" t="n">
        <v>0</v>
      </c>
      <c r="O3325" s="11" t="n">
        <v>282.6147636</v>
      </c>
      <c r="P3325" s="13">
        <f>N3325*86400</f>
        <v/>
      </c>
      <c r="Q3325" s="14">
        <f>O3325-273.15</f>
        <v/>
      </c>
    </row>
    <row r="3326">
      <c r="A3326" s="9" t="n">
        <v>40213</v>
      </c>
      <c r="B3326" s="7">
        <f>YEAR(A3326)</f>
        <v/>
      </c>
      <c r="C3326" s="7">
        <f>MONTH(A3326)</f>
        <v/>
      </c>
      <c r="D3326" s="10" t="n">
        <v>0</v>
      </c>
      <c r="E3326" s="11" t="n">
        <v>1.230578468</v>
      </c>
      <c r="F3326" s="12" t="n">
        <v>0</v>
      </c>
      <c r="G3326" s="11" t="n">
        <v>277.4606411</v>
      </c>
      <c r="H3326" s="13">
        <f>F3326*1000</f>
        <v/>
      </c>
      <c r="I3326" s="14">
        <f>G3326-273.15</f>
        <v/>
      </c>
      <c r="K3326" s="15" t="n">
        <v>2010</v>
      </c>
      <c r="L3326" s="15" t="n">
        <v>3</v>
      </c>
      <c r="M3326" s="15" t="n">
        <v>22</v>
      </c>
      <c r="N3326" s="16" t="n">
        <v>0</v>
      </c>
      <c r="O3326" s="11" t="n">
        <v>283.0612635</v>
      </c>
      <c r="P3326" s="13">
        <f>N3326*86400</f>
        <v/>
      </c>
      <c r="Q3326" s="14">
        <f>O3326-273.15</f>
        <v/>
      </c>
    </row>
    <row r="3327">
      <c r="A3327" s="9" t="n">
        <v>40214</v>
      </c>
      <c r="B3327" s="7">
        <f>YEAR(A3327)</f>
        <v/>
      </c>
      <c r="C3327" s="7">
        <f>MONTH(A3327)</f>
        <v/>
      </c>
      <c r="D3327" s="10" t="n">
        <v>0</v>
      </c>
      <c r="E3327" s="11" t="n">
        <v>1.91659114</v>
      </c>
      <c r="F3327" s="12" t="n">
        <v>0</v>
      </c>
      <c r="G3327" s="11" t="n">
        <v>278.1810727</v>
      </c>
      <c r="H3327" s="13">
        <f>F3327*1000</f>
        <v/>
      </c>
      <c r="I3327" s="14">
        <f>G3327-273.15</f>
        <v/>
      </c>
      <c r="K3327" s="15" t="n">
        <v>2010</v>
      </c>
      <c r="L3327" s="15" t="n">
        <v>3</v>
      </c>
      <c r="M3327" s="15" t="n">
        <v>23</v>
      </c>
      <c r="N3327" s="16" t="n">
        <v>0</v>
      </c>
      <c r="O3327" s="11" t="n">
        <v>282.943546</v>
      </c>
      <c r="P3327" s="13">
        <f>N3327*86400</f>
        <v/>
      </c>
      <c r="Q3327" s="14">
        <f>O3327-273.15</f>
        <v/>
      </c>
    </row>
    <row r="3328">
      <c r="A3328" s="9" t="n">
        <v>40215</v>
      </c>
      <c r="B3328" s="7">
        <f>YEAR(A3328)</f>
        <v/>
      </c>
      <c r="C3328" s="7">
        <f>MONTH(A3328)</f>
        <v/>
      </c>
      <c r="D3328" s="10" t="n">
        <v>0</v>
      </c>
      <c r="E3328" s="11" t="n">
        <v>5.346273608</v>
      </c>
      <c r="F3328" s="12" t="n">
        <v>0</v>
      </c>
      <c r="G3328" s="11" t="n">
        <v>280.7268799</v>
      </c>
      <c r="H3328" s="13">
        <f>F3328*1000</f>
        <v/>
      </c>
      <c r="I3328" s="14">
        <f>G3328-273.15</f>
        <v/>
      </c>
      <c r="K3328" s="15" t="n">
        <v>2010</v>
      </c>
      <c r="L3328" s="15" t="n">
        <v>3</v>
      </c>
      <c r="M3328" s="15" t="n">
        <v>24</v>
      </c>
      <c r="N3328" s="16" t="n">
        <v>0</v>
      </c>
      <c r="O3328" s="11" t="n">
        <v>284.3780429</v>
      </c>
      <c r="P3328" s="13">
        <f>N3328*86400</f>
        <v/>
      </c>
      <c r="Q3328" s="14">
        <f>O3328-273.15</f>
        <v/>
      </c>
    </row>
    <row r="3329">
      <c r="A3329" s="9" t="n">
        <v>40216</v>
      </c>
      <c r="B3329" s="7">
        <f>YEAR(A3329)</f>
        <v/>
      </c>
      <c r="C3329" s="7">
        <f>MONTH(A3329)</f>
        <v/>
      </c>
      <c r="D3329" s="10" t="n">
        <v>0</v>
      </c>
      <c r="E3329" s="11" t="n">
        <v>3.918268074</v>
      </c>
      <c r="F3329" s="12" t="n">
        <v>0</v>
      </c>
      <c r="G3329" s="11" t="n">
        <v>279.6558204</v>
      </c>
      <c r="H3329" s="13">
        <f>F3329*1000</f>
        <v/>
      </c>
      <c r="I3329" s="14">
        <f>G3329-273.15</f>
        <v/>
      </c>
      <c r="K3329" s="15" t="n">
        <v>2010</v>
      </c>
      <c r="L3329" s="15" t="n">
        <v>3</v>
      </c>
      <c r="M3329" s="15" t="n">
        <v>25</v>
      </c>
      <c r="N3329" s="16" t="n">
        <v>1.615195784e-05</v>
      </c>
      <c r="O3329" s="11" t="n">
        <v>284.9838979</v>
      </c>
      <c r="P3329" s="13">
        <f>N3329*86400</f>
        <v/>
      </c>
      <c r="Q3329" s="14">
        <f>O3329-273.15</f>
        <v/>
      </c>
    </row>
    <row r="3330">
      <c r="A3330" s="9" t="n">
        <v>40217</v>
      </c>
      <c r="B3330" s="7">
        <f>YEAR(A3330)</f>
        <v/>
      </c>
      <c r="C3330" s="7">
        <f>MONTH(A3330)</f>
        <v/>
      </c>
      <c r="D3330" s="10" t="n">
        <v>0</v>
      </c>
      <c r="E3330" s="11" t="n">
        <v>5.724707038</v>
      </c>
      <c r="F3330" s="12" t="n">
        <v>0</v>
      </c>
      <c r="G3330" s="11" t="n">
        <v>281.8758217</v>
      </c>
      <c r="H3330" s="13">
        <f>F3330*1000</f>
        <v/>
      </c>
      <c r="I3330" s="14">
        <f>G3330-273.15</f>
        <v/>
      </c>
      <c r="K3330" s="15" t="n">
        <v>2010</v>
      </c>
      <c r="L3330" s="15" t="n">
        <v>3</v>
      </c>
      <c r="M3330" s="15" t="n">
        <v>26</v>
      </c>
      <c r="N3330" s="16" t="n">
        <v>2.393256076e-05</v>
      </c>
      <c r="O3330" s="11" t="n">
        <v>284.5016499</v>
      </c>
      <c r="P3330" s="13">
        <f>N3330*86400</f>
        <v/>
      </c>
      <c r="Q3330" s="14">
        <f>O3330-273.15</f>
        <v/>
      </c>
    </row>
    <row r="3331">
      <c r="A3331" s="9" t="n">
        <v>40218</v>
      </c>
      <c r="B3331" s="7">
        <f>YEAR(A3331)</f>
        <v/>
      </c>
      <c r="C3331" s="7">
        <f>MONTH(A3331)</f>
        <v/>
      </c>
      <c r="D3331" s="10" t="n">
        <v>0</v>
      </c>
      <c r="E3331" s="11" t="n">
        <v>4.566465283</v>
      </c>
      <c r="F3331" s="12" t="n">
        <v>2.476965799e-08</v>
      </c>
      <c r="G3331" s="11" t="n">
        <v>279.6215319</v>
      </c>
      <c r="H3331" s="13">
        <f>F3331*1000</f>
        <v/>
      </c>
      <c r="I3331" s="14">
        <f>G3331-273.15</f>
        <v/>
      </c>
      <c r="K3331" s="15" t="n">
        <v>2010</v>
      </c>
      <c r="L3331" s="15" t="n">
        <v>3</v>
      </c>
      <c r="M3331" s="15" t="n">
        <v>27</v>
      </c>
      <c r="N3331" s="16" t="n">
        <v>9.46300015e-05</v>
      </c>
      <c r="O3331" s="11" t="n">
        <v>285.9053661</v>
      </c>
      <c r="P3331" s="13">
        <f>N3331*86400</f>
        <v/>
      </c>
      <c r="Q3331" s="14">
        <f>O3331-273.15</f>
        <v/>
      </c>
    </row>
    <row r="3332">
      <c r="A3332" s="9" t="n">
        <v>40219</v>
      </c>
      <c r="B3332" s="7">
        <f>YEAR(A3332)</f>
        <v/>
      </c>
      <c r="C3332" s="7">
        <f>MONTH(A3332)</f>
        <v/>
      </c>
      <c r="D3332" s="10" t="n">
        <v>0</v>
      </c>
      <c r="E3332" s="11" t="n">
        <v>4.572144646</v>
      </c>
      <c r="F3332" s="12" t="n">
        <v>0.00224473534</v>
      </c>
      <c r="G3332" s="11" t="n">
        <v>278.9551224</v>
      </c>
      <c r="H3332" s="13">
        <f>F3332*1000</f>
        <v/>
      </c>
      <c r="I3332" s="14">
        <f>G3332-273.15</f>
        <v/>
      </c>
      <c r="K3332" s="15" t="n">
        <v>2010</v>
      </c>
      <c r="L3332" s="15" t="n">
        <v>3</v>
      </c>
      <c r="M3332" s="15" t="n">
        <v>28</v>
      </c>
      <c r="N3332" s="16" t="n">
        <v>5.675715677e-05</v>
      </c>
      <c r="O3332" s="11" t="n">
        <v>286.2249838</v>
      </c>
      <c r="P3332" s="13">
        <f>N3332*86400</f>
        <v/>
      </c>
      <c r="Q3332" s="14">
        <f>O3332-273.15</f>
        <v/>
      </c>
    </row>
    <row r="3333">
      <c r="A3333" s="9" t="n">
        <v>40220</v>
      </c>
      <c r="B3333" s="7">
        <f>YEAR(A3333)</f>
        <v/>
      </c>
      <c r="C3333" s="7">
        <f>MONTH(A3333)</f>
        <v/>
      </c>
      <c r="D3333" s="10" t="n">
        <v>0</v>
      </c>
      <c r="E3333" s="11" t="n">
        <v>4.711109998</v>
      </c>
      <c r="F3333" s="12" t="n">
        <v>0.004141723949</v>
      </c>
      <c r="G3333" s="11" t="n">
        <v>279.2648656</v>
      </c>
      <c r="H3333" s="13">
        <f>F3333*1000</f>
        <v/>
      </c>
      <c r="I3333" s="14">
        <f>G3333-273.15</f>
        <v/>
      </c>
      <c r="K3333" s="15" t="n">
        <v>2010</v>
      </c>
      <c r="L3333" s="15" t="n">
        <v>3</v>
      </c>
      <c r="M3333" s="15" t="n">
        <v>29</v>
      </c>
      <c r="N3333" s="16" t="n">
        <v>0</v>
      </c>
      <c r="O3333" s="11" t="n">
        <v>289.5712676</v>
      </c>
      <c r="P3333" s="13">
        <f>N3333*86400</f>
        <v/>
      </c>
      <c r="Q3333" s="14">
        <f>O3333-273.15</f>
        <v/>
      </c>
    </row>
    <row r="3334">
      <c r="A3334" s="9" t="n">
        <v>40221</v>
      </c>
      <c r="B3334" s="7">
        <f>YEAR(A3334)</f>
        <v/>
      </c>
      <c r="C3334" s="7">
        <f>MONTH(A3334)</f>
        <v/>
      </c>
      <c r="D3334" s="10" t="n">
        <v>0</v>
      </c>
      <c r="E3334" s="11" t="n">
        <v>5.301826264</v>
      </c>
      <c r="F3334" s="12" t="n">
        <v>0.001976252803</v>
      </c>
      <c r="G3334" s="11" t="n">
        <v>279.2441755</v>
      </c>
      <c r="H3334" s="13">
        <f>F3334*1000</f>
        <v/>
      </c>
      <c r="I3334" s="14">
        <f>G3334-273.15</f>
        <v/>
      </c>
      <c r="K3334" s="15" t="n">
        <v>2010</v>
      </c>
      <c r="L3334" s="15" t="n">
        <v>3</v>
      </c>
      <c r="M3334" s="15" t="n">
        <v>30</v>
      </c>
      <c r="N3334" s="16" t="n">
        <v>0</v>
      </c>
      <c r="O3334" s="11" t="n">
        <v>290.513535</v>
      </c>
      <c r="P3334" s="13">
        <f>N3334*86400</f>
        <v/>
      </c>
      <c r="Q3334" s="14">
        <f>O3334-273.15</f>
        <v/>
      </c>
    </row>
    <row r="3335">
      <c r="A3335" s="9" t="n">
        <v>40222</v>
      </c>
      <c r="B3335" s="7">
        <f>YEAR(A3335)</f>
        <v/>
      </c>
      <c r="C3335" s="7">
        <f>MONTH(A3335)</f>
        <v/>
      </c>
      <c r="D3335" s="10" t="n">
        <v>0</v>
      </c>
      <c r="E3335" s="11" t="n">
        <v>7.52664178</v>
      </c>
      <c r="F3335" s="12" t="n">
        <v>0.0005870248639</v>
      </c>
      <c r="G3335" s="11" t="n">
        <v>281.1481792</v>
      </c>
      <c r="H3335" s="13">
        <f>F3335*1000</f>
        <v/>
      </c>
      <c r="I3335" s="14">
        <f>G3335-273.15</f>
        <v/>
      </c>
      <c r="K3335" s="15" t="n">
        <v>2010</v>
      </c>
      <c r="L3335" s="15" t="n">
        <v>4</v>
      </c>
      <c r="M3335" s="15" t="n">
        <v>1</v>
      </c>
      <c r="N3335" s="16" t="n">
        <v>5.184329221e-06</v>
      </c>
      <c r="O3335" s="11" t="n">
        <v>289.3253864</v>
      </c>
      <c r="P3335" s="13">
        <f>N3335*86400</f>
        <v/>
      </c>
      <c r="Q3335" s="14">
        <f>O3335-273.15</f>
        <v/>
      </c>
    </row>
    <row r="3336">
      <c r="A3336" s="9" t="n">
        <v>40223</v>
      </c>
      <c r="B3336" s="7">
        <f>YEAR(A3336)</f>
        <v/>
      </c>
      <c r="C3336" s="7">
        <f>MONTH(A3336)</f>
        <v/>
      </c>
      <c r="D3336" s="10" t="n">
        <v>0</v>
      </c>
      <c r="E3336" s="11" t="n">
        <v>7.029813071</v>
      </c>
      <c r="F3336" s="12" t="n">
        <v>0.0003882610312</v>
      </c>
      <c r="G3336" s="11" t="n">
        <v>280.0884751</v>
      </c>
      <c r="H3336" s="13">
        <f>F3336*1000</f>
        <v/>
      </c>
      <c r="I3336" s="14">
        <f>G3336-273.15</f>
        <v/>
      </c>
      <c r="K3336" s="15" t="n">
        <v>2010</v>
      </c>
      <c r="L3336" s="15" t="n">
        <v>4</v>
      </c>
      <c r="M3336" s="15" t="n">
        <v>2</v>
      </c>
      <c r="N3336" s="16" t="n">
        <v>2.7930945e-06</v>
      </c>
      <c r="O3336" s="11" t="n">
        <v>286.4909382</v>
      </c>
      <c r="P3336" s="13">
        <f>N3336*86400</f>
        <v/>
      </c>
      <c r="Q3336" s="14">
        <f>O3336-273.15</f>
        <v/>
      </c>
    </row>
    <row r="3337">
      <c r="A3337" s="9" t="n">
        <v>40224</v>
      </c>
      <c r="B3337" s="7">
        <f>YEAR(A3337)</f>
        <v/>
      </c>
      <c r="C3337" s="7">
        <f>MONTH(A3337)</f>
        <v/>
      </c>
      <c r="D3337" s="10" t="n">
        <v>0</v>
      </c>
      <c r="E3337" s="11" t="n">
        <v>6.544087004</v>
      </c>
      <c r="F3337" s="12" t="n">
        <v>0</v>
      </c>
      <c r="G3337" s="11" t="n">
        <v>279.8828844</v>
      </c>
      <c r="H3337" s="13">
        <f>F3337*1000</f>
        <v/>
      </c>
      <c r="I3337" s="14">
        <f>G3337-273.15</f>
        <v/>
      </c>
      <c r="K3337" s="15" t="n">
        <v>2010</v>
      </c>
      <c r="L3337" s="15" t="n">
        <v>4</v>
      </c>
      <c r="M3337" s="15" t="n">
        <v>3</v>
      </c>
      <c r="N3337" s="16" t="n">
        <v>9.884239292e-07</v>
      </c>
      <c r="O3337" s="11" t="n">
        <v>284.0443683</v>
      </c>
      <c r="P3337" s="13">
        <f>N3337*86400</f>
        <v/>
      </c>
      <c r="Q3337" s="14">
        <f>O3337-273.15</f>
        <v/>
      </c>
    </row>
    <row r="3338">
      <c r="A3338" s="9" t="n">
        <v>40225</v>
      </c>
      <c r="B3338" s="7">
        <f>YEAR(A3338)</f>
        <v/>
      </c>
      <c r="C3338" s="7">
        <f>MONTH(A3338)</f>
        <v/>
      </c>
      <c r="D3338" s="10" t="n">
        <v>0</v>
      </c>
      <c r="E3338" s="11" t="n">
        <v>6.626077723</v>
      </c>
      <c r="F3338" s="12" t="n">
        <v>0</v>
      </c>
      <c r="G3338" s="11" t="n">
        <v>280.3795579</v>
      </c>
      <c r="H3338" s="13">
        <f>F3338*1000</f>
        <v/>
      </c>
      <c r="I3338" s="14">
        <f>G3338-273.15</f>
        <v/>
      </c>
      <c r="K3338" s="15" t="n">
        <v>2010</v>
      </c>
      <c r="L3338" s="15" t="n">
        <v>4</v>
      </c>
      <c r="M3338" s="15" t="n">
        <v>4</v>
      </c>
      <c r="N3338" s="16" t="n">
        <v>0</v>
      </c>
      <c r="O3338" s="11" t="n">
        <v>286.668496</v>
      </c>
      <c r="P3338" s="13">
        <f>N3338*86400</f>
        <v/>
      </c>
      <c r="Q3338" s="14">
        <f>O3338-273.15</f>
        <v/>
      </c>
    </row>
    <row r="3339">
      <c r="A3339" s="9" t="n">
        <v>40226</v>
      </c>
      <c r="B3339" s="7">
        <f>YEAR(A3339)</f>
        <v/>
      </c>
      <c r="C3339" s="7">
        <f>MONTH(A3339)</f>
        <v/>
      </c>
      <c r="D3339" s="10" t="n">
        <v>0</v>
      </c>
      <c r="E3339" s="11" t="n">
        <v>4.560265106</v>
      </c>
      <c r="F3339" s="12" t="n">
        <v>9.817151145000001e-05</v>
      </c>
      <c r="G3339" s="11" t="n">
        <v>279.9562207</v>
      </c>
      <c r="H3339" s="13">
        <f>F3339*1000</f>
        <v/>
      </c>
      <c r="I3339" s="14">
        <f>G3339-273.15</f>
        <v/>
      </c>
      <c r="K3339" s="15" t="n">
        <v>2010</v>
      </c>
      <c r="L3339" s="15" t="n">
        <v>4</v>
      </c>
      <c r="M3339" s="15" t="n">
        <v>5</v>
      </c>
      <c r="N3339" s="16" t="n">
        <v>1.568772044e-05</v>
      </c>
      <c r="O3339" s="11" t="n">
        <v>287.0280188</v>
      </c>
      <c r="P3339" s="13">
        <f>N3339*86400</f>
        <v/>
      </c>
      <c r="Q3339" s="14">
        <f>O3339-273.15</f>
        <v/>
      </c>
    </row>
    <row r="3340">
      <c r="A3340" s="9" t="n">
        <v>40227</v>
      </c>
      <c r="B3340" s="7">
        <f>YEAR(A3340)</f>
        <v/>
      </c>
      <c r="C3340" s="7">
        <f>MONTH(A3340)</f>
        <v/>
      </c>
      <c r="D3340" s="10" t="n">
        <v>0</v>
      </c>
      <c r="E3340" s="11" t="n">
        <v>4.637820315</v>
      </c>
      <c r="F3340" s="12" t="n">
        <v>0.0005242458295000001</v>
      </c>
      <c r="G3340" s="11" t="n">
        <v>280.3868465</v>
      </c>
      <c r="H3340" s="13">
        <f>F3340*1000</f>
        <v/>
      </c>
      <c r="I3340" s="14">
        <f>G3340-273.15</f>
        <v/>
      </c>
      <c r="K3340" s="15" t="n">
        <v>2010</v>
      </c>
      <c r="L3340" s="15" t="n">
        <v>4</v>
      </c>
      <c r="M3340" s="15" t="n">
        <v>6</v>
      </c>
      <c r="N3340" s="16" t="n">
        <v>8.059668654000001e-05</v>
      </c>
      <c r="O3340" s="11" t="n">
        <v>286.5944118</v>
      </c>
      <c r="P3340" s="13">
        <f>N3340*86400</f>
        <v/>
      </c>
      <c r="Q3340" s="14">
        <f>O3340-273.15</f>
        <v/>
      </c>
    </row>
    <row r="3341">
      <c r="A3341" s="9" t="n">
        <v>40228</v>
      </c>
      <c r="B3341" s="7">
        <f>YEAR(A3341)</f>
        <v/>
      </c>
      <c r="C3341" s="7">
        <f>MONTH(A3341)</f>
        <v/>
      </c>
      <c r="D3341" s="10" t="n">
        <v>0</v>
      </c>
      <c r="E3341" s="11" t="n">
        <v>6.008333278</v>
      </c>
      <c r="F3341" s="12" t="n">
        <v>0.0001012132679</v>
      </c>
      <c r="G3341" s="11" t="n">
        <v>281.4002487</v>
      </c>
      <c r="H3341" s="13">
        <f>F3341*1000</f>
        <v/>
      </c>
      <c r="I3341" s="14">
        <f>G3341-273.15</f>
        <v/>
      </c>
      <c r="K3341" s="15" t="n">
        <v>2010</v>
      </c>
      <c r="L3341" s="15" t="n">
        <v>4</v>
      </c>
      <c r="M3341" s="15" t="n">
        <v>7</v>
      </c>
      <c r="N3341" s="16" t="n">
        <v>6.964445886999999e-05</v>
      </c>
      <c r="O3341" s="11" t="n">
        <v>287.7686303</v>
      </c>
      <c r="P3341" s="13">
        <f>N3341*86400</f>
        <v/>
      </c>
      <c r="Q3341" s="14">
        <f>O3341-273.15</f>
        <v/>
      </c>
    </row>
    <row r="3342">
      <c r="A3342" s="9" t="n">
        <v>40229</v>
      </c>
      <c r="B3342" s="7">
        <f>YEAR(A3342)</f>
        <v/>
      </c>
      <c r="C3342" s="7">
        <f>MONTH(A3342)</f>
        <v/>
      </c>
      <c r="D3342" s="10" t="n">
        <v>0</v>
      </c>
      <c r="E3342" s="11" t="n">
        <v>7.472204065</v>
      </c>
      <c r="F3342" s="12" t="n">
        <v>0.001858102595</v>
      </c>
      <c r="G3342" s="11" t="n">
        <v>282.5621306</v>
      </c>
      <c r="H3342" s="13">
        <f>F3342*1000</f>
        <v/>
      </c>
      <c r="I3342" s="14">
        <f>G3342-273.15</f>
        <v/>
      </c>
      <c r="K3342" s="15" t="n">
        <v>2010</v>
      </c>
      <c r="L3342" s="15" t="n">
        <v>4</v>
      </c>
      <c r="M3342" s="15" t="n">
        <v>8</v>
      </c>
      <c r="N3342" s="16" t="n">
        <v>4.123387643e-05</v>
      </c>
      <c r="O3342" s="11" t="n">
        <v>288.0652001</v>
      </c>
      <c r="P3342" s="13">
        <f>N3342*86400</f>
        <v/>
      </c>
      <c r="Q3342" s="14">
        <f>O3342-273.15</f>
        <v/>
      </c>
    </row>
    <row r="3343">
      <c r="A3343" s="9" t="n">
        <v>40230</v>
      </c>
      <c r="B3343" s="7">
        <f>YEAR(A3343)</f>
        <v/>
      </c>
      <c r="C3343" s="7">
        <f>MONTH(A3343)</f>
        <v/>
      </c>
      <c r="D3343" s="10" t="n">
        <v>0</v>
      </c>
      <c r="E3343" s="11" t="n">
        <v>7.632018705</v>
      </c>
      <c r="F3343" s="12" t="n">
        <v>0</v>
      </c>
      <c r="G3343" s="11" t="n">
        <v>282.1173355</v>
      </c>
      <c r="H3343" s="13">
        <f>F3343*1000</f>
        <v/>
      </c>
      <c r="I3343" s="14">
        <f>G3343-273.15</f>
        <v/>
      </c>
      <c r="K3343" s="15" t="n">
        <v>2010</v>
      </c>
      <c r="L3343" s="15" t="n">
        <v>4</v>
      </c>
      <c r="M3343" s="15" t="n">
        <v>9</v>
      </c>
      <c r="N3343" s="16" t="n">
        <v>4.199078858e-05</v>
      </c>
      <c r="O3343" s="11" t="n">
        <v>289.7249319</v>
      </c>
      <c r="P3343" s="13">
        <f>N3343*86400</f>
        <v/>
      </c>
      <c r="Q3343" s="14">
        <f>O3343-273.15</f>
        <v/>
      </c>
    </row>
    <row r="3344">
      <c r="A3344" s="9" t="n">
        <v>40231</v>
      </c>
      <c r="B3344" s="7">
        <f>YEAR(A3344)</f>
        <v/>
      </c>
      <c r="C3344" s="7">
        <f>MONTH(A3344)</f>
        <v/>
      </c>
      <c r="D3344" s="10" t="n">
        <v>0</v>
      </c>
      <c r="E3344" s="11" t="n">
        <v>8.181324107</v>
      </c>
      <c r="F3344" s="12" t="n">
        <v>0</v>
      </c>
      <c r="G3344" s="11" t="n">
        <v>282.681313</v>
      </c>
      <c r="H3344" s="13">
        <f>F3344*1000</f>
        <v/>
      </c>
      <c r="I3344" s="14">
        <f>G3344-273.15</f>
        <v/>
      </c>
      <c r="K3344" s="15" t="n">
        <v>2010</v>
      </c>
      <c r="L3344" s="15" t="n">
        <v>4</v>
      </c>
      <c r="M3344" s="15" t="n">
        <v>10</v>
      </c>
      <c r="N3344" s="16" t="n">
        <v>4.6012846e-06</v>
      </c>
      <c r="O3344" s="11" t="n">
        <v>287.5607581</v>
      </c>
      <c r="P3344" s="13">
        <f>N3344*86400</f>
        <v/>
      </c>
      <c r="Q3344" s="14">
        <f>O3344-273.15</f>
        <v/>
      </c>
    </row>
    <row r="3345">
      <c r="A3345" s="9" t="n">
        <v>40232</v>
      </c>
      <c r="B3345" s="7">
        <f>YEAR(A3345)</f>
        <v/>
      </c>
      <c r="C3345" s="7">
        <f>MONTH(A3345)</f>
        <v/>
      </c>
      <c r="D3345" s="10" t="n">
        <v>0</v>
      </c>
      <c r="E3345" s="11" t="n">
        <v>7.963651113</v>
      </c>
      <c r="F3345" s="12" t="n">
        <v>0</v>
      </c>
      <c r="G3345" s="11" t="n">
        <v>282.5380725</v>
      </c>
      <c r="H3345" s="13">
        <f>F3345*1000</f>
        <v/>
      </c>
      <c r="I3345" s="14">
        <f>G3345-273.15</f>
        <v/>
      </c>
      <c r="K3345" s="15" t="n">
        <v>2010</v>
      </c>
      <c r="L3345" s="15" t="n">
        <v>4</v>
      </c>
      <c r="M3345" s="15" t="n">
        <v>11</v>
      </c>
      <c r="N3345" s="16" t="n">
        <v>0</v>
      </c>
      <c r="O3345" s="11" t="n">
        <v>289.1638998</v>
      </c>
      <c r="P3345" s="13">
        <f>N3345*86400</f>
        <v/>
      </c>
      <c r="Q3345" s="14">
        <f>O3345-273.15</f>
        <v/>
      </c>
    </row>
    <row r="3346">
      <c r="A3346" s="9" t="n">
        <v>40233</v>
      </c>
      <c r="B3346" s="7">
        <f>YEAR(A3346)</f>
        <v/>
      </c>
      <c r="C3346" s="7">
        <f>MONTH(A3346)</f>
        <v/>
      </c>
      <c r="D3346" s="10" t="n">
        <v>0.01246729157</v>
      </c>
      <c r="E3346" s="11" t="n">
        <v>8.043115822000001</v>
      </c>
      <c r="F3346" s="12" t="n">
        <v>0</v>
      </c>
      <c r="G3346" s="11" t="n">
        <v>281.9805894</v>
      </c>
      <c r="H3346" s="13">
        <f>F3346*1000</f>
        <v/>
      </c>
      <c r="I3346" s="14">
        <f>G3346-273.15</f>
        <v/>
      </c>
      <c r="K3346" s="15" t="n">
        <v>2010</v>
      </c>
      <c r="L3346" s="15" t="n">
        <v>4</v>
      </c>
      <c r="M3346" s="15" t="n">
        <v>12</v>
      </c>
      <c r="N3346" s="16" t="n">
        <v>0</v>
      </c>
      <c r="O3346" s="11" t="n">
        <v>290.0698446</v>
      </c>
      <c r="P3346" s="13">
        <f>N3346*86400</f>
        <v/>
      </c>
      <c r="Q3346" s="14">
        <f>O3346-273.15</f>
        <v/>
      </c>
    </row>
    <row r="3347">
      <c r="A3347" s="9" t="n">
        <v>40234</v>
      </c>
      <c r="B3347" s="7">
        <f>YEAR(A3347)</f>
        <v/>
      </c>
      <c r="C3347" s="7">
        <f>MONTH(A3347)</f>
        <v/>
      </c>
      <c r="D3347" s="10" t="n">
        <v>0</v>
      </c>
      <c r="E3347" s="11" t="n">
        <v>9.103295107999999</v>
      </c>
      <c r="F3347" s="12" t="n">
        <v>0</v>
      </c>
      <c r="G3347" s="11" t="n">
        <v>284.2924023</v>
      </c>
      <c r="H3347" s="13">
        <f>F3347*1000</f>
        <v/>
      </c>
      <c r="I3347" s="14">
        <f>G3347-273.15</f>
        <v/>
      </c>
      <c r="K3347" s="15" t="n">
        <v>2010</v>
      </c>
      <c r="L3347" s="15" t="n">
        <v>4</v>
      </c>
      <c r="M3347" s="15" t="n">
        <v>13</v>
      </c>
      <c r="N3347" s="16" t="n">
        <v>0</v>
      </c>
      <c r="O3347" s="11" t="n">
        <v>290.6621495</v>
      </c>
      <c r="P3347" s="13">
        <f>N3347*86400</f>
        <v/>
      </c>
      <c r="Q3347" s="14">
        <f>O3347-273.15</f>
        <v/>
      </c>
    </row>
    <row r="3348">
      <c r="A3348" s="9" t="n">
        <v>40235</v>
      </c>
      <c r="B3348" s="7">
        <f>YEAR(A3348)</f>
        <v/>
      </c>
      <c r="C3348" s="7">
        <f>MONTH(A3348)</f>
        <v/>
      </c>
      <c r="D3348" s="10" t="n">
        <v>0</v>
      </c>
      <c r="E3348" s="11" t="n">
        <v>9.541913321999999</v>
      </c>
      <c r="F3348" s="12" t="n">
        <v>0</v>
      </c>
      <c r="G3348" s="11" t="n">
        <v>283.6323052</v>
      </c>
      <c r="H3348" s="13">
        <f>F3348*1000</f>
        <v/>
      </c>
      <c r="I3348" s="14">
        <f>G3348-273.15</f>
        <v/>
      </c>
      <c r="K3348" s="15" t="n">
        <v>2010</v>
      </c>
      <c r="L3348" s="15" t="n">
        <v>4</v>
      </c>
      <c r="M3348" s="15" t="n">
        <v>14</v>
      </c>
      <c r="N3348" s="16" t="n">
        <v>0</v>
      </c>
      <c r="O3348" s="11" t="n">
        <v>288.4166515</v>
      </c>
      <c r="P3348" s="13">
        <f>N3348*86400</f>
        <v/>
      </c>
      <c r="Q3348" s="14">
        <f>O3348-273.15</f>
        <v/>
      </c>
    </row>
    <row r="3349">
      <c r="A3349" s="9" t="n">
        <v>40236</v>
      </c>
      <c r="B3349" s="7">
        <f>YEAR(A3349)</f>
        <v/>
      </c>
      <c r="C3349" s="7">
        <f>MONTH(A3349)</f>
        <v/>
      </c>
      <c r="D3349" s="10" t="n">
        <v>0</v>
      </c>
      <c r="E3349" s="11" t="n">
        <v>10.465195</v>
      </c>
      <c r="F3349" s="12" t="n">
        <v>0</v>
      </c>
      <c r="G3349" s="11" t="n">
        <v>284.7039946</v>
      </c>
      <c r="H3349" s="13">
        <f>F3349*1000</f>
        <v/>
      </c>
      <c r="I3349" s="14">
        <f>G3349-273.15</f>
        <v/>
      </c>
      <c r="K3349" s="15" t="n">
        <v>2010</v>
      </c>
      <c r="L3349" s="15" t="n">
        <v>4</v>
      </c>
      <c r="M3349" s="15" t="n">
        <v>15</v>
      </c>
      <c r="N3349" s="16" t="n">
        <v>0</v>
      </c>
      <c r="O3349" s="11" t="n">
        <v>286.7119936</v>
      </c>
      <c r="P3349" s="13">
        <f>N3349*86400</f>
        <v/>
      </c>
      <c r="Q3349" s="14">
        <f>O3349-273.15</f>
        <v/>
      </c>
    </row>
    <row r="3350">
      <c r="A3350" s="9" t="n">
        <v>40237</v>
      </c>
      <c r="B3350" s="7">
        <f>YEAR(A3350)</f>
        <v/>
      </c>
      <c r="C3350" s="7">
        <f>MONTH(A3350)</f>
        <v/>
      </c>
      <c r="D3350" s="10" t="n">
        <v>0</v>
      </c>
      <c r="E3350" s="11" t="n">
        <v>11.93624164</v>
      </c>
      <c r="F3350" s="12" t="n">
        <v>0</v>
      </c>
      <c r="G3350" s="11" t="n">
        <v>285.98488</v>
      </c>
      <c r="H3350" s="13">
        <f>F3350*1000</f>
        <v/>
      </c>
      <c r="I3350" s="14">
        <f>G3350-273.15</f>
        <v/>
      </c>
      <c r="K3350" s="15" t="n">
        <v>2010</v>
      </c>
      <c r="L3350" s="15" t="n">
        <v>4</v>
      </c>
      <c r="M3350" s="15" t="n">
        <v>16</v>
      </c>
      <c r="N3350" s="16" t="n">
        <v>0</v>
      </c>
      <c r="O3350" s="11" t="n">
        <v>285.6793074</v>
      </c>
      <c r="P3350" s="13">
        <f>N3350*86400</f>
        <v/>
      </c>
      <c r="Q3350" s="14">
        <f>O3350-273.15</f>
        <v/>
      </c>
    </row>
    <row r="3351">
      <c r="A3351" s="9" t="n">
        <v>40238</v>
      </c>
      <c r="B3351" s="7">
        <f>YEAR(A3351)</f>
        <v/>
      </c>
      <c r="C3351" s="7">
        <f>MONTH(A3351)</f>
        <v/>
      </c>
      <c r="D3351" s="10" t="n">
        <v>0</v>
      </c>
      <c r="E3351" s="11" t="n">
        <v>9.873065220000001</v>
      </c>
      <c r="F3351" s="12" t="n">
        <v>0.001136830743</v>
      </c>
      <c r="G3351" s="11" t="n">
        <v>284.5767715</v>
      </c>
      <c r="H3351" s="13">
        <f>F3351*1000</f>
        <v/>
      </c>
      <c r="I3351" s="14">
        <f>G3351-273.15</f>
        <v/>
      </c>
      <c r="K3351" s="15" t="n">
        <v>2010</v>
      </c>
      <c r="L3351" s="15" t="n">
        <v>4</v>
      </c>
      <c r="M3351" s="15" t="n">
        <v>17</v>
      </c>
      <c r="N3351" s="16" t="n">
        <v>4.31005082e-05</v>
      </c>
      <c r="O3351" s="11" t="n">
        <v>287.6086445</v>
      </c>
      <c r="P3351" s="13">
        <f>N3351*86400</f>
        <v/>
      </c>
      <c r="Q3351" s="14">
        <f>O3351-273.15</f>
        <v/>
      </c>
    </row>
    <row r="3352">
      <c r="A3352" s="9" t="n">
        <v>40239</v>
      </c>
      <c r="B3352" s="7">
        <f>YEAR(A3352)</f>
        <v/>
      </c>
      <c r="C3352" s="7">
        <f>MONTH(A3352)</f>
        <v/>
      </c>
      <c r="D3352" s="10" t="n">
        <v>0</v>
      </c>
      <c r="E3352" s="11" t="n">
        <v>8.355189833000001</v>
      </c>
      <c r="F3352" s="12" t="n">
        <v>0.0008751061906</v>
      </c>
      <c r="G3352" s="11" t="n">
        <v>284.0925598</v>
      </c>
      <c r="H3352" s="13">
        <f>F3352*1000</f>
        <v/>
      </c>
      <c r="I3352" s="14">
        <f>G3352-273.15</f>
        <v/>
      </c>
      <c r="K3352" s="15" t="n">
        <v>2010</v>
      </c>
      <c r="L3352" s="15" t="n">
        <v>4</v>
      </c>
      <c r="M3352" s="15" t="n">
        <v>18</v>
      </c>
      <c r="N3352" s="16" t="n">
        <v>1.455317558e-05</v>
      </c>
      <c r="O3352" s="11" t="n">
        <v>290.2548104</v>
      </c>
      <c r="P3352" s="13">
        <f>N3352*86400</f>
        <v/>
      </c>
      <c r="Q3352" s="14">
        <f>O3352-273.15</f>
        <v/>
      </c>
    </row>
    <row r="3353">
      <c r="A3353" s="9" t="n">
        <v>40240</v>
      </c>
      <c r="B3353" s="7">
        <f>YEAR(A3353)</f>
        <v/>
      </c>
      <c r="C3353" s="7">
        <f>MONTH(A3353)</f>
        <v/>
      </c>
      <c r="D3353" s="10" t="n">
        <v>0</v>
      </c>
      <c r="E3353" s="11" t="n">
        <v>10.19182093</v>
      </c>
      <c r="F3353" s="12" t="n">
        <v>0</v>
      </c>
      <c r="G3353" s="11" t="n">
        <v>286.7121561</v>
      </c>
      <c r="H3353" s="13">
        <f>F3353*1000</f>
        <v/>
      </c>
      <c r="I3353" s="14">
        <f>G3353-273.15</f>
        <v/>
      </c>
      <c r="K3353" s="15" t="n">
        <v>2010</v>
      </c>
      <c r="L3353" s="15" t="n">
        <v>4</v>
      </c>
      <c r="M3353" s="15" t="n">
        <v>19</v>
      </c>
      <c r="N3353" s="16" t="n">
        <v>0</v>
      </c>
      <c r="O3353" s="11" t="n">
        <v>289.4469525</v>
      </c>
      <c r="P3353" s="13">
        <f>N3353*86400</f>
        <v/>
      </c>
      <c r="Q3353" s="14">
        <f>O3353-273.15</f>
        <v/>
      </c>
    </row>
    <row r="3354">
      <c r="A3354" s="9" t="n">
        <v>40241</v>
      </c>
      <c r="B3354" s="7">
        <f>YEAR(A3354)</f>
        <v/>
      </c>
      <c r="C3354" s="7">
        <f>MONTH(A3354)</f>
        <v/>
      </c>
      <c r="D3354" s="10" t="n">
        <v>0</v>
      </c>
      <c r="E3354" s="11" t="n">
        <v>10.28696309</v>
      </c>
      <c r="F3354" s="12" t="n">
        <v>0</v>
      </c>
      <c r="G3354" s="11" t="n">
        <v>286.5552574</v>
      </c>
      <c r="H3354" s="13">
        <f>F3354*1000</f>
        <v/>
      </c>
      <c r="I3354" s="14">
        <f>G3354-273.15</f>
        <v/>
      </c>
      <c r="K3354" s="15" t="n">
        <v>2010</v>
      </c>
      <c r="L3354" s="15" t="n">
        <v>4</v>
      </c>
      <c r="M3354" s="15" t="n">
        <v>20</v>
      </c>
      <c r="N3354" s="16" t="n">
        <v>0</v>
      </c>
      <c r="O3354" s="11" t="n">
        <v>289.6114384</v>
      </c>
      <c r="P3354" s="13">
        <f>N3354*86400</f>
        <v/>
      </c>
      <c r="Q3354" s="14">
        <f>O3354-273.15</f>
        <v/>
      </c>
    </row>
    <row r="3355">
      <c r="A3355" s="9" t="n">
        <v>40242</v>
      </c>
      <c r="B3355" s="7">
        <f>YEAR(A3355)</f>
        <v/>
      </c>
      <c r="C3355" s="7">
        <f>MONTH(A3355)</f>
        <v/>
      </c>
      <c r="D3355" s="10" t="n">
        <v>0</v>
      </c>
      <c r="E3355" s="11" t="n">
        <v>12.5594036</v>
      </c>
      <c r="F3355" s="12" t="n">
        <v>0</v>
      </c>
      <c r="G3355" s="11" t="n">
        <v>286.8032526</v>
      </c>
      <c r="H3355" s="13">
        <f>F3355*1000</f>
        <v/>
      </c>
      <c r="I3355" s="14">
        <f>G3355-273.15</f>
        <v/>
      </c>
      <c r="K3355" s="15" t="n">
        <v>2010</v>
      </c>
      <c r="L3355" s="15" t="n">
        <v>4</v>
      </c>
      <c r="M3355" s="15" t="n">
        <v>21</v>
      </c>
      <c r="N3355" s="16" t="n">
        <v>0</v>
      </c>
      <c r="O3355" s="11" t="n">
        <v>289.0963862</v>
      </c>
      <c r="P3355" s="13">
        <f>N3355*86400</f>
        <v/>
      </c>
      <c r="Q3355" s="14">
        <f>O3355-273.15</f>
        <v/>
      </c>
    </row>
    <row r="3356">
      <c r="A3356" s="9" t="n">
        <v>40243</v>
      </c>
      <c r="B3356" s="7">
        <f>YEAR(A3356)</f>
        <v/>
      </c>
      <c r="C3356" s="7">
        <f>MONTH(A3356)</f>
        <v/>
      </c>
      <c r="D3356" s="10" t="n">
        <v>0</v>
      </c>
      <c r="E3356" s="11" t="n">
        <v>13.64601751</v>
      </c>
      <c r="F3356" s="12" t="n">
        <v>0</v>
      </c>
      <c r="G3356" s="11" t="n">
        <v>288.3111636</v>
      </c>
      <c r="H3356" s="13">
        <f>F3356*1000</f>
        <v/>
      </c>
      <c r="I3356" s="14">
        <f>G3356-273.15</f>
        <v/>
      </c>
      <c r="K3356" s="15" t="n">
        <v>2010</v>
      </c>
      <c r="L3356" s="15" t="n">
        <v>4</v>
      </c>
      <c r="M3356" s="15" t="n">
        <v>22</v>
      </c>
      <c r="N3356" s="16" t="n">
        <v>3.870278537e-06</v>
      </c>
      <c r="O3356" s="11" t="n">
        <v>291.0876191</v>
      </c>
      <c r="P3356" s="13">
        <f>N3356*86400</f>
        <v/>
      </c>
      <c r="Q3356" s="14">
        <f>O3356-273.15</f>
        <v/>
      </c>
    </row>
    <row r="3357">
      <c r="A3357" s="9" t="n">
        <v>40244</v>
      </c>
      <c r="B3357" s="7">
        <f>YEAR(A3357)</f>
        <v/>
      </c>
      <c r="C3357" s="7">
        <f>MONTH(A3357)</f>
        <v/>
      </c>
      <c r="D3357" s="10" t="n">
        <v>0</v>
      </c>
      <c r="E3357" s="11" t="n">
        <v>11.43471587</v>
      </c>
      <c r="F3357" s="12" t="n">
        <v>0</v>
      </c>
      <c r="G3357" s="11" t="n">
        <v>286.5766236</v>
      </c>
      <c r="H3357" s="13">
        <f>F3357*1000</f>
        <v/>
      </c>
      <c r="I3357" s="14">
        <f>G3357-273.15</f>
        <v/>
      </c>
      <c r="K3357" s="15" t="n">
        <v>2010</v>
      </c>
      <c r="L3357" s="15" t="n">
        <v>4</v>
      </c>
      <c r="M3357" s="15" t="n">
        <v>23</v>
      </c>
      <c r="N3357" s="16" t="n">
        <v>0</v>
      </c>
      <c r="O3357" s="11" t="n">
        <v>290.5895937</v>
      </c>
      <c r="P3357" s="13">
        <f>N3357*86400</f>
        <v/>
      </c>
      <c r="Q3357" s="14">
        <f>O3357-273.15</f>
        <v/>
      </c>
    </row>
    <row r="3358">
      <c r="A3358" s="9" t="n">
        <v>40245</v>
      </c>
      <c r="B3358" s="7">
        <f>YEAR(A3358)</f>
        <v/>
      </c>
      <c r="C3358" s="7">
        <f>MONTH(A3358)</f>
        <v/>
      </c>
      <c r="D3358" s="10" t="n">
        <v>0</v>
      </c>
      <c r="E3358" s="11" t="n">
        <v>10.19559727</v>
      </c>
      <c r="F3358" s="12" t="n">
        <v>0</v>
      </c>
      <c r="G3358" s="11" t="n">
        <v>285.9171546</v>
      </c>
      <c r="H3358" s="13">
        <f>F3358*1000</f>
        <v/>
      </c>
      <c r="I3358" s="14">
        <f>G3358-273.15</f>
        <v/>
      </c>
      <c r="K3358" s="15" t="n">
        <v>2010</v>
      </c>
      <c r="L3358" s="15" t="n">
        <v>4</v>
      </c>
      <c r="M3358" s="15" t="n">
        <v>24</v>
      </c>
      <c r="N3358" s="16" t="n">
        <v>3.724057156e-06</v>
      </c>
      <c r="O3358" s="11" t="n">
        <v>291.2070164</v>
      </c>
      <c r="P3358" s="13">
        <f>N3358*86400</f>
        <v/>
      </c>
      <c r="Q3358" s="14">
        <f>O3358-273.15</f>
        <v/>
      </c>
    </row>
    <row r="3359">
      <c r="A3359" s="9" t="n">
        <v>40246</v>
      </c>
      <c r="B3359" s="7">
        <f>YEAR(A3359)</f>
        <v/>
      </c>
      <c r="C3359" s="7">
        <f>MONTH(A3359)</f>
        <v/>
      </c>
      <c r="D3359" s="10" t="n">
        <v>0</v>
      </c>
      <c r="E3359" s="11" t="n">
        <v>10.47166713</v>
      </c>
      <c r="F3359" s="12" t="n">
        <v>0</v>
      </c>
      <c r="G3359" s="11" t="n">
        <v>286.3243931</v>
      </c>
      <c r="H3359" s="13">
        <f>F3359*1000</f>
        <v/>
      </c>
      <c r="I3359" s="14">
        <f>G3359-273.15</f>
        <v/>
      </c>
      <c r="K3359" s="15" t="n">
        <v>2010</v>
      </c>
      <c r="L3359" s="15" t="n">
        <v>4</v>
      </c>
      <c r="M3359" s="15" t="n">
        <v>25</v>
      </c>
      <c r="N3359" s="16" t="n">
        <v>0</v>
      </c>
      <c r="O3359" s="11" t="n">
        <v>291.0872877</v>
      </c>
      <c r="P3359" s="13">
        <f>N3359*86400</f>
        <v/>
      </c>
      <c r="Q3359" s="14">
        <f>O3359-273.15</f>
        <v/>
      </c>
    </row>
    <row r="3360">
      <c r="A3360" s="9" t="n">
        <v>40247</v>
      </c>
      <c r="B3360" s="7">
        <f>YEAR(A3360)</f>
        <v/>
      </c>
      <c r="C3360" s="7">
        <f>MONTH(A3360)</f>
        <v/>
      </c>
      <c r="D3360" s="10" t="n">
        <v>0</v>
      </c>
      <c r="E3360" s="11" t="n">
        <v>8.220057538000001</v>
      </c>
      <c r="F3360" s="12" t="n">
        <v>0</v>
      </c>
      <c r="G3360" s="11" t="n">
        <v>284.4851675</v>
      </c>
      <c r="H3360" s="13">
        <f>F3360*1000</f>
        <v/>
      </c>
      <c r="I3360" s="14">
        <f>G3360-273.15</f>
        <v/>
      </c>
      <c r="K3360" s="15" t="n">
        <v>2010</v>
      </c>
      <c r="L3360" s="15" t="n">
        <v>4</v>
      </c>
      <c r="M3360" s="15" t="n">
        <v>26</v>
      </c>
      <c r="N3360" s="16" t="n">
        <v>8.885217737999999e-05</v>
      </c>
      <c r="O3360" s="11" t="n">
        <v>290.6112606</v>
      </c>
      <c r="P3360" s="13">
        <f>N3360*86400</f>
        <v/>
      </c>
      <c r="Q3360" s="14">
        <f>O3360-273.15</f>
        <v/>
      </c>
    </row>
    <row r="3361">
      <c r="A3361" s="9" t="n">
        <v>40248</v>
      </c>
      <c r="B3361" s="7">
        <f>YEAR(A3361)</f>
        <v/>
      </c>
      <c r="C3361" s="7">
        <f>MONTH(A3361)</f>
        <v/>
      </c>
      <c r="D3361" s="10" t="n">
        <v>0</v>
      </c>
      <c r="E3361" s="11" t="n">
        <v>8.952611305</v>
      </c>
      <c r="F3361" s="12" t="n">
        <v>0.000279536779</v>
      </c>
      <c r="G3361" s="11" t="n">
        <v>285.6000245</v>
      </c>
      <c r="H3361" s="13">
        <f>F3361*1000</f>
        <v/>
      </c>
      <c r="I3361" s="14">
        <f>G3361-273.15</f>
        <v/>
      </c>
      <c r="K3361" s="15" t="n">
        <v>2010</v>
      </c>
      <c r="L3361" s="15" t="n">
        <v>4</v>
      </c>
      <c r="M3361" s="15" t="n">
        <v>27</v>
      </c>
      <c r="N3361" s="16" t="n">
        <v>2.404291946e-05</v>
      </c>
      <c r="O3361" s="11" t="n">
        <v>288.0952313</v>
      </c>
      <c r="P3361" s="13">
        <f>N3361*86400</f>
        <v/>
      </c>
      <c r="Q3361" s="14">
        <f>O3361-273.15</f>
        <v/>
      </c>
    </row>
    <row r="3362">
      <c r="A3362" s="9" t="n">
        <v>40249</v>
      </c>
      <c r="B3362" s="7">
        <f>YEAR(A3362)</f>
        <v/>
      </c>
      <c r="C3362" s="7">
        <f>MONTH(A3362)</f>
        <v/>
      </c>
      <c r="D3362" s="10" t="n">
        <v>0</v>
      </c>
      <c r="E3362" s="11" t="n">
        <v>11.04870446</v>
      </c>
      <c r="F3362" s="12" t="n">
        <v>0</v>
      </c>
      <c r="G3362" s="11" t="n">
        <v>286.561191</v>
      </c>
      <c r="H3362" s="13">
        <f>F3362*1000</f>
        <v/>
      </c>
      <c r="I3362" s="14">
        <f>G3362-273.15</f>
        <v/>
      </c>
      <c r="K3362" s="15" t="n">
        <v>2010</v>
      </c>
      <c r="L3362" s="15" t="n">
        <v>4</v>
      </c>
      <c r="M3362" s="15" t="n">
        <v>28</v>
      </c>
      <c r="N3362" s="16" t="n">
        <v>0</v>
      </c>
      <c r="O3362" s="11" t="n">
        <v>288.3511745</v>
      </c>
      <c r="P3362" s="13">
        <f>N3362*86400</f>
        <v/>
      </c>
      <c r="Q3362" s="14">
        <f>O3362-273.15</f>
        <v/>
      </c>
    </row>
    <row r="3363">
      <c r="A3363" s="9" t="n">
        <v>40250</v>
      </c>
      <c r="B3363" s="7">
        <f>YEAR(A3363)</f>
        <v/>
      </c>
      <c r="C3363" s="7">
        <f>MONTH(A3363)</f>
        <v/>
      </c>
      <c r="D3363" s="10" t="n">
        <v>0</v>
      </c>
      <c r="E3363" s="11" t="n">
        <v>10.81741833</v>
      </c>
      <c r="F3363" s="12" t="n">
        <v>0</v>
      </c>
      <c r="G3363" s="11" t="n">
        <v>286.7636203</v>
      </c>
      <c r="H3363" s="13">
        <f>F3363*1000</f>
        <v/>
      </c>
      <c r="I3363" s="14">
        <f>G3363-273.15</f>
        <v/>
      </c>
      <c r="K3363" s="15" t="n">
        <v>2010</v>
      </c>
      <c r="L3363" s="15" t="n">
        <v>4</v>
      </c>
      <c r="M3363" s="15" t="n">
        <v>29</v>
      </c>
      <c r="N3363" s="16" t="n">
        <v>0</v>
      </c>
      <c r="O3363" s="11" t="n">
        <v>289.2278135</v>
      </c>
      <c r="P3363" s="13">
        <f>N3363*86400</f>
        <v/>
      </c>
      <c r="Q3363" s="14">
        <f>O3363-273.15</f>
        <v/>
      </c>
    </row>
    <row r="3364">
      <c r="A3364" s="9" t="n">
        <v>40251</v>
      </c>
      <c r="B3364" s="7">
        <f>YEAR(A3364)</f>
        <v/>
      </c>
      <c r="C3364" s="7">
        <f>MONTH(A3364)</f>
        <v/>
      </c>
      <c r="D3364" s="10" t="n">
        <v>0</v>
      </c>
      <c r="E3364" s="11" t="n">
        <v>9.460674035</v>
      </c>
      <c r="F3364" s="12" t="n">
        <v>0</v>
      </c>
      <c r="G3364" s="11" t="n">
        <v>285.3751337</v>
      </c>
      <c r="H3364" s="13">
        <f>F3364*1000</f>
        <v/>
      </c>
      <c r="I3364" s="14">
        <f>G3364-273.15</f>
        <v/>
      </c>
      <c r="K3364" s="15" t="n">
        <v>2010</v>
      </c>
      <c r="L3364" s="15" t="n">
        <v>4</v>
      </c>
      <c r="M3364" s="15" t="n">
        <v>30</v>
      </c>
      <c r="N3364" s="16" t="n">
        <v>0</v>
      </c>
      <c r="O3364" s="11" t="n">
        <v>288.1812592</v>
      </c>
      <c r="P3364" s="13">
        <f>N3364*86400</f>
        <v/>
      </c>
      <c r="Q3364" s="14">
        <f>O3364-273.15</f>
        <v/>
      </c>
    </row>
    <row r="3365">
      <c r="A3365" s="9" t="n">
        <v>40252</v>
      </c>
      <c r="B3365" s="7">
        <f>YEAR(A3365)</f>
        <v/>
      </c>
      <c r="C3365" s="7">
        <f>MONTH(A3365)</f>
        <v/>
      </c>
      <c r="D3365" s="10" t="n">
        <v>0</v>
      </c>
      <c r="E3365" s="11" t="n">
        <v>8.842365246</v>
      </c>
      <c r="F3365" s="12" t="n">
        <v>0.000826456102</v>
      </c>
      <c r="G3365" s="11" t="n">
        <v>283.8554224</v>
      </c>
      <c r="H3365" s="13">
        <f>F3365*1000</f>
        <v/>
      </c>
      <c r="I3365" s="14">
        <f>G3365-273.15</f>
        <v/>
      </c>
      <c r="K3365" s="15" t="n">
        <v>2010</v>
      </c>
      <c r="L3365" s="15" t="n">
        <v>5</v>
      </c>
      <c r="M3365" s="15" t="n">
        <v>1</v>
      </c>
      <c r="N3365" s="16" t="n">
        <v>0</v>
      </c>
      <c r="O3365" s="11" t="n">
        <v>289.0060951</v>
      </c>
      <c r="P3365" s="13">
        <f>N3365*86400</f>
        <v/>
      </c>
      <c r="Q3365" s="14">
        <f>O3365-273.15</f>
        <v/>
      </c>
    </row>
    <row r="3366">
      <c r="A3366" s="9" t="n">
        <v>40253</v>
      </c>
      <c r="B3366" s="7">
        <f>YEAR(A3366)</f>
        <v/>
      </c>
      <c r="C3366" s="7">
        <f>MONTH(A3366)</f>
        <v/>
      </c>
      <c r="D3366" s="10" t="n">
        <v>0</v>
      </c>
      <c r="E3366" s="11" t="n">
        <v>10.76243806</v>
      </c>
      <c r="F3366" s="12" t="n">
        <v>0</v>
      </c>
      <c r="G3366" s="11" t="n">
        <v>284.9286746</v>
      </c>
      <c r="H3366" s="13">
        <f>F3366*1000</f>
        <v/>
      </c>
      <c r="I3366" s="14">
        <f>G3366-273.15</f>
        <v/>
      </c>
      <c r="K3366" s="15" t="n">
        <v>2010</v>
      </c>
      <c r="L3366" s="15" t="n">
        <v>5</v>
      </c>
      <c r="M3366" s="15" t="n">
        <v>2</v>
      </c>
      <c r="N3366" s="16" t="n">
        <v>0</v>
      </c>
      <c r="O3366" s="11" t="n">
        <v>289.7849316</v>
      </c>
      <c r="P3366" s="13">
        <f>N3366*86400</f>
        <v/>
      </c>
      <c r="Q3366" s="14">
        <f>O3366-273.15</f>
        <v/>
      </c>
    </row>
    <row r="3367">
      <c r="A3367" s="9" t="n">
        <v>40254</v>
      </c>
      <c r="B3367" s="7">
        <f>YEAR(A3367)</f>
        <v/>
      </c>
      <c r="C3367" s="7">
        <f>MONTH(A3367)</f>
        <v/>
      </c>
      <c r="D3367" s="10" t="n">
        <v>0</v>
      </c>
      <c r="E3367" s="11" t="n">
        <v>11.14530242</v>
      </c>
      <c r="F3367" s="12" t="n">
        <v>0</v>
      </c>
      <c r="G3367" s="11" t="n">
        <v>284.4779865</v>
      </c>
      <c r="H3367" s="13">
        <f>F3367*1000</f>
        <v/>
      </c>
      <c r="I3367" s="14">
        <f>G3367-273.15</f>
        <v/>
      </c>
      <c r="K3367" s="15" t="n">
        <v>2010</v>
      </c>
      <c r="L3367" s="15" t="n">
        <v>5</v>
      </c>
      <c r="M3367" s="15" t="n">
        <v>3</v>
      </c>
      <c r="N3367" s="16" t="n">
        <v>0</v>
      </c>
      <c r="O3367" s="11" t="n">
        <v>290.6638874</v>
      </c>
      <c r="P3367" s="13">
        <f>N3367*86400</f>
        <v/>
      </c>
      <c r="Q3367" s="14">
        <f>O3367-273.15</f>
        <v/>
      </c>
    </row>
    <row r="3368">
      <c r="A3368" s="9" t="n">
        <v>40255</v>
      </c>
      <c r="B3368" s="7">
        <f>YEAR(A3368)</f>
        <v/>
      </c>
      <c r="C3368" s="7">
        <f>MONTH(A3368)</f>
        <v/>
      </c>
      <c r="D3368" s="10" t="n">
        <v>0</v>
      </c>
      <c r="E3368" s="11" t="n">
        <v>10.92158743</v>
      </c>
      <c r="F3368" s="12" t="n">
        <v>0</v>
      </c>
      <c r="G3368" s="11" t="n">
        <v>284.5419711</v>
      </c>
      <c r="H3368" s="13">
        <f>F3368*1000</f>
        <v/>
      </c>
      <c r="I3368" s="14">
        <f>G3368-273.15</f>
        <v/>
      </c>
      <c r="K3368" s="15" t="n">
        <v>2010</v>
      </c>
      <c r="L3368" s="15" t="n">
        <v>5</v>
      </c>
      <c r="M3368" s="15" t="n">
        <v>4</v>
      </c>
      <c r="N3368" s="16" t="n">
        <v>0</v>
      </c>
      <c r="O3368" s="11" t="n">
        <v>288.3348078</v>
      </c>
      <c r="P3368" s="13">
        <f>N3368*86400</f>
        <v/>
      </c>
      <c r="Q3368" s="14">
        <f>O3368-273.15</f>
        <v/>
      </c>
    </row>
    <row r="3369">
      <c r="A3369" s="9" t="n">
        <v>40256</v>
      </c>
      <c r="B3369" s="7">
        <f>YEAR(A3369)</f>
        <v/>
      </c>
      <c r="C3369" s="7">
        <f>MONTH(A3369)</f>
        <v/>
      </c>
      <c r="D3369" s="10" t="n">
        <v>0</v>
      </c>
      <c r="E3369" s="11" t="n">
        <v>11.01003805</v>
      </c>
      <c r="F3369" s="12" t="n">
        <v>0</v>
      </c>
      <c r="G3369" s="11" t="n">
        <v>284.7291979</v>
      </c>
      <c r="H3369" s="13">
        <f>F3369*1000</f>
        <v/>
      </c>
      <c r="I3369" s="14">
        <f>G3369-273.15</f>
        <v/>
      </c>
      <c r="K3369" s="15" t="n">
        <v>2010</v>
      </c>
      <c r="L3369" s="15" t="n">
        <v>5</v>
      </c>
      <c r="M3369" s="15" t="n">
        <v>5</v>
      </c>
      <c r="N3369" s="16" t="n">
        <v>6.184008717e-05</v>
      </c>
      <c r="O3369" s="11" t="n">
        <v>287.8457547</v>
      </c>
      <c r="P3369" s="13">
        <f>N3369*86400</f>
        <v/>
      </c>
      <c r="Q3369" s="14">
        <f>O3369-273.15</f>
        <v/>
      </c>
    </row>
    <row r="3370">
      <c r="A3370" s="9" t="n">
        <v>40257</v>
      </c>
      <c r="B3370" s="7">
        <f>YEAR(A3370)</f>
        <v/>
      </c>
      <c r="C3370" s="7">
        <f>MONTH(A3370)</f>
        <v/>
      </c>
      <c r="D3370" s="10" t="n">
        <v>0</v>
      </c>
      <c r="E3370" s="11" t="n">
        <v>12.23438907</v>
      </c>
      <c r="F3370" s="12" t="n">
        <v>0.0006680744967</v>
      </c>
      <c r="G3370" s="11" t="n">
        <v>287.0075057</v>
      </c>
      <c r="H3370" s="13">
        <f>F3370*1000</f>
        <v/>
      </c>
      <c r="I3370" s="14">
        <f>G3370-273.15</f>
        <v/>
      </c>
      <c r="K3370" s="15" t="n">
        <v>2010</v>
      </c>
      <c r="L3370" s="15" t="n">
        <v>5</v>
      </c>
      <c r="M3370" s="15" t="n">
        <v>6</v>
      </c>
      <c r="N3370" s="16" t="n">
        <v>1.860731314e-05</v>
      </c>
      <c r="O3370" s="11" t="n">
        <v>292.0609202</v>
      </c>
      <c r="P3370" s="13">
        <f>N3370*86400</f>
        <v/>
      </c>
      <c r="Q3370" s="14">
        <f>O3370-273.15</f>
        <v/>
      </c>
    </row>
    <row r="3371">
      <c r="A3371" s="9" t="n">
        <v>40258</v>
      </c>
      <c r="B3371" s="7">
        <f>YEAR(A3371)</f>
        <v/>
      </c>
      <c r="C3371" s="7">
        <f>MONTH(A3371)</f>
        <v/>
      </c>
      <c r="D3371" s="10" t="n">
        <v>0</v>
      </c>
      <c r="E3371" s="11" t="n">
        <v>12.07495284</v>
      </c>
      <c r="F3371" s="12" t="n">
        <v>0.0001075222453</v>
      </c>
      <c r="G3371" s="11" t="n">
        <v>285.9906389</v>
      </c>
      <c r="H3371" s="13">
        <f>F3371*1000</f>
        <v/>
      </c>
      <c r="I3371" s="14">
        <f>G3371-273.15</f>
        <v/>
      </c>
      <c r="K3371" s="15" t="n">
        <v>2010</v>
      </c>
      <c r="L3371" s="15" t="n">
        <v>5</v>
      </c>
      <c r="M3371" s="15" t="n">
        <v>7</v>
      </c>
      <c r="N3371" s="16" t="n">
        <v>1.099903435e-05</v>
      </c>
      <c r="O3371" s="11" t="n">
        <v>294.0890061</v>
      </c>
      <c r="P3371" s="13">
        <f>N3371*86400</f>
        <v/>
      </c>
      <c r="Q3371" s="14">
        <f>O3371-273.15</f>
        <v/>
      </c>
    </row>
    <row r="3372">
      <c r="A3372" s="9" t="n">
        <v>40259</v>
      </c>
      <c r="B3372" s="7">
        <f>YEAR(A3372)</f>
        <v/>
      </c>
      <c r="C3372" s="7">
        <f>MONTH(A3372)</f>
        <v/>
      </c>
      <c r="D3372" s="10" t="n">
        <v>0</v>
      </c>
      <c r="E3372" s="11" t="n">
        <v>13.67558002</v>
      </c>
      <c r="F3372" s="12" t="n">
        <v>0</v>
      </c>
      <c r="G3372" s="11" t="n">
        <v>288.0989504</v>
      </c>
      <c r="H3372" s="13">
        <f>F3372*1000</f>
        <v/>
      </c>
      <c r="I3372" s="14">
        <f>G3372-273.15</f>
        <v/>
      </c>
      <c r="K3372" s="15" t="n">
        <v>2010</v>
      </c>
      <c r="L3372" s="15" t="n">
        <v>5</v>
      </c>
      <c r="M3372" s="15" t="n">
        <v>8</v>
      </c>
      <c r="N3372" s="16" t="n">
        <v>0</v>
      </c>
      <c r="O3372" s="11" t="n">
        <v>292.8841092</v>
      </c>
      <c r="P3372" s="13">
        <f>N3372*86400</f>
        <v/>
      </c>
      <c r="Q3372" s="14">
        <f>O3372-273.15</f>
        <v/>
      </c>
    </row>
    <row r="3373">
      <c r="A3373" s="9" t="n">
        <v>40260</v>
      </c>
      <c r="B3373" s="7">
        <f>YEAR(A3373)</f>
        <v/>
      </c>
      <c r="C3373" s="7">
        <f>MONTH(A3373)</f>
        <v/>
      </c>
      <c r="D3373" s="10" t="n">
        <v>0</v>
      </c>
      <c r="E3373" s="11" t="n">
        <v>13.38847996</v>
      </c>
      <c r="F3373" s="12" t="n">
        <v>0.000456093594</v>
      </c>
      <c r="G3373" s="11" t="n">
        <v>287.4615318</v>
      </c>
      <c r="H3373" s="13">
        <f>F3373*1000</f>
        <v/>
      </c>
      <c r="I3373" s="14">
        <f>G3373-273.15</f>
        <v/>
      </c>
      <c r="K3373" s="15" t="n">
        <v>2010</v>
      </c>
      <c r="L3373" s="15" t="n">
        <v>5</v>
      </c>
      <c r="M3373" s="15" t="n">
        <v>9</v>
      </c>
      <c r="N3373" s="16" t="n">
        <v>0</v>
      </c>
      <c r="O3373" s="11" t="n">
        <v>292.453625</v>
      </c>
      <c r="P3373" s="13">
        <f>N3373*86400</f>
        <v/>
      </c>
      <c r="Q3373" s="14">
        <f>O3373-273.15</f>
        <v/>
      </c>
    </row>
    <row r="3374">
      <c r="A3374" s="9" t="n">
        <v>40261</v>
      </c>
      <c r="B3374" s="7">
        <f>YEAR(A3374)</f>
        <v/>
      </c>
      <c r="C3374" s="7">
        <f>MONTH(A3374)</f>
        <v/>
      </c>
      <c r="D3374" s="10" t="n">
        <v>0</v>
      </c>
      <c r="E3374" s="11" t="n">
        <v>13.58925156</v>
      </c>
      <c r="F3374" s="12" t="n">
        <v>0</v>
      </c>
      <c r="G3374" s="11" t="n">
        <v>288.1997845</v>
      </c>
      <c r="H3374" s="13">
        <f>F3374*1000</f>
        <v/>
      </c>
      <c r="I3374" s="14">
        <f>G3374-273.15</f>
        <v/>
      </c>
      <c r="K3374" s="15" t="n">
        <v>2010</v>
      </c>
      <c r="L3374" s="15" t="n">
        <v>5</v>
      </c>
      <c r="M3374" s="15" t="n">
        <v>10</v>
      </c>
      <c r="N3374" s="16" t="n">
        <v>1.531234272e-05</v>
      </c>
      <c r="O3374" s="11" t="n">
        <v>293.146297</v>
      </c>
      <c r="P3374" s="13">
        <f>N3374*86400</f>
        <v/>
      </c>
      <c r="Q3374" s="14">
        <f>O3374-273.15</f>
        <v/>
      </c>
    </row>
    <row r="3375">
      <c r="A3375" s="9" t="n">
        <v>40262</v>
      </c>
      <c r="B3375" s="7">
        <f>YEAR(A3375)</f>
        <v/>
      </c>
      <c r="C3375" s="7">
        <f>MONTH(A3375)</f>
        <v/>
      </c>
      <c r="D3375" s="10" t="n">
        <v>0</v>
      </c>
      <c r="E3375" s="11" t="n">
        <v>13.63405421</v>
      </c>
      <c r="F3375" s="12" t="n">
        <v>0</v>
      </c>
      <c r="G3375" s="11" t="n">
        <v>288.0260132</v>
      </c>
      <c r="H3375" s="13">
        <f>F3375*1000</f>
        <v/>
      </c>
      <c r="I3375" s="14">
        <f>G3375-273.15</f>
        <v/>
      </c>
      <c r="K3375" s="15" t="n">
        <v>2010</v>
      </c>
      <c r="L3375" s="15" t="n">
        <v>5</v>
      </c>
      <c r="M3375" s="15" t="n">
        <v>11</v>
      </c>
      <c r="N3375" s="16" t="n">
        <v>4.491496271e-05</v>
      </c>
      <c r="O3375" s="11" t="n">
        <v>290.381</v>
      </c>
      <c r="P3375" s="13">
        <f>N3375*86400</f>
        <v/>
      </c>
      <c r="Q3375" s="14">
        <f>O3375-273.15</f>
        <v/>
      </c>
    </row>
    <row r="3376">
      <c r="A3376" s="9" t="n">
        <v>40263</v>
      </c>
      <c r="B3376" s="7">
        <f>YEAR(A3376)</f>
        <v/>
      </c>
      <c r="C3376" s="7">
        <f>MONTH(A3376)</f>
        <v/>
      </c>
      <c r="D3376" s="10" t="n">
        <v>0</v>
      </c>
      <c r="E3376" s="11" t="n">
        <v>12.80828666</v>
      </c>
      <c r="F3376" s="12" t="n">
        <v>0.001454689412</v>
      </c>
      <c r="G3376" s="11" t="n">
        <v>287.4627468</v>
      </c>
      <c r="H3376" s="13">
        <f>F3376*1000</f>
        <v/>
      </c>
      <c r="I3376" s="14">
        <f>G3376-273.15</f>
        <v/>
      </c>
      <c r="K3376" s="15" t="n">
        <v>2010</v>
      </c>
      <c r="L3376" s="15" t="n">
        <v>5</v>
      </c>
      <c r="M3376" s="15" t="n">
        <v>12</v>
      </c>
      <c r="N3376" s="16" t="n">
        <v>5.575200066e-05</v>
      </c>
      <c r="O3376" s="11" t="n">
        <v>292.0966552</v>
      </c>
      <c r="P3376" s="13">
        <f>N3376*86400</f>
        <v/>
      </c>
      <c r="Q3376" s="14">
        <f>O3376-273.15</f>
        <v/>
      </c>
    </row>
    <row r="3377">
      <c r="A3377" s="9" t="n">
        <v>40264</v>
      </c>
      <c r="B3377" s="7">
        <f>YEAR(A3377)</f>
        <v/>
      </c>
      <c r="C3377" s="7">
        <f>MONTH(A3377)</f>
        <v/>
      </c>
      <c r="D3377" s="10" t="n">
        <v>0</v>
      </c>
      <c r="E3377" s="11" t="n">
        <v>10.38340118</v>
      </c>
      <c r="F3377" s="12" t="n">
        <v>0</v>
      </c>
      <c r="G3377" s="11" t="n">
        <v>285.3176293</v>
      </c>
      <c r="H3377" s="13">
        <f>F3377*1000</f>
        <v/>
      </c>
      <c r="I3377" s="14">
        <f>G3377-273.15</f>
        <v/>
      </c>
      <c r="K3377" s="15" t="n">
        <v>2010</v>
      </c>
      <c r="L3377" s="15" t="n">
        <v>5</v>
      </c>
      <c r="M3377" s="15" t="n">
        <v>13</v>
      </c>
      <c r="N3377" s="16" t="n">
        <v>2.617772175e-05</v>
      </c>
      <c r="O3377" s="11" t="n">
        <v>294.4447041</v>
      </c>
      <c r="P3377" s="13">
        <f>N3377*86400</f>
        <v/>
      </c>
      <c r="Q3377" s="14">
        <f>O3377-273.15</f>
        <v/>
      </c>
    </row>
    <row r="3378">
      <c r="A3378" s="9" t="n">
        <v>40265</v>
      </c>
      <c r="B3378" s="7">
        <f>YEAR(A3378)</f>
        <v/>
      </c>
      <c r="C3378" s="7">
        <f>MONTH(A3378)</f>
        <v/>
      </c>
      <c r="D3378" s="10" t="n">
        <v>0</v>
      </c>
      <c r="E3378" s="11" t="n">
        <v>10.4922136</v>
      </c>
      <c r="F3378" s="12" t="n">
        <v>0.0003360205761</v>
      </c>
      <c r="G3378" s="11" t="n">
        <v>285.1488003</v>
      </c>
      <c r="H3378" s="13">
        <f>F3378*1000</f>
        <v/>
      </c>
      <c r="I3378" s="14">
        <f>G3378-273.15</f>
        <v/>
      </c>
      <c r="K3378" s="15" t="n">
        <v>2010</v>
      </c>
      <c r="L3378" s="15" t="n">
        <v>5</v>
      </c>
      <c r="M3378" s="15" t="n">
        <v>14</v>
      </c>
      <c r="N3378" s="16" t="n">
        <v>5.176010754e-05</v>
      </c>
      <c r="O3378" s="11" t="n">
        <v>292.551993</v>
      </c>
      <c r="P3378" s="13">
        <f>N3378*86400</f>
        <v/>
      </c>
      <c r="Q3378" s="14">
        <f>O3378-273.15</f>
        <v/>
      </c>
    </row>
    <row r="3379">
      <c r="A3379" s="9" t="n">
        <v>40266</v>
      </c>
      <c r="B3379" s="7">
        <f>YEAR(A3379)</f>
        <v/>
      </c>
      <c r="C3379" s="7">
        <f>MONTH(A3379)</f>
        <v/>
      </c>
      <c r="D3379" s="10" t="n">
        <v>0</v>
      </c>
      <c r="E3379" s="11" t="n">
        <v>11.38720968</v>
      </c>
      <c r="F3379" s="12" t="n">
        <v>0</v>
      </c>
      <c r="G3379" s="11" t="n">
        <v>286.5700353</v>
      </c>
      <c r="H3379" s="13">
        <f>F3379*1000</f>
        <v/>
      </c>
      <c r="I3379" s="14">
        <f>G3379-273.15</f>
        <v/>
      </c>
      <c r="K3379" s="15" t="n">
        <v>2010</v>
      </c>
      <c r="L3379" s="15" t="n">
        <v>5</v>
      </c>
      <c r="M3379" s="15" t="n">
        <v>15</v>
      </c>
      <c r="N3379" s="16" t="n">
        <v>1.211253405e-05</v>
      </c>
      <c r="O3379" s="11" t="n">
        <v>290.015894</v>
      </c>
      <c r="P3379" s="13">
        <f>N3379*86400</f>
        <v/>
      </c>
      <c r="Q3379" s="14">
        <f>O3379-273.15</f>
        <v/>
      </c>
    </row>
    <row r="3380">
      <c r="A3380" s="9" t="n">
        <v>40267</v>
      </c>
      <c r="B3380" s="7">
        <f>YEAR(A3380)</f>
        <v/>
      </c>
      <c r="C3380" s="7">
        <f>MONTH(A3380)</f>
        <v/>
      </c>
      <c r="D3380" s="10" t="n">
        <v>0</v>
      </c>
      <c r="E3380" s="11" t="n">
        <v>12.01825703</v>
      </c>
      <c r="F3380" s="12" t="n">
        <v>0.000193045195</v>
      </c>
      <c r="G3380" s="11" t="n">
        <v>288.076869</v>
      </c>
      <c r="H3380" s="13">
        <f>F3380*1000</f>
        <v/>
      </c>
      <c r="I3380" s="14">
        <f>G3380-273.15</f>
        <v/>
      </c>
      <c r="K3380" s="15" t="n">
        <v>2010</v>
      </c>
      <c r="L3380" s="15" t="n">
        <v>5</v>
      </c>
      <c r="M3380" s="15" t="n">
        <v>16</v>
      </c>
      <c r="N3380" s="16" t="n">
        <v>0</v>
      </c>
      <c r="O3380" s="11" t="n">
        <v>290.0204536</v>
      </c>
      <c r="P3380" s="13">
        <f>N3380*86400</f>
        <v/>
      </c>
      <c r="Q3380" s="14">
        <f>O3380-273.15</f>
        <v/>
      </c>
    </row>
    <row r="3381">
      <c r="A3381" s="9" t="n">
        <v>40268</v>
      </c>
      <c r="B3381" s="7">
        <f>YEAR(A3381)</f>
        <v/>
      </c>
      <c r="C3381" s="7">
        <f>MONTH(A3381)</f>
        <v/>
      </c>
      <c r="D3381" s="10" t="n">
        <v>0</v>
      </c>
      <c r="E3381" s="11" t="n">
        <v>9.904214608</v>
      </c>
      <c r="F3381" s="12" t="n">
        <v>0.001270753596</v>
      </c>
      <c r="G3381" s="11" t="n">
        <v>285.2334997</v>
      </c>
      <c r="H3381" s="13">
        <f>F3381*1000</f>
        <v/>
      </c>
      <c r="I3381" s="14">
        <f>G3381-273.15</f>
        <v/>
      </c>
      <c r="K3381" s="15" t="n">
        <v>2010</v>
      </c>
      <c r="L3381" s="15" t="n">
        <v>5</v>
      </c>
      <c r="M3381" s="15" t="n">
        <v>17</v>
      </c>
      <c r="N3381" s="16" t="n">
        <v>0</v>
      </c>
      <c r="O3381" s="11" t="n">
        <v>289.6666909</v>
      </c>
      <c r="P3381" s="13">
        <f>N3381*86400</f>
        <v/>
      </c>
      <c r="Q3381" s="14">
        <f>O3381-273.15</f>
        <v/>
      </c>
    </row>
    <row r="3382">
      <c r="A3382" s="9" t="n">
        <v>40269</v>
      </c>
      <c r="B3382" s="7">
        <f>YEAR(A3382)</f>
        <v/>
      </c>
      <c r="C3382" s="7">
        <f>MONTH(A3382)</f>
        <v/>
      </c>
      <c r="D3382" s="10" t="n">
        <v>0</v>
      </c>
      <c r="E3382" s="11" t="n">
        <v>11.29376013</v>
      </c>
      <c r="F3382" s="12" t="n">
        <v>0.0001361339202</v>
      </c>
      <c r="G3382" s="11" t="n">
        <v>286.5089388</v>
      </c>
      <c r="H3382" s="13">
        <f>F3382*1000</f>
        <v/>
      </c>
      <c r="I3382" s="14">
        <f>G3382-273.15</f>
        <v/>
      </c>
      <c r="K3382" s="15" t="n">
        <v>2010</v>
      </c>
      <c r="L3382" s="15" t="n">
        <v>5</v>
      </c>
      <c r="M3382" s="15" t="n">
        <v>18</v>
      </c>
      <c r="N3382" s="16" t="n">
        <v>0</v>
      </c>
      <c r="O3382" s="11" t="n">
        <v>291.2551312</v>
      </c>
      <c r="P3382" s="13">
        <f>N3382*86400</f>
        <v/>
      </c>
      <c r="Q3382" s="14">
        <f>O3382-273.15</f>
        <v/>
      </c>
    </row>
    <row r="3383">
      <c r="A3383" s="9" t="n">
        <v>40270</v>
      </c>
      <c r="B3383" s="7">
        <f>YEAR(A3383)</f>
        <v/>
      </c>
      <c r="C3383" s="7">
        <f>MONTH(A3383)</f>
        <v/>
      </c>
      <c r="D3383" s="10" t="n">
        <v>0</v>
      </c>
      <c r="E3383" s="11" t="n">
        <v>12.09295509</v>
      </c>
      <c r="F3383" s="12" t="n">
        <v>0.005087724539</v>
      </c>
      <c r="G3383" s="11" t="n">
        <v>287.2985841</v>
      </c>
      <c r="H3383" s="13">
        <f>F3383*1000</f>
        <v/>
      </c>
      <c r="I3383" s="14">
        <f>G3383-273.15</f>
        <v/>
      </c>
      <c r="K3383" s="15" t="n">
        <v>2010</v>
      </c>
      <c r="L3383" s="15" t="n">
        <v>5</v>
      </c>
      <c r="M3383" s="15" t="n">
        <v>19</v>
      </c>
      <c r="N3383" s="16" t="n">
        <v>0</v>
      </c>
      <c r="O3383" s="11" t="n">
        <v>291.2973961</v>
      </c>
      <c r="P3383" s="13">
        <f>N3383*86400</f>
        <v/>
      </c>
      <c r="Q3383" s="14">
        <f>O3383-273.15</f>
        <v/>
      </c>
    </row>
    <row r="3384">
      <c r="A3384" s="9" t="n">
        <v>40271</v>
      </c>
      <c r="B3384" s="7">
        <f>YEAR(A3384)</f>
        <v/>
      </c>
      <c r="C3384" s="7">
        <f>MONTH(A3384)</f>
        <v/>
      </c>
      <c r="D3384" s="10" t="n">
        <v>2.277782731</v>
      </c>
      <c r="E3384" s="11" t="n">
        <v>13.74348276</v>
      </c>
      <c r="F3384" s="12" t="n">
        <v>0.007362137184</v>
      </c>
      <c r="G3384" s="11" t="n">
        <v>288.7725853</v>
      </c>
      <c r="H3384" s="13">
        <f>F3384*1000</f>
        <v/>
      </c>
      <c r="I3384" s="14">
        <f>G3384-273.15</f>
        <v/>
      </c>
      <c r="K3384" s="15" t="n">
        <v>2010</v>
      </c>
      <c r="L3384" s="15" t="n">
        <v>5</v>
      </c>
      <c r="M3384" s="15" t="n">
        <v>20</v>
      </c>
      <c r="N3384" s="16" t="n">
        <v>7.126186577e-06</v>
      </c>
      <c r="O3384" s="11" t="n">
        <v>292.6512906</v>
      </c>
      <c r="P3384" s="13">
        <f>N3384*86400</f>
        <v/>
      </c>
      <c r="Q3384" s="14">
        <f>O3384-273.15</f>
        <v/>
      </c>
    </row>
    <row r="3385">
      <c r="A3385" s="9" t="n">
        <v>40272</v>
      </c>
      <c r="B3385" s="7">
        <f>YEAR(A3385)</f>
        <v/>
      </c>
      <c r="C3385" s="7">
        <f>MONTH(A3385)</f>
        <v/>
      </c>
      <c r="D3385" s="10" t="n">
        <v>0</v>
      </c>
      <c r="E3385" s="11" t="n">
        <v>14.36499035</v>
      </c>
      <c r="F3385" s="12" t="n">
        <v>0.0001708906307</v>
      </c>
      <c r="G3385" s="11" t="n">
        <v>289.6357424</v>
      </c>
      <c r="H3385" s="13">
        <f>F3385*1000</f>
        <v/>
      </c>
      <c r="I3385" s="14">
        <f>G3385-273.15</f>
        <v/>
      </c>
      <c r="K3385" s="15" t="n">
        <v>2010</v>
      </c>
      <c r="L3385" s="15" t="n">
        <v>5</v>
      </c>
      <c r="M3385" s="15" t="n">
        <v>21</v>
      </c>
      <c r="N3385" s="16" t="n">
        <v>3.98128275e-05</v>
      </c>
      <c r="O3385" s="11" t="n">
        <v>292.5492372</v>
      </c>
      <c r="P3385" s="13">
        <f>N3385*86400</f>
        <v/>
      </c>
      <c r="Q3385" s="14">
        <f>O3385-273.15</f>
        <v/>
      </c>
    </row>
    <row r="3386">
      <c r="A3386" s="9" t="n">
        <v>40273</v>
      </c>
      <c r="B3386" s="7">
        <f>YEAR(A3386)</f>
        <v/>
      </c>
      <c r="C3386" s="7">
        <f>MONTH(A3386)</f>
        <v/>
      </c>
      <c r="D3386" s="10" t="n">
        <v>0</v>
      </c>
      <c r="E3386" s="11" t="n">
        <v>12.84698018</v>
      </c>
      <c r="F3386" s="12" t="n">
        <v>0</v>
      </c>
      <c r="G3386" s="11" t="n">
        <v>287.7885032</v>
      </c>
      <c r="H3386" s="13">
        <f>F3386*1000</f>
        <v/>
      </c>
      <c r="I3386" s="14">
        <f>G3386-273.15</f>
        <v/>
      </c>
      <c r="K3386" s="15" t="n">
        <v>2010</v>
      </c>
      <c r="L3386" s="15" t="n">
        <v>5</v>
      </c>
      <c r="M3386" s="15" t="n">
        <v>22</v>
      </c>
      <c r="N3386" s="16" t="n">
        <v>3.552887094e-05</v>
      </c>
      <c r="O3386" s="11" t="n">
        <v>293.0319719</v>
      </c>
      <c r="P3386" s="13">
        <f>N3386*86400</f>
        <v/>
      </c>
      <c r="Q3386" s="14">
        <f>O3386-273.15</f>
        <v/>
      </c>
    </row>
    <row r="3387">
      <c r="A3387" s="9" t="n">
        <v>40274</v>
      </c>
      <c r="B3387" s="7">
        <f>YEAR(A3387)</f>
        <v/>
      </c>
      <c r="C3387" s="7">
        <f>MONTH(A3387)</f>
        <v/>
      </c>
      <c r="D3387" s="10" t="n">
        <v>0</v>
      </c>
      <c r="E3387" s="11" t="n">
        <v>10.67404935</v>
      </c>
      <c r="F3387" s="12" t="n">
        <v>0</v>
      </c>
      <c r="G3387" s="11" t="n">
        <v>285.0943185</v>
      </c>
      <c r="H3387" s="13">
        <f>F3387*1000</f>
        <v/>
      </c>
      <c r="I3387" s="14">
        <f>G3387-273.15</f>
        <v/>
      </c>
      <c r="K3387" s="15" t="n">
        <v>2010</v>
      </c>
      <c r="L3387" s="15" t="n">
        <v>5</v>
      </c>
      <c r="M3387" s="15" t="n">
        <v>23</v>
      </c>
      <c r="N3387" s="16" t="n">
        <v>0</v>
      </c>
      <c r="O3387" s="11" t="n">
        <v>293.5244601</v>
      </c>
      <c r="P3387" s="13">
        <f>N3387*86400</f>
        <v/>
      </c>
      <c r="Q3387" s="14">
        <f>O3387-273.15</f>
        <v/>
      </c>
    </row>
    <row r="3388">
      <c r="A3388" s="9" t="n">
        <v>40275</v>
      </c>
      <c r="B3388" s="7">
        <f>YEAR(A3388)</f>
        <v/>
      </c>
      <c r="C3388" s="7">
        <f>MONTH(A3388)</f>
        <v/>
      </c>
      <c r="D3388" s="10" t="n">
        <v>0</v>
      </c>
      <c r="E3388" s="11" t="n">
        <v>12.18486532</v>
      </c>
      <c r="F3388" s="12" t="n">
        <v>0</v>
      </c>
      <c r="G3388" s="11" t="n">
        <v>285.5572584</v>
      </c>
      <c r="H3388" s="13">
        <f>F3388*1000</f>
        <v/>
      </c>
      <c r="I3388" s="14">
        <f>G3388-273.15</f>
        <v/>
      </c>
      <c r="K3388" s="15" t="n">
        <v>2010</v>
      </c>
      <c r="L3388" s="15" t="n">
        <v>5</v>
      </c>
      <c r="M3388" s="15" t="n">
        <v>24</v>
      </c>
      <c r="N3388" s="16" t="n">
        <v>0</v>
      </c>
      <c r="O3388" s="11" t="n">
        <v>291.808629</v>
      </c>
      <c r="P3388" s="13">
        <f>N3388*86400</f>
        <v/>
      </c>
      <c r="Q3388" s="14">
        <f>O3388-273.15</f>
        <v/>
      </c>
    </row>
    <row r="3389">
      <c r="A3389" s="9" t="n">
        <v>40276</v>
      </c>
      <c r="B3389" s="7">
        <f>YEAR(A3389)</f>
        <v/>
      </c>
      <c r="C3389" s="7">
        <f>MONTH(A3389)</f>
        <v/>
      </c>
      <c r="D3389" s="10" t="n">
        <v>0</v>
      </c>
      <c r="E3389" s="11" t="n">
        <v>11.84086124</v>
      </c>
      <c r="F3389" s="12" t="n">
        <v>0</v>
      </c>
      <c r="G3389" s="11" t="n">
        <v>286.2671412</v>
      </c>
      <c r="H3389" s="13">
        <f>F3389*1000</f>
        <v/>
      </c>
      <c r="I3389" s="14">
        <f>G3389-273.15</f>
        <v/>
      </c>
      <c r="K3389" s="15" t="n">
        <v>2010</v>
      </c>
      <c r="L3389" s="15" t="n">
        <v>5</v>
      </c>
      <c r="M3389" s="15" t="n">
        <v>25</v>
      </c>
      <c r="N3389" s="16" t="n">
        <v>3.173186158e-07</v>
      </c>
      <c r="O3389" s="11" t="n">
        <v>290.8555683</v>
      </c>
      <c r="P3389" s="13">
        <f>N3389*86400</f>
        <v/>
      </c>
      <c r="Q3389" s="14">
        <f>O3389-273.15</f>
        <v/>
      </c>
    </row>
    <row r="3390">
      <c r="A3390" s="9" t="n">
        <v>40277</v>
      </c>
      <c r="B3390" s="7">
        <f>YEAR(A3390)</f>
        <v/>
      </c>
      <c r="C3390" s="7">
        <f>MONTH(A3390)</f>
        <v/>
      </c>
      <c r="D3390" s="10" t="n">
        <v>0</v>
      </c>
      <c r="E3390" s="11" t="n">
        <v>11.22419942</v>
      </c>
      <c r="F3390" s="12" t="n">
        <v>0</v>
      </c>
      <c r="G3390" s="11" t="n">
        <v>285.5109144</v>
      </c>
      <c r="H3390" s="13">
        <f>F3390*1000</f>
        <v/>
      </c>
      <c r="I3390" s="14">
        <f>G3390-273.15</f>
        <v/>
      </c>
      <c r="K3390" s="15" t="n">
        <v>2010</v>
      </c>
      <c r="L3390" s="15" t="n">
        <v>5</v>
      </c>
      <c r="M3390" s="15" t="n">
        <v>26</v>
      </c>
      <c r="N3390" s="16" t="n">
        <v>1.281237632e-06</v>
      </c>
      <c r="O3390" s="11" t="n">
        <v>293.9371517</v>
      </c>
      <c r="P3390" s="13">
        <f>N3390*86400</f>
        <v/>
      </c>
      <c r="Q3390" s="14">
        <f>O3390-273.15</f>
        <v/>
      </c>
    </row>
    <row r="3391">
      <c r="A3391" s="9" t="n">
        <v>40278</v>
      </c>
      <c r="B3391" s="7">
        <f>YEAR(A3391)</f>
        <v/>
      </c>
      <c r="C3391" s="7">
        <f>MONTH(A3391)</f>
        <v/>
      </c>
      <c r="D3391" s="10" t="n">
        <v>0</v>
      </c>
      <c r="E3391" s="11" t="n">
        <v>10.91132154</v>
      </c>
      <c r="F3391" s="12" t="n">
        <v>0</v>
      </c>
      <c r="G3391" s="11" t="n">
        <v>285.8329638</v>
      </c>
      <c r="H3391" s="13">
        <f>F3391*1000</f>
        <v/>
      </c>
      <c r="I3391" s="14">
        <f>G3391-273.15</f>
        <v/>
      </c>
      <c r="K3391" s="15" t="n">
        <v>2010</v>
      </c>
      <c r="L3391" s="15" t="n">
        <v>5</v>
      </c>
      <c r="M3391" s="15" t="n">
        <v>27</v>
      </c>
      <c r="N3391" s="16" t="n">
        <v>4.980090215e-05</v>
      </c>
      <c r="O3391" s="11" t="n">
        <v>293.4964478</v>
      </c>
      <c r="P3391" s="13">
        <f>N3391*86400</f>
        <v/>
      </c>
      <c r="Q3391" s="14">
        <f>O3391-273.15</f>
        <v/>
      </c>
    </row>
    <row r="3392">
      <c r="A3392" s="9" t="n">
        <v>40279</v>
      </c>
      <c r="B3392" s="7">
        <f>YEAR(A3392)</f>
        <v/>
      </c>
      <c r="C3392" s="7">
        <f>MONTH(A3392)</f>
        <v/>
      </c>
      <c r="D3392" s="10" t="n">
        <v>0</v>
      </c>
      <c r="E3392" s="11" t="n">
        <v>9.063397124</v>
      </c>
      <c r="F3392" s="12" t="n">
        <v>0</v>
      </c>
      <c r="G3392" s="11" t="n">
        <v>284.9162882</v>
      </c>
      <c r="H3392" s="13">
        <f>F3392*1000</f>
        <v/>
      </c>
      <c r="I3392" s="14">
        <f>G3392-273.15</f>
        <v/>
      </c>
      <c r="K3392" s="15" t="n">
        <v>2010</v>
      </c>
      <c r="L3392" s="15" t="n">
        <v>5</v>
      </c>
      <c r="M3392" s="15" t="n">
        <v>28</v>
      </c>
      <c r="N3392" s="16" t="n">
        <v>0.0001170916197</v>
      </c>
      <c r="O3392" s="11" t="n">
        <v>293.1229904</v>
      </c>
      <c r="P3392" s="13">
        <f>N3392*86400</f>
        <v/>
      </c>
      <c r="Q3392" s="14">
        <f>O3392-273.15</f>
        <v/>
      </c>
    </row>
    <row r="3393">
      <c r="A3393" s="9" t="n">
        <v>40280</v>
      </c>
      <c r="B3393" s="7">
        <f>YEAR(A3393)</f>
        <v/>
      </c>
      <c r="C3393" s="7">
        <f>MONTH(A3393)</f>
        <v/>
      </c>
      <c r="D3393" s="10" t="n">
        <v>0</v>
      </c>
      <c r="E3393" s="11" t="n">
        <v>12.21536741</v>
      </c>
      <c r="F3393" s="12" t="n">
        <v>0</v>
      </c>
      <c r="G3393" s="11" t="n">
        <v>288.6403664</v>
      </c>
      <c r="H3393" s="13">
        <f>F3393*1000</f>
        <v/>
      </c>
      <c r="I3393" s="14">
        <f>G3393-273.15</f>
        <v/>
      </c>
      <c r="K3393" s="15" t="n">
        <v>2010</v>
      </c>
      <c r="L3393" s="15" t="n">
        <v>5</v>
      </c>
      <c r="M3393" s="15" t="n">
        <v>29</v>
      </c>
      <c r="N3393" s="16" t="n">
        <v>6.14978062e-05</v>
      </c>
      <c r="O3393" s="11" t="n">
        <v>293.3418923</v>
      </c>
      <c r="P3393" s="13">
        <f>N3393*86400</f>
        <v/>
      </c>
      <c r="Q3393" s="14">
        <f>O3393-273.15</f>
        <v/>
      </c>
    </row>
    <row r="3394">
      <c r="A3394" s="9" t="n">
        <v>40281</v>
      </c>
      <c r="B3394" s="7">
        <f>YEAR(A3394)</f>
        <v/>
      </c>
      <c r="C3394" s="7">
        <f>MONTH(A3394)</f>
        <v/>
      </c>
      <c r="D3394" s="10" t="n">
        <v>0</v>
      </c>
      <c r="E3394" s="11" t="n">
        <v>12.2402994</v>
      </c>
      <c r="F3394" s="12" t="n">
        <v>0</v>
      </c>
      <c r="G3394" s="11" t="n">
        <v>288.1400961</v>
      </c>
      <c r="H3394" s="13">
        <f>F3394*1000</f>
        <v/>
      </c>
      <c r="I3394" s="14">
        <f>G3394-273.15</f>
        <v/>
      </c>
      <c r="K3394" s="15" t="n">
        <v>2010</v>
      </c>
      <c r="L3394" s="15" t="n">
        <v>5</v>
      </c>
      <c r="M3394" s="15" t="n">
        <v>30</v>
      </c>
      <c r="N3394" s="16" t="n">
        <v>3.321833922e-06</v>
      </c>
      <c r="O3394" s="11" t="n">
        <v>294.5719579</v>
      </c>
      <c r="P3394" s="13">
        <f>N3394*86400</f>
        <v/>
      </c>
      <c r="Q3394" s="14">
        <f>O3394-273.15</f>
        <v/>
      </c>
    </row>
    <row r="3395">
      <c r="A3395" s="9" t="n">
        <v>40282</v>
      </c>
      <c r="B3395" s="7">
        <f>YEAR(A3395)</f>
        <v/>
      </c>
      <c r="C3395" s="7">
        <f>MONTH(A3395)</f>
        <v/>
      </c>
      <c r="D3395" s="10" t="n">
        <v>0</v>
      </c>
      <c r="E3395" s="11" t="n">
        <v>16.82022728</v>
      </c>
      <c r="F3395" s="12" t="n">
        <v>0</v>
      </c>
      <c r="G3395" s="11" t="n">
        <v>290.7892182</v>
      </c>
      <c r="H3395" s="13">
        <f>F3395*1000</f>
        <v/>
      </c>
      <c r="I3395" s="14">
        <f>G3395-273.15</f>
        <v/>
      </c>
      <c r="K3395" s="15" t="n">
        <v>2010</v>
      </c>
      <c r="L3395" s="15" t="n">
        <v>6</v>
      </c>
      <c r="M3395" s="15" t="n">
        <v>1</v>
      </c>
      <c r="N3395" s="16" t="n">
        <v>0</v>
      </c>
      <c r="O3395" s="11" t="n">
        <v>293.6189667</v>
      </c>
      <c r="P3395" s="13">
        <f>N3395*86400</f>
        <v/>
      </c>
      <c r="Q3395" s="14">
        <f>O3395-273.15</f>
        <v/>
      </c>
    </row>
    <row r="3396">
      <c r="A3396" s="9" t="n">
        <v>40283</v>
      </c>
      <c r="B3396" s="7">
        <f>YEAR(A3396)</f>
        <v/>
      </c>
      <c r="C3396" s="7">
        <f>MONTH(A3396)</f>
        <v/>
      </c>
      <c r="D3396" s="10" t="n">
        <v>0</v>
      </c>
      <c r="E3396" s="11" t="n">
        <v>16.10873636</v>
      </c>
      <c r="F3396" s="12" t="n">
        <v>0</v>
      </c>
      <c r="G3396" s="11" t="n">
        <v>290.6240532</v>
      </c>
      <c r="H3396" s="13">
        <f>F3396*1000</f>
        <v/>
      </c>
      <c r="I3396" s="14">
        <f>G3396-273.15</f>
        <v/>
      </c>
      <c r="K3396" s="15" t="n">
        <v>2010</v>
      </c>
      <c r="L3396" s="15" t="n">
        <v>6</v>
      </c>
      <c r="M3396" s="15" t="n">
        <v>2</v>
      </c>
      <c r="N3396" s="16" t="n">
        <v>2.391611862e-05</v>
      </c>
      <c r="O3396" s="11" t="n">
        <v>294.7981295</v>
      </c>
      <c r="P3396" s="13">
        <f>N3396*86400</f>
        <v/>
      </c>
      <c r="Q3396" s="14">
        <f>O3396-273.15</f>
        <v/>
      </c>
    </row>
    <row r="3397">
      <c r="A3397" s="9" t="n">
        <v>40284</v>
      </c>
      <c r="B3397" s="7">
        <f>YEAR(A3397)</f>
        <v/>
      </c>
      <c r="C3397" s="7">
        <f>MONTH(A3397)</f>
        <v/>
      </c>
      <c r="D3397" s="10" t="n">
        <v>0</v>
      </c>
      <c r="E3397" s="11" t="n">
        <v>13.35380623</v>
      </c>
      <c r="F3397" s="12" t="n">
        <v>0</v>
      </c>
      <c r="G3397" s="11" t="n">
        <v>288.0156641</v>
      </c>
      <c r="H3397" s="13">
        <f>F3397*1000</f>
        <v/>
      </c>
      <c r="I3397" s="14">
        <f>G3397-273.15</f>
        <v/>
      </c>
      <c r="K3397" s="15" t="n">
        <v>2010</v>
      </c>
      <c r="L3397" s="15" t="n">
        <v>6</v>
      </c>
      <c r="M3397" s="15" t="n">
        <v>3</v>
      </c>
      <c r="N3397" s="16" t="n">
        <v>1.348982687e-05</v>
      </c>
      <c r="O3397" s="11" t="n">
        <v>293.0801195</v>
      </c>
      <c r="P3397" s="13">
        <f>N3397*86400</f>
        <v/>
      </c>
      <c r="Q3397" s="14">
        <f>O3397-273.15</f>
        <v/>
      </c>
    </row>
    <row r="3398">
      <c r="A3398" s="9" t="n">
        <v>40285</v>
      </c>
      <c r="B3398" s="7">
        <f>YEAR(A3398)</f>
        <v/>
      </c>
      <c r="C3398" s="7">
        <f>MONTH(A3398)</f>
        <v/>
      </c>
      <c r="D3398" s="10" t="n">
        <v>0</v>
      </c>
      <c r="E3398" s="11" t="n">
        <v>16.86454355</v>
      </c>
      <c r="F3398" s="12" t="n">
        <v>0</v>
      </c>
      <c r="G3398" s="11" t="n">
        <v>290.8647058</v>
      </c>
      <c r="H3398" s="13">
        <f>F3398*1000</f>
        <v/>
      </c>
      <c r="I3398" s="14">
        <f>G3398-273.15</f>
        <v/>
      </c>
      <c r="K3398" s="15" t="n">
        <v>2010</v>
      </c>
      <c r="L3398" s="15" t="n">
        <v>6</v>
      </c>
      <c r="M3398" s="15" t="n">
        <v>4</v>
      </c>
      <c r="N3398" s="16" t="n">
        <v>0</v>
      </c>
      <c r="O3398" s="11" t="n">
        <v>294.3757091</v>
      </c>
      <c r="P3398" s="13">
        <f>N3398*86400</f>
        <v/>
      </c>
      <c r="Q3398" s="14">
        <f>O3398-273.15</f>
        <v/>
      </c>
    </row>
    <row r="3399">
      <c r="A3399" s="9" t="n">
        <v>40286</v>
      </c>
      <c r="B3399" s="7">
        <f>YEAR(A3399)</f>
        <v/>
      </c>
      <c r="C3399" s="7">
        <f>MONTH(A3399)</f>
        <v/>
      </c>
      <c r="D3399" s="10" t="n">
        <v>0</v>
      </c>
      <c r="E3399" s="11" t="n">
        <v>14.40344794</v>
      </c>
      <c r="F3399" s="12" t="n">
        <v>0</v>
      </c>
      <c r="G3399" s="11" t="n">
        <v>289.179216</v>
      </c>
      <c r="H3399" s="13">
        <f>F3399*1000</f>
        <v/>
      </c>
      <c r="I3399" s="14">
        <f>G3399-273.15</f>
        <v/>
      </c>
      <c r="K3399" s="15" t="n">
        <v>2010</v>
      </c>
      <c r="L3399" s="15" t="n">
        <v>6</v>
      </c>
      <c r="M3399" s="15" t="n">
        <v>5</v>
      </c>
      <c r="N3399" s="16" t="n">
        <v>0.0001359223938</v>
      </c>
      <c r="O3399" s="11" t="n">
        <v>296.9573745</v>
      </c>
      <c r="P3399" s="13">
        <f>N3399*86400</f>
        <v/>
      </c>
      <c r="Q3399" s="14">
        <f>O3399-273.15</f>
        <v/>
      </c>
    </row>
    <row r="3400">
      <c r="A3400" s="9" t="n">
        <v>40287</v>
      </c>
      <c r="B3400" s="7">
        <f>YEAR(A3400)</f>
        <v/>
      </c>
      <c r="C3400" s="7">
        <f>MONTH(A3400)</f>
        <v/>
      </c>
      <c r="D3400" s="10" t="n">
        <v>0</v>
      </c>
      <c r="E3400" s="11" t="n">
        <v>14.66581088</v>
      </c>
      <c r="F3400" s="12" t="n">
        <v>0</v>
      </c>
      <c r="G3400" s="11" t="n">
        <v>289.1151874</v>
      </c>
      <c r="H3400" s="13">
        <f>F3400*1000</f>
        <v/>
      </c>
      <c r="I3400" s="14">
        <f>G3400-273.15</f>
        <v/>
      </c>
      <c r="K3400" s="15" t="n">
        <v>2010</v>
      </c>
      <c r="L3400" s="15" t="n">
        <v>6</v>
      </c>
      <c r="M3400" s="15" t="n">
        <v>6</v>
      </c>
      <c r="N3400" s="16" t="n">
        <v>3.339834888e-06</v>
      </c>
      <c r="O3400" s="11" t="n">
        <v>298.3152323</v>
      </c>
      <c r="P3400" s="13">
        <f>N3400*86400</f>
        <v/>
      </c>
      <c r="Q3400" s="14">
        <f>O3400-273.15</f>
        <v/>
      </c>
    </row>
    <row r="3401">
      <c r="A3401" s="9" t="n">
        <v>40288</v>
      </c>
      <c r="B3401" s="7">
        <f>YEAR(A3401)</f>
        <v/>
      </c>
      <c r="C3401" s="7">
        <f>MONTH(A3401)</f>
        <v/>
      </c>
      <c r="D3401" s="10" t="n">
        <v>0</v>
      </c>
      <c r="E3401" s="11" t="n">
        <v>14.10705526</v>
      </c>
      <c r="F3401" s="12" t="n">
        <v>0</v>
      </c>
      <c r="G3401" s="11" t="n">
        <v>288.9687433</v>
      </c>
      <c r="H3401" s="13">
        <f>F3401*1000</f>
        <v/>
      </c>
      <c r="I3401" s="14">
        <f>G3401-273.15</f>
        <v/>
      </c>
      <c r="K3401" s="15" t="n">
        <v>2010</v>
      </c>
      <c r="L3401" s="15" t="n">
        <v>6</v>
      </c>
      <c r="M3401" s="15" t="n">
        <v>7</v>
      </c>
      <c r="N3401" s="16" t="n">
        <v>8.049854034000001e-06</v>
      </c>
      <c r="O3401" s="11" t="n">
        <v>293.8907473</v>
      </c>
      <c r="P3401" s="13">
        <f>N3401*86400</f>
        <v/>
      </c>
      <c r="Q3401" s="14">
        <f>O3401-273.15</f>
        <v/>
      </c>
    </row>
    <row r="3402">
      <c r="A3402" s="9" t="n">
        <v>40289</v>
      </c>
      <c r="B3402" s="7">
        <f>YEAR(A3402)</f>
        <v/>
      </c>
      <c r="C3402" s="7">
        <f>MONTH(A3402)</f>
        <v/>
      </c>
      <c r="D3402" s="10" t="n">
        <v>0</v>
      </c>
      <c r="E3402" s="11" t="n">
        <v>13.56398588</v>
      </c>
      <c r="F3402" s="12" t="n">
        <v>0</v>
      </c>
      <c r="G3402" s="11" t="n">
        <v>288.3849801</v>
      </c>
      <c r="H3402" s="13">
        <f>F3402*1000</f>
        <v/>
      </c>
      <c r="I3402" s="14">
        <f>G3402-273.15</f>
        <v/>
      </c>
      <c r="K3402" s="15" t="n">
        <v>2010</v>
      </c>
      <c r="L3402" s="15" t="n">
        <v>6</v>
      </c>
      <c r="M3402" s="15" t="n">
        <v>8</v>
      </c>
      <c r="N3402" s="16" t="n">
        <v>2.835356104e-07</v>
      </c>
      <c r="O3402" s="11" t="n">
        <v>292.3396552</v>
      </c>
      <c r="P3402" s="13">
        <f>N3402*86400</f>
        <v/>
      </c>
      <c r="Q3402" s="14">
        <f>O3402-273.15</f>
        <v/>
      </c>
    </row>
    <row r="3403">
      <c r="A3403" s="9" t="n">
        <v>40290</v>
      </c>
      <c r="B3403" s="7">
        <f>YEAR(A3403)</f>
        <v/>
      </c>
      <c r="C3403" s="7">
        <f>MONTH(A3403)</f>
        <v/>
      </c>
      <c r="D3403" s="10" t="n">
        <v>0</v>
      </c>
      <c r="E3403" s="11" t="n">
        <v>12.1804603</v>
      </c>
      <c r="F3403" s="12" t="n">
        <v>0</v>
      </c>
      <c r="G3403" s="11" t="n">
        <v>288.4121099</v>
      </c>
      <c r="H3403" s="13">
        <f>F3403*1000</f>
        <v/>
      </c>
      <c r="I3403" s="14">
        <f>G3403-273.15</f>
        <v/>
      </c>
      <c r="K3403" s="15" t="n">
        <v>2010</v>
      </c>
      <c r="L3403" s="15" t="n">
        <v>6</v>
      </c>
      <c r="M3403" s="15" t="n">
        <v>9</v>
      </c>
      <c r="N3403" s="16" t="n">
        <v>1.810010098e-05</v>
      </c>
      <c r="O3403" s="11" t="n">
        <v>292.2256448</v>
      </c>
      <c r="P3403" s="13">
        <f>N3403*86400</f>
        <v/>
      </c>
      <c r="Q3403" s="14">
        <f>O3403-273.15</f>
        <v/>
      </c>
    </row>
    <row r="3404">
      <c r="A3404" s="9" t="n">
        <v>40291</v>
      </c>
      <c r="B3404" s="7">
        <f>YEAR(A3404)</f>
        <v/>
      </c>
      <c r="C3404" s="7">
        <f>MONTH(A3404)</f>
        <v/>
      </c>
      <c r="D3404" s="10" t="n">
        <v>0.7098361539</v>
      </c>
      <c r="E3404" s="11" t="n">
        <v>14.8633736</v>
      </c>
      <c r="F3404" s="12" t="n">
        <v>0.001079018466</v>
      </c>
      <c r="G3404" s="11" t="n">
        <v>289.1262301</v>
      </c>
      <c r="H3404" s="13">
        <f>F3404*1000</f>
        <v/>
      </c>
      <c r="I3404" s="14">
        <f>G3404-273.15</f>
        <v/>
      </c>
      <c r="K3404" s="15" t="n">
        <v>2010</v>
      </c>
      <c r="L3404" s="15" t="n">
        <v>6</v>
      </c>
      <c r="M3404" s="15" t="n">
        <v>10</v>
      </c>
      <c r="N3404" s="16" t="n">
        <v>4.242426021e-05</v>
      </c>
      <c r="O3404" s="11" t="n">
        <v>292.0077638</v>
      </c>
      <c r="P3404" s="13">
        <f>N3404*86400</f>
        <v/>
      </c>
      <c r="Q3404" s="14">
        <f>O3404-273.15</f>
        <v/>
      </c>
    </row>
    <row r="3405">
      <c r="A3405" s="9" t="n">
        <v>40292</v>
      </c>
      <c r="B3405" s="7">
        <f>YEAR(A3405)</f>
        <v/>
      </c>
      <c r="C3405" s="7">
        <f>MONTH(A3405)</f>
        <v/>
      </c>
      <c r="D3405" s="10" t="n">
        <v>0</v>
      </c>
      <c r="E3405" s="11" t="n">
        <v>16.12434942</v>
      </c>
      <c r="F3405" s="12" t="n">
        <v>0.0007632371162</v>
      </c>
      <c r="G3405" s="11" t="n">
        <v>291.8870913</v>
      </c>
      <c r="H3405" s="13">
        <f>F3405*1000</f>
        <v/>
      </c>
      <c r="I3405" s="14">
        <f>G3405-273.15</f>
        <v/>
      </c>
      <c r="K3405" s="15" t="n">
        <v>2010</v>
      </c>
      <c r="L3405" s="15" t="n">
        <v>6</v>
      </c>
      <c r="M3405" s="15" t="n">
        <v>11</v>
      </c>
      <c r="N3405" s="16" t="n">
        <v>1.250430684e-06</v>
      </c>
      <c r="O3405" s="11" t="n">
        <v>290.4305232</v>
      </c>
      <c r="P3405" s="13">
        <f>N3405*86400</f>
        <v/>
      </c>
      <c r="Q3405" s="14">
        <f>O3405-273.15</f>
        <v/>
      </c>
    </row>
    <row r="3406">
      <c r="A3406" s="9" t="n">
        <v>40293</v>
      </c>
      <c r="B3406" s="7">
        <f>YEAR(A3406)</f>
        <v/>
      </c>
      <c r="C3406" s="7">
        <f>MONTH(A3406)</f>
        <v/>
      </c>
      <c r="D3406" s="10" t="n">
        <v>0</v>
      </c>
      <c r="E3406" s="11" t="n">
        <v>16.49090956</v>
      </c>
      <c r="F3406" s="12" t="n">
        <v>0</v>
      </c>
      <c r="G3406" s="11" t="n">
        <v>293.3743948</v>
      </c>
      <c r="H3406" s="13">
        <f>F3406*1000</f>
        <v/>
      </c>
      <c r="I3406" s="14">
        <f>G3406-273.15</f>
        <v/>
      </c>
      <c r="K3406" s="15" t="n">
        <v>2010</v>
      </c>
      <c r="L3406" s="15" t="n">
        <v>6</v>
      </c>
      <c r="M3406" s="15" t="n">
        <v>12</v>
      </c>
      <c r="N3406" s="16" t="n">
        <v>0</v>
      </c>
      <c r="O3406" s="11" t="n">
        <v>289.4427516</v>
      </c>
      <c r="P3406" s="13">
        <f>N3406*86400</f>
        <v/>
      </c>
      <c r="Q3406" s="14">
        <f>O3406-273.15</f>
        <v/>
      </c>
    </row>
    <row r="3407">
      <c r="A3407" s="9" t="n">
        <v>40294</v>
      </c>
      <c r="B3407" s="7">
        <f>YEAR(A3407)</f>
        <v/>
      </c>
      <c r="C3407" s="7">
        <f>MONTH(A3407)</f>
        <v/>
      </c>
      <c r="D3407" s="10" t="n">
        <v>0</v>
      </c>
      <c r="E3407" s="11" t="n">
        <v>14.7692088</v>
      </c>
      <c r="F3407" s="12" t="n">
        <v>0</v>
      </c>
      <c r="G3407" s="11" t="n">
        <v>292.3678404</v>
      </c>
      <c r="H3407" s="13">
        <f>F3407*1000</f>
        <v/>
      </c>
      <c r="I3407" s="14">
        <f>G3407-273.15</f>
        <v/>
      </c>
      <c r="K3407" s="15" t="n">
        <v>2010</v>
      </c>
      <c r="L3407" s="15" t="n">
        <v>6</v>
      </c>
      <c r="M3407" s="15" t="n">
        <v>13</v>
      </c>
      <c r="N3407" s="16" t="n">
        <v>0</v>
      </c>
      <c r="O3407" s="11" t="n">
        <v>289.0761385</v>
      </c>
      <c r="P3407" s="13">
        <f>N3407*86400</f>
        <v/>
      </c>
      <c r="Q3407" s="14">
        <f>O3407-273.15</f>
        <v/>
      </c>
    </row>
    <row r="3408">
      <c r="A3408" s="9" t="n">
        <v>40295</v>
      </c>
      <c r="B3408" s="7">
        <f>YEAR(A3408)</f>
        <v/>
      </c>
      <c r="C3408" s="7">
        <f>MONTH(A3408)</f>
        <v/>
      </c>
      <c r="D3408" s="10" t="n">
        <v>0</v>
      </c>
      <c r="E3408" s="11" t="n">
        <v>17.6554666</v>
      </c>
      <c r="F3408" s="12" t="n">
        <v>0</v>
      </c>
      <c r="G3408" s="11" t="n">
        <v>294.2118729</v>
      </c>
      <c r="H3408" s="13">
        <f>F3408*1000</f>
        <v/>
      </c>
      <c r="I3408" s="14">
        <f>G3408-273.15</f>
        <v/>
      </c>
      <c r="K3408" s="15" t="n">
        <v>2010</v>
      </c>
      <c r="L3408" s="15" t="n">
        <v>6</v>
      </c>
      <c r="M3408" s="15" t="n">
        <v>14</v>
      </c>
      <c r="N3408" s="16" t="n">
        <v>3.477967945e-05</v>
      </c>
      <c r="O3408" s="11" t="n">
        <v>289.4868893</v>
      </c>
      <c r="P3408" s="13">
        <f>N3408*86400</f>
        <v/>
      </c>
      <c r="Q3408" s="14">
        <f>O3408-273.15</f>
        <v/>
      </c>
    </row>
    <row r="3409">
      <c r="A3409" s="9" t="n">
        <v>40296</v>
      </c>
      <c r="B3409" s="7">
        <f>YEAR(A3409)</f>
        <v/>
      </c>
      <c r="C3409" s="7">
        <f>MONTH(A3409)</f>
        <v/>
      </c>
      <c r="D3409" s="10" t="n">
        <v>0</v>
      </c>
      <c r="E3409" s="11" t="n">
        <v>17.52017574</v>
      </c>
      <c r="F3409" s="12" t="n">
        <v>0</v>
      </c>
      <c r="G3409" s="11" t="n">
        <v>294.0774503</v>
      </c>
      <c r="H3409" s="13">
        <f>F3409*1000</f>
        <v/>
      </c>
      <c r="I3409" s="14">
        <f>G3409-273.15</f>
        <v/>
      </c>
      <c r="K3409" s="15" t="n">
        <v>2010</v>
      </c>
      <c r="L3409" s="15" t="n">
        <v>6</v>
      </c>
      <c r="M3409" s="15" t="n">
        <v>15</v>
      </c>
      <c r="N3409" s="16" t="n">
        <v>0.0002179014112</v>
      </c>
      <c r="O3409" s="11" t="n">
        <v>290.2796692</v>
      </c>
      <c r="P3409" s="13">
        <f>N3409*86400</f>
        <v/>
      </c>
      <c r="Q3409" s="14">
        <f>O3409-273.15</f>
        <v/>
      </c>
    </row>
    <row r="3410">
      <c r="A3410" s="9" t="n">
        <v>40297</v>
      </c>
      <c r="B3410" s="7">
        <f>YEAR(A3410)</f>
        <v/>
      </c>
      <c r="C3410" s="7">
        <f>MONTH(A3410)</f>
        <v/>
      </c>
      <c r="D3410" s="10" t="n">
        <v>0</v>
      </c>
      <c r="E3410" s="11" t="n">
        <v>14.13088283</v>
      </c>
      <c r="F3410" s="12" t="n">
        <v>0</v>
      </c>
      <c r="G3410" s="11" t="n">
        <v>290.524862</v>
      </c>
      <c r="H3410" s="13">
        <f>F3410*1000</f>
        <v/>
      </c>
      <c r="I3410" s="14">
        <f>G3410-273.15</f>
        <v/>
      </c>
      <c r="K3410" s="15" t="n">
        <v>2010</v>
      </c>
      <c r="L3410" s="15" t="n">
        <v>6</v>
      </c>
      <c r="M3410" s="15" t="n">
        <v>16</v>
      </c>
      <c r="N3410" s="16" t="n">
        <v>6.867694895e-05</v>
      </c>
      <c r="O3410" s="11" t="n">
        <v>290.0211609</v>
      </c>
      <c r="P3410" s="13">
        <f>N3410*86400</f>
        <v/>
      </c>
      <c r="Q3410" s="14">
        <f>O3410-273.15</f>
        <v/>
      </c>
    </row>
    <row r="3411">
      <c r="A3411" s="9" t="n">
        <v>40298</v>
      </c>
      <c r="B3411" s="7">
        <f>YEAR(A3411)</f>
        <v/>
      </c>
      <c r="C3411" s="7">
        <f>MONTH(A3411)</f>
        <v/>
      </c>
      <c r="D3411" s="10" t="n">
        <v>0</v>
      </c>
      <c r="E3411" s="11" t="n">
        <v>17.17333757</v>
      </c>
      <c r="F3411" s="12" t="n">
        <v>0.0001837702973</v>
      </c>
      <c r="G3411" s="11" t="n">
        <v>292.0902384</v>
      </c>
      <c r="H3411" s="13">
        <f>F3411*1000</f>
        <v/>
      </c>
      <c r="I3411" s="14">
        <f>G3411-273.15</f>
        <v/>
      </c>
      <c r="K3411" s="15" t="n">
        <v>2010</v>
      </c>
      <c r="L3411" s="15" t="n">
        <v>6</v>
      </c>
      <c r="M3411" s="15" t="n">
        <v>17</v>
      </c>
      <c r="N3411" s="16" t="n">
        <v>0</v>
      </c>
      <c r="O3411" s="11" t="n">
        <v>290.3863879</v>
      </c>
      <c r="P3411" s="13">
        <f>N3411*86400</f>
        <v/>
      </c>
      <c r="Q3411" s="14">
        <f>O3411-273.15</f>
        <v/>
      </c>
    </row>
    <row r="3412">
      <c r="A3412" s="9" t="n">
        <v>40299</v>
      </c>
      <c r="B3412" s="7">
        <f>YEAR(A3412)</f>
        <v/>
      </c>
      <c r="C3412" s="7">
        <f>MONTH(A3412)</f>
        <v/>
      </c>
      <c r="D3412" s="10" t="n">
        <v>0</v>
      </c>
      <c r="E3412" s="11" t="n">
        <v>14.91395405</v>
      </c>
      <c r="F3412" s="12" t="n">
        <v>0</v>
      </c>
      <c r="G3412" s="11" t="n">
        <v>291.0502415</v>
      </c>
      <c r="H3412" s="13">
        <f>F3412*1000</f>
        <v/>
      </c>
      <c r="I3412" s="14">
        <f>G3412-273.15</f>
        <v/>
      </c>
      <c r="K3412" s="15" t="n">
        <v>2010</v>
      </c>
      <c r="L3412" s="15" t="n">
        <v>6</v>
      </c>
      <c r="M3412" s="15" t="n">
        <v>18</v>
      </c>
      <c r="N3412" s="16" t="n">
        <v>4.952250007e-06</v>
      </c>
      <c r="O3412" s="11" t="n">
        <v>290.2754821</v>
      </c>
      <c r="P3412" s="13">
        <f>N3412*86400</f>
        <v/>
      </c>
      <c r="Q3412" s="14">
        <f>O3412-273.15</f>
        <v/>
      </c>
    </row>
    <row r="3413">
      <c r="A3413" s="9" t="n">
        <v>40300</v>
      </c>
      <c r="B3413" s="7">
        <f>YEAR(A3413)</f>
        <v/>
      </c>
      <c r="C3413" s="7">
        <f>MONTH(A3413)</f>
        <v/>
      </c>
      <c r="D3413" s="10" t="n">
        <v>0</v>
      </c>
      <c r="E3413" s="11" t="n">
        <v>15.5671513</v>
      </c>
      <c r="F3413" s="12" t="n">
        <v>0</v>
      </c>
      <c r="G3413" s="11" t="n">
        <v>290.8291905</v>
      </c>
      <c r="H3413" s="13">
        <f>F3413*1000</f>
        <v/>
      </c>
      <c r="I3413" s="14">
        <f>G3413-273.15</f>
        <v/>
      </c>
      <c r="K3413" s="15" t="n">
        <v>2010</v>
      </c>
      <c r="L3413" s="15" t="n">
        <v>6</v>
      </c>
      <c r="M3413" s="15" t="n">
        <v>19</v>
      </c>
      <c r="N3413" s="16" t="n">
        <v>5.317498871e-05</v>
      </c>
      <c r="O3413" s="11" t="n">
        <v>291.2949225</v>
      </c>
      <c r="P3413" s="13">
        <f>N3413*86400</f>
        <v/>
      </c>
      <c r="Q3413" s="14">
        <f>O3413-273.15</f>
        <v/>
      </c>
    </row>
    <row r="3414">
      <c r="A3414" s="9" t="n">
        <v>40301</v>
      </c>
      <c r="B3414" s="7">
        <f>YEAR(A3414)</f>
        <v/>
      </c>
      <c r="C3414" s="7">
        <f>MONTH(A3414)</f>
        <v/>
      </c>
      <c r="D3414" s="10" t="n">
        <v>0.5516651695</v>
      </c>
      <c r="E3414" s="11" t="n">
        <v>17.20825729</v>
      </c>
      <c r="F3414" s="12" t="n">
        <v>0</v>
      </c>
      <c r="G3414" s="11" t="n">
        <v>291.8949185</v>
      </c>
      <c r="H3414" s="13">
        <f>F3414*1000</f>
        <v/>
      </c>
      <c r="I3414" s="14">
        <f>G3414-273.15</f>
        <v/>
      </c>
      <c r="K3414" s="15" t="n">
        <v>2010</v>
      </c>
      <c r="L3414" s="15" t="n">
        <v>6</v>
      </c>
      <c r="M3414" s="15" t="n">
        <v>20</v>
      </c>
      <c r="N3414" s="16" t="n">
        <v>0</v>
      </c>
      <c r="O3414" s="11" t="n">
        <v>291.5474952</v>
      </c>
      <c r="P3414" s="13">
        <f>N3414*86400</f>
        <v/>
      </c>
      <c r="Q3414" s="14">
        <f>O3414-273.15</f>
        <v/>
      </c>
    </row>
    <row r="3415">
      <c r="A3415" s="9" t="n">
        <v>40302</v>
      </c>
      <c r="B3415" s="7">
        <f>YEAR(A3415)</f>
        <v/>
      </c>
      <c r="C3415" s="7">
        <f>MONTH(A3415)</f>
        <v/>
      </c>
      <c r="D3415" s="10" t="n">
        <v>0</v>
      </c>
      <c r="E3415" s="11" t="n">
        <v>16.30172835</v>
      </c>
      <c r="F3415" s="12" t="n">
        <v>0</v>
      </c>
      <c r="G3415" s="11" t="n">
        <v>292.2355966</v>
      </c>
      <c r="H3415" s="13">
        <f>F3415*1000</f>
        <v/>
      </c>
      <c r="I3415" s="14">
        <f>G3415-273.15</f>
        <v/>
      </c>
      <c r="K3415" s="15" t="n">
        <v>2010</v>
      </c>
      <c r="L3415" s="15" t="n">
        <v>6</v>
      </c>
      <c r="M3415" s="15" t="n">
        <v>21</v>
      </c>
      <c r="N3415" s="16" t="n">
        <v>6.796054433e-05</v>
      </c>
      <c r="O3415" s="11" t="n">
        <v>291.8787648</v>
      </c>
      <c r="P3415" s="13">
        <f>N3415*86400</f>
        <v/>
      </c>
      <c r="Q3415" s="14">
        <f>O3415-273.15</f>
        <v/>
      </c>
    </row>
    <row r="3416">
      <c r="A3416" s="9" t="n">
        <v>40303</v>
      </c>
      <c r="B3416" s="7">
        <f>YEAR(A3416)</f>
        <v/>
      </c>
      <c r="C3416" s="7">
        <f>MONTH(A3416)</f>
        <v/>
      </c>
      <c r="D3416" s="10" t="n">
        <v>0.1492061088</v>
      </c>
      <c r="E3416" s="11" t="n">
        <v>14.67849121</v>
      </c>
      <c r="F3416" s="12" t="n">
        <v>0</v>
      </c>
      <c r="G3416" s="11" t="n">
        <v>289.2696298</v>
      </c>
      <c r="H3416" s="13">
        <f>F3416*1000</f>
        <v/>
      </c>
      <c r="I3416" s="14">
        <f>G3416-273.15</f>
        <v/>
      </c>
      <c r="K3416" s="15" t="n">
        <v>2010</v>
      </c>
      <c r="L3416" s="15" t="n">
        <v>6</v>
      </c>
      <c r="M3416" s="15" t="n">
        <v>22</v>
      </c>
      <c r="N3416" s="16" t="n">
        <v>5.341996936e-07</v>
      </c>
      <c r="O3416" s="11" t="n">
        <v>291.9210847</v>
      </c>
      <c r="P3416" s="13">
        <f>N3416*86400</f>
        <v/>
      </c>
      <c r="Q3416" s="14">
        <f>O3416-273.15</f>
        <v/>
      </c>
    </row>
    <row r="3417">
      <c r="A3417" s="9" t="n">
        <v>40304</v>
      </c>
      <c r="B3417" s="7">
        <f>YEAR(A3417)</f>
        <v/>
      </c>
      <c r="C3417" s="7">
        <f>MONTH(A3417)</f>
        <v/>
      </c>
      <c r="D3417" s="10" t="n">
        <v>0</v>
      </c>
      <c r="E3417" s="11" t="n">
        <v>16.42053475</v>
      </c>
      <c r="F3417" s="12" t="n">
        <v>5.21046821e-05</v>
      </c>
      <c r="G3417" s="11" t="n">
        <v>291.3996258</v>
      </c>
      <c r="H3417" s="13">
        <f>F3417*1000</f>
        <v/>
      </c>
      <c r="I3417" s="14">
        <f>G3417-273.15</f>
        <v/>
      </c>
      <c r="K3417" s="15" t="n">
        <v>2010</v>
      </c>
      <c r="L3417" s="15" t="n">
        <v>6</v>
      </c>
      <c r="M3417" s="15" t="n">
        <v>23</v>
      </c>
      <c r="N3417" s="16" t="n">
        <v>5.484009825e-05</v>
      </c>
      <c r="O3417" s="11" t="n">
        <v>292.188209</v>
      </c>
      <c r="P3417" s="13">
        <f>N3417*86400</f>
        <v/>
      </c>
      <c r="Q3417" s="14">
        <f>O3417-273.15</f>
        <v/>
      </c>
    </row>
    <row r="3418">
      <c r="A3418" s="9" t="n">
        <v>40305</v>
      </c>
      <c r="B3418" s="7">
        <f>YEAR(A3418)</f>
        <v/>
      </c>
      <c r="C3418" s="7">
        <f>MONTH(A3418)</f>
        <v/>
      </c>
      <c r="D3418" s="10" t="n">
        <v>0</v>
      </c>
      <c r="E3418" s="11" t="n">
        <v>14.92014059</v>
      </c>
      <c r="F3418" s="12" t="n">
        <v>0</v>
      </c>
      <c r="G3418" s="11" t="n">
        <v>289.5206145</v>
      </c>
      <c r="H3418" s="13">
        <f>F3418*1000</f>
        <v/>
      </c>
      <c r="I3418" s="14">
        <f>G3418-273.15</f>
        <v/>
      </c>
      <c r="K3418" s="15" t="n">
        <v>2010</v>
      </c>
      <c r="L3418" s="15" t="n">
        <v>6</v>
      </c>
      <c r="M3418" s="15" t="n">
        <v>24</v>
      </c>
      <c r="N3418" s="16" t="n">
        <v>3.518871393e-05</v>
      </c>
      <c r="O3418" s="11" t="n">
        <v>290.5919675</v>
      </c>
      <c r="P3418" s="13">
        <f>N3418*86400</f>
        <v/>
      </c>
      <c r="Q3418" s="14">
        <f>O3418-273.15</f>
        <v/>
      </c>
    </row>
    <row r="3419">
      <c r="A3419" s="9" t="n">
        <v>40306</v>
      </c>
      <c r="B3419" s="7">
        <f>YEAR(A3419)</f>
        <v/>
      </c>
      <c r="C3419" s="7">
        <f>MONTH(A3419)</f>
        <v/>
      </c>
      <c r="D3419" s="10" t="n">
        <v>0</v>
      </c>
      <c r="E3419" s="11" t="n">
        <v>12.46074769</v>
      </c>
      <c r="F3419" s="12" t="n">
        <v>0.0005856187682</v>
      </c>
      <c r="G3419" s="11" t="n">
        <v>287.9766126</v>
      </c>
      <c r="H3419" s="13">
        <f>F3419*1000</f>
        <v/>
      </c>
      <c r="I3419" s="14">
        <f>G3419-273.15</f>
        <v/>
      </c>
      <c r="K3419" s="15" t="n">
        <v>2010</v>
      </c>
      <c r="L3419" s="15" t="n">
        <v>6</v>
      </c>
      <c r="M3419" s="15" t="n">
        <v>25</v>
      </c>
      <c r="N3419" s="16" t="n">
        <v>0.0001974610503</v>
      </c>
      <c r="O3419" s="11" t="n">
        <v>292.1874221</v>
      </c>
      <c r="P3419" s="13">
        <f>N3419*86400</f>
        <v/>
      </c>
      <c r="Q3419" s="14">
        <f>O3419-273.15</f>
        <v/>
      </c>
    </row>
    <row r="3420">
      <c r="A3420" s="9" t="n">
        <v>40307</v>
      </c>
      <c r="B3420" s="7">
        <f>YEAR(A3420)</f>
        <v/>
      </c>
      <c r="C3420" s="7">
        <f>MONTH(A3420)</f>
        <v/>
      </c>
      <c r="D3420" s="10" t="n">
        <v>0</v>
      </c>
      <c r="E3420" s="11" t="n">
        <v>10.60152415</v>
      </c>
      <c r="F3420" s="12" t="n">
        <v>0.001030467814</v>
      </c>
      <c r="G3420" s="11" t="n">
        <v>286.5284375</v>
      </c>
      <c r="H3420" s="13">
        <f>F3420*1000</f>
        <v/>
      </c>
      <c r="I3420" s="14">
        <f>G3420-273.15</f>
        <v/>
      </c>
      <c r="K3420" s="15" t="n">
        <v>2010</v>
      </c>
      <c r="L3420" s="15" t="n">
        <v>6</v>
      </c>
      <c r="M3420" s="15" t="n">
        <v>26</v>
      </c>
      <c r="N3420" s="16" t="n">
        <v>4.017916024e-05</v>
      </c>
      <c r="O3420" s="11" t="n">
        <v>291.8879076</v>
      </c>
      <c r="P3420" s="13">
        <f>N3420*86400</f>
        <v/>
      </c>
      <c r="Q3420" s="14">
        <f>O3420-273.15</f>
        <v/>
      </c>
    </row>
    <row r="3421">
      <c r="A3421" s="9" t="n">
        <v>40308</v>
      </c>
      <c r="B3421" s="7">
        <f>YEAR(A3421)</f>
        <v/>
      </c>
      <c r="C3421" s="7">
        <f>MONTH(A3421)</f>
        <v/>
      </c>
      <c r="D3421" s="10" t="n">
        <v>0</v>
      </c>
      <c r="E3421" s="11" t="n">
        <v>12.53671383</v>
      </c>
      <c r="F3421" s="12" t="n">
        <v>0</v>
      </c>
      <c r="G3421" s="11" t="n">
        <v>288.4348997</v>
      </c>
      <c r="H3421" s="13">
        <f>F3421*1000</f>
        <v/>
      </c>
      <c r="I3421" s="14">
        <f>G3421-273.15</f>
        <v/>
      </c>
      <c r="K3421" s="15" t="n">
        <v>2010</v>
      </c>
      <c r="L3421" s="15" t="n">
        <v>6</v>
      </c>
      <c r="M3421" s="15" t="n">
        <v>27</v>
      </c>
      <c r="N3421" s="16" t="n">
        <v>2.706147231e-05</v>
      </c>
      <c r="O3421" s="11" t="n">
        <v>292.7204762</v>
      </c>
      <c r="P3421" s="13">
        <f>N3421*86400</f>
        <v/>
      </c>
      <c r="Q3421" s="14">
        <f>O3421-273.15</f>
        <v/>
      </c>
    </row>
    <row r="3422">
      <c r="A3422" s="9" t="n">
        <v>40309</v>
      </c>
      <c r="B3422" s="7">
        <f>YEAR(A3422)</f>
        <v/>
      </c>
      <c r="C3422" s="7">
        <f>MONTH(A3422)</f>
        <v/>
      </c>
      <c r="D3422" s="10" t="n">
        <v>0</v>
      </c>
      <c r="E3422" s="11" t="n">
        <v>14.81555571</v>
      </c>
      <c r="F3422" s="12" t="n">
        <v>0.000131042321</v>
      </c>
      <c r="G3422" s="11" t="n">
        <v>291.4313934</v>
      </c>
      <c r="H3422" s="13">
        <f>F3422*1000</f>
        <v/>
      </c>
      <c r="I3422" s="14">
        <f>G3422-273.15</f>
        <v/>
      </c>
      <c r="K3422" s="15" t="n">
        <v>2010</v>
      </c>
      <c r="L3422" s="15" t="n">
        <v>6</v>
      </c>
      <c r="M3422" s="15" t="n">
        <v>28</v>
      </c>
      <c r="N3422" s="16" t="n">
        <v>0.0001722849056</v>
      </c>
      <c r="O3422" s="11" t="n">
        <v>291.3136523</v>
      </c>
      <c r="P3422" s="13">
        <f>N3422*86400</f>
        <v/>
      </c>
      <c r="Q3422" s="14">
        <f>O3422-273.15</f>
        <v/>
      </c>
    </row>
    <row r="3423">
      <c r="A3423" s="9" t="n">
        <v>40310</v>
      </c>
      <c r="B3423" s="7">
        <f>YEAR(A3423)</f>
        <v/>
      </c>
      <c r="C3423" s="7">
        <f>MONTH(A3423)</f>
        <v/>
      </c>
      <c r="D3423" s="10" t="n">
        <v>0</v>
      </c>
      <c r="E3423" s="11" t="n">
        <v>16.80172109</v>
      </c>
      <c r="F3423" s="12" t="n">
        <v>0</v>
      </c>
      <c r="G3423" s="11" t="n">
        <v>292.3713091</v>
      </c>
      <c r="H3423" s="13">
        <f>F3423*1000</f>
        <v/>
      </c>
      <c r="I3423" s="14">
        <f>G3423-273.15</f>
        <v/>
      </c>
      <c r="K3423" s="15" t="n">
        <v>2010</v>
      </c>
      <c r="L3423" s="15" t="n">
        <v>6</v>
      </c>
      <c r="M3423" s="15" t="n">
        <v>29</v>
      </c>
      <c r="N3423" s="16" t="n">
        <v>0.0002024367727</v>
      </c>
      <c r="O3423" s="11" t="n">
        <v>289.4251521</v>
      </c>
      <c r="P3423" s="13">
        <f>N3423*86400</f>
        <v/>
      </c>
      <c r="Q3423" s="14">
        <f>O3423-273.15</f>
        <v/>
      </c>
    </row>
    <row r="3424">
      <c r="A3424" s="9" t="n">
        <v>40311</v>
      </c>
      <c r="B3424" s="7">
        <f>YEAR(A3424)</f>
        <v/>
      </c>
      <c r="C3424" s="7">
        <f>MONTH(A3424)</f>
        <v/>
      </c>
      <c r="D3424" s="10" t="n">
        <v>0.1023686611</v>
      </c>
      <c r="E3424" s="11" t="n">
        <v>16.18651904</v>
      </c>
      <c r="F3424" s="12" t="n">
        <v>0.001464899387</v>
      </c>
      <c r="G3424" s="11" t="n">
        <v>292.1283513</v>
      </c>
      <c r="H3424" s="13">
        <f>F3424*1000</f>
        <v/>
      </c>
      <c r="I3424" s="14">
        <f>G3424-273.15</f>
        <v/>
      </c>
      <c r="K3424" s="15" t="n">
        <v>2010</v>
      </c>
      <c r="L3424" s="15" t="n">
        <v>6</v>
      </c>
      <c r="M3424" s="15" t="n">
        <v>30</v>
      </c>
      <c r="N3424" s="16" t="n">
        <v>7.704715993999999e-06</v>
      </c>
      <c r="O3424" s="11" t="n">
        <v>291.1444387</v>
      </c>
      <c r="P3424" s="13">
        <f>N3424*86400</f>
        <v/>
      </c>
      <c r="Q3424" s="14">
        <f>O3424-273.15</f>
        <v/>
      </c>
    </row>
    <row r="3425">
      <c r="A3425" s="9" t="n">
        <v>40312</v>
      </c>
      <c r="B3425" s="7">
        <f>YEAR(A3425)</f>
        <v/>
      </c>
      <c r="C3425" s="7">
        <f>MONTH(A3425)</f>
        <v/>
      </c>
      <c r="D3425" s="10" t="n">
        <v>5.031963075</v>
      </c>
      <c r="E3425" s="11" t="n">
        <v>16.89638407</v>
      </c>
      <c r="F3425" s="12" t="n">
        <v>0.0009195083118</v>
      </c>
      <c r="G3425" s="11" t="n">
        <v>292.0980603</v>
      </c>
      <c r="H3425" s="13">
        <f>F3425*1000</f>
        <v/>
      </c>
      <c r="I3425" s="14">
        <f>G3425-273.15</f>
        <v/>
      </c>
      <c r="K3425" s="15" t="n">
        <v>2010</v>
      </c>
      <c r="L3425" s="15" t="n">
        <v>7</v>
      </c>
      <c r="M3425" s="15" t="n">
        <v>1</v>
      </c>
      <c r="N3425" s="16" t="n">
        <v>6.097109272e-05</v>
      </c>
      <c r="O3425" s="11" t="n">
        <v>292.4187872</v>
      </c>
      <c r="P3425" s="13">
        <f>N3425*86400</f>
        <v/>
      </c>
      <c r="Q3425" s="14">
        <f>O3425-273.15</f>
        <v/>
      </c>
    </row>
    <row r="3426">
      <c r="A3426" s="9" t="n">
        <v>40313</v>
      </c>
      <c r="B3426" s="7">
        <f>YEAR(A3426)</f>
        <v/>
      </c>
      <c r="C3426" s="7">
        <f>MONTH(A3426)</f>
        <v/>
      </c>
      <c r="D3426" s="10" t="n">
        <v>9.749211879000001</v>
      </c>
      <c r="E3426" s="11" t="n">
        <v>15.88848196</v>
      </c>
      <c r="F3426" s="12" t="n">
        <v>0.0002664156776</v>
      </c>
      <c r="G3426" s="11" t="n">
        <v>290.6168271</v>
      </c>
      <c r="H3426" s="13">
        <f>F3426*1000</f>
        <v/>
      </c>
      <c r="I3426" s="14">
        <f>G3426-273.15</f>
        <v/>
      </c>
      <c r="K3426" s="15" t="n">
        <v>2010</v>
      </c>
      <c r="L3426" s="15" t="n">
        <v>7</v>
      </c>
      <c r="M3426" s="15" t="n">
        <v>2</v>
      </c>
      <c r="N3426" s="16" t="n">
        <v>1.242921296e-05</v>
      </c>
      <c r="O3426" s="11" t="n">
        <v>291.9446367</v>
      </c>
      <c r="P3426" s="13">
        <f>N3426*86400</f>
        <v/>
      </c>
      <c r="Q3426" s="14">
        <f>O3426-273.15</f>
        <v/>
      </c>
    </row>
    <row r="3427">
      <c r="A3427" s="9" t="n">
        <v>40314</v>
      </c>
      <c r="B3427" s="7">
        <f>YEAR(A3427)</f>
        <v/>
      </c>
      <c r="C3427" s="7">
        <f>MONTH(A3427)</f>
        <v/>
      </c>
      <c r="D3427" s="10" t="n">
        <v>2.317823458</v>
      </c>
      <c r="E3427" s="11" t="n">
        <v>16.604646</v>
      </c>
      <c r="F3427" s="12" t="n">
        <v>0</v>
      </c>
      <c r="G3427" s="11" t="n">
        <v>291.7545006</v>
      </c>
      <c r="H3427" s="13">
        <f>F3427*1000</f>
        <v/>
      </c>
      <c r="I3427" s="14">
        <f>G3427-273.15</f>
        <v/>
      </c>
      <c r="K3427" s="15" t="n">
        <v>2010</v>
      </c>
      <c r="L3427" s="15" t="n">
        <v>7</v>
      </c>
      <c r="M3427" s="15" t="n">
        <v>3</v>
      </c>
      <c r="N3427" s="16" t="n">
        <v>0</v>
      </c>
      <c r="O3427" s="11" t="n">
        <v>292.6231563</v>
      </c>
      <c r="P3427" s="13">
        <f>N3427*86400</f>
        <v/>
      </c>
      <c r="Q3427" s="14">
        <f>O3427-273.15</f>
        <v/>
      </c>
    </row>
    <row r="3428">
      <c r="A3428" s="9" t="n">
        <v>40315</v>
      </c>
      <c r="B3428" s="7">
        <f>YEAR(A3428)</f>
        <v/>
      </c>
      <c r="C3428" s="7">
        <f>MONTH(A3428)</f>
        <v/>
      </c>
      <c r="D3428" s="10" t="n">
        <v>0</v>
      </c>
      <c r="E3428" s="11" t="n">
        <v>14.4857822</v>
      </c>
      <c r="F3428" s="12" t="n">
        <v>0</v>
      </c>
      <c r="G3428" s="11" t="n">
        <v>290.8242656</v>
      </c>
      <c r="H3428" s="13">
        <f>F3428*1000</f>
        <v/>
      </c>
      <c r="I3428" s="14">
        <f>G3428-273.15</f>
        <v/>
      </c>
      <c r="K3428" s="15" t="n">
        <v>2010</v>
      </c>
      <c r="L3428" s="15" t="n">
        <v>7</v>
      </c>
      <c r="M3428" s="15" t="n">
        <v>4</v>
      </c>
      <c r="N3428" s="16" t="n">
        <v>5.450127808e-05</v>
      </c>
      <c r="O3428" s="11" t="n">
        <v>291.9006565</v>
      </c>
      <c r="P3428" s="13">
        <f>N3428*86400</f>
        <v/>
      </c>
      <c r="Q3428" s="14">
        <f>O3428-273.15</f>
        <v/>
      </c>
    </row>
    <row r="3429">
      <c r="A3429" s="9" t="n">
        <v>40316</v>
      </c>
      <c r="B3429" s="7">
        <f>YEAR(A3429)</f>
        <v/>
      </c>
      <c r="C3429" s="7">
        <f>MONTH(A3429)</f>
        <v/>
      </c>
      <c r="D3429" s="10" t="n">
        <v>0</v>
      </c>
      <c r="E3429" s="11" t="n">
        <v>16.55055033</v>
      </c>
      <c r="F3429" s="12" t="n">
        <v>0.000381601073</v>
      </c>
      <c r="G3429" s="11" t="n">
        <v>292.2482</v>
      </c>
      <c r="H3429" s="13">
        <f>F3429*1000</f>
        <v/>
      </c>
      <c r="I3429" s="14">
        <f>G3429-273.15</f>
        <v/>
      </c>
      <c r="K3429" s="15" t="n">
        <v>2010</v>
      </c>
      <c r="L3429" s="15" t="n">
        <v>7</v>
      </c>
      <c r="M3429" s="15" t="n">
        <v>5</v>
      </c>
      <c r="N3429" s="16" t="n">
        <v>6.414775635e-05</v>
      </c>
      <c r="O3429" s="11" t="n">
        <v>292.0830109</v>
      </c>
      <c r="P3429" s="13">
        <f>N3429*86400</f>
        <v/>
      </c>
      <c r="Q3429" s="14">
        <f>O3429-273.15</f>
        <v/>
      </c>
    </row>
    <row r="3430">
      <c r="A3430" s="9" t="n">
        <v>40317</v>
      </c>
      <c r="B3430" s="7">
        <f>YEAR(A3430)</f>
        <v/>
      </c>
      <c r="C3430" s="7">
        <f>MONTH(A3430)</f>
        <v/>
      </c>
      <c r="D3430" s="10" t="n">
        <v>0</v>
      </c>
      <c r="E3430" s="11" t="n">
        <v>14.67234288</v>
      </c>
      <c r="F3430" s="12" t="n">
        <v>0</v>
      </c>
      <c r="G3430" s="11" t="n">
        <v>291.3781372</v>
      </c>
      <c r="H3430" s="13">
        <f>F3430*1000</f>
        <v/>
      </c>
      <c r="I3430" s="14">
        <f>G3430-273.15</f>
        <v/>
      </c>
      <c r="K3430" s="15" t="n">
        <v>2010</v>
      </c>
      <c r="L3430" s="15" t="n">
        <v>7</v>
      </c>
      <c r="M3430" s="15" t="n">
        <v>6</v>
      </c>
      <c r="N3430" s="16" t="n">
        <v>5.979305585e-06</v>
      </c>
      <c r="O3430" s="11" t="n">
        <v>291.673507</v>
      </c>
      <c r="P3430" s="13">
        <f>N3430*86400</f>
        <v/>
      </c>
      <c r="Q3430" s="14">
        <f>O3430-273.15</f>
        <v/>
      </c>
    </row>
    <row r="3431">
      <c r="A3431" s="9" t="n">
        <v>40318</v>
      </c>
      <c r="B3431" s="7">
        <f>YEAR(A3431)</f>
        <v/>
      </c>
      <c r="C3431" s="7">
        <f>MONTH(A3431)</f>
        <v/>
      </c>
      <c r="D3431" s="10" t="n">
        <v>0</v>
      </c>
      <c r="E3431" s="11" t="n">
        <v>13.59652317</v>
      </c>
      <c r="F3431" s="12" t="n">
        <v>0</v>
      </c>
      <c r="G3431" s="11" t="n">
        <v>288.929371</v>
      </c>
      <c r="H3431" s="13">
        <f>F3431*1000</f>
        <v/>
      </c>
      <c r="I3431" s="14">
        <f>G3431-273.15</f>
        <v/>
      </c>
      <c r="K3431" s="15" t="n">
        <v>2010</v>
      </c>
      <c r="L3431" s="15" t="n">
        <v>7</v>
      </c>
      <c r="M3431" s="15" t="n">
        <v>7</v>
      </c>
      <c r="N3431" s="16" t="n">
        <v>4.404331474e-05</v>
      </c>
      <c r="O3431" s="11" t="n">
        <v>291.7812064</v>
      </c>
      <c r="P3431" s="13">
        <f>N3431*86400</f>
        <v/>
      </c>
      <c r="Q3431" s="14">
        <f>O3431-273.15</f>
        <v/>
      </c>
    </row>
    <row r="3432">
      <c r="A3432" s="9" t="n">
        <v>40319</v>
      </c>
      <c r="B3432" s="7">
        <f>YEAR(A3432)</f>
        <v/>
      </c>
      <c r="C3432" s="7">
        <f>MONTH(A3432)</f>
        <v/>
      </c>
      <c r="D3432" s="10" t="n">
        <v>0</v>
      </c>
      <c r="E3432" s="11" t="n">
        <v>13.14699824</v>
      </c>
      <c r="F3432" s="12" t="n">
        <v>0</v>
      </c>
      <c r="G3432" s="11" t="n">
        <v>289.3452473</v>
      </c>
      <c r="H3432" s="13">
        <f>F3432*1000</f>
        <v/>
      </c>
      <c r="I3432" s="14">
        <f>G3432-273.15</f>
        <v/>
      </c>
      <c r="K3432" s="15" t="n">
        <v>2010</v>
      </c>
      <c r="L3432" s="15" t="n">
        <v>7</v>
      </c>
      <c r="M3432" s="15" t="n">
        <v>8</v>
      </c>
      <c r="N3432" s="16" t="n">
        <v>0</v>
      </c>
      <c r="O3432" s="11" t="n">
        <v>291.4613661</v>
      </c>
      <c r="P3432" s="13">
        <f>N3432*86400</f>
        <v/>
      </c>
      <c r="Q3432" s="14">
        <f>O3432-273.15</f>
        <v/>
      </c>
    </row>
    <row r="3433">
      <c r="A3433" s="9" t="n">
        <v>40320</v>
      </c>
      <c r="B3433" s="7">
        <f>YEAR(A3433)</f>
        <v/>
      </c>
      <c r="C3433" s="7">
        <f>MONTH(A3433)</f>
        <v/>
      </c>
      <c r="D3433" s="10" t="n">
        <v>0</v>
      </c>
      <c r="E3433" s="11" t="n">
        <v>14.33316043</v>
      </c>
      <c r="F3433" s="12" t="n">
        <v>0</v>
      </c>
      <c r="G3433" s="11" t="n">
        <v>289.6214435</v>
      </c>
      <c r="H3433" s="13">
        <f>F3433*1000</f>
        <v/>
      </c>
      <c r="I3433" s="14">
        <f>G3433-273.15</f>
        <v/>
      </c>
      <c r="K3433" s="15" t="n">
        <v>2010</v>
      </c>
      <c r="L3433" s="15" t="n">
        <v>7</v>
      </c>
      <c r="M3433" s="15" t="n">
        <v>9</v>
      </c>
      <c r="N3433" s="16" t="n">
        <v>0</v>
      </c>
      <c r="O3433" s="11" t="n">
        <v>290.5191348</v>
      </c>
      <c r="P3433" s="13">
        <f>N3433*86400</f>
        <v/>
      </c>
      <c r="Q3433" s="14">
        <f>O3433-273.15</f>
        <v/>
      </c>
    </row>
    <row r="3434">
      <c r="A3434" s="9" t="n">
        <v>40321</v>
      </c>
      <c r="B3434" s="7">
        <f>YEAR(A3434)</f>
        <v/>
      </c>
      <c r="C3434" s="7">
        <f>MONTH(A3434)</f>
        <v/>
      </c>
      <c r="D3434" s="10" t="n">
        <v>0.5724454058</v>
      </c>
      <c r="E3434" s="11" t="n">
        <v>12.68581257</v>
      </c>
      <c r="F3434" s="12" t="n">
        <v>0.002400782783</v>
      </c>
      <c r="G3434" s="11" t="n">
        <v>288.0938676</v>
      </c>
      <c r="H3434" s="13">
        <f>F3434*1000</f>
        <v/>
      </c>
      <c r="I3434" s="14">
        <f>G3434-273.15</f>
        <v/>
      </c>
      <c r="K3434" s="15" t="n">
        <v>2010</v>
      </c>
      <c r="L3434" s="15" t="n">
        <v>7</v>
      </c>
      <c r="M3434" s="15" t="n">
        <v>10</v>
      </c>
      <c r="N3434" s="16" t="n">
        <v>3.110585494e-07</v>
      </c>
      <c r="O3434" s="11" t="n">
        <v>291.0500853</v>
      </c>
      <c r="P3434" s="13">
        <f>N3434*86400</f>
        <v/>
      </c>
      <c r="Q3434" s="14">
        <f>O3434-273.15</f>
        <v/>
      </c>
    </row>
    <row r="3435">
      <c r="A3435" s="9" t="n">
        <v>40322</v>
      </c>
      <c r="B3435" s="7">
        <f>YEAR(A3435)</f>
        <v/>
      </c>
      <c r="C3435" s="7">
        <f>MONTH(A3435)</f>
        <v/>
      </c>
      <c r="D3435" s="10" t="n">
        <v>0</v>
      </c>
      <c r="E3435" s="11" t="n">
        <v>14.51183255</v>
      </c>
      <c r="F3435" s="12" t="n">
        <v>0</v>
      </c>
      <c r="G3435" s="11" t="n">
        <v>290.4229317</v>
      </c>
      <c r="H3435" s="13">
        <f>F3435*1000</f>
        <v/>
      </c>
      <c r="I3435" s="14">
        <f>G3435-273.15</f>
        <v/>
      </c>
      <c r="K3435" s="15" t="n">
        <v>2010</v>
      </c>
      <c r="L3435" s="15" t="n">
        <v>7</v>
      </c>
      <c r="M3435" s="15" t="n">
        <v>11</v>
      </c>
      <c r="N3435" s="16" t="n">
        <v>2.610070267e-05</v>
      </c>
      <c r="O3435" s="11" t="n">
        <v>293.7944537</v>
      </c>
      <c r="P3435" s="13">
        <f>N3435*86400</f>
        <v/>
      </c>
      <c r="Q3435" s="14">
        <f>O3435-273.15</f>
        <v/>
      </c>
    </row>
    <row r="3436">
      <c r="A3436" s="9" t="n">
        <v>40323</v>
      </c>
      <c r="B3436" s="7">
        <f>YEAR(A3436)</f>
        <v/>
      </c>
      <c r="C3436" s="7">
        <f>MONTH(A3436)</f>
        <v/>
      </c>
      <c r="D3436" s="10" t="n">
        <v>0</v>
      </c>
      <c r="E3436" s="11" t="n">
        <v>12.16793291</v>
      </c>
      <c r="F3436" s="12" t="n">
        <v>0.0007230223671</v>
      </c>
      <c r="G3436" s="11" t="n">
        <v>289.0115259</v>
      </c>
      <c r="H3436" s="13">
        <f>F3436*1000</f>
        <v/>
      </c>
      <c r="I3436" s="14">
        <f>G3436-273.15</f>
        <v/>
      </c>
      <c r="K3436" s="15" t="n">
        <v>2010</v>
      </c>
      <c r="L3436" s="15" t="n">
        <v>7</v>
      </c>
      <c r="M3436" s="15" t="n">
        <v>12</v>
      </c>
      <c r="N3436" s="16" t="n">
        <v>6.403167814e-06</v>
      </c>
      <c r="O3436" s="11" t="n">
        <v>293.1607226</v>
      </c>
      <c r="P3436" s="13">
        <f>N3436*86400</f>
        <v/>
      </c>
      <c r="Q3436" s="14">
        <f>O3436-273.15</f>
        <v/>
      </c>
    </row>
    <row r="3437">
      <c r="A3437" s="9" t="n">
        <v>40324</v>
      </c>
      <c r="B3437" s="7">
        <f>YEAR(A3437)</f>
        <v/>
      </c>
      <c r="C3437" s="7">
        <f>MONTH(A3437)</f>
        <v/>
      </c>
      <c r="D3437" s="10" t="n">
        <v>0</v>
      </c>
      <c r="E3437" s="11" t="n">
        <v>12.92484644</v>
      </c>
      <c r="F3437" s="12" t="n">
        <v>0.0006261859368</v>
      </c>
      <c r="G3437" s="11" t="n">
        <v>288.5697816</v>
      </c>
      <c r="H3437" s="13">
        <f>F3437*1000</f>
        <v/>
      </c>
      <c r="I3437" s="14">
        <f>G3437-273.15</f>
        <v/>
      </c>
      <c r="K3437" s="15" t="n">
        <v>2010</v>
      </c>
      <c r="L3437" s="15" t="n">
        <v>7</v>
      </c>
      <c r="M3437" s="15" t="n">
        <v>13</v>
      </c>
      <c r="N3437" s="16" t="n">
        <v>9.985506008e-06</v>
      </c>
      <c r="O3437" s="11" t="n">
        <v>292.3924075</v>
      </c>
      <c r="P3437" s="13">
        <f>N3437*86400</f>
        <v/>
      </c>
      <c r="Q3437" s="14">
        <f>O3437-273.15</f>
        <v/>
      </c>
    </row>
    <row r="3438">
      <c r="A3438" s="9" t="n">
        <v>40325</v>
      </c>
      <c r="B3438" s="7">
        <f>YEAR(A3438)</f>
        <v/>
      </c>
      <c r="C3438" s="7">
        <f>MONTH(A3438)</f>
        <v/>
      </c>
      <c r="D3438" s="10" t="n">
        <v>0</v>
      </c>
      <c r="E3438" s="11" t="n">
        <v>12.77538018</v>
      </c>
      <c r="F3438" s="12" t="n">
        <v>0</v>
      </c>
      <c r="G3438" s="11" t="n">
        <v>289.1737501</v>
      </c>
      <c r="H3438" s="13">
        <f>F3438*1000</f>
        <v/>
      </c>
      <c r="I3438" s="14">
        <f>G3438-273.15</f>
        <v/>
      </c>
      <c r="K3438" s="15" t="n">
        <v>2010</v>
      </c>
      <c r="L3438" s="15" t="n">
        <v>7</v>
      </c>
      <c r="M3438" s="15" t="n">
        <v>14</v>
      </c>
      <c r="N3438" s="16" t="n">
        <v>0</v>
      </c>
      <c r="O3438" s="11" t="n">
        <v>293.921479</v>
      </c>
      <c r="P3438" s="13">
        <f>N3438*86400</f>
        <v/>
      </c>
      <c r="Q3438" s="14">
        <f>O3438-273.15</f>
        <v/>
      </c>
    </row>
    <row r="3439">
      <c r="A3439" s="9" t="n">
        <v>40326</v>
      </c>
      <c r="B3439" s="7">
        <f>YEAR(A3439)</f>
        <v/>
      </c>
      <c r="C3439" s="7">
        <f>MONTH(A3439)</f>
        <v/>
      </c>
      <c r="D3439" s="10" t="n">
        <v>0</v>
      </c>
      <c r="E3439" s="11" t="n">
        <v>14.75741178</v>
      </c>
      <c r="F3439" s="12" t="n">
        <v>0.0004780272522</v>
      </c>
      <c r="G3439" s="11" t="n">
        <v>289.9755888</v>
      </c>
      <c r="H3439" s="13">
        <f>F3439*1000</f>
        <v/>
      </c>
      <c r="I3439" s="14">
        <f>G3439-273.15</f>
        <v/>
      </c>
      <c r="K3439" s="15" t="n">
        <v>2010</v>
      </c>
      <c r="L3439" s="15" t="n">
        <v>7</v>
      </c>
      <c r="M3439" s="15" t="n">
        <v>15</v>
      </c>
      <c r="N3439" s="16" t="n">
        <v>0</v>
      </c>
      <c r="O3439" s="11" t="n">
        <v>293.1399144</v>
      </c>
      <c r="P3439" s="13">
        <f>N3439*86400</f>
        <v/>
      </c>
      <c r="Q3439" s="14">
        <f>O3439-273.15</f>
        <v/>
      </c>
    </row>
    <row r="3440">
      <c r="A3440" s="9" t="n">
        <v>40327</v>
      </c>
      <c r="B3440" s="7">
        <f>YEAR(A3440)</f>
        <v/>
      </c>
      <c r="C3440" s="7">
        <f>MONTH(A3440)</f>
        <v/>
      </c>
      <c r="D3440" s="10" t="n">
        <v>0</v>
      </c>
      <c r="E3440" s="11" t="n">
        <v>17.39666184</v>
      </c>
      <c r="F3440" s="12" t="n">
        <v>0</v>
      </c>
      <c r="G3440" s="11" t="n">
        <v>291.8403739</v>
      </c>
      <c r="H3440" s="13">
        <f>F3440*1000</f>
        <v/>
      </c>
      <c r="I3440" s="14">
        <f>G3440-273.15</f>
        <v/>
      </c>
      <c r="K3440" s="15" t="n">
        <v>2010</v>
      </c>
      <c r="L3440" s="15" t="n">
        <v>7</v>
      </c>
      <c r="M3440" s="15" t="n">
        <v>16</v>
      </c>
      <c r="N3440" s="16" t="n">
        <v>8.773712392e-06</v>
      </c>
      <c r="O3440" s="11" t="n">
        <v>293.8360412</v>
      </c>
      <c r="P3440" s="13">
        <f>N3440*86400</f>
        <v/>
      </c>
      <c r="Q3440" s="14">
        <f>O3440-273.15</f>
        <v/>
      </c>
    </row>
    <row r="3441">
      <c r="A3441" s="9" t="n">
        <v>40328</v>
      </c>
      <c r="B3441" s="7">
        <f>YEAR(A3441)</f>
        <v/>
      </c>
      <c r="C3441" s="7">
        <f>MONTH(A3441)</f>
        <v/>
      </c>
      <c r="D3441" s="10" t="n">
        <v>0</v>
      </c>
      <c r="E3441" s="11" t="n">
        <v>18.91404659</v>
      </c>
      <c r="F3441" s="12" t="n">
        <v>0</v>
      </c>
      <c r="G3441" s="11" t="n">
        <v>294.7464745</v>
      </c>
      <c r="H3441" s="13">
        <f>F3441*1000</f>
        <v/>
      </c>
      <c r="I3441" s="14">
        <f>G3441-273.15</f>
        <v/>
      </c>
      <c r="K3441" s="15" t="n">
        <v>2010</v>
      </c>
      <c r="L3441" s="15" t="n">
        <v>7</v>
      </c>
      <c r="M3441" s="15" t="n">
        <v>17</v>
      </c>
      <c r="N3441" s="16" t="n">
        <v>0.0001404065621</v>
      </c>
      <c r="O3441" s="11" t="n">
        <v>294.1497272</v>
      </c>
      <c r="P3441" s="13">
        <f>N3441*86400</f>
        <v/>
      </c>
      <c r="Q3441" s="14">
        <f>O3441-273.15</f>
        <v/>
      </c>
    </row>
    <row r="3442">
      <c r="A3442" s="9" t="n">
        <v>40329</v>
      </c>
      <c r="B3442" s="7">
        <f>YEAR(A3442)</f>
        <v/>
      </c>
      <c r="C3442" s="7">
        <f>MONTH(A3442)</f>
        <v/>
      </c>
      <c r="D3442" s="10" t="n">
        <v>0</v>
      </c>
      <c r="E3442" s="11" t="n">
        <v>19.5646242</v>
      </c>
      <c r="F3442" s="12" t="n">
        <v>1.676831871e-05</v>
      </c>
      <c r="G3442" s="11" t="n">
        <v>296.544293</v>
      </c>
      <c r="H3442" s="13">
        <f>F3442*1000</f>
        <v/>
      </c>
      <c r="I3442" s="14">
        <f>G3442-273.15</f>
        <v/>
      </c>
      <c r="K3442" s="15" t="n">
        <v>2010</v>
      </c>
      <c r="L3442" s="15" t="n">
        <v>7</v>
      </c>
      <c r="M3442" s="15" t="n">
        <v>18</v>
      </c>
      <c r="N3442" s="16" t="n">
        <v>5.858221073e-05</v>
      </c>
      <c r="O3442" s="11" t="n">
        <v>292.5305663</v>
      </c>
      <c r="P3442" s="13">
        <f>N3442*86400</f>
        <v/>
      </c>
      <c r="Q3442" s="14">
        <f>O3442-273.15</f>
        <v/>
      </c>
    </row>
    <row r="3443">
      <c r="A3443" s="9" t="n">
        <v>40330</v>
      </c>
      <c r="B3443" s="7">
        <f>YEAR(A3443)</f>
        <v/>
      </c>
      <c r="C3443" s="7">
        <f>MONTH(A3443)</f>
        <v/>
      </c>
      <c r="D3443" s="10" t="n">
        <v>0</v>
      </c>
      <c r="E3443" s="11" t="n">
        <v>20.16352232</v>
      </c>
      <c r="F3443" s="12" t="n">
        <v>0.001262028822</v>
      </c>
      <c r="G3443" s="11" t="n">
        <v>295.4956097</v>
      </c>
      <c r="H3443" s="13">
        <f>F3443*1000</f>
        <v/>
      </c>
      <c r="I3443" s="14">
        <f>G3443-273.15</f>
        <v/>
      </c>
      <c r="K3443" s="15" t="n">
        <v>2010</v>
      </c>
      <c r="L3443" s="15" t="n">
        <v>7</v>
      </c>
      <c r="M3443" s="15" t="n">
        <v>19</v>
      </c>
      <c r="N3443" s="16" t="n">
        <v>0</v>
      </c>
      <c r="O3443" s="11" t="n">
        <v>291.2508641</v>
      </c>
      <c r="P3443" s="13">
        <f>N3443*86400</f>
        <v/>
      </c>
      <c r="Q3443" s="14">
        <f>O3443-273.15</f>
        <v/>
      </c>
    </row>
    <row r="3444">
      <c r="A3444" s="9" t="n">
        <v>40331</v>
      </c>
      <c r="B3444" s="7">
        <f>YEAR(A3444)</f>
        <v/>
      </c>
      <c r="C3444" s="7">
        <f>MONTH(A3444)</f>
        <v/>
      </c>
      <c r="D3444" s="10" t="n">
        <v>0</v>
      </c>
      <c r="E3444" s="11" t="n">
        <v>19.63030175</v>
      </c>
      <c r="F3444" s="12" t="n">
        <v>0</v>
      </c>
      <c r="G3444" s="11" t="n">
        <v>294.4033371</v>
      </c>
      <c r="H3444" s="13">
        <f>F3444*1000</f>
        <v/>
      </c>
      <c r="I3444" s="14">
        <f>G3444-273.15</f>
        <v/>
      </c>
      <c r="K3444" s="15" t="n">
        <v>2010</v>
      </c>
      <c r="L3444" s="15" t="n">
        <v>7</v>
      </c>
      <c r="M3444" s="15" t="n">
        <v>20</v>
      </c>
      <c r="N3444" s="16" t="n">
        <v>1.985528183e-05</v>
      </c>
      <c r="O3444" s="11" t="n">
        <v>289.5760182</v>
      </c>
      <c r="P3444" s="13">
        <f>N3444*86400</f>
        <v/>
      </c>
      <c r="Q3444" s="14">
        <f>O3444-273.15</f>
        <v/>
      </c>
    </row>
    <row r="3445">
      <c r="A3445" s="9" t="n">
        <v>40332</v>
      </c>
      <c r="B3445" s="7">
        <f>YEAR(A3445)</f>
        <v/>
      </c>
      <c r="C3445" s="7">
        <f>MONTH(A3445)</f>
        <v/>
      </c>
      <c r="D3445" s="10" t="n">
        <v>0</v>
      </c>
      <c r="E3445" s="11" t="n">
        <v>20.97990287</v>
      </c>
      <c r="F3445" s="12" t="n">
        <v>0</v>
      </c>
      <c r="G3445" s="11" t="n">
        <v>295.7984998</v>
      </c>
      <c r="H3445" s="13">
        <f>F3445*1000</f>
        <v/>
      </c>
      <c r="I3445" s="14">
        <f>G3445-273.15</f>
        <v/>
      </c>
      <c r="K3445" s="15" t="n">
        <v>2010</v>
      </c>
      <c r="L3445" s="15" t="n">
        <v>7</v>
      </c>
      <c r="M3445" s="15" t="n">
        <v>21</v>
      </c>
      <c r="N3445" s="16" t="n">
        <v>6.591609844999999e-05</v>
      </c>
      <c r="O3445" s="11" t="n">
        <v>288.5833665</v>
      </c>
      <c r="P3445" s="13">
        <f>N3445*86400</f>
        <v/>
      </c>
      <c r="Q3445" s="14">
        <f>O3445-273.15</f>
        <v/>
      </c>
    </row>
    <row r="3446">
      <c r="A3446" s="9" t="n">
        <v>40333</v>
      </c>
      <c r="B3446" s="7">
        <f>YEAR(A3446)</f>
        <v/>
      </c>
      <c r="C3446" s="7">
        <f>MONTH(A3446)</f>
        <v/>
      </c>
      <c r="D3446" s="10" t="n">
        <v>3.23304362</v>
      </c>
      <c r="E3446" s="11" t="n">
        <v>18.8345185</v>
      </c>
      <c r="F3446" s="12" t="n">
        <v>0.0001872553961</v>
      </c>
      <c r="G3446" s="11" t="n">
        <v>294.2212259</v>
      </c>
      <c r="H3446" s="13">
        <f>F3446*1000</f>
        <v/>
      </c>
      <c r="I3446" s="14">
        <f>G3446-273.15</f>
        <v/>
      </c>
      <c r="K3446" s="15" t="n">
        <v>2010</v>
      </c>
      <c r="L3446" s="15" t="n">
        <v>7</v>
      </c>
      <c r="M3446" s="15" t="n">
        <v>22</v>
      </c>
      <c r="N3446" s="16" t="n">
        <v>0.0001159920007</v>
      </c>
      <c r="O3446" s="11" t="n">
        <v>288.1734484</v>
      </c>
      <c r="P3446" s="13">
        <f>N3446*86400</f>
        <v/>
      </c>
      <c r="Q3446" s="14">
        <f>O3446-273.15</f>
        <v/>
      </c>
    </row>
    <row r="3447">
      <c r="A3447" s="9" t="n">
        <v>40334</v>
      </c>
      <c r="B3447" s="7">
        <f>YEAR(A3447)</f>
        <v/>
      </c>
      <c r="C3447" s="7">
        <f>MONTH(A3447)</f>
        <v/>
      </c>
      <c r="D3447" s="10" t="n">
        <v>0</v>
      </c>
      <c r="E3447" s="11" t="n">
        <v>18.72824268</v>
      </c>
      <c r="F3447" s="12" t="n">
        <v>0</v>
      </c>
      <c r="G3447" s="11" t="n">
        <v>293.9093173</v>
      </c>
      <c r="H3447" s="13">
        <f>F3447*1000</f>
        <v/>
      </c>
      <c r="I3447" s="14">
        <f>G3447-273.15</f>
        <v/>
      </c>
      <c r="K3447" s="15" t="n">
        <v>2010</v>
      </c>
      <c r="L3447" s="15" t="n">
        <v>7</v>
      </c>
      <c r="M3447" s="15" t="n">
        <v>23</v>
      </c>
      <c r="N3447" s="16" t="n">
        <v>7.907470093e-05</v>
      </c>
      <c r="O3447" s="11" t="n">
        <v>288.8682255</v>
      </c>
      <c r="P3447" s="13">
        <f>N3447*86400</f>
        <v/>
      </c>
      <c r="Q3447" s="14">
        <f>O3447-273.15</f>
        <v/>
      </c>
    </row>
    <row r="3448">
      <c r="A3448" s="9" t="n">
        <v>40335</v>
      </c>
      <c r="B3448" s="7">
        <f>YEAR(A3448)</f>
        <v/>
      </c>
      <c r="C3448" s="7">
        <f>MONTH(A3448)</f>
        <v/>
      </c>
      <c r="D3448" s="10" t="n">
        <v>1.931278068</v>
      </c>
      <c r="E3448" s="11" t="n">
        <v>18.91677271</v>
      </c>
      <c r="F3448" s="12" t="n">
        <v>0.002074685491</v>
      </c>
      <c r="G3448" s="11" t="n">
        <v>293.8859195</v>
      </c>
      <c r="H3448" s="13">
        <f>F3448*1000</f>
        <v/>
      </c>
      <c r="I3448" s="14">
        <f>G3448-273.15</f>
        <v/>
      </c>
      <c r="K3448" s="15" t="n">
        <v>2010</v>
      </c>
      <c r="L3448" s="15" t="n">
        <v>7</v>
      </c>
      <c r="M3448" s="15" t="n">
        <v>24</v>
      </c>
      <c r="N3448" s="16" t="n">
        <v>2.352572392e-05</v>
      </c>
      <c r="O3448" s="11" t="n">
        <v>289.9322176</v>
      </c>
      <c r="P3448" s="13">
        <f>N3448*86400</f>
        <v/>
      </c>
      <c r="Q3448" s="14">
        <f>O3448-273.15</f>
        <v/>
      </c>
    </row>
    <row r="3449">
      <c r="A3449" s="9" t="n">
        <v>40336</v>
      </c>
      <c r="B3449" s="7">
        <f>YEAR(A3449)</f>
        <v/>
      </c>
      <c r="C3449" s="7">
        <f>MONTH(A3449)</f>
        <v/>
      </c>
      <c r="D3449" s="10" t="n">
        <v>0</v>
      </c>
      <c r="E3449" s="11" t="n">
        <v>18.90527906</v>
      </c>
      <c r="F3449" s="12" t="n">
        <v>0</v>
      </c>
      <c r="G3449" s="11" t="n">
        <v>294.0991755</v>
      </c>
      <c r="H3449" s="13">
        <f>F3449*1000</f>
        <v/>
      </c>
      <c r="I3449" s="14">
        <f>G3449-273.15</f>
        <v/>
      </c>
      <c r="K3449" s="15" t="n">
        <v>2010</v>
      </c>
      <c r="L3449" s="15" t="n">
        <v>7</v>
      </c>
      <c r="M3449" s="15" t="n">
        <v>25</v>
      </c>
      <c r="N3449" s="16" t="n">
        <v>0.000125577155</v>
      </c>
      <c r="O3449" s="11" t="n">
        <v>290.48569</v>
      </c>
      <c r="P3449" s="13">
        <f>N3449*86400</f>
        <v/>
      </c>
      <c r="Q3449" s="14">
        <f>O3449-273.15</f>
        <v/>
      </c>
    </row>
    <row r="3450">
      <c r="A3450" s="9" t="n">
        <v>40337</v>
      </c>
      <c r="B3450" s="7">
        <f>YEAR(A3450)</f>
        <v/>
      </c>
      <c r="C3450" s="7">
        <f>MONTH(A3450)</f>
        <v/>
      </c>
      <c r="D3450" s="10" t="n">
        <v>0</v>
      </c>
      <c r="E3450" s="11" t="n">
        <v>17.93387621</v>
      </c>
      <c r="F3450" s="12" t="n">
        <v>2.102264218e-05</v>
      </c>
      <c r="G3450" s="11" t="n">
        <v>293.3330122</v>
      </c>
      <c r="H3450" s="13">
        <f>F3450*1000</f>
        <v/>
      </c>
      <c r="I3450" s="14">
        <f>G3450-273.15</f>
        <v/>
      </c>
      <c r="K3450" s="15" t="n">
        <v>2010</v>
      </c>
      <c r="L3450" s="15" t="n">
        <v>7</v>
      </c>
      <c r="M3450" s="15" t="n">
        <v>26</v>
      </c>
      <c r="N3450" s="16" t="n">
        <v>9.849160307e-05</v>
      </c>
      <c r="O3450" s="11" t="n">
        <v>292.5881804</v>
      </c>
      <c r="P3450" s="13">
        <f>N3450*86400</f>
        <v/>
      </c>
      <c r="Q3450" s="14">
        <f>O3450-273.15</f>
        <v/>
      </c>
    </row>
    <row r="3451">
      <c r="A3451" s="9" t="n">
        <v>40338</v>
      </c>
      <c r="B3451" s="7">
        <f>YEAR(A3451)</f>
        <v/>
      </c>
      <c r="C3451" s="7">
        <f>MONTH(A3451)</f>
        <v/>
      </c>
      <c r="D3451" s="10" t="n">
        <v>21.79239639</v>
      </c>
      <c r="E3451" s="11" t="n">
        <v>17.36853812</v>
      </c>
      <c r="F3451" s="12" t="n">
        <v>0.03272202495</v>
      </c>
      <c r="G3451" s="11" t="n">
        <v>293.2530862</v>
      </c>
      <c r="H3451" s="13">
        <f>F3451*1000</f>
        <v/>
      </c>
      <c r="I3451" s="14">
        <f>G3451-273.15</f>
        <v/>
      </c>
      <c r="K3451" s="15" t="n">
        <v>2010</v>
      </c>
      <c r="L3451" s="15" t="n">
        <v>7</v>
      </c>
      <c r="M3451" s="15" t="n">
        <v>27</v>
      </c>
      <c r="N3451" s="16" t="n">
        <v>1.219145962e-05</v>
      </c>
      <c r="O3451" s="11" t="n">
        <v>291.707212</v>
      </c>
      <c r="P3451" s="13">
        <f>N3451*86400</f>
        <v/>
      </c>
      <c r="Q3451" s="14">
        <f>O3451-273.15</f>
        <v/>
      </c>
    </row>
    <row r="3452">
      <c r="A3452" s="9" t="n">
        <v>40339</v>
      </c>
      <c r="B3452" s="7">
        <f>YEAR(A3452)</f>
        <v/>
      </c>
      <c r="C3452" s="7">
        <f>MONTH(A3452)</f>
        <v/>
      </c>
      <c r="D3452" s="10" t="n">
        <v>15.10629284</v>
      </c>
      <c r="E3452" s="11" t="n">
        <v>18.36896547</v>
      </c>
      <c r="F3452" s="12" t="n">
        <v>0.01861105291</v>
      </c>
      <c r="G3452" s="11" t="n">
        <v>293.102937</v>
      </c>
      <c r="H3452" s="13">
        <f>F3452*1000</f>
        <v/>
      </c>
      <c r="I3452" s="14">
        <f>G3452-273.15</f>
        <v/>
      </c>
      <c r="K3452" s="15" t="n">
        <v>2010</v>
      </c>
      <c r="L3452" s="15" t="n">
        <v>7</v>
      </c>
      <c r="M3452" s="15" t="n">
        <v>28</v>
      </c>
      <c r="N3452" s="16" t="n">
        <v>6.920719220999999e-05</v>
      </c>
      <c r="O3452" s="11" t="n">
        <v>290.5860353</v>
      </c>
      <c r="P3452" s="13">
        <f>N3452*86400</f>
        <v/>
      </c>
      <c r="Q3452" s="14">
        <f>O3452-273.15</f>
        <v/>
      </c>
    </row>
    <row r="3453">
      <c r="A3453" s="9" t="n">
        <v>40340</v>
      </c>
      <c r="B3453" s="7">
        <f>YEAR(A3453)</f>
        <v/>
      </c>
      <c r="C3453" s="7">
        <f>MONTH(A3453)</f>
        <v/>
      </c>
      <c r="D3453" s="10" t="n">
        <v>12.41084007</v>
      </c>
      <c r="E3453" s="11" t="n">
        <v>19.47619537</v>
      </c>
      <c r="F3453" s="12" t="n">
        <v>0.01557521933</v>
      </c>
      <c r="G3453" s="11" t="n">
        <v>294.3419469</v>
      </c>
      <c r="H3453" s="13">
        <f>F3453*1000</f>
        <v/>
      </c>
      <c r="I3453" s="14">
        <f>G3453-273.15</f>
        <v/>
      </c>
      <c r="K3453" s="15" t="n">
        <v>2010</v>
      </c>
      <c r="L3453" s="15" t="n">
        <v>7</v>
      </c>
      <c r="M3453" s="15" t="n">
        <v>29</v>
      </c>
      <c r="N3453" s="16" t="n">
        <v>1.108861797e-06</v>
      </c>
      <c r="O3453" s="11" t="n">
        <v>290.1424472</v>
      </c>
      <c r="P3453" s="13">
        <f>N3453*86400</f>
        <v/>
      </c>
      <c r="Q3453" s="14">
        <f>O3453-273.15</f>
        <v/>
      </c>
    </row>
    <row r="3454">
      <c r="A3454" s="9" t="n">
        <v>40341</v>
      </c>
      <c r="B3454" s="7">
        <f>YEAR(A3454)</f>
        <v/>
      </c>
      <c r="C3454" s="7">
        <f>MONTH(A3454)</f>
        <v/>
      </c>
      <c r="D3454" s="10" t="n">
        <v>0.3811407618</v>
      </c>
      <c r="E3454" s="11" t="n">
        <v>17.18643214</v>
      </c>
      <c r="F3454" s="12" t="n">
        <v>0.001081859528</v>
      </c>
      <c r="G3454" s="11" t="n">
        <v>291.9666673</v>
      </c>
      <c r="H3454" s="13">
        <f>F3454*1000</f>
        <v/>
      </c>
      <c r="I3454" s="14">
        <f>G3454-273.15</f>
        <v/>
      </c>
      <c r="K3454" s="15" t="n">
        <v>2010</v>
      </c>
      <c r="L3454" s="15" t="n">
        <v>7</v>
      </c>
      <c r="M3454" s="15" t="n">
        <v>30</v>
      </c>
      <c r="N3454" s="16" t="n">
        <v>0.0001053881765</v>
      </c>
      <c r="O3454" s="11" t="n">
        <v>290.8595732</v>
      </c>
      <c r="P3454" s="13">
        <f>N3454*86400</f>
        <v/>
      </c>
      <c r="Q3454" s="14">
        <f>O3454-273.15</f>
        <v/>
      </c>
    </row>
    <row r="3455">
      <c r="A3455" s="9" t="n">
        <v>40342</v>
      </c>
      <c r="B3455" s="7">
        <f>YEAR(A3455)</f>
        <v/>
      </c>
      <c r="C3455" s="7">
        <f>MONTH(A3455)</f>
        <v/>
      </c>
      <c r="D3455" s="10" t="n">
        <v>4.401138195</v>
      </c>
      <c r="E3455" s="11" t="n">
        <v>18.07841822</v>
      </c>
      <c r="F3455" s="12" t="n">
        <v>0.008420076756999999</v>
      </c>
      <c r="G3455" s="11" t="n">
        <v>292.4920873</v>
      </c>
      <c r="H3455" s="13">
        <f>F3455*1000</f>
        <v/>
      </c>
      <c r="I3455" s="14">
        <f>G3455-273.15</f>
        <v/>
      </c>
      <c r="K3455" s="15" t="n">
        <v>2010</v>
      </c>
      <c r="L3455" s="15" t="n">
        <v>8</v>
      </c>
      <c r="M3455" s="15" t="n">
        <v>1</v>
      </c>
      <c r="N3455" s="16" t="n">
        <v>1.775189912e-05</v>
      </c>
      <c r="O3455" s="11" t="n">
        <v>292.9948697</v>
      </c>
      <c r="P3455" s="13">
        <f>N3455*86400</f>
        <v/>
      </c>
      <c r="Q3455" s="14">
        <f>O3455-273.15</f>
        <v/>
      </c>
    </row>
    <row r="3456">
      <c r="A3456" s="9" t="n">
        <v>40343</v>
      </c>
      <c r="B3456" s="7">
        <f>YEAR(A3456)</f>
        <v/>
      </c>
      <c r="C3456" s="7">
        <f>MONTH(A3456)</f>
        <v/>
      </c>
      <c r="D3456" s="10" t="n">
        <v>33.14075432</v>
      </c>
      <c r="E3456" s="11" t="n">
        <v>14.29781018</v>
      </c>
      <c r="F3456" s="12" t="n">
        <v>0.01062111581</v>
      </c>
      <c r="G3456" s="11" t="n">
        <v>289.8685403</v>
      </c>
      <c r="H3456" s="13">
        <f>F3456*1000</f>
        <v/>
      </c>
      <c r="I3456" s="14">
        <f>G3456-273.15</f>
        <v/>
      </c>
      <c r="K3456" s="15" t="n">
        <v>2010</v>
      </c>
      <c r="L3456" s="15" t="n">
        <v>8</v>
      </c>
      <c r="M3456" s="15" t="n">
        <v>2</v>
      </c>
      <c r="N3456" s="16" t="n">
        <v>2.744782545e-05</v>
      </c>
      <c r="O3456" s="11" t="n">
        <v>292.3319179</v>
      </c>
      <c r="P3456" s="13">
        <f>N3456*86400</f>
        <v/>
      </c>
      <c r="Q3456" s="14">
        <f>O3456-273.15</f>
        <v/>
      </c>
    </row>
    <row r="3457">
      <c r="A3457" s="9" t="n">
        <v>40344</v>
      </c>
      <c r="B3457" s="7">
        <f>YEAR(A3457)</f>
        <v/>
      </c>
      <c r="C3457" s="7">
        <f>MONTH(A3457)</f>
        <v/>
      </c>
      <c r="D3457" s="10" t="n">
        <v>30.8037338</v>
      </c>
      <c r="E3457" s="11" t="n">
        <v>12.94920679</v>
      </c>
      <c r="F3457" s="12" t="n">
        <v>0.02217446925</v>
      </c>
      <c r="G3457" s="11" t="n">
        <v>288.6476926</v>
      </c>
      <c r="H3457" s="13">
        <f>F3457*1000</f>
        <v/>
      </c>
      <c r="I3457" s="14">
        <f>G3457-273.15</f>
        <v/>
      </c>
      <c r="K3457" s="15" t="n">
        <v>2010</v>
      </c>
      <c r="L3457" s="15" t="n">
        <v>8</v>
      </c>
      <c r="M3457" s="15" t="n">
        <v>3</v>
      </c>
      <c r="N3457" s="16" t="n">
        <v>1.006442076e-05</v>
      </c>
      <c r="O3457" s="11" t="n">
        <v>291.5962</v>
      </c>
      <c r="P3457" s="13">
        <f>N3457*86400</f>
        <v/>
      </c>
      <c r="Q3457" s="14">
        <f>O3457-273.15</f>
        <v/>
      </c>
    </row>
    <row r="3458">
      <c r="A3458" s="9" t="n">
        <v>40345</v>
      </c>
      <c r="B3458" s="7">
        <f>YEAR(A3458)</f>
        <v/>
      </c>
      <c r="C3458" s="7">
        <f>MONTH(A3458)</f>
        <v/>
      </c>
      <c r="D3458" s="10" t="n">
        <v>11.0074818</v>
      </c>
      <c r="E3458" s="11" t="n">
        <v>16.13511839</v>
      </c>
      <c r="F3458" s="12" t="n">
        <v>0.007392200484</v>
      </c>
      <c r="G3458" s="11" t="n">
        <v>291.960167</v>
      </c>
      <c r="H3458" s="13">
        <f>F3458*1000</f>
        <v/>
      </c>
      <c r="I3458" s="14">
        <f>G3458-273.15</f>
        <v/>
      </c>
      <c r="K3458" s="15" t="n">
        <v>2010</v>
      </c>
      <c r="L3458" s="15" t="n">
        <v>8</v>
      </c>
      <c r="M3458" s="15" t="n">
        <v>4</v>
      </c>
      <c r="N3458" s="16" t="n">
        <v>5.301856917e-07</v>
      </c>
      <c r="O3458" s="11" t="n">
        <v>290.5468112</v>
      </c>
      <c r="P3458" s="13">
        <f>N3458*86400</f>
        <v/>
      </c>
      <c r="Q3458" s="14">
        <f>O3458-273.15</f>
        <v/>
      </c>
    </row>
    <row r="3459">
      <c r="A3459" s="9" t="n">
        <v>40346</v>
      </c>
      <c r="B3459" s="7">
        <f>YEAR(A3459)</f>
        <v/>
      </c>
      <c r="C3459" s="7">
        <f>MONTH(A3459)</f>
        <v/>
      </c>
      <c r="D3459" s="10" t="n">
        <v>0</v>
      </c>
      <c r="E3459" s="11" t="n">
        <v>17.56005576</v>
      </c>
      <c r="F3459" s="12" t="n">
        <v>0.002616898781</v>
      </c>
      <c r="G3459" s="11" t="n">
        <v>292.7705132</v>
      </c>
      <c r="H3459" s="13">
        <f>F3459*1000</f>
        <v/>
      </c>
      <c r="I3459" s="14">
        <f>G3459-273.15</f>
        <v/>
      </c>
      <c r="K3459" s="15" t="n">
        <v>2010</v>
      </c>
      <c r="L3459" s="15" t="n">
        <v>8</v>
      </c>
      <c r="M3459" s="15" t="n">
        <v>5</v>
      </c>
      <c r="N3459" s="16" t="n">
        <v>0.0001553806731</v>
      </c>
      <c r="O3459" s="11" t="n">
        <v>287.9145709</v>
      </c>
      <c r="P3459" s="13">
        <f>N3459*86400</f>
        <v/>
      </c>
      <c r="Q3459" s="14">
        <f>O3459-273.15</f>
        <v/>
      </c>
    </row>
    <row r="3460">
      <c r="A3460" s="9" t="n">
        <v>40347</v>
      </c>
      <c r="B3460" s="7">
        <f>YEAR(A3460)</f>
        <v/>
      </c>
      <c r="C3460" s="7">
        <f>MONTH(A3460)</f>
        <v/>
      </c>
      <c r="D3460" s="10" t="n">
        <v>0</v>
      </c>
      <c r="E3460" s="11" t="n">
        <v>19.4788099</v>
      </c>
      <c r="F3460" s="12" t="n">
        <v>0.008097756923</v>
      </c>
      <c r="G3460" s="11" t="n">
        <v>293.8911735</v>
      </c>
      <c r="H3460" s="13">
        <f>F3460*1000</f>
        <v/>
      </c>
      <c r="I3460" s="14">
        <f>G3460-273.15</f>
        <v/>
      </c>
      <c r="K3460" s="15" t="n">
        <v>2010</v>
      </c>
      <c r="L3460" s="15" t="n">
        <v>8</v>
      </c>
      <c r="M3460" s="15" t="n">
        <v>6</v>
      </c>
      <c r="N3460" s="16" t="n">
        <v>0.0004130014913</v>
      </c>
      <c r="O3460" s="11" t="n">
        <v>287.9946658</v>
      </c>
      <c r="P3460" s="13">
        <f>N3460*86400</f>
        <v/>
      </c>
      <c r="Q3460" s="14">
        <f>O3460-273.15</f>
        <v/>
      </c>
    </row>
    <row r="3461">
      <c r="A3461" s="9" t="n">
        <v>40348</v>
      </c>
      <c r="B3461" s="7">
        <f>YEAR(A3461)</f>
        <v/>
      </c>
      <c r="C3461" s="7">
        <f>MONTH(A3461)</f>
        <v/>
      </c>
      <c r="D3461" s="10" t="n">
        <v>0</v>
      </c>
      <c r="E3461" s="11" t="n">
        <v>15.77488971</v>
      </c>
      <c r="F3461" s="12" t="n">
        <v>0</v>
      </c>
      <c r="G3461" s="11" t="n">
        <v>290.6812626</v>
      </c>
      <c r="H3461" s="13">
        <f>F3461*1000</f>
        <v/>
      </c>
      <c r="I3461" s="14">
        <f>G3461-273.15</f>
        <v/>
      </c>
      <c r="K3461" s="15" t="n">
        <v>2010</v>
      </c>
      <c r="L3461" s="15" t="n">
        <v>8</v>
      </c>
      <c r="M3461" s="15" t="n">
        <v>7</v>
      </c>
      <c r="N3461" s="16" t="n">
        <v>0.0001947169643</v>
      </c>
      <c r="O3461" s="11" t="n">
        <v>289.5144541</v>
      </c>
      <c r="P3461" s="13">
        <f>N3461*86400</f>
        <v/>
      </c>
      <c r="Q3461" s="14">
        <f>O3461-273.15</f>
        <v/>
      </c>
    </row>
    <row r="3462">
      <c r="A3462" s="9" t="n">
        <v>40349</v>
      </c>
      <c r="B3462" s="7">
        <f>YEAR(A3462)</f>
        <v/>
      </c>
      <c r="C3462" s="7">
        <f>MONTH(A3462)</f>
        <v/>
      </c>
      <c r="D3462" s="10" t="n">
        <v>0.3273275155</v>
      </c>
      <c r="E3462" s="11" t="n">
        <v>16.50858873</v>
      </c>
      <c r="F3462" s="12" t="n">
        <v>0.006921698227</v>
      </c>
      <c r="G3462" s="11" t="n">
        <v>290.7645276</v>
      </c>
      <c r="H3462" s="13">
        <f>F3462*1000</f>
        <v/>
      </c>
      <c r="I3462" s="14">
        <f>G3462-273.15</f>
        <v/>
      </c>
      <c r="K3462" s="15" t="n">
        <v>2010</v>
      </c>
      <c r="L3462" s="15" t="n">
        <v>8</v>
      </c>
      <c r="M3462" s="15" t="n">
        <v>8</v>
      </c>
      <c r="N3462" s="16" t="n">
        <v>2.562794437e-05</v>
      </c>
      <c r="O3462" s="11" t="n">
        <v>290.8735836</v>
      </c>
      <c r="P3462" s="13">
        <f>N3462*86400</f>
        <v/>
      </c>
      <c r="Q3462" s="14">
        <f>O3462-273.15</f>
        <v/>
      </c>
    </row>
    <row r="3463">
      <c r="A3463" s="9" t="n">
        <v>40350</v>
      </c>
      <c r="B3463" s="7">
        <f>YEAR(A3463)</f>
        <v/>
      </c>
      <c r="C3463" s="7">
        <f>MONTH(A3463)</f>
        <v/>
      </c>
      <c r="D3463" s="10" t="n">
        <v>9.962939345000001</v>
      </c>
      <c r="E3463" s="11" t="n">
        <v>16.98381752</v>
      </c>
      <c r="F3463" s="12" t="n">
        <v>0.002446300948</v>
      </c>
      <c r="G3463" s="11" t="n">
        <v>292.2756092</v>
      </c>
      <c r="H3463" s="13">
        <f>F3463*1000</f>
        <v/>
      </c>
      <c r="I3463" s="14">
        <f>G3463-273.15</f>
        <v/>
      </c>
      <c r="K3463" s="15" t="n">
        <v>2010</v>
      </c>
      <c r="L3463" s="15" t="n">
        <v>8</v>
      </c>
      <c r="M3463" s="15" t="n">
        <v>9</v>
      </c>
      <c r="N3463" s="16" t="n">
        <v>4.975957525e-05</v>
      </c>
      <c r="O3463" s="11" t="n">
        <v>290.4918255</v>
      </c>
      <c r="P3463" s="13">
        <f>N3463*86400</f>
        <v/>
      </c>
      <c r="Q3463" s="14">
        <f>O3463-273.15</f>
        <v/>
      </c>
    </row>
    <row r="3464">
      <c r="A3464" s="9" t="n">
        <v>40351</v>
      </c>
      <c r="B3464" s="7">
        <f>YEAR(A3464)</f>
        <v/>
      </c>
      <c r="C3464" s="7">
        <f>MONTH(A3464)</f>
        <v/>
      </c>
      <c r="D3464" s="10" t="n">
        <v>0</v>
      </c>
      <c r="E3464" s="11" t="n">
        <v>18.27366949</v>
      </c>
      <c r="F3464" s="12" t="n">
        <v>0.0004393781058</v>
      </c>
      <c r="G3464" s="11" t="n">
        <v>294.1778382</v>
      </c>
      <c r="H3464" s="13">
        <f>F3464*1000</f>
        <v/>
      </c>
      <c r="I3464" s="14">
        <f>G3464-273.15</f>
        <v/>
      </c>
      <c r="K3464" s="15" t="n">
        <v>2010</v>
      </c>
      <c r="L3464" s="15" t="n">
        <v>8</v>
      </c>
      <c r="M3464" s="15" t="n">
        <v>10</v>
      </c>
      <c r="N3464" s="16" t="n">
        <v>0.0001111757447</v>
      </c>
      <c r="O3464" s="11" t="n">
        <v>290.4266748</v>
      </c>
      <c r="P3464" s="13">
        <f>N3464*86400</f>
        <v/>
      </c>
      <c r="Q3464" s="14">
        <f>O3464-273.15</f>
        <v/>
      </c>
    </row>
    <row r="3465">
      <c r="A3465" s="9" t="n">
        <v>40352</v>
      </c>
      <c r="B3465" s="7">
        <f>YEAR(A3465)</f>
        <v/>
      </c>
      <c r="C3465" s="7">
        <f>MONTH(A3465)</f>
        <v/>
      </c>
      <c r="D3465" s="10" t="n">
        <v>0</v>
      </c>
      <c r="E3465" s="11" t="n">
        <v>17.90020018</v>
      </c>
      <c r="F3465" s="12" t="n">
        <v>9.310212247e-06</v>
      </c>
      <c r="G3465" s="11" t="n">
        <v>294.2672287</v>
      </c>
      <c r="H3465" s="13">
        <f>F3465*1000</f>
        <v/>
      </c>
      <c r="I3465" s="14">
        <f>G3465-273.15</f>
        <v/>
      </c>
      <c r="K3465" s="15" t="n">
        <v>2010</v>
      </c>
      <c r="L3465" s="15" t="n">
        <v>8</v>
      </c>
      <c r="M3465" s="15" t="n">
        <v>11</v>
      </c>
      <c r="N3465" s="16" t="n">
        <v>1.262228963e-05</v>
      </c>
      <c r="O3465" s="11" t="n">
        <v>290.1806496</v>
      </c>
      <c r="P3465" s="13">
        <f>N3465*86400</f>
        <v/>
      </c>
      <c r="Q3465" s="14">
        <f>O3465-273.15</f>
        <v/>
      </c>
    </row>
    <row r="3466">
      <c r="A3466" s="9" t="n">
        <v>40353</v>
      </c>
      <c r="B3466" s="7">
        <f>YEAR(A3466)</f>
        <v/>
      </c>
      <c r="C3466" s="7">
        <f>MONTH(A3466)</f>
        <v/>
      </c>
      <c r="D3466" s="10" t="n">
        <v>0</v>
      </c>
      <c r="E3466" s="11" t="n">
        <v>15.12716519</v>
      </c>
      <c r="F3466" s="12" t="n">
        <v>9.554251374999999e-05</v>
      </c>
      <c r="G3466" s="11" t="n">
        <v>292.6288687</v>
      </c>
      <c r="H3466" s="13">
        <f>F3466*1000</f>
        <v/>
      </c>
      <c r="I3466" s="14">
        <f>G3466-273.15</f>
        <v/>
      </c>
      <c r="K3466" s="15" t="n">
        <v>2010</v>
      </c>
      <c r="L3466" s="15" t="n">
        <v>8</v>
      </c>
      <c r="M3466" s="15" t="n">
        <v>12</v>
      </c>
      <c r="N3466" s="16" t="n">
        <v>1.259932283e-05</v>
      </c>
      <c r="O3466" s="11" t="n">
        <v>291.1920847</v>
      </c>
      <c r="P3466" s="13">
        <f>N3466*86400</f>
        <v/>
      </c>
      <c r="Q3466" s="14">
        <f>O3466-273.15</f>
        <v/>
      </c>
    </row>
    <row r="3467">
      <c r="A3467" s="9" t="n">
        <v>40354</v>
      </c>
      <c r="B3467" s="7">
        <f>YEAR(A3467)</f>
        <v/>
      </c>
      <c r="C3467" s="7">
        <f>MONTH(A3467)</f>
        <v/>
      </c>
      <c r="D3467" s="10" t="n">
        <v>0</v>
      </c>
      <c r="E3467" s="11" t="n">
        <v>16.27154865</v>
      </c>
      <c r="F3467" s="12" t="n">
        <v>0.0001549405896</v>
      </c>
      <c r="G3467" s="11" t="n">
        <v>292.1934948</v>
      </c>
      <c r="H3467" s="13">
        <f>F3467*1000</f>
        <v/>
      </c>
      <c r="I3467" s="14">
        <f>G3467-273.15</f>
        <v/>
      </c>
      <c r="K3467" s="15" t="n">
        <v>2010</v>
      </c>
      <c r="L3467" s="15" t="n">
        <v>8</v>
      </c>
      <c r="M3467" s="15" t="n">
        <v>13</v>
      </c>
      <c r="N3467" s="16" t="n">
        <v>0</v>
      </c>
      <c r="O3467" s="11" t="n">
        <v>292.9756432</v>
      </c>
      <c r="P3467" s="13">
        <f>N3467*86400</f>
        <v/>
      </c>
      <c r="Q3467" s="14">
        <f>O3467-273.15</f>
        <v/>
      </c>
    </row>
    <row r="3468">
      <c r="A3468" s="9" t="n">
        <v>40355</v>
      </c>
      <c r="B3468" s="7">
        <f>YEAR(A3468)</f>
        <v/>
      </c>
      <c r="C3468" s="7">
        <f>MONTH(A3468)</f>
        <v/>
      </c>
      <c r="D3468" s="10" t="n">
        <v>0</v>
      </c>
      <c r="E3468" s="11" t="n">
        <v>16.64440688</v>
      </c>
      <c r="F3468" s="12" t="n">
        <v>0</v>
      </c>
      <c r="G3468" s="11" t="n">
        <v>292.5591621</v>
      </c>
      <c r="H3468" s="13">
        <f>F3468*1000</f>
        <v/>
      </c>
      <c r="I3468" s="14">
        <f>G3468-273.15</f>
        <v/>
      </c>
      <c r="K3468" s="15" t="n">
        <v>2010</v>
      </c>
      <c r="L3468" s="15" t="n">
        <v>8</v>
      </c>
      <c r="M3468" s="15" t="n">
        <v>14</v>
      </c>
      <c r="N3468" s="16" t="n">
        <v>0</v>
      </c>
      <c r="O3468" s="11" t="n">
        <v>291.8597191</v>
      </c>
      <c r="P3468" s="13">
        <f>N3468*86400</f>
        <v/>
      </c>
      <c r="Q3468" s="14">
        <f>O3468-273.15</f>
        <v/>
      </c>
    </row>
    <row r="3469">
      <c r="A3469" s="9" t="n">
        <v>40356</v>
      </c>
      <c r="B3469" s="7">
        <f>YEAR(A3469)</f>
        <v/>
      </c>
      <c r="C3469" s="7">
        <f>MONTH(A3469)</f>
        <v/>
      </c>
      <c r="D3469" s="10" t="n">
        <v>7.910771417</v>
      </c>
      <c r="E3469" s="11" t="n">
        <v>15.01605234</v>
      </c>
      <c r="F3469" s="12" t="n">
        <v>0.0004140162855</v>
      </c>
      <c r="G3469" s="11" t="n">
        <v>291.1595479</v>
      </c>
      <c r="H3469" s="13">
        <f>F3469*1000</f>
        <v/>
      </c>
      <c r="I3469" s="14">
        <f>G3469-273.15</f>
        <v/>
      </c>
      <c r="K3469" s="15" t="n">
        <v>2010</v>
      </c>
      <c r="L3469" s="15" t="n">
        <v>8</v>
      </c>
      <c r="M3469" s="15" t="n">
        <v>15</v>
      </c>
      <c r="N3469" s="16" t="n">
        <v>0</v>
      </c>
      <c r="O3469" s="11" t="n">
        <v>290.3741251</v>
      </c>
      <c r="P3469" s="13">
        <f>N3469*86400</f>
        <v/>
      </c>
      <c r="Q3469" s="14">
        <f>O3469-273.15</f>
        <v/>
      </c>
    </row>
    <row r="3470">
      <c r="A3470" s="9" t="n">
        <v>40357</v>
      </c>
      <c r="B3470" s="7">
        <f>YEAR(A3470)</f>
        <v/>
      </c>
      <c r="C3470" s="7">
        <f>MONTH(A3470)</f>
        <v/>
      </c>
      <c r="D3470" s="10" t="n">
        <v>7.730018627</v>
      </c>
      <c r="E3470" s="11" t="n">
        <v>16.7293836</v>
      </c>
      <c r="F3470" s="12" t="n">
        <v>0.002791234936</v>
      </c>
      <c r="G3470" s="11" t="n">
        <v>293.5571495</v>
      </c>
      <c r="H3470" s="13">
        <f>F3470*1000</f>
        <v/>
      </c>
      <c r="I3470" s="14">
        <f>G3470-273.15</f>
        <v/>
      </c>
      <c r="K3470" s="15" t="n">
        <v>2010</v>
      </c>
      <c r="L3470" s="15" t="n">
        <v>8</v>
      </c>
      <c r="M3470" s="15" t="n">
        <v>16</v>
      </c>
      <c r="N3470" s="16" t="n">
        <v>7.870835525e-05</v>
      </c>
      <c r="O3470" s="11" t="n">
        <v>290.1696356</v>
      </c>
      <c r="P3470" s="13">
        <f>N3470*86400</f>
        <v/>
      </c>
      <c r="Q3470" s="14">
        <f>O3470-273.15</f>
        <v/>
      </c>
    </row>
    <row r="3471">
      <c r="A3471" s="9" t="n">
        <v>40358</v>
      </c>
      <c r="B3471" s="7">
        <f>YEAR(A3471)</f>
        <v/>
      </c>
      <c r="C3471" s="7">
        <f>MONTH(A3471)</f>
        <v/>
      </c>
      <c r="D3471" s="10" t="n">
        <v>0.001319889784</v>
      </c>
      <c r="E3471" s="11" t="n">
        <v>14.62529912</v>
      </c>
      <c r="F3471" s="12" t="n">
        <v>3.141473553e-05</v>
      </c>
      <c r="G3471" s="11" t="n">
        <v>291.4616267</v>
      </c>
      <c r="H3471" s="13">
        <f>F3471*1000</f>
        <v/>
      </c>
      <c r="I3471" s="14">
        <f>G3471-273.15</f>
        <v/>
      </c>
      <c r="K3471" s="15" t="n">
        <v>2010</v>
      </c>
      <c r="L3471" s="15" t="n">
        <v>8</v>
      </c>
      <c r="M3471" s="15" t="n">
        <v>17</v>
      </c>
      <c r="N3471" s="16" t="n">
        <v>0.0002286787419</v>
      </c>
      <c r="O3471" s="11" t="n">
        <v>290.6023596</v>
      </c>
      <c r="P3471" s="13">
        <f>N3471*86400</f>
        <v/>
      </c>
      <c r="Q3471" s="14">
        <f>O3471-273.15</f>
        <v/>
      </c>
    </row>
    <row r="3472">
      <c r="A3472" s="9" t="n">
        <v>40359</v>
      </c>
      <c r="B3472" s="7">
        <f>YEAR(A3472)</f>
        <v/>
      </c>
      <c r="C3472" s="7">
        <f>MONTH(A3472)</f>
        <v/>
      </c>
      <c r="D3472" s="10" t="n">
        <v>0.677484522</v>
      </c>
      <c r="E3472" s="11" t="n">
        <v>16.89085912</v>
      </c>
      <c r="F3472" s="12" t="n">
        <v>0.0007024545855</v>
      </c>
      <c r="G3472" s="11" t="n">
        <v>291.7825511</v>
      </c>
      <c r="H3472" s="13">
        <f>F3472*1000</f>
        <v/>
      </c>
      <c r="I3472" s="14">
        <f>G3472-273.15</f>
        <v/>
      </c>
      <c r="K3472" s="15" t="n">
        <v>2010</v>
      </c>
      <c r="L3472" s="15" t="n">
        <v>8</v>
      </c>
      <c r="M3472" s="15" t="n">
        <v>18</v>
      </c>
      <c r="N3472" s="16" t="n">
        <v>0.0001090354747</v>
      </c>
      <c r="O3472" s="11" t="n">
        <v>290.1918452</v>
      </c>
      <c r="P3472" s="13">
        <f>N3472*86400</f>
        <v/>
      </c>
      <c r="Q3472" s="14">
        <f>O3472-273.15</f>
        <v/>
      </c>
    </row>
    <row r="3473">
      <c r="A3473" s="9" t="n">
        <v>40360</v>
      </c>
      <c r="B3473" s="7">
        <f>YEAR(A3473)</f>
        <v/>
      </c>
      <c r="C3473" s="7">
        <f>MONTH(A3473)</f>
        <v/>
      </c>
      <c r="D3473" s="10" t="n">
        <v>0</v>
      </c>
      <c r="E3473" s="11" t="n">
        <v>16.02831673</v>
      </c>
      <c r="F3473" s="12" t="n">
        <v>0</v>
      </c>
      <c r="G3473" s="11" t="n">
        <v>291.04084</v>
      </c>
      <c r="H3473" s="13">
        <f>F3473*1000</f>
        <v/>
      </c>
      <c r="I3473" s="14">
        <f>G3473-273.15</f>
        <v/>
      </c>
      <c r="K3473" s="15" t="n">
        <v>2010</v>
      </c>
      <c r="L3473" s="15" t="n">
        <v>8</v>
      </c>
      <c r="M3473" s="15" t="n">
        <v>19</v>
      </c>
      <c r="N3473" s="16" t="n">
        <v>7.230343464000001e-05</v>
      </c>
      <c r="O3473" s="11" t="n">
        <v>286.3793403</v>
      </c>
      <c r="P3473" s="13">
        <f>N3473*86400</f>
        <v/>
      </c>
      <c r="Q3473" s="14">
        <f>O3473-273.15</f>
        <v/>
      </c>
    </row>
    <row r="3474">
      <c r="A3474" s="9" t="n">
        <v>40361</v>
      </c>
      <c r="B3474" s="7">
        <f>YEAR(A3474)</f>
        <v/>
      </c>
      <c r="C3474" s="7">
        <f>MONTH(A3474)</f>
        <v/>
      </c>
      <c r="D3474" s="10" t="n">
        <v>0</v>
      </c>
      <c r="E3474" s="11" t="n">
        <v>18.20474997</v>
      </c>
      <c r="F3474" s="12" t="n">
        <v>0</v>
      </c>
      <c r="G3474" s="11" t="n">
        <v>293.1683792</v>
      </c>
      <c r="H3474" s="13">
        <f>F3474*1000</f>
        <v/>
      </c>
      <c r="I3474" s="14">
        <f>G3474-273.15</f>
        <v/>
      </c>
      <c r="K3474" s="15" t="n">
        <v>2010</v>
      </c>
      <c r="L3474" s="15" t="n">
        <v>8</v>
      </c>
      <c r="M3474" s="15" t="n">
        <v>20</v>
      </c>
      <c r="N3474" s="16" t="n">
        <v>0.0002484908764</v>
      </c>
      <c r="O3474" s="11" t="n">
        <v>286.8750095</v>
      </c>
      <c r="P3474" s="13">
        <f>N3474*86400</f>
        <v/>
      </c>
      <c r="Q3474" s="14">
        <f>O3474-273.15</f>
        <v/>
      </c>
    </row>
    <row r="3475">
      <c r="A3475" s="9" t="n">
        <v>40362</v>
      </c>
      <c r="B3475" s="7">
        <f>YEAR(A3475)</f>
        <v/>
      </c>
      <c r="C3475" s="7">
        <f>MONTH(A3475)</f>
        <v/>
      </c>
      <c r="D3475" s="10" t="n">
        <v>17.23120725</v>
      </c>
      <c r="E3475" s="11" t="n">
        <v>18.39386794</v>
      </c>
      <c r="F3475" s="12" t="n">
        <v>0.008393520718</v>
      </c>
      <c r="G3475" s="11" t="n">
        <v>292.0747747</v>
      </c>
      <c r="H3475" s="13">
        <f>F3475*1000</f>
        <v/>
      </c>
      <c r="I3475" s="14">
        <f>G3475-273.15</f>
        <v/>
      </c>
      <c r="K3475" s="15" t="n">
        <v>2010</v>
      </c>
      <c r="L3475" s="15" t="n">
        <v>8</v>
      </c>
      <c r="M3475" s="15" t="n">
        <v>21</v>
      </c>
      <c r="N3475" s="16" t="n">
        <v>6.098598558e-05</v>
      </c>
      <c r="O3475" s="11" t="n">
        <v>284.3800332</v>
      </c>
      <c r="P3475" s="13">
        <f>N3475*86400</f>
        <v/>
      </c>
      <c r="Q3475" s="14">
        <f>O3475-273.15</f>
        <v/>
      </c>
    </row>
    <row r="3476">
      <c r="A3476" s="9" t="n">
        <v>40363</v>
      </c>
      <c r="B3476" s="7">
        <f>YEAR(A3476)</f>
        <v/>
      </c>
      <c r="C3476" s="7">
        <f>MONTH(A3476)</f>
        <v/>
      </c>
      <c r="D3476" s="10" t="n">
        <v>1.84096434</v>
      </c>
      <c r="E3476" s="11" t="n">
        <v>19.79334994</v>
      </c>
      <c r="F3476" s="12" t="n">
        <v>0.006223577282</v>
      </c>
      <c r="G3476" s="11" t="n">
        <v>293.3934242</v>
      </c>
      <c r="H3476" s="13">
        <f>F3476*1000</f>
        <v/>
      </c>
      <c r="I3476" s="14">
        <f>G3476-273.15</f>
        <v/>
      </c>
      <c r="K3476" s="15" t="n">
        <v>2010</v>
      </c>
      <c r="L3476" s="15" t="n">
        <v>8</v>
      </c>
      <c r="M3476" s="15" t="n">
        <v>22</v>
      </c>
      <c r="N3476" s="16" t="n">
        <v>4.388277409e-05</v>
      </c>
      <c r="O3476" s="11" t="n">
        <v>287.2564933</v>
      </c>
      <c r="P3476" s="13">
        <f>N3476*86400</f>
        <v/>
      </c>
      <c r="Q3476" s="14">
        <f>O3476-273.15</f>
        <v/>
      </c>
    </row>
    <row r="3477">
      <c r="A3477" s="9" t="n">
        <v>40364</v>
      </c>
      <c r="B3477" s="7">
        <f>YEAR(A3477)</f>
        <v/>
      </c>
      <c r="C3477" s="7">
        <f>MONTH(A3477)</f>
        <v/>
      </c>
      <c r="D3477" s="10" t="n">
        <v>2.664214403</v>
      </c>
      <c r="E3477" s="11" t="n">
        <v>21.22177548</v>
      </c>
      <c r="F3477" s="12" t="n">
        <v>0.00280481033</v>
      </c>
      <c r="G3477" s="11" t="n">
        <v>294.5744161</v>
      </c>
      <c r="H3477" s="13">
        <f>F3477*1000</f>
        <v/>
      </c>
      <c r="I3477" s="14">
        <f>G3477-273.15</f>
        <v/>
      </c>
      <c r="K3477" s="15" t="n">
        <v>2010</v>
      </c>
      <c r="L3477" s="15" t="n">
        <v>8</v>
      </c>
      <c r="M3477" s="15" t="n">
        <v>23</v>
      </c>
      <c r="N3477" s="16" t="n">
        <v>4.396390442e-05</v>
      </c>
      <c r="O3477" s="11" t="n">
        <v>289.0170043</v>
      </c>
      <c r="P3477" s="13">
        <f>N3477*86400</f>
        <v/>
      </c>
      <c r="Q3477" s="14">
        <f>O3477-273.15</f>
        <v/>
      </c>
    </row>
    <row r="3478">
      <c r="A3478" s="9" t="n">
        <v>40365</v>
      </c>
      <c r="B3478" s="7">
        <f>YEAR(A3478)</f>
        <v/>
      </c>
      <c r="C3478" s="7">
        <f>MONTH(A3478)</f>
        <v/>
      </c>
      <c r="D3478" s="10" t="n">
        <v>0</v>
      </c>
      <c r="E3478" s="11" t="n">
        <v>20.49779454</v>
      </c>
      <c r="F3478" s="12" t="n">
        <v>0.0004834655039</v>
      </c>
      <c r="G3478" s="11" t="n">
        <v>294.0893764</v>
      </c>
      <c r="H3478" s="13">
        <f>F3478*1000</f>
        <v/>
      </c>
      <c r="I3478" s="14">
        <f>G3478-273.15</f>
        <v/>
      </c>
      <c r="K3478" s="15" t="n">
        <v>2010</v>
      </c>
      <c r="L3478" s="15" t="n">
        <v>8</v>
      </c>
      <c r="M3478" s="15" t="n">
        <v>24</v>
      </c>
      <c r="N3478" s="16" t="n">
        <v>8.964606489999999e-05</v>
      </c>
      <c r="O3478" s="11" t="n">
        <v>288.7853626</v>
      </c>
      <c r="P3478" s="13">
        <f>N3478*86400</f>
        <v/>
      </c>
      <c r="Q3478" s="14">
        <f>O3478-273.15</f>
        <v/>
      </c>
    </row>
    <row r="3479">
      <c r="A3479" s="9" t="n">
        <v>40366</v>
      </c>
      <c r="B3479" s="7">
        <f>YEAR(A3479)</f>
        <v/>
      </c>
      <c r="C3479" s="7">
        <f>MONTH(A3479)</f>
        <v/>
      </c>
      <c r="D3479" s="10" t="n">
        <v>0</v>
      </c>
      <c r="E3479" s="11" t="n">
        <v>19.35968348</v>
      </c>
      <c r="F3479" s="12" t="n">
        <v>3.169484194e-05</v>
      </c>
      <c r="G3479" s="11" t="n">
        <v>294.068186</v>
      </c>
      <c r="H3479" s="13">
        <f>F3479*1000</f>
        <v/>
      </c>
      <c r="I3479" s="14">
        <f>G3479-273.15</f>
        <v/>
      </c>
      <c r="K3479" s="15" t="n">
        <v>2010</v>
      </c>
      <c r="L3479" s="15" t="n">
        <v>8</v>
      </c>
      <c r="M3479" s="15" t="n">
        <v>25</v>
      </c>
      <c r="N3479" s="16" t="n">
        <v>0.0002290480736</v>
      </c>
      <c r="O3479" s="11" t="n">
        <v>289.5094146</v>
      </c>
      <c r="P3479" s="13">
        <f>N3479*86400</f>
        <v/>
      </c>
      <c r="Q3479" s="14">
        <f>O3479-273.15</f>
        <v/>
      </c>
    </row>
    <row r="3480">
      <c r="A3480" s="9" t="n">
        <v>40367</v>
      </c>
      <c r="B3480" s="7">
        <f>YEAR(A3480)</f>
        <v/>
      </c>
      <c r="C3480" s="7">
        <f>MONTH(A3480)</f>
        <v/>
      </c>
      <c r="D3480" s="10" t="n">
        <v>0</v>
      </c>
      <c r="E3480" s="11" t="n">
        <v>20.99711704</v>
      </c>
      <c r="F3480" s="12" t="n">
        <v>0</v>
      </c>
      <c r="G3480" s="11" t="n">
        <v>295.6875769</v>
      </c>
      <c r="H3480" s="13">
        <f>F3480*1000</f>
        <v/>
      </c>
      <c r="I3480" s="14">
        <f>G3480-273.15</f>
        <v/>
      </c>
      <c r="K3480" s="15" t="n">
        <v>2010</v>
      </c>
      <c r="L3480" s="15" t="n">
        <v>8</v>
      </c>
      <c r="M3480" s="15" t="n">
        <v>26</v>
      </c>
      <c r="N3480" s="16" t="n">
        <v>0.0004718437921</v>
      </c>
      <c r="O3480" s="11" t="n">
        <v>288.2669917</v>
      </c>
      <c r="P3480" s="13">
        <f>N3480*86400</f>
        <v/>
      </c>
      <c r="Q3480" s="14">
        <f>O3480-273.15</f>
        <v/>
      </c>
    </row>
    <row r="3481">
      <c r="A3481" s="9" t="n">
        <v>40368</v>
      </c>
      <c r="B3481" s="7">
        <f>YEAR(A3481)</f>
        <v/>
      </c>
      <c r="C3481" s="7">
        <f>MONTH(A3481)</f>
        <v/>
      </c>
      <c r="D3481" s="10" t="n">
        <v>0</v>
      </c>
      <c r="E3481" s="11" t="n">
        <v>21.65441663</v>
      </c>
      <c r="F3481" s="12" t="n">
        <v>0</v>
      </c>
      <c r="G3481" s="11" t="n">
        <v>297.4810982</v>
      </c>
      <c r="H3481" s="13">
        <f>F3481*1000</f>
        <v/>
      </c>
      <c r="I3481" s="14">
        <f>G3481-273.15</f>
        <v/>
      </c>
      <c r="K3481" s="15" t="n">
        <v>2010</v>
      </c>
      <c r="L3481" s="15" t="n">
        <v>8</v>
      </c>
      <c r="M3481" s="15" t="n">
        <v>27</v>
      </c>
      <c r="N3481" s="16" t="n">
        <v>0.0003594578787</v>
      </c>
      <c r="O3481" s="11" t="n">
        <v>287.3420532</v>
      </c>
      <c r="P3481" s="13">
        <f>N3481*86400</f>
        <v/>
      </c>
      <c r="Q3481" s="14">
        <f>O3481-273.15</f>
        <v/>
      </c>
    </row>
    <row r="3482">
      <c r="A3482" s="9" t="n">
        <v>40369</v>
      </c>
      <c r="B3482" s="7">
        <f>YEAR(A3482)</f>
        <v/>
      </c>
      <c r="C3482" s="7">
        <f>MONTH(A3482)</f>
        <v/>
      </c>
      <c r="D3482" s="10" t="n">
        <v>0</v>
      </c>
      <c r="E3482" s="11" t="n">
        <v>21.20465372</v>
      </c>
      <c r="F3482" s="12" t="n">
        <v>0.001051585738</v>
      </c>
      <c r="G3482" s="11" t="n">
        <v>296.9838652</v>
      </c>
      <c r="H3482" s="13">
        <f>F3482*1000</f>
        <v/>
      </c>
      <c r="I3482" s="14">
        <f>G3482-273.15</f>
        <v/>
      </c>
      <c r="K3482" s="15" t="n">
        <v>2010</v>
      </c>
      <c r="L3482" s="15" t="n">
        <v>8</v>
      </c>
      <c r="M3482" s="15" t="n">
        <v>28</v>
      </c>
      <c r="N3482" s="16" t="n">
        <v>3.829983635e-05</v>
      </c>
      <c r="O3482" s="11" t="n">
        <v>285.0063589</v>
      </c>
      <c r="P3482" s="13">
        <f>N3482*86400</f>
        <v/>
      </c>
      <c r="Q3482" s="14">
        <f>O3482-273.15</f>
        <v/>
      </c>
    </row>
    <row r="3483">
      <c r="A3483" s="9" t="n">
        <v>40370</v>
      </c>
      <c r="B3483" s="7">
        <f>YEAR(A3483)</f>
        <v/>
      </c>
      <c r="C3483" s="7">
        <f>MONTH(A3483)</f>
        <v/>
      </c>
      <c r="D3483" s="10" t="n">
        <v>0.5128845791</v>
      </c>
      <c r="E3483" s="11" t="n">
        <v>18.49658742</v>
      </c>
      <c r="F3483" s="12" t="n">
        <v>0.009259435309000001</v>
      </c>
      <c r="G3483" s="11" t="n">
        <v>294.3347931</v>
      </c>
      <c r="H3483" s="13">
        <f>F3483*1000</f>
        <v/>
      </c>
      <c r="I3483" s="14">
        <f>G3483-273.15</f>
        <v/>
      </c>
      <c r="K3483" s="15" t="n">
        <v>2010</v>
      </c>
      <c r="L3483" s="15" t="n">
        <v>8</v>
      </c>
      <c r="M3483" s="15" t="n">
        <v>29</v>
      </c>
      <c r="N3483" s="16" t="n">
        <v>1.755013477e-05</v>
      </c>
      <c r="O3483" s="11" t="n">
        <v>286.2117929</v>
      </c>
      <c r="P3483" s="13">
        <f>N3483*86400</f>
        <v/>
      </c>
      <c r="Q3483" s="14">
        <f>O3483-273.15</f>
        <v/>
      </c>
    </row>
    <row r="3484">
      <c r="A3484" s="9" t="n">
        <v>40371</v>
      </c>
      <c r="B3484" s="7">
        <f>YEAR(A3484)</f>
        <v/>
      </c>
      <c r="C3484" s="7">
        <f>MONTH(A3484)</f>
        <v/>
      </c>
      <c r="D3484" s="10" t="n">
        <v>8.678732793</v>
      </c>
      <c r="E3484" s="11" t="n">
        <v>16.64735527</v>
      </c>
      <c r="F3484" s="12" t="n">
        <v>0.01902752168</v>
      </c>
      <c r="G3484" s="11" t="n">
        <v>292.9027181</v>
      </c>
      <c r="H3484" s="13">
        <f>F3484*1000</f>
        <v/>
      </c>
      <c r="I3484" s="14">
        <f>G3484-273.15</f>
        <v/>
      </c>
      <c r="K3484" s="15" t="n">
        <v>2010</v>
      </c>
      <c r="L3484" s="15" t="n">
        <v>8</v>
      </c>
      <c r="M3484" s="15" t="n">
        <v>30</v>
      </c>
      <c r="N3484" s="16" t="n">
        <v>4.700878046e-05</v>
      </c>
      <c r="O3484" s="11" t="n">
        <v>285.9564458</v>
      </c>
      <c r="P3484" s="13">
        <f>N3484*86400</f>
        <v/>
      </c>
      <c r="Q3484" s="14">
        <f>O3484-273.15</f>
        <v/>
      </c>
    </row>
    <row r="3485">
      <c r="A3485" s="9" t="n">
        <v>40372</v>
      </c>
      <c r="B3485" s="7">
        <f>YEAR(A3485)</f>
        <v/>
      </c>
      <c r="C3485" s="7">
        <f>MONTH(A3485)</f>
        <v/>
      </c>
      <c r="D3485" s="10" t="n">
        <v>3.056110112</v>
      </c>
      <c r="E3485" s="11" t="n">
        <v>15.76460572</v>
      </c>
      <c r="F3485" s="12" t="n">
        <v>0.003888634646</v>
      </c>
      <c r="G3485" s="11" t="n">
        <v>292.5887489</v>
      </c>
      <c r="H3485" s="13">
        <f>F3485*1000</f>
        <v/>
      </c>
      <c r="I3485" s="14">
        <f>G3485-273.15</f>
        <v/>
      </c>
      <c r="K3485" s="15" t="n">
        <v>2010</v>
      </c>
      <c r="L3485" s="15" t="n">
        <v>9</v>
      </c>
      <c r="M3485" s="15" t="n">
        <v>1</v>
      </c>
      <c r="N3485" s="16" t="n">
        <v>0</v>
      </c>
      <c r="O3485" s="11" t="n">
        <v>286.2283339</v>
      </c>
      <c r="P3485" s="13">
        <f>N3485*86400</f>
        <v/>
      </c>
      <c r="Q3485" s="14">
        <f>O3485-273.15</f>
        <v/>
      </c>
    </row>
    <row r="3486">
      <c r="A3486" s="9" t="n">
        <v>40373</v>
      </c>
      <c r="B3486" s="7">
        <f>YEAR(A3486)</f>
        <v/>
      </c>
      <c r="C3486" s="7">
        <f>MONTH(A3486)</f>
        <v/>
      </c>
      <c r="D3486" s="10" t="n">
        <v>25.91659462</v>
      </c>
      <c r="E3486" s="11" t="n">
        <v>16.28317513</v>
      </c>
      <c r="F3486" s="12" t="n">
        <v>0.009044627241000001</v>
      </c>
      <c r="G3486" s="11" t="n">
        <v>293.1720835</v>
      </c>
      <c r="H3486" s="13">
        <f>F3486*1000</f>
        <v/>
      </c>
      <c r="I3486" s="14">
        <f>G3486-273.15</f>
        <v/>
      </c>
      <c r="K3486" s="15" t="n">
        <v>2010</v>
      </c>
      <c r="L3486" s="15" t="n">
        <v>9</v>
      </c>
      <c r="M3486" s="15" t="n">
        <v>2</v>
      </c>
      <c r="N3486" s="16" t="n">
        <v>0.000199305935</v>
      </c>
      <c r="O3486" s="11" t="n">
        <v>287.5782125</v>
      </c>
      <c r="P3486" s="13">
        <f>N3486*86400</f>
        <v/>
      </c>
      <c r="Q3486" s="14">
        <f>O3486-273.15</f>
        <v/>
      </c>
    </row>
    <row r="3487">
      <c r="A3487" s="9" t="n">
        <v>40374</v>
      </c>
      <c r="B3487" s="7">
        <f>YEAR(A3487)</f>
        <v/>
      </c>
      <c r="C3487" s="7">
        <f>MONTH(A3487)</f>
        <v/>
      </c>
      <c r="D3487" s="10" t="n">
        <v>18.46473744</v>
      </c>
      <c r="E3487" s="11" t="n">
        <v>15.41030189</v>
      </c>
      <c r="F3487" s="12" t="n">
        <v>0.01326494118</v>
      </c>
      <c r="G3487" s="11" t="n">
        <v>291.6985784</v>
      </c>
      <c r="H3487" s="13">
        <f>F3487*1000</f>
        <v/>
      </c>
      <c r="I3487" s="14">
        <f>G3487-273.15</f>
        <v/>
      </c>
      <c r="K3487" s="15" t="n">
        <v>2010</v>
      </c>
      <c r="L3487" s="15" t="n">
        <v>9</v>
      </c>
      <c r="M3487" s="15" t="n">
        <v>3</v>
      </c>
      <c r="N3487" s="16" t="n">
        <v>0.000676436705</v>
      </c>
      <c r="O3487" s="11" t="n">
        <v>288.5465783</v>
      </c>
      <c r="P3487" s="13">
        <f>N3487*86400</f>
        <v/>
      </c>
      <c r="Q3487" s="14">
        <f>O3487-273.15</f>
        <v/>
      </c>
    </row>
    <row r="3488">
      <c r="A3488" s="9" t="n">
        <v>40375</v>
      </c>
      <c r="B3488" s="7">
        <f>YEAR(A3488)</f>
        <v/>
      </c>
      <c r="C3488" s="7">
        <f>MONTH(A3488)</f>
        <v/>
      </c>
      <c r="D3488" s="10" t="n">
        <v>16.02381682</v>
      </c>
      <c r="E3488" s="11" t="n">
        <v>16.52504266</v>
      </c>
      <c r="F3488" s="12" t="n">
        <v>0.01173072415</v>
      </c>
      <c r="G3488" s="11" t="n">
        <v>292.2225888</v>
      </c>
      <c r="H3488" s="13">
        <f>F3488*1000</f>
        <v/>
      </c>
      <c r="I3488" s="14">
        <f>G3488-273.15</f>
        <v/>
      </c>
      <c r="K3488" s="15" t="n">
        <v>2010</v>
      </c>
      <c r="L3488" s="15" t="n">
        <v>9</v>
      </c>
      <c r="M3488" s="15" t="n">
        <v>4</v>
      </c>
      <c r="N3488" s="16" t="n">
        <v>8.56220337e-05</v>
      </c>
      <c r="O3488" s="11" t="n">
        <v>286.1640383</v>
      </c>
      <c r="P3488" s="13">
        <f>N3488*86400</f>
        <v/>
      </c>
      <c r="Q3488" s="14">
        <f>O3488-273.15</f>
        <v/>
      </c>
    </row>
    <row r="3489">
      <c r="A3489" s="9" t="n">
        <v>40376</v>
      </c>
      <c r="B3489" s="7">
        <f>YEAR(A3489)</f>
        <v/>
      </c>
      <c r="C3489" s="7">
        <f>MONTH(A3489)</f>
        <v/>
      </c>
      <c r="D3489" s="10" t="n">
        <v>2.159142378</v>
      </c>
      <c r="E3489" s="11" t="n">
        <v>17.65352162</v>
      </c>
      <c r="F3489" s="12" t="n">
        <v>0.004186638339</v>
      </c>
      <c r="G3489" s="11" t="n">
        <v>293.9175635</v>
      </c>
      <c r="H3489" s="13">
        <f>F3489*1000</f>
        <v/>
      </c>
      <c r="I3489" s="14">
        <f>G3489-273.15</f>
        <v/>
      </c>
      <c r="K3489" s="15" t="n">
        <v>2010</v>
      </c>
      <c r="L3489" s="15" t="n">
        <v>9</v>
      </c>
      <c r="M3489" s="15" t="n">
        <v>5</v>
      </c>
      <c r="N3489" s="16" t="n">
        <v>5.066478373e-06</v>
      </c>
      <c r="O3489" s="11" t="n">
        <v>284.9536543</v>
      </c>
      <c r="P3489" s="13">
        <f>N3489*86400</f>
        <v/>
      </c>
      <c r="Q3489" s="14">
        <f>O3489-273.15</f>
        <v/>
      </c>
    </row>
    <row r="3490">
      <c r="A3490" s="9" t="n">
        <v>40377</v>
      </c>
      <c r="B3490" s="7">
        <f>YEAR(A3490)</f>
        <v/>
      </c>
      <c r="C3490" s="7">
        <f>MONTH(A3490)</f>
        <v/>
      </c>
      <c r="D3490" s="10" t="n">
        <v>10.82825921</v>
      </c>
      <c r="E3490" s="11" t="n">
        <v>17.52362595</v>
      </c>
      <c r="F3490" s="12" t="n">
        <v>0.009487254420000001</v>
      </c>
      <c r="G3490" s="11" t="n">
        <v>292.7059426</v>
      </c>
      <c r="H3490" s="13">
        <f>F3490*1000</f>
        <v/>
      </c>
      <c r="I3490" s="14">
        <f>G3490-273.15</f>
        <v/>
      </c>
      <c r="K3490" s="15" t="n">
        <v>2010</v>
      </c>
      <c r="L3490" s="15" t="n">
        <v>9</v>
      </c>
      <c r="M3490" s="15" t="n">
        <v>6</v>
      </c>
      <c r="N3490" s="16" t="n">
        <v>8.806632484e-06</v>
      </c>
      <c r="O3490" s="11" t="n">
        <v>286.3806577</v>
      </c>
      <c r="P3490" s="13">
        <f>N3490*86400</f>
        <v/>
      </c>
      <c r="Q3490" s="14">
        <f>O3490-273.15</f>
        <v/>
      </c>
    </row>
    <row r="3491">
      <c r="A3491" s="9" t="n">
        <v>40378</v>
      </c>
      <c r="B3491" s="7">
        <f>YEAR(A3491)</f>
        <v/>
      </c>
      <c r="C3491" s="7">
        <f>MONTH(A3491)</f>
        <v/>
      </c>
      <c r="D3491" s="10" t="n">
        <v>30.69548386</v>
      </c>
      <c r="E3491" s="11" t="n">
        <v>17.78279663</v>
      </c>
      <c r="F3491" s="12" t="n">
        <v>0.03400862864</v>
      </c>
      <c r="G3491" s="11" t="n">
        <v>292.1812853</v>
      </c>
      <c r="H3491" s="13">
        <f>F3491*1000</f>
        <v/>
      </c>
      <c r="I3491" s="14">
        <f>G3491-273.15</f>
        <v/>
      </c>
      <c r="K3491" s="15" t="n">
        <v>2010</v>
      </c>
      <c r="L3491" s="15" t="n">
        <v>9</v>
      </c>
      <c r="M3491" s="15" t="n">
        <v>7</v>
      </c>
      <c r="N3491" s="16" t="n">
        <v>9.084821026e-06</v>
      </c>
      <c r="O3491" s="11" t="n">
        <v>285.9878481</v>
      </c>
      <c r="P3491" s="13">
        <f>N3491*86400</f>
        <v/>
      </c>
      <c r="Q3491" s="14">
        <f>O3491-273.15</f>
        <v/>
      </c>
    </row>
    <row r="3492">
      <c r="A3492" s="9" t="n">
        <v>40379</v>
      </c>
      <c r="B3492" s="7">
        <f>YEAR(A3492)</f>
        <v/>
      </c>
      <c r="C3492" s="7">
        <f>MONTH(A3492)</f>
        <v/>
      </c>
      <c r="D3492" s="10" t="n">
        <v>5.838921514</v>
      </c>
      <c r="E3492" s="11" t="n">
        <v>17.99769445</v>
      </c>
      <c r="F3492" s="12" t="n">
        <v>0.004198773347</v>
      </c>
      <c r="G3492" s="11" t="n">
        <v>292.2833263</v>
      </c>
      <c r="H3492" s="13">
        <f>F3492*1000</f>
        <v/>
      </c>
      <c r="I3492" s="14">
        <f>G3492-273.15</f>
        <v/>
      </c>
      <c r="K3492" s="15" t="n">
        <v>2010</v>
      </c>
      <c r="L3492" s="15" t="n">
        <v>9</v>
      </c>
      <c r="M3492" s="15" t="n">
        <v>8</v>
      </c>
      <c r="N3492" s="16" t="n">
        <v>8.458779793e-05</v>
      </c>
      <c r="O3492" s="11" t="n">
        <v>287.2107874</v>
      </c>
      <c r="P3492" s="13">
        <f>N3492*86400</f>
        <v/>
      </c>
      <c r="Q3492" s="14">
        <f>O3492-273.15</f>
        <v/>
      </c>
    </row>
    <row r="3493">
      <c r="A3493" s="9" t="n">
        <v>40380</v>
      </c>
      <c r="B3493" s="7">
        <f>YEAR(A3493)</f>
        <v/>
      </c>
      <c r="C3493" s="7">
        <f>MONTH(A3493)</f>
        <v/>
      </c>
      <c r="D3493" s="10" t="n">
        <v>0</v>
      </c>
      <c r="E3493" s="11" t="n">
        <v>17.17381861</v>
      </c>
      <c r="F3493" s="12" t="n">
        <v>0.008996407983999999</v>
      </c>
      <c r="G3493" s="11" t="n">
        <v>292.2617078</v>
      </c>
      <c r="H3493" s="13">
        <f>F3493*1000</f>
        <v/>
      </c>
      <c r="I3493" s="14">
        <f>G3493-273.15</f>
        <v/>
      </c>
      <c r="K3493" s="15" t="n">
        <v>2010</v>
      </c>
      <c r="L3493" s="15" t="n">
        <v>9</v>
      </c>
      <c r="M3493" s="15" t="n">
        <v>9</v>
      </c>
      <c r="N3493" s="16" t="n">
        <v>0.0001561914716</v>
      </c>
      <c r="O3493" s="11" t="n">
        <v>285.6431665</v>
      </c>
      <c r="P3493" s="13">
        <f>N3493*86400</f>
        <v/>
      </c>
      <c r="Q3493" s="14">
        <f>O3493-273.15</f>
        <v/>
      </c>
    </row>
    <row r="3494">
      <c r="A3494" s="9" t="n">
        <v>40381</v>
      </c>
      <c r="B3494" s="7">
        <f>YEAR(A3494)</f>
        <v/>
      </c>
      <c r="C3494" s="7">
        <f>MONTH(A3494)</f>
        <v/>
      </c>
      <c r="D3494" s="10" t="n">
        <v>11.93576592</v>
      </c>
      <c r="E3494" s="11" t="n">
        <v>19.10121545</v>
      </c>
      <c r="F3494" s="12" t="n">
        <v>0.009658871563</v>
      </c>
      <c r="G3494" s="11" t="n">
        <v>294.5965354</v>
      </c>
      <c r="H3494" s="13">
        <f>F3494*1000</f>
        <v/>
      </c>
      <c r="I3494" s="14">
        <f>G3494-273.15</f>
        <v/>
      </c>
      <c r="K3494" s="15" t="n">
        <v>2010</v>
      </c>
      <c r="L3494" s="15" t="n">
        <v>9</v>
      </c>
      <c r="M3494" s="15" t="n">
        <v>10</v>
      </c>
      <c r="N3494" s="16" t="n">
        <v>0.0002538465661</v>
      </c>
      <c r="O3494" s="11" t="n">
        <v>283.2847991</v>
      </c>
      <c r="P3494" s="13">
        <f>N3494*86400</f>
        <v/>
      </c>
      <c r="Q3494" s="14">
        <f>O3494-273.15</f>
        <v/>
      </c>
    </row>
    <row r="3495">
      <c r="A3495" s="9" t="n">
        <v>40382</v>
      </c>
      <c r="B3495" s="7">
        <f>YEAR(A3495)</f>
        <v/>
      </c>
      <c r="C3495" s="7">
        <f>MONTH(A3495)</f>
        <v/>
      </c>
      <c r="D3495" s="10" t="n">
        <v>68.20802128</v>
      </c>
      <c r="E3495" s="11" t="n">
        <v>17.35954335</v>
      </c>
      <c r="F3495" s="12" t="n">
        <v>0.04309857396</v>
      </c>
      <c r="G3495" s="11" t="n">
        <v>293.4896448</v>
      </c>
      <c r="H3495" s="13">
        <f>F3495*1000</f>
        <v/>
      </c>
      <c r="I3495" s="14">
        <f>G3495-273.15</f>
        <v/>
      </c>
      <c r="K3495" s="15" t="n">
        <v>2010</v>
      </c>
      <c r="L3495" s="15" t="n">
        <v>9</v>
      </c>
      <c r="M3495" s="15" t="n">
        <v>11</v>
      </c>
      <c r="N3495" s="16" t="n">
        <v>8.067040778000001e-05</v>
      </c>
      <c r="O3495" s="11" t="n">
        <v>283.0262545</v>
      </c>
      <c r="P3495" s="13">
        <f>N3495*86400</f>
        <v/>
      </c>
      <c r="Q3495" s="14">
        <f>O3495-273.15</f>
        <v/>
      </c>
    </row>
    <row r="3496">
      <c r="A3496" s="9" t="n">
        <v>40383</v>
      </c>
      <c r="B3496" s="7">
        <f>YEAR(A3496)</f>
        <v/>
      </c>
      <c r="C3496" s="7">
        <f>MONTH(A3496)</f>
        <v/>
      </c>
      <c r="D3496" s="10" t="n">
        <v>6.602341668</v>
      </c>
      <c r="E3496" s="11" t="n">
        <v>18.43444741</v>
      </c>
      <c r="F3496" s="12" t="n">
        <v>0.01188344282</v>
      </c>
      <c r="G3496" s="11" t="n">
        <v>292.9044229</v>
      </c>
      <c r="H3496" s="13">
        <f>F3496*1000</f>
        <v/>
      </c>
      <c r="I3496" s="14">
        <f>G3496-273.15</f>
        <v/>
      </c>
      <c r="K3496" s="15" t="n">
        <v>2010</v>
      </c>
      <c r="L3496" s="15" t="n">
        <v>9</v>
      </c>
      <c r="M3496" s="15" t="n">
        <v>12</v>
      </c>
      <c r="N3496" s="16" t="n">
        <v>0</v>
      </c>
      <c r="O3496" s="11" t="n">
        <v>283.9417004</v>
      </c>
      <c r="P3496" s="13">
        <f>N3496*86400</f>
        <v/>
      </c>
      <c r="Q3496" s="14">
        <f>O3496-273.15</f>
        <v/>
      </c>
    </row>
    <row r="3497">
      <c r="A3497" s="9" t="n">
        <v>40384</v>
      </c>
      <c r="B3497" s="7">
        <f>YEAR(A3497)</f>
        <v/>
      </c>
      <c r="C3497" s="7">
        <f>MONTH(A3497)</f>
        <v/>
      </c>
      <c r="D3497" s="10" t="n">
        <v>36.26622054</v>
      </c>
      <c r="E3497" s="11" t="n">
        <v>16.14458467</v>
      </c>
      <c r="F3497" s="12" t="n">
        <v>0.02692479007</v>
      </c>
      <c r="G3497" s="11" t="n">
        <v>291.4335832</v>
      </c>
      <c r="H3497" s="13">
        <f>F3497*1000</f>
        <v/>
      </c>
      <c r="I3497" s="14">
        <f>G3497-273.15</f>
        <v/>
      </c>
      <c r="K3497" s="15" t="n">
        <v>2010</v>
      </c>
      <c r="L3497" s="15" t="n">
        <v>9</v>
      </c>
      <c r="M3497" s="15" t="n">
        <v>13</v>
      </c>
      <c r="N3497" s="16" t="n">
        <v>0.0001278108619</v>
      </c>
      <c r="O3497" s="11" t="n">
        <v>284.6787382</v>
      </c>
      <c r="P3497" s="13">
        <f>N3497*86400</f>
        <v/>
      </c>
      <c r="Q3497" s="14">
        <f>O3497-273.15</f>
        <v/>
      </c>
    </row>
    <row r="3498">
      <c r="A3498" s="9" t="n">
        <v>40385</v>
      </c>
      <c r="B3498" s="7">
        <f>YEAR(A3498)</f>
        <v/>
      </c>
      <c r="C3498" s="7">
        <f>MONTH(A3498)</f>
        <v/>
      </c>
      <c r="D3498" s="10" t="n">
        <v>23.09104147</v>
      </c>
      <c r="E3498" s="11" t="n">
        <v>16.46798199</v>
      </c>
      <c r="F3498" s="12" t="n">
        <v>0.02669719286</v>
      </c>
      <c r="G3498" s="11" t="n">
        <v>290.6230258</v>
      </c>
      <c r="H3498" s="13">
        <f>F3498*1000</f>
        <v/>
      </c>
      <c r="I3498" s="14">
        <f>G3498-273.15</f>
        <v/>
      </c>
      <c r="K3498" s="15" t="n">
        <v>2010</v>
      </c>
      <c r="L3498" s="15" t="n">
        <v>9</v>
      </c>
      <c r="M3498" s="15" t="n">
        <v>14</v>
      </c>
      <c r="N3498" s="16" t="n">
        <v>1.684218529e-06</v>
      </c>
      <c r="O3498" s="11" t="n">
        <v>283.441381</v>
      </c>
      <c r="P3498" s="13">
        <f>N3498*86400</f>
        <v/>
      </c>
      <c r="Q3498" s="14">
        <f>O3498-273.15</f>
        <v/>
      </c>
    </row>
    <row r="3499">
      <c r="A3499" s="9" t="n">
        <v>40386</v>
      </c>
      <c r="B3499" s="7">
        <f>YEAR(A3499)</f>
        <v/>
      </c>
      <c r="C3499" s="7">
        <f>MONTH(A3499)</f>
        <v/>
      </c>
      <c r="D3499" s="10" t="n">
        <v>2.475976359</v>
      </c>
      <c r="E3499" s="11" t="n">
        <v>15.14102479</v>
      </c>
      <c r="F3499" s="12" t="n">
        <v>0.01425689598</v>
      </c>
      <c r="G3499" s="11" t="n">
        <v>289.6966667</v>
      </c>
      <c r="H3499" s="13">
        <f>F3499*1000</f>
        <v/>
      </c>
      <c r="I3499" s="14">
        <f>G3499-273.15</f>
        <v/>
      </c>
      <c r="K3499" s="15" t="n">
        <v>2010</v>
      </c>
      <c r="L3499" s="15" t="n">
        <v>9</v>
      </c>
      <c r="M3499" s="15" t="n">
        <v>15</v>
      </c>
      <c r="N3499" s="16" t="n">
        <v>0</v>
      </c>
      <c r="O3499" s="11" t="n">
        <v>284.4463012</v>
      </c>
      <c r="P3499" s="13">
        <f>N3499*86400</f>
        <v/>
      </c>
      <c r="Q3499" s="14">
        <f>O3499-273.15</f>
        <v/>
      </c>
    </row>
    <row r="3500">
      <c r="A3500" s="9" t="n">
        <v>40387</v>
      </c>
      <c r="B3500" s="7">
        <f>YEAR(A3500)</f>
        <v/>
      </c>
      <c r="C3500" s="7">
        <f>MONTH(A3500)</f>
        <v/>
      </c>
      <c r="D3500" s="10" t="n">
        <v>0</v>
      </c>
      <c r="E3500" s="11" t="n">
        <v>18.79702541</v>
      </c>
      <c r="F3500" s="12" t="n">
        <v>0.006962617657</v>
      </c>
      <c r="G3500" s="11" t="n">
        <v>292.6033262</v>
      </c>
      <c r="H3500" s="13">
        <f>F3500*1000</f>
        <v/>
      </c>
      <c r="I3500" s="14">
        <f>G3500-273.15</f>
        <v/>
      </c>
      <c r="K3500" s="15" t="n">
        <v>2010</v>
      </c>
      <c r="L3500" s="15" t="n">
        <v>9</v>
      </c>
      <c r="M3500" s="15" t="n">
        <v>16</v>
      </c>
      <c r="N3500" s="16" t="n">
        <v>1.009785729e-05</v>
      </c>
      <c r="O3500" s="11" t="n">
        <v>283.9164769</v>
      </c>
      <c r="P3500" s="13">
        <f>N3500*86400</f>
        <v/>
      </c>
      <c r="Q3500" s="14">
        <f>O3500-273.15</f>
        <v/>
      </c>
    </row>
    <row r="3501">
      <c r="A3501" s="9" t="n">
        <v>40388</v>
      </c>
      <c r="B3501" s="7">
        <f>YEAR(A3501)</f>
        <v/>
      </c>
      <c r="C3501" s="7">
        <f>MONTH(A3501)</f>
        <v/>
      </c>
      <c r="D3501" s="10" t="n">
        <v>34.62272695</v>
      </c>
      <c r="E3501" s="11" t="n">
        <v>15.87598596</v>
      </c>
      <c r="F3501" s="12" t="n">
        <v>0.04024603772</v>
      </c>
      <c r="G3501" s="11" t="n">
        <v>289.8508644</v>
      </c>
      <c r="H3501" s="13">
        <f>F3501*1000</f>
        <v/>
      </c>
      <c r="I3501" s="14">
        <f>G3501-273.15</f>
        <v/>
      </c>
      <c r="K3501" s="15" t="n">
        <v>2010</v>
      </c>
      <c r="L3501" s="15" t="n">
        <v>9</v>
      </c>
      <c r="M3501" s="15" t="n">
        <v>17</v>
      </c>
      <c r="N3501" s="16" t="n">
        <v>8.535847585000001e-05</v>
      </c>
      <c r="O3501" s="11" t="n">
        <v>286.3224094</v>
      </c>
      <c r="P3501" s="13">
        <f>N3501*86400</f>
        <v/>
      </c>
      <c r="Q3501" s="14">
        <f>O3501-273.15</f>
        <v/>
      </c>
    </row>
    <row r="3502">
      <c r="A3502" s="9" t="n">
        <v>40389</v>
      </c>
      <c r="B3502" s="7">
        <f>YEAR(A3502)</f>
        <v/>
      </c>
      <c r="C3502" s="7">
        <f>MONTH(A3502)</f>
        <v/>
      </c>
      <c r="D3502" s="10" t="n">
        <v>27.90403626</v>
      </c>
      <c r="E3502" s="11" t="n">
        <v>15.23258773</v>
      </c>
      <c r="F3502" s="12" t="n">
        <v>0.05179976453</v>
      </c>
      <c r="G3502" s="11" t="n">
        <v>289.5849686</v>
      </c>
      <c r="H3502" s="13">
        <f>F3502*1000</f>
        <v/>
      </c>
      <c r="I3502" s="14">
        <f>G3502-273.15</f>
        <v/>
      </c>
      <c r="K3502" s="15" t="n">
        <v>2010</v>
      </c>
      <c r="L3502" s="15" t="n">
        <v>9</v>
      </c>
      <c r="M3502" s="15" t="n">
        <v>18</v>
      </c>
      <c r="N3502" s="16" t="n">
        <v>0.0001828882872</v>
      </c>
      <c r="O3502" s="11" t="n">
        <v>286.5878289</v>
      </c>
      <c r="P3502" s="13">
        <f>N3502*86400</f>
        <v/>
      </c>
      <c r="Q3502" s="14">
        <f>O3502-273.15</f>
        <v/>
      </c>
    </row>
    <row r="3503">
      <c r="A3503" s="9" t="n">
        <v>40390</v>
      </c>
      <c r="B3503" s="7">
        <f>YEAR(A3503)</f>
        <v/>
      </c>
      <c r="C3503" s="7">
        <f>MONTH(A3503)</f>
        <v/>
      </c>
      <c r="D3503" s="10" t="n">
        <v>61.41171865</v>
      </c>
      <c r="E3503" s="11" t="n">
        <v>15.789134</v>
      </c>
      <c r="F3503" s="12" t="n">
        <v>0.04809539399</v>
      </c>
      <c r="G3503" s="11" t="n">
        <v>291.2053883</v>
      </c>
      <c r="H3503" s="13">
        <f>F3503*1000</f>
        <v/>
      </c>
      <c r="I3503" s="14">
        <f>G3503-273.15</f>
        <v/>
      </c>
      <c r="K3503" s="15" t="n">
        <v>2010</v>
      </c>
      <c r="L3503" s="15" t="n">
        <v>9</v>
      </c>
      <c r="M3503" s="15" t="n">
        <v>19</v>
      </c>
      <c r="N3503" s="16" t="n">
        <v>0.0002350245102</v>
      </c>
      <c r="O3503" s="11" t="n">
        <v>285.2385796</v>
      </c>
      <c r="P3503" s="13">
        <f>N3503*86400</f>
        <v/>
      </c>
      <c r="Q3503" s="14">
        <f>O3503-273.15</f>
        <v/>
      </c>
    </row>
    <row r="3504">
      <c r="A3504" s="9" t="n">
        <v>40391</v>
      </c>
      <c r="B3504" s="7">
        <f>YEAR(A3504)</f>
        <v/>
      </c>
      <c r="C3504" s="7">
        <f>MONTH(A3504)</f>
        <v/>
      </c>
      <c r="D3504" s="10" t="n">
        <v>3.23478164</v>
      </c>
      <c r="E3504" s="11" t="n">
        <v>14.79338151</v>
      </c>
      <c r="F3504" s="12" t="n">
        <v>0.01055736831</v>
      </c>
      <c r="G3504" s="11" t="n">
        <v>290.5320466</v>
      </c>
      <c r="H3504" s="13">
        <f>F3504*1000</f>
        <v/>
      </c>
      <c r="I3504" s="14">
        <f>G3504-273.15</f>
        <v/>
      </c>
      <c r="K3504" s="15" t="n">
        <v>2010</v>
      </c>
      <c r="L3504" s="15" t="n">
        <v>9</v>
      </c>
      <c r="M3504" s="15" t="n">
        <v>20</v>
      </c>
      <c r="N3504" s="16" t="n">
        <v>0.0001806183261</v>
      </c>
      <c r="O3504" s="11" t="n">
        <v>284.6735134</v>
      </c>
      <c r="P3504" s="13">
        <f>N3504*86400</f>
        <v/>
      </c>
      <c r="Q3504" s="14">
        <f>O3504-273.15</f>
        <v/>
      </c>
    </row>
    <row r="3505">
      <c r="A3505" s="9" t="n">
        <v>40392</v>
      </c>
      <c r="B3505" s="7">
        <f>YEAR(A3505)</f>
        <v/>
      </c>
      <c r="C3505" s="7">
        <f>MONTH(A3505)</f>
        <v/>
      </c>
      <c r="D3505" s="10" t="n">
        <v>14.65748522</v>
      </c>
      <c r="E3505" s="11" t="n">
        <v>15.74772292</v>
      </c>
      <c r="F3505" s="12" t="n">
        <v>0.004528439161</v>
      </c>
      <c r="G3505" s="11" t="n">
        <v>290.779749</v>
      </c>
      <c r="H3505" s="13">
        <f>F3505*1000</f>
        <v/>
      </c>
      <c r="I3505" s="14">
        <f>G3505-273.15</f>
        <v/>
      </c>
      <c r="K3505" s="15" t="n">
        <v>2010</v>
      </c>
      <c r="L3505" s="15" t="n">
        <v>9</v>
      </c>
      <c r="M3505" s="15" t="n">
        <v>21</v>
      </c>
      <c r="N3505" s="16" t="n">
        <v>1.634139772e-05</v>
      </c>
      <c r="O3505" s="11" t="n">
        <v>284.2301853</v>
      </c>
      <c r="P3505" s="13">
        <f>N3505*86400</f>
        <v/>
      </c>
      <c r="Q3505" s="14">
        <f>O3505-273.15</f>
        <v/>
      </c>
    </row>
    <row r="3506">
      <c r="A3506" s="9" t="n">
        <v>40393</v>
      </c>
      <c r="B3506" s="7">
        <f>YEAR(A3506)</f>
        <v/>
      </c>
      <c r="C3506" s="7">
        <f>MONTH(A3506)</f>
        <v/>
      </c>
      <c r="D3506" s="10" t="n">
        <v>3.040888489</v>
      </c>
      <c r="E3506" s="11" t="n">
        <v>17.5660555</v>
      </c>
      <c r="F3506" s="12" t="n">
        <v>0.005773651397</v>
      </c>
      <c r="G3506" s="11" t="n">
        <v>293.6423951</v>
      </c>
      <c r="H3506" s="13">
        <f>F3506*1000</f>
        <v/>
      </c>
      <c r="I3506" s="14">
        <f>G3506-273.15</f>
        <v/>
      </c>
      <c r="K3506" s="15" t="n">
        <v>2010</v>
      </c>
      <c r="L3506" s="15" t="n">
        <v>9</v>
      </c>
      <c r="M3506" s="15" t="n">
        <v>22</v>
      </c>
      <c r="N3506" s="16" t="n">
        <v>1.265429852e-05</v>
      </c>
      <c r="O3506" s="11" t="n">
        <v>285.3908417</v>
      </c>
      <c r="P3506" s="13">
        <f>N3506*86400</f>
        <v/>
      </c>
      <c r="Q3506" s="14">
        <f>O3506-273.15</f>
        <v/>
      </c>
    </row>
    <row r="3507">
      <c r="A3507" s="9" t="n">
        <v>40394</v>
      </c>
      <c r="B3507" s="7">
        <f>YEAR(A3507)</f>
        <v/>
      </c>
      <c r="C3507" s="7">
        <f>MONTH(A3507)</f>
        <v/>
      </c>
      <c r="D3507" s="10" t="n">
        <v>0.05247970486</v>
      </c>
      <c r="E3507" s="11" t="n">
        <v>18.66623656</v>
      </c>
      <c r="F3507" s="12" t="n">
        <v>0.002963788119</v>
      </c>
      <c r="G3507" s="11" t="n">
        <v>294.3722582</v>
      </c>
      <c r="H3507" s="13">
        <f>F3507*1000</f>
        <v/>
      </c>
      <c r="I3507" s="14">
        <f>G3507-273.15</f>
        <v/>
      </c>
      <c r="K3507" s="15" t="n">
        <v>2010</v>
      </c>
      <c r="L3507" s="15" t="n">
        <v>9</v>
      </c>
      <c r="M3507" s="15" t="n">
        <v>23</v>
      </c>
      <c r="N3507" s="16" t="n">
        <v>3.871931077e-05</v>
      </c>
      <c r="O3507" s="11" t="n">
        <v>283.7662093</v>
      </c>
      <c r="P3507" s="13">
        <f>N3507*86400</f>
        <v/>
      </c>
      <c r="Q3507" s="14">
        <f>O3507-273.15</f>
        <v/>
      </c>
    </row>
    <row r="3508">
      <c r="A3508" s="9" t="n">
        <v>40395</v>
      </c>
      <c r="B3508" s="7">
        <f>YEAR(A3508)</f>
        <v/>
      </c>
      <c r="C3508" s="7">
        <f>MONTH(A3508)</f>
        <v/>
      </c>
      <c r="D3508" s="10" t="n">
        <v>12.42196927</v>
      </c>
      <c r="E3508" s="11" t="n">
        <v>17.83171206</v>
      </c>
      <c r="F3508" s="12" t="n">
        <v>0.01725550146</v>
      </c>
      <c r="G3508" s="11" t="n">
        <v>292.7833219</v>
      </c>
      <c r="H3508" s="13">
        <f>F3508*1000</f>
        <v/>
      </c>
      <c r="I3508" s="14">
        <f>G3508-273.15</f>
        <v/>
      </c>
      <c r="K3508" s="15" t="n">
        <v>2010</v>
      </c>
      <c r="L3508" s="15" t="n">
        <v>9</v>
      </c>
      <c r="M3508" s="15" t="n">
        <v>24</v>
      </c>
      <c r="N3508" s="16" t="n">
        <v>2.658910406e-05</v>
      </c>
      <c r="O3508" s="11" t="n">
        <v>283.1848091</v>
      </c>
      <c r="P3508" s="13">
        <f>N3508*86400</f>
        <v/>
      </c>
      <c r="Q3508" s="14">
        <f>O3508-273.15</f>
        <v/>
      </c>
    </row>
    <row r="3509">
      <c r="A3509" s="9" t="n">
        <v>40396</v>
      </c>
      <c r="B3509" s="7">
        <f>YEAR(A3509)</f>
        <v/>
      </c>
      <c r="C3509" s="7">
        <f>MONTH(A3509)</f>
        <v/>
      </c>
      <c r="D3509" s="10" t="n">
        <v>10.34087291</v>
      </c>
      <c r="E3509" s="11" t="n">
        <v>16.71047074</v>
      </c>
      <c r="F3509" s="12" t="n">
        <v>0.01272711057</v>
      </c>
      <c r="G3509" s="11" t="n">
        <v>292.5247936</v>
      </c>
      <c r="H3509" s="13">
        <f>F3509*1000</f>
        <v/>
      </c>
      <c r="I3509" s="14">
        <f>G3509-273.15</f>
        <v/>
      </c>
      <c r="K3509" s="15" t="n">
        <v>2010</v>
      </c>
      <c r="L3509" s="15" t="n">
        <v>9</v>
      </c>
      <c r="M3509" s="15" t="n">
        <v>25</v>
      </c>
      <c r="N3509" s="16" t="n">
        <v>0.0001655569843</v>
      </c>
      <c r="O3509" s="11" t="n">
        <v>283.2833285</v>
      </c>
      <c r="P3509" s="13">
        <f>N3509*86400</f>
        <v/>
      </c>
      <c r="Q3509" s="14">
        <f>O3509-273.15</f>
        <v/>
      </c>
    </row>
    <row r="3510">
      <c r="A3510" s="9" t="n">
        <v>40397</v>
      </c>
      <c r="B3510" s="7">
        <f>YEAR(A3510)</f>
        <v/>
      </c>
      <c r="C3510" s="7">
        <f>MONTH(A3510)</f>
        <v/>
      </c>
      <c r="D3510" s="10" t="n">
        <v>0</v>
      </c>
      <c r="E3510" s="11" t="n">
        <v>12.3195513</v>
      </c>
      <c r="F3510" s="12" t="n">
        <v>0.001627756903</v>
      </c>
      <c r="G3510" s="11" t="n">
        <v>289.5171198</v>
      </c>
      <c r="H3510" s="13">
        <f>F3510*1000</f>
        <v/>
      </c>
      <c r="I3510" s="14">
        <f>G3510-273.15</f>
        <v/>
      </c>
      <c r="K3510" s="15" t="n">
        <v>2010</v>
      </c>
      <c r="L3510" s="15" t="n">
        <v>9</v>
      </c>
      <c r="M3510" s="15" t="n">
        <v>26</v>
      </c>
      <c r="N3510" s="16" t="n">
        <v>4.978014575e-06</v>
      </c>
      <c r="O3510" s="11" t="n">
        <v>283.3940723</v>
      </c>
      <c r="P3510" s="13">
        <f>N3510*86400</f>
        <v/>
      </c>
      <c r="Q3510" s="14">
        <f>O3510-273.15</f>
        <v/>
      </c>
    </row>
    <row r="3511">
      <c r="A3511" s="9" t="n">
        <v>40398</v>
      </c>
      <c r="B3511" s="7">
        <f>YEAR(A3511)</f>
        <v/>
      </c>
      <c r="C3511" s="7">
        <f>MONTH(A3511)</f>
        <v/>
      </c>
      <c r="D3511" s="10" t="n">
        <v>0</v>
      </c>
      <c r="E3511" s="11" t="n">
        <v>12.42239605</v>
      </c>
      <c r="F3511" s="12" t="n">
        <v>0.01266150397</v>
      </c>
      <c r="G3511" s="11" t="n">
        <v>288.9840266</v>
      </c>
      <c r="H3511" s="13">
        <f>F3511*1000</f>
        <v/>
      </c>
      <c r="I3511" s="14">
        <f>G3511-273.15</f>
        <v/>
      </c>
      <c r="K3511" s="15" t="n">
        <v>2010</v>
      </c>
      <c r="L3511" s="15" t="n">
        <v>9</v>
      </c>
      <c r="M3511" s="15" t="n">
        <v>27</v>
      </c>
      <c r="N3511" s="16" t="n">
        <v>7.851937458e-05</v>
      </c>
      <c r="O3511" s="11" t="n">
        <v>286.393878</v>
      </c>
      <c r="P3511" s="13">
        <f>N3511*86400</f>
        <v/>
      </c>
      <c r="Q3511" s="14">
        <f>O3511-273.15</f>
        <v/>
      </c>
    </row>
    <row r="3512">
      <c r="A3512" s="9" t="n">
        <v>40399</v>
      </c>
      <c r="B3512" s="7">
        <f>YEAR(A3512)</f>
        <v/>
      </c>
      <c r="C3512" s="7">
        <f>MONTH(A3512)</f>
        <v/>
      </c>
      <c r="D3512" s="10" t="n">
        <v>1.52698474</v>
      </c>
      <c r="E3512" s="11" t="n">
        <v>12.35757821</v>
      </c>
      <c r="F3512" s="12" t="n">
        <v>0.004777098122</v>
      </c>
      <c r="G3512" s="11" t="n">
        <v>287.9061834</v>
      </c>
      <c r="H3512" s="13">
        <f>F3512*1000</f>
        <v/>
      </c>
      <c r="I3512" s="14">
        <f>G3512-273.15</f>
        <v/>
      </c>
      <c r="K3512" s="15" t="n">
        <v>2010</v>
      </c>
      <c r="L3512" s="15" t="n">
        <v>9</v>
      </c>
      <c r="M3512" s="15" t="n">
        <v>28</v>
      </c>
      <c r="N3512" s="16" t="n">
        <v>2.927841089e-06</v>
      </c>
      <c r="O3512" s="11" t="n">
        <v>286.8927365</v>
      </c>
      <c r="P3512" s="13">
        <f>N3512*86400</f>
        <v/>
      </c>
      <c r="Q3512" s="14">
        <f>O3512-273.15</f>
        <v/>
      </c>
    </row>
    <row r="3513">
      <c r="A3513" s="9" t="n">
        <v>40400</v>
      </c>
      <c r="B3513" s="7">
        <f>YEAR(A3513)</f>
        <v/>
      </c>
      <c r="C3513" s="7">
        <f>MONTH(A3513)</f>
        <v/>
      </c>
      <c r="D3513" s="10" t="n">
        <v>1.192519837</v>
      </c>
      <c r="E3513" s="11" t="n">
        <v>10.31919585</v>
      </c>
      <c r="F3513" s="12" t="n">
        <v>0.001375921002</v>
      </c>
      <c r="G3513" s="11" t="n">
        <v>285.3916424</v>
      </c>
      <c r="H3513" s="13">
        <f>F3513*1000</f>
        <v/>
      </c>
      <c r="I3513" s="14">
        <f>G3513-273.15</f>
        <v/>
      </c>
      <c r="K3513" s="15" t="n">
        <v>2010</v>
      </c>
      <c r="L3513" s="15" t="n">
        <v>9</v>
      </c>
      <c r="M3513" s="15" t="n">
        <v>29</v>
      </c>
      <c r="N3513" s="16" t="n">
        <v>3.018036949e-05</v>
      </c>
      <c r="O3513" s="11" t="n">
        <v>286.3858361</v>
      </c>
      <c r="P3513" s="13">
        <f>N3513*86400</f>
        <v/>
      </c>
      <c r="Q3513" s="14">
        <f>O3513-273.15</f>
        <v/>
      </c>
    </row>
    <row r="3514">
      <c r="A3514" s="9" t="n">
        <v>40401</v>
      </c>
      <c r="B3514" s="7">
        <f>YEAR(A3514)</f>
        <v/>
      </c>
      <c r="C3514" s="7">
        <f>MONTH(A3514)</f>
        <v/>
      </c>
      <c r="D3514" s="10" t="n">
        <v>0.2290156383</v>
      </c>
      <c r="E3514" s="11" t="n">
        <v>12.62387481</v>
      </c>
      <c r="F3514" s="12" t="n">
        <v>0.000623399454</v>
      </c>
      <c r="G3514" s="11" t="n">
        <v>287.5152196</v>
      </c>
      <c r="H3514" s="13">
        <f>F3514*1000</f>
        <v/>
      </c>
      <c r="I3514" s="14">
        <f>G3514-273.15</f>
        <v/>
      </c>
      <c r="K3514" s="15" t="n">
        <v>2010</v>
      </c>
      <c r="L3514" s="15" t="n">
        <v>9</v>
      </c>
      <c r="M3514" s="15" t="n">
        <v>30</v>
      </c>
      <c r="N3514" s="16" t="n">
        <v>0</v>
      </c>
      <c r="O3514" s="11" t="n">
        <v>284.9976129</v>
      </c>
      <c r="P3514" s="13">
        <f>N3514*86400</f>
        <v/>
      </c>
      <c r="Q3514" s="14">
        <f>O3514-273.15</f>
        <v/>
      </c>
    </row>
    <row r="3515">
      <c r="A3515" s="9" t="n">
        <v>40402</v>
      </c>
      <c r="B3515" s="7">
        <f>YEAR(A3515)</f>
        <v/>
      </c>
      <c r="C3515" s="7">
        <f>MONTH(A3515)</f>
        <v/>
      </c>
      <c r="D3515" s="10" t="n">
        <v>10.72375186</v>
      </c>
      <c r="E3515" s="11" t="n">
        <v>10.43979223</v>
      </c>
      <c r="F3515" s="12" t="n">
        <v>0.01567113102</v>
      </c>
      <c r="G3515" s="11" t="n">
        <v>285.9956575</v>
      </c>
      <c r="H3515" s="13">
        <f>F3515*1000</f>
        <v/>
      </c>
      <c r="I3515" s="14">
        <f>G3515-273.15</f>
        <v/>
      </c>
      <c r="K3515" s="15" t="n">
        <v>2010</v>
      </c>
      <c r="L3515" s="15" t="n">
        <v>10</v>
      </c>
      <c r="M3515" s="15" t="n">
        <v>1</v>
      </c>
      <c r="N3515" s="16" t="n">
        <v>0</v>
      </c>
      <c r="O3515" s="11" t="n">
        <v>282.0712864</v>
      </c>
      <c r="P3515" s="13">
        <f>N3515*86400</f>
        <v/>
      </c>
      <c r="Q3515" s="14">
        <f>O3515-273.15</f>
        <v/>
      </c>
    </row>
    <row r="3516">
      <c r="A3516" s="9" t="n">
        <v>40403</v>
      </c>
      <c r="B3516" s="7">
        <f>YEAR(A3516)</f>
        <v/>
      </c>
      <c r="C3516" s="7">
        <f>MONTH(A3516)</f>
        <v/>
      </c>
      <c r="D3516" s="10" t="n">
        <v>1.013532021</v>
      </c>
      <c r="E3516" s="11" t="n">
        <v>9.998681920999999</v>
      </c>
      <c r="F3516" s="12" t="n">
        <v>0.002154921421</v>
      </c>
      <c r="G3516" s="11" t="n">
        <v>285.4038811</v>
      </c>
      <c r="H3516" s="13">
        <f>F3516*1000</f>
        <v/>
      </c>
      <c r="I3516" s="14">
        <f>G3516-273.15</f>
        <v/>
      </c>
      <c r="K3516" s="15" t="n">
        <v>2010</v>
      </c>
      <c r="L3516" s="15" t="n">
        <v>10</v>
      </c>
      <c r="M3516" s="15" t="n">
        <v>2</v>
      </c>
      <c r="N3516" s="16" t="n">
        <v>0.000101242652</v>
      </c>
      <c r="O3516" s="11" t="n">
        <v>283.613756</v>
      </c>
      <c r="P3516" s="13">
        <f>N3516*86400</f>
        <v/>
      </c>
      <c r="Q3516" s="14">
        <f>O3516-273.15</f>
        <v/>
      </c>
    </row>
    <row r="3517">
      <c r="A3517" s="9" t="n">
        <v>40404</v>
      </c>
      <c r="B3517" s="7">
        <f>YEAR(A3517)</f>
        <v/>
      </c>
      <c r="C3517" s="7">
        <f>MONTH(A3517)</f>
        <v/>
      </c>
      <c r="D3517" s="10" t="n">
        <v>1.025664274</v>
      </c>
      <c r="E3517" s="11" t="n">
        <v>11.47511869</v>
      </c>
      <c r="F3517" s="12" t="n">
        <v>0.003713622587</v>
      </c>
      <c r="G3517" s="11" t="n">
        <v>286.3565621</v>
      </c>
      <c r="H3517" s="13">
        <f>F3517*1000</f>
        <v/>
      </c>
      <c r="I3517" s="14">
        <f>G3517-273.15</f>
        <v/>
      </c>
      <c r="K3517" s="15" t="n">
        <v>2010</v>
      </c>
      <c r="L3517" s="15" t="n">
        <v>10</v>
      </c>
      <c r="M3517" s="15" t="n">
        <v>3</v>
      </c>
      <c r="N3517" s="16" t="n">
        <v>6.604378447999999e-05</v>
      </c>
      <c r="O3517" s="11" t="n">
        <v>284.6857335</v>
      </c>
      <c r="P3517" s="13">
        <f>N3517*86400</f>
        <v/>
      </c>
      <c r="Q3517" s="14">
        <f>O3517-273.15</f>
        <v/>
      </c>
    </row>
    <row r="3518">
      <c r="A3518" s="9" t="n">
        <v>40405</v>
      </c>
      <c r="B3518" s="7">
        <f>YEAR(A3518)</f>
        <v/>
      </c>
      <c r="C3518" s="7">
        <f>MONTH(A3518)</f>
        <v/>
      </c>
      <c r="D3518" s="10" t="n">
        <v>0</v>
      </c>
      <c r="E3518" s="11" t="n">
        <v>9.375306281</v>
      </c>
      <c r="F3518" s="12" t="n">
        <v>0</v>
      </c>
      <c r="G3518" s="11" t="n">
        <v>285.1979536</v>
      </c>
      <c r="H3518" s="13">
        <f>F3518*1000</f>
        <v/>
      </c>
      <c r="I3518" s="14">
        <f>G3518-273.15</f>
        <v/>
      </c>
      <c r="K3518" s="15" t="n">
        <v>2010</v>
      </c>
      <c r="L3518" s="15" t="n">
        <v>10</v>
      </c>
      <c r="M3518" s="15" t="n">
        <v>4</v>
      </c>
      <c r="N3518" s="16" t="n">
        <v>5.233482659e-05</v>
      </c>
      <c r="O3518" s="11" t="n">
        <v>282.1981166</v>
      </c>
      <c r="P3518" s="13">
        <f>N3518*86400</f>
        <v/>
      </c>
      <c r="Q3518" s="14">
        <f>O3518-273.15</f>
        <v/>
      </c>
    </row>
    <row r="3519">
      <c r="A3519" s="9" t="n">
        <v>40406</v>
      </c>
      <c r="B3519" s="7">
        <f>YEAR(A3519)</f>
        <v/>
      </c>
      <c r="C3519" s="7">
        <f>MONTH(A3519)</f>
        <v/>
      </c>
      <c r="D3519" s="10" t="n">
        <v>3.245185726</v>
      </c>
      <c r="E3519" s="11" t="n">
        <v>9.588034156999999</v>
      </c>
      <c r="F3519" s="12" t="n">
        <v>0.001637162984</v>
      </c>
      <c r="G3519" s="11" t="n">
        <v>285.6368737</v>
      </c>
      <c r="H3519" s="13">
        <f>F3519*1000</f>
        <v/>
      </c>
      <c r="I3519" s="14">
        <f>G3519-273.15</f>
        <v/>
      </c>
      <c r="K3519" s="15" t="n">
        <v>2010</v>
      </c>
      <c r="L3519" s="15" t="n">
        <v>10</v>
      </c>
      <c r="M3519" s="15" t="n">
        <v>5</v>
      </c>
      <c r="N3519" s="16" t="n">
        <v>6.270390393e-06</v>
      </c>
      <c r="O3519" s="11" t="n">
        <v>284.1034516</v>
      </c>
      <c r="P3519" s="13">
        <f>N3519*86400</f>
        <v/>
      </c>
      <c r="Q3519" s="14">
        <f>O3519-273.15</f>
        <v/>
      </c>
    </row>
    <row r="3520">
      <c r="A3520" s="9" t="n">
        <v>40407</v>
      </c>
      <c r="B3520" s="7">
        <f>YEAR(A3520)</f>
        <v/>
      </c>
      <c r="C3520" s="7">
        <f>MONTH(A3520)</f>
        <v/>
      </c>
      <c r="D3520" s="10" t="n">
        <v>3.745875861</v>
      </c>
      <c r="E3520" s="11" t="n">
        <v>9.044911426000001</v>
      </c>
      <c r="F3520" s="12" t="n">
        <v>0.01181756735</v>
      </c>
      <c r="G3520" s="11" t="n">
        <v>284.8827776</v>
      </c>
      <c r="H3520" s="13">
        <f>F3520*1000</f>
        <v/>
      </c>
      <c r="I3520" s="14">
        <f>G3520-273.15</f>
        <v/>
      </c>
      <c r="K3520" s="15" t="n">
        <v>2010</v>
      </c>
      <c r="L3520" s="15" t="n">
        <v>10</v>
      </c>
      <c r="M3520" s="15" t="n">
        <v>6</v>
      </c>
      <c r="N3520" s="16" t="n">
        <v>0</v>
      </c>
      <c r="O3520" s="11" t="n">
        <v>284.8201806</v>
      </c>
      <c r="P3520" s="13">
        <f>N3520*86400</f>
        <v/>
      </c>
      <c r="Q3520" s="14">
        <f>O3520-273.15</f>
        <v/>
      </c>
    </row>
    <row r="3521">
      <c r="A3521" s="9" t="n">
        <v>40408</v>
      </c>
      <c r="B3521" s="7">
        <f>YEAR(A3521)</f>
        <v/>
      </c>
      <c r="C3521" s="7">
        <f>MONTH(A3521)</f>
        <v/>
      </c>
      <c r="D3521" s="10" t="n">
        <v>0.3050226314</v>
      </c>
      <c r="E3521" s="11" t="n">
        <v>9.842991585</v>
      </c>
      <c r="F3521" s="12" t="n">
        <v>0.001746843608</v>
      </c>
      <c r="G3521" s="11" t="n">
        <v>284.3991487</v>
      </c>
      <c r="H3521" s="13">
        <f>F3521*1000</f>
        <v/>
      </c>
      <c r="I3521" s="14">
        <f>G3521-273.15</f>
        <v/>
      </c>
      <c r="K3521" s="15" t="n">
        <v>2010</v>
      </c>
      <c r="L3521" s="15" t="n">
        <v>10</v>
      </c>
      <c r="M3521" s="15" t="n">
        <v>7</v>
      </c>
      <c r="N3521" s="16" t="n">
        <v>0</v>
      </c>
      <c r="O3521" s="11" t="n">
        <v>282.2422908</v>
      </c>
      <c r="P3521" s="13">
        <f>N3521*86400</f>
        <v/>
      </c>
      <c r="Q3521" s="14">
        <f>O3521-273.15</f>
        <v/>
      </c>
    </row>
    <row r="3522">
      <c r="A3522" s="9" t="n">
        <v>40409</v>
      </c>
      <c r="B3522" s="7">
        <f>YEAR(A3522)</f>
        <v/>
      </c>
      <c r="C3522" s="7">
        <f>MONTH(A3522)</f>
        <v/>
      </c>
      <c r="D3522" s="10" t="n">
        <v>0</v>
      </c>
      <c r="E3522" s="11" t="n">
        <v>12.26439067</v>
      </c>
      <c r="F3522" s="12" t="n">
        <v>0</v>
      </c>
      <c r="G3522" s="11" t="n">
        <v>286.5315507</v>
      </c>
      <c r="H3522" s="13">
        <f>F3522*1000</f>
        <v/>
      </c>
      <c r="I3522" s="14">
        <f>G3522-273.15</f>
        <v/>
      </c>
      <c r="K3522" s="15" t="n">
        <v>2010</v>
      </c>
      <c r="L3522" s="15" t="n">
        <v>10</v>
      </c>
      <c r="M3522" s="15" t="n">
        <v>8</v>
      </c>
      <c r="N3522" s="16" t="n">
        <v>9.306891841e-07</v>
      </c>
      <c r="O3522" s="11" t="n">
        <v>282.2363256</v>
      </c>
      <c r="P3522" s="13">
        <f>N3522*86400</f>
        <v/>
      </c>
      <c r="Q3522" s="14">
        <f>O3522-273.15</f>
        <v/>
      </c>
    </row>
    <row r="3523">
      <c r="A3523" s="9" t="n">
        <v>40410</v>
      </c>
      <c r="B3523" s="7">
        <f>YEAR(A3523)</f>
        <v/>
      </c>
      <c r="C3523" s="7">
        <f>MONTH(A3523)</f>
        <v/>
      </c>
      <c r="D3523" s="10" t="n">
        <v>5.727194671</v>
      </c>
      <c r="E3523" s="11" t="n">
        <v>16.62385367</v>
      </c>
      <c r="F3523" s="12" t="n">
        <v>0.002895189121</v>
      </c>
      <c r="G3523" s="11" t="n">
        <v>290.8483395</v>
      </c>
      <c r="H3523" s="13">
        <f>F3523*1000</f>
        <v/>
      </c>
      <c r="I3523" s="14">
        <f>G3523-273.15</f>
        <v/>
      </c>
      <c r="K3523" s="15" t="n">
        <v>2010</v>
      </c>
      <c r="L3523" s="15" t="n">
        <v>10</v>
      </c>
      <c r="M3523" s="15" t="n">
        <v>9</v>
      </c>
      <c r="N3523" s="16" t="n">
        <v>0</v>
      </c>
      <c r="O3523" s="11" t="n">
        <v>283.5146721</v>
      </c>
      <c r="P3523" s="13">
        <f>N3523*86400</f>
        <v/>
      </c>
      <c r="Q3523" s="14">
        <f>O3523-273.15</f>
        <v/>
      </c>
    </row>
    <row r="3524">
      <c r="A3524" s="9" t="n">
        <v>40411</v>
      </c>
      <c r="B3524" s="7">
        <f>YEAR(A3524)</f>
        <v/>
      </c>
      <c r="C3524" s="7">
        <f>MONTH(A3524)</f>
        <v/>
      </c>
      <c r="D3524" s="10" t="n">
        <v>0</v>
      </c>
      <c r="E3524" s="11" t="n">
        <v>15.91290762</v>
      </c>
      <c r="F3524" s="12" t="n">
        <v>0</v>
      </c>
      <c r="G3524" s="11" t="n">
        <v>289.2531903</v>
      </c>
      <c r="H3524" s="13">
        <f>F3524*1000</f>
        <v/>
      </c>
      <c r="I3524" s="14">
        <f>G3524-273.15</f>
        <v/>
      </c>
      <c r="K3524" s="15" t="n">
        <v>2010</v>
      </c>
      <c r="L3524" s="15" t="n">
        <v>10</v>
      </c>
      <c r="M3524" s="15" t="n">
        <v>10</v>
      </c>
      <c r="N3524" s="16" t="n">
        <v>0</v>
      </c>
      <c r="O3524" s="11" t="n">
        <v>284.7827686</v>
      </c>
      <c r="P3524" s="13">
        <f>N3524*86400</f>
        <v/>
      </c>
      <c r="Q3524" s="14">
        <f>O3524-273.15</f>
        <v/>
      </c>
    </row>
    <row r="3525">
      <c r="A3525" s="9" t="n">
        <v>40412</v>
      </c>
      <c r="B3525" s="7">
        <f>YEAR(A3525)</f>
        <v/>
      </c>
      <c r="C3525" s="7">
        <f>MONTH(A3525)</f>
        <v/>
      </c>
      <c r="D3525" s="10" t="n">
        <v>13.23770016</v>
      </c>
      <c r="E3525" s="11" t="n">
        <v>14.68125329</v>
      </c>
      <c r="F3525" s="12" t="n">
        <v>0.01595313665</v>
      </c>
      <c r="G3525" s="11" t="n">
        <v>289.0293637</v>
      </c>
      <c r="H3525" s="13">
        <f>F3525*1000</f>
        <v/>
      </c>
      <c r="I3525" s="14">
        <f>G3525-273.15</f>
        <v/>
      </c>
      <c r="K3525" s="15" t="n">
        <v>2010</v>
      </c>
      <c r="L3525" s="15" t="n">
        <v>10</v>
      </c>
      <c r="M3525" s="15" t="n">
        <v>11</v>
      </c>
      <c r="N3525" s="16" t="n">
        <v>2.01905024e-05</v>
      </c>
      <c r="O3525" s="11" t="n">
        <v>284.4263044</v>
      </c>
      <c r="P3525" s="13">
        <f>N3525*86400</f>
        <v/>
      </c>
      <c r="Q3525" s="14">
        <f>O3525-273.15</f>
        <v/>
      </c>
    </row>
    <row r="3526">
      <c r="A3526" s="9" t="n">
        <v>40413</v>
      </c>
      <c r="B3526" s="7">
        <f>YEAR(A3526)</f>
        <v/>
      </c>
      <c r="C3526" s="7">
        <f>MONTH(A3526)</f>
        <v/>
      </c>
      <c r="D3526" s="10" t="n">
        <v>37.63493179</v>
      </c>
      <c r="E3526" s="11" t="n">
        <v>13.98781277</v>
      </c>
      <c r="F3526" s="12" t="n">
        <v>0.02989888305</v>
      </c>
      <c r="G3526" s="11" t="n">
        <v>289.1173559</v>
      </c>
      <c r="H3526" s="13">
        <f>F3526*1000</f>
        <v/>
      </c>
      <c r="I3526" s="14">
        <f>G3526-273.15</f>
        <v/>
      </c>
      <c r="K3526" s="15" t="n">
        <v>2010</v>
      </c>
      <c r="L3526" s="15" t="n">
        <v>10</v>
      </c>
      <c r="M3526" s="15" t="n">
        <v>12</v>
      </c>
      <c r="N3526" s="16" t="n">
        <v>1.880532481e-05</v>
      </c>
      <c r="O3526" s="11" t="n">
        <v>283.9636114</v>
      </c>
      <c r="P3526" s="13">
        <f>N3526*86400</f>
        <v/>
      </c>
      <c r="Q3526" s="14">
        <f>O3526-273.15</f>
        <v/>
      </c>
    </row>
    <row r="3527">
      <c r="A3527" s="9" t="n">
        <v>40414</v>
      </c>
      <c r="B3527" s="7">
        <f>YEAR(A3527)</f>
        <v/>
      </c>
      <c r="C3527" s="7">
        <f>MONTH(A3527)</f>
        <v/>
      </c>
      <c r="D3527" s="10" t="n">
        <v>0</v>
      </c>
      <c r="E3527" s="11" t="n">
        <v>15.93294293</v>
      </c>
      <c r="F3527" s="12" t="n">
        <v>0.004816181136</v>
      </c>
      <c r="G3527" s="11" t="n">
        <v>291.2918554</v>
      </c>
      <c r="H3527" s="13">
        <f>F3527*1000</f>
        <v/>
      </c>
      <c r="I3527" s="14">
        <f>G3527-273.15</f>
        <v/>
      </c>
      <c r="K3527" s="15" t="n">
        <v>2010</v>
      </c>
      <c r="L3527" s="15" t="n">
        <v>10</v>
      </c>
      <c r="M3527" s="15" t="n">
        <v>13</v>
      </c>
      <c r="N3527" s="16" t="n">
        <v>3.125987782e-05</v>
      </c>
      <c r="O3527" s="11" t="n">
        <v>284.8360117</v>
      </c>
      <c r="P3527" s="13">
        <f>N3527*86400</f>
        <v/>
      </c>
      <c r="Q3527" s="14">
        <f>O3527-273.15</f>
        <v/>
      </c>
    </row>
    <row r="3528">
      <c r="A3528" s="9" t="n">
        <v>40415</v>
      </c>
      <c r="B3528" s="7">
        <f>YEAR(A3528)</f>
        <v/>
      </c>
      <c r="C3528" s="7">
        <f>MONTH(A3528)</f>
        <v/>
      </c>
      <c r="D3528" s="10" t="n">
        <v>0.3456926944</v>
      </c>
      <c r="E3528" s="11" t="n">
        <v>14.792702</v>
      </c>
      <c r="F3528" s="12" t="n">
        <v>0.004155136513</v>
      </c>
      <c r="G3528" s="11" t="n">
        <v>289.7837428</v>
      </c>
      <c r="H3528" s="13">
        <f>F3528*1000</f>
        <v/>
      </c>
      <c r="I3528" s="14">
        <f>G3528-273.15</f>
        <v/>
      </c>
      <c r="K3528" s="15" t="n">
        <v>2010</v>
      </c>
      <c r="L3528" s="15" t="n">
        <v>10</v>
      </c>
      <c r="M3528" s="15" t="n">
        <v>14</v>
      </c>
      <c r="N3528" s="16" t="n">
        <v>0.0001425548038</v>
      </c>
      <c r="O3528" s="11" t="n">
        <v>283.8623825</v>
      </c>
      <c r="P3528" s="13">
        <f>N3528*86400</f>
        <v/>
      </c>
      <c r="Q3528" s="14">
        <f>O3528-273.15</f>
        <v/>
      </c>
    </row>
    <row r="3529">
      <c r="A3529" s="9" t="n">
        <v>40416</v>
      </c>
      <c r="B3529" s="7">
        <f>YEAR(A3529)</f>
        <v/>
      </c>
      <c r="C3529" s="7">
        <f>MONTH(A3529)</f>
        <v/>
      </c>
      <c r="D3529" s="10" t="n">
        <v>0</v>
      </c>
      <c r="E3529" s="11" t="n">
        <v>12.56684687</v>
      </c>
      <c r="F3529" s="12" t="n">
        <v>0.002053063746</v>
      </c>
      <c r="G3529" s="11" t="n">
        <v>288.5406682</v>
      </c>
      <c r="H3529" s="13">
        <f>F3529*1000</f>
        <v/>
      </c>
      <c r="I3529" s="14">
        <f>G3529-273.15</f>
        <v/>
      </c>
      <c r="K3529" s="15" t="n">
        <v>2010</v>
      </c>
      <c r="L3529" s="15" t="n">
        <v>10</v>
      </c>
      <c r="M3529" s="15" t="n">
        <v>15</v>
      </c>
      <c r="N3529" s="16" t="n">
        <v>2.607517191e-06</v>
      </c>
      <c r="O3529" s="11" t="n">
        <v>282.6552993</v>
      </c>
      <c r="P3529" s="13">
        <f>N3529*86400</f>
        <v/>
      </c>
      <c r="Q3529" s="14">
        <f>O3529-273.15</f>
        <v/>
      </c>
    </row>
    <row r="3530">
      <c r="A3530" s="9" t="n">
        <v>40417</v>
      </c>
      <c r="B3530" s="7">
        <f>YEAR(A3530)</f>
        <v/>
      </c>
      <c r="C3530" s="7">
        <f>MONTH(A3530)</f>
        <v/>
      </c>
      <c r="D3530" s="10" t="n">
        <v>0</v>
      </c>
      <c r="E3530" s="11" t="n">
        <v>16.75703121</v>
      </c>
      <c r="F3530" s="12" t="n">
        <v>0</v>
      </c>
      <c r="G3530" s="11" t="n">
        <v>292.6696048</v>
      </c>
      <c r="H3530" s="13">
        <f>F3530*1000</f>
        <v/>
      </c>
      <c r="I3530" s="14">
        <f>G3530-273.15</f>
        <v/>
      </c>
      <c r="K3530" s="15" t="n">
        <v>2010</v>
      </c>
      <c r="L3530" s="15" t="n">
        <v>10</v>
      </c>
      <c r="M3530" s="15" t="n">
        <v>16</v>
      </c>
      <c r="N3530" s="16" t="n">
        <v>8.519473132e-06</v>
      </c>
      <c r="O3530" s="11" t="n">
        <v>285.3434377</v>
      </c>
      <c r="P3530" s="13">
        <f>N3530*86400</f>
        <v/>
      </c>
      <c r="Q3530" s="14">
        <f>O3530-273.15</f>
        <v/>
      </c>
    </row>
    <row r="3531">
      <c r="A3531" s="9" t="n">
        <v>40418</v>
      </c>
      <c r="B3531" s="7">
        <f>YEAR(A3531)</f>
        <v/>
      </c>
      <c r="C3531" s="7">
        <f>MONTH(A3531)</f>
        <v/>
      </c>
      <c r="D3531" s="10" t="n">
        <v>0</v>
      </c>
      <c r="E3531" s="11" t="n">
        <v>15.70450836</v>
      </c>
      <c r="F3531" s="12" t="n">
        <v>6.163779191e-05</v>
      </c>
      <c r="G3531" s="11" t="n">
        <v>291.8433204</v>
      </c>
      <c r="H3531" s="13">
        <f>F3531*1000</f>
        <v/>
      </c>
      <c r="I3531" s="14">
        <f>G3531-273.15</f>
        <v/>
      </c>
      <c r="K3531" s="15" t="n">
        <v>2010</v>
      </c>
      <c r="L3531" s="15" t="n">
        <v>10</v>
      </c>
      <c r="M3531" s="15" t="n">
        <v>17</v>
      </c>
      <c r="N3531" s="16" t="n">
        <v>4.511470598e-06</v>
      </c>
      <c r="O3531" s="11" t="n">
        <v>285.3920964</v>
      </c>
      <c r="P3531" s="13">
        <f>N3531*86400</f>
        <v/>
      </c>
      <c r="Q3531" s="14">
        <f>O3531-273.15</f>
        <v/>
      </c>
    </row>
    <row r="3532">
      <c r="A3532" s="9" t="n">
        <v>40419</v>
      </c>
      <c r="B3532" s="7">
        <f>YEAR(A3532)</f>
        <v/>
      </c>
      <c r="C3532" s="7">
        <f>MONTH(A3532)</f>
        <v/>
      </c>
      <c r="D3532" s="10" t="n">
        <v>0.9977339115</v>
      </c>
      <c r="E3532" s="11" t="n">
        <v>13.15864231</v>
      </c>
      <c r="F3532" s="12" t="n">
        <v>0.0002638119142</v>
      </c>
      <c r="G3532" s="11" t="n">
        <v>289.3996249</v>
      </c>
      <c r="H3532" s="13">
        <f>F3532*1000</f>
        <v/>
      </c>
      <c r="I3532" s="14">
        <f>G3532-273.15</f>
        <v/>
      </c>
      <c r="K3532" s="15" t="n">
        <v>2010</v>
      </c>
      <c r="L3532" s="15" t="n">
        <v>10</v>
      </c>
      <c r="M3532" s="15" t="n">
        <v>18</v>
      </c>
      <c r="N3532" s="16" t="n">
        <v>0.0001572741499</v>
      </c>
      <c r="O3532" s="11" t="n">
        <v>283.4814092</v>
      </c>
      <c r="P3532" s="13">
        <f>N3532*86400</f>
        <v/>
      </c>
      <c r="Q3532" s="14">
        <f>O3532-273.15</f>
        <v/>
      </c>
    </row>
    <row r="3533">
      <c r="A3533" s="9" t="n">
        <v>40420</v>
      </c>
      <c r="B3533" s="7">
        <f>YEAR(A3533)</f>
        <v/>
      </c>
      <c r="C3533" s="7">
        <f>MONTH(A3533)</f>
        <v/>
      </c>
      <c r="D3533" s="10" t="n">
        <v>1.280308976</v>
      </c>
      <c r="E3533" s="11" t="n">
        <v>12.85032283</v>
      </c>
      <c r="F3533" s="12" t="n">
        <v>0.005617646493</v>
      </c>
      <c r="G3533" s="11" t="n">
        <v>289.7499973</v>
      </c>
      <c r="H3533" s="13">
        <f>F3533*1000</f>
        <v/>
      </c>
      <c r="I3533" s="14">
        <f>G3533-273.15</f>
        <v/>
      </c>
      <c r="K3533" s="15" t="n">
        <v>2010</v>
      </c>
      <c r="L3533" s="15" t="n">
        <v>10</v>
      </c>
      <c r="M3533" s="15" t="n">
        <v>19</v>
      </c>
      <c r="N3533" s="16" t="n">
        <v>2.108797481e-05</v>
      </c>
      <c r="O3533" s="11" t="n">
        <v>285.1153169</v>
      </c>
      <c r="P3533" s="13">
        <f>N3533*86400</f>
        <v/>
      </c>
      <c r="Q3533" s="14">
        <f>O3533-273.15</f>
        <v/>
      </c>
    </row>
    <row r="3534">
      <c r="A3534" s="9" t="n">
        <v>40421</v>
      </c>
      <c r="B3534" s="7">
        <f>YEAR(A3534)</f>
        <v/>
      </c>
      <c r="C3534" s="7">
        <f>MONTH(A3534)</f>
        <v/>
      </c>
      <c r="D3534" s="10" t="n">
        <v>3.024076555</v>
      </c>
      <c r="E3534" s="11" t="n">
        <v>12.66944745</v>
      </c>
      <c r="F3534" s="12" t="n">
        <v>0.0004542167024</v>
      </c>
      <c r="G3534" s="11" t="n">
        <v>288.5824959</v>
      </c>
      <c r="H3534" s="13">
        <f>F3534*1000</f>
        <v/>
      </c>
      <c r="I3534" s="14">
        <f>G3534-273.15</f>
        <v/>
      </c>
      <c r="K3534" s="15" t="n">
        <v>2010</v>
      </c>
      <c r="L3534" s="15" t="n">
        <v>10</v>
      </c>
      <c r="M3534" s="15" t="n">
        <v>20</v>
      </c>
      <c r="N3534" s="16" t="n">
        <v>3.91380345e-06</v>
      </c>
      <c r="O3534" s="11" t="n">
        <v>283.3433129</v>
      </c>
      <c r="P3534" s="13">
        <f>N3534*86400</f>
        <v/>
      </c>
      <c r="Q3534" s="14">
        <f>O3534-273.15</f>
        <v/>
      </c>
    </row>
    <row r="3535">
      <c r="A3535" s="9" t="n">
        <v>40422</v>
      </c>
      <c r="B3535" s="7">
        <f>YEAR(A3535)</f>
        <v/>
      </c>
      <c r="C3535" s="7">
        <f>MONTH(A3535)</f>
        <v/>
      </c>
      <c r="D3535" s="10" t="n">
        <v>2.707426131</v>
      </c>
      <c r="E3535" s="11" t="n">
        <v>14.55145048</v>
      </c>
      <c r="F3535" s="12" t="n">
        <v>0.00551682951</v>
      </c>
      <c r="G3535" s="11" t="n">
        <v>290.2169367</v>
      </c>
      <c r="H3535" s="13">
        <f>F3535*1000</f>
        <v/>
      </c>
      <c r="I3535" s="14">
        <f>G3535-273.15</f>
        <v/>
      </c>
      <c r="K3535" s="15" t="n">
        <v>2010</v>
      </c>
      <c r="L3535" s="15" t="n">
        <v>10</v>
      </c>
      <c r="M3535" s="15" t="n">
        <v>21</v>
      </c>
      <c r="N3535" s="16" t="n">
        <v>0</v>
      </c>
      <c r="O3535" s="11" t="n">
        <v>287.0639425</v>
      </c>
      <c r="P3535" s="13">
        <f>N3535*86400</f>
        <v/>
      </c>
      <c r="Q3535" s="14">
        <f>O3535-273.15</f>
        <v/>
      </c>
    </row>
    <row r="3536">
      <c r="A3536" s="9" t="n">
        <v>40423</v>
      </c>
      <c r="B3536" s="7">
        <f>YEAR(A3536)</f>
        <v/>
      </c>
      <c r="C3536" s="7">
        <f>MONTH(A3536)</f>
        <v/>
      </c>
      <c r="D3536" s="10" t="n">
        <v>3.967463875</v>
      </c>
      <c r="E3536" s="11" t="n">
        <v>14.33763774</v>
      </c>
      <c r="F3536" s="12" t="n">
        <v>0.008753053863</v>
      </c>
      <c r="G3536" s="11" t="n">
        <v>289.8427591</v>
      </c>
      <c r="H3536" s="13">
        <f>F3536*1000</f>
        <v/>
      </c>
      <c r="I3536" s="14">
        <f>G3536-273.15</f>
        <v/>
      </c>
      <c r="K3536" s="15" t="n">
        <v>2010</v>
      </c>
      <c r="L3536" s="15" t="n">
        <v>10</v>
      </c>
      <c r="M3536" s="15" t="n">
        <v>22</v>
      </c>
      <c r="N3536" s="16" t="n">
        <v>0</v>
      </c>
      <c r="O3536" s="11" t="n">
        <v>285.0209454</v>
      </c>
      <c r="P3536" s="13">
        <f>N3536*86400</f>
        <v/>
      </c>
      <c r="Q3536" s="14">
        <f>O3536-273.15</f>
        <v/>
      </c>
    </row>
    <row r="3537">
      <c r="A3537" s="9" t="n">
        <v>40424</v>
      </c>
      <c r="B3537" s="7">
        <f>YEAR(A3537)</f>
        <v/>
      </c>
      <c r="C3537" s="7">
        <f>MONTH(A3537)</f>
        <v/>
      </c>
      <c r="D3537" s="10" t="n">
        <v>0.1849258172</v>
      </c>
      <c r="E3537" s="11" t="n">
        <v>13.84297092</v>
      </c>
      <c r="F3537" s="12" t="n">
        <v>0.009186272198000001</v>
      </c>
      <c r="G3537" s="11" t="n">
        <v>289.425408</v>
      </c>
      <c r="H3537" s="13">
        <f>F3537*1000</f>
        <v/>
      </c>
      <c r="I3537" s="14">
        <f>G3537-273.15</f>
        <v/>
      </c>
      <c r="K3537" s="15" t="n">
        <v>2010</v>
      </c>
      <c r="L3537" s="15" t="n">
        <v>10</v>
      </c>
      <c r="M3537" s="15" t="n">
        <v>23</v>
      </c>
      <c r="N3537" s="16" t="n">
        <v>0</v>
      </c>
      <c r="O3537" s="11" t="n">
        <v>284.223224</v>
      </c>
      <c r="P3537" s="13">
        <f>N3537*86400</f>
        <v/>
      </c>
      <c r="Q3537" s="14">
        <f>O3537-273.15</f>
        <v/>
      </c>
    </row>
    <row r="3538">
      <c r="A3538" s="9" t="n">
        <v>40425</v>
      </c>
      <c r="B3538" s="7">
        <f>YEAR(A3538)</f>
        <v/>
      </c>
      <c r="C3538" s="7">
        <f>MONTH(A3538)</f>
        <v/>
      </c>
      <c r="D3538" s="10" t="n">
        <v>0</v>
      </c>
      <c r="E3538" s="11" t="n">
        <v>11.33020521</v>
      </c>
      <c r="F3538" s="12" t="n">
        <v>0.007830632493000001</v>
      </c>
      <c r="G3538" s="11" t="n">
        <v>286.2923191</v>
      </c>
      <c r="H3538" s="13">
        <f>F3538*1000</f>
        <v/>
      </c>
      <c r="I3538" s="14">
        <f>G3538-273.15</f>
        <v/>
      </c>
      <c r="K3538" s="15" t="n">
        <v>2010</v>
      </c>
      <c r="L3538" s="15" t="n">
        <v>10</v>
      </c>
      <c r="M3538" s="15" t="n">
        <v>24</v>
      </c>
      <c r="N3538" s="16" t="n">
        <v>0</v>
      </c>
      <c r="O3538" s="11" t="n">
        <v>284.2004864</v>
      </c>
      <c r="P3538" s="13">
        <f>N3538*86400</f>
        <v/>
      </c>
      <c r="Q3538" s="14">
        <f>O3538-273.15</f>
        <v/>
      </c>
    </row>
    <row r="3539">
      <c r="A3539" s="9" t="n">
        <v>40426</v>
      </c>
      <c r="B3539" s="7">
        <f>YEAR(A3539)</f>
        <v/>
      </c>
      <c r="C3539" s="7">
        <f>MONTH(A3539)</f>
        <v/>
      </c>
      <c r="D3539" s="10" t="n">
        <v>1.655141749</v>
      </c>
      <c r="E3539" s="11" t="n">
        <v>10.82145081</v>
      </c>
      <c r="F3539" s="12" t="n">
        <v>0.00991558247</v>
      </c>
      <c r="G3539" s="11" t="n">
        <v>286.7431881</v>
      </c>
      <c r="H3539" s="13">
        <f>F3539*1000</f>
        <v/>
      </c>
      <c r="I3539" s="14">
        <f>G3539-273.15</f>
        <v/>
      </c>
      <c r="K3539" s="15" t="n">
        <v>2010</v>
      </c>
      <c r="L3539" s="15" t="n">
        <v>10</v>
      </c>
      <c r="M3539" s="15" t="n">
        <v>25</v>
      </c>
      <c r="N3539" s="16" t="n">
        <v>2.236510683e-05</v>
      </c>
      <c r="O3539" s="11" t="n">
        <v>283.617335</v>
      </c>
      <c r="P3539" s="13">
        <f>N3539*86400</f>
        <v/>
      </c>
      <c r="Q3539" s="14">
        <f>O3539-273.15</f>
        <v/>
      </c>
    </row>
    <row r="3540">
      <c r="A3540" s="9" t="n">
        <v>40427</v>
      </c>
      <c r="B3540" s="7">
        <f>YEAR(A3540)</f>
        <v/>
      </c>
      <c r="C3540" s="7">
        <f>MONTH(A3540)</f>
        <v/>
      </c>
      <c r="D3540" s="10" t="n">
        <v>0.3170692498</v>
      </c>
      <c r="E3540" s="11" t="n">
        <v>11.94415302</v>
      </c>
      <c r="F3540" s="12" t="n">
        <v>0.006257351483</v>
      </c>
      <c r="G3540" s="11" t="n">
        <v>287.3387876</v>
      </c>
      <c r="H3540" s="13">
        <f>F3540*1000</f>
        <v/>
      </c>
      <c r="I3540" s="14">
        <f>G3540-273.15</f>
        <v/>
      </c>
      <c r="K3540" s="15" t="n">
        <v>2010</v>
      </c>
      <c r="L3540" s="15" t="n">
        <v>10</v>
      </c>
      <c r="M3540" s="15" t="n">
        <v>26</v>
      </c>
      <c r="N3540" s="16" t="n">
        <v>0</v>
      </c>
      <c r="O3540" s="11" t="n">
        <v>283.52754</v>
      </c>
      <c r="P3540" s="13">
        <f>N3540*86400</f>
        <v/>
      </c>
      <c r="Q3540" s="14">
        <f>O3540-273.15</f>
        <v/>
      </c>
    </row>
    <row r="3541">
      <c r="A3541" s="9" t="n">
        <v>40428</v>
      </c>
      <c r="B3541" s="7">
        <f>YEAR(A3541)</f>
        <v/>
      </c>
      <c r="C3541" s="7">
        <f>MONTH(A3541)</f>
        <v/>
      </c>
      <c r="D3541" s="10" t="n">
        <v>0</v>
      </c>
      <c r="E3541" s="11" t="n">
        <v>11.58824767</v>
      </c>
      <c r="F3541" s="12" t="n">
        <v>0.001562868732</v>
      </c>
      <c r="G3541" s="11" t="n">
        <v>286.987546</v>
      </c>
      <c r="H3541" s="13">
        <f>F3541*1000</f>
        <v/>
      </c>
      <c r="I3541" s="14">
        <f>G3541-273.15</f>
        <v/>
      </c>
      <c r="K3541" s="15" t="n">
        <v>2010</v>
      </c>
      <c r="L3541" s="15" t="n">
        <v>10</v>
      </c>
      <c r="M3541" s="15" t="n">
        <v>27</v>
      </c>
      <c r="N3541" s="16" t="n">
        <v>0</v>
      </c>
      <c r="O3541" s="11" t="n">
        <v>282.6040494</v>
      </c>
      <c r="P3541" s="13">
        <f>N3541*86400</f>
        <v/>
      </c>
      <c r="Q3541" s="14">
        <f>O3541-273.15</f>
        <v/>
      </c>
    </row>
    <row r="3542">
      <c r="A3542" s="9" t="n">
        <v>40429</v>
      </c>
      <c r="B3542" s="7">
        <f>YEAR(A3542)</f>
        <v/>
      </c>
      <c r="C3542" s="7">
        <f>MONTH(A3542)</f>
        <v/>
      </c>
      <c r="D3542" s="10" t="n">
        <v>0</v>
      </c>
      <c r="E3542" s="11" t="n">
        <v>9.593359779</v>
      </c>
      <c r="F3542" s="12" t="n">
        <v>0</v>
      </c>
      <c r="G3542" s="11" t="n">
        <v>284.4421275</v>
      </c>
      <c r="H3542" s="13">
        <f>F3542*1000</f>
        <v/>
      </c>
      <c r="I3542" s="14">
        <f>G3542-273.15</f>
        <v/>
      </c>
      <c r="K3542" s="15" t="n">
        <v>2010</v>
      </c>
      <c r="L3542" s="15" t="n">
        <v>10</v>
      </c>
      <c r="M3542" s="15" t="n">
        <v>28</v>
      </c>
      <c r="N3542" s="16" t="n">
        <v>0</v>
      </c>
      <c r="O3542" s="11" t="n">
        <v>283.5037048</v>
      </c>
      <c r="P3542" s="13">
        <f>N3542*86400</f>
        <v/>
      </c>
      <c r="Q3542" s="14">
        <f>O3542-273.15</f>
        <v/>
      </c>
    </row>
    <row r="3543">
      <c r="A3543" s="9" t="n">
        <v>40430</v>
      </c>
      <c r="B3543" s="7">
        <f>YEAR(A3543)</f>
        <v/>
      </c>
      <c r="C3543" s="7">
        <f>MONTH(A3543)</f>
        <v/>
      </c>
      <c r="D3543" s="10" t="n">
        <v>7.97236892</v>
      </c>
      <c r="E3543" s="11" t="n">
        <v>9.457816169000001</v>
      </c>
      <c r="F3543" s="12" t="n">
        <v>0.01018957262</v>
      </c>
      <c r="G3543" s="11" t="n">
        <v>284.5535146</v>
      </c>
      <c r="H3543" s="13">
        <f>F3543*1000</f>
        <v/>
      </c>
      <c r="I3543" s="14">
        <f>G3543-273.15</f>
        <v/>
      </c>
      <c r="K3543" s="15" t="n">
        <v>2010</v>
      </c>
      <c r="L3543" s="15" t="n">
        <v>10</v>
      </c>
      <c r="M3543" s="15" t="n">
        <v>29</v>
      </c>
      <c r="N3543" s="16" t="n">
        <v>0</v>
      </c>
      <c r="O3543" s="11" t="n">
        <v>281.4037113</v>
      </c>
      <c r="P3543" s="13">
        <f>N3543*86400</f>
        <v/>
      </c>
      <c r="Q3543" s="14">
        <f>O3543-273.15</f>
        <v/>
      </c>
    </row>
    <row r="3544">
      <c r="A3544" s="9" t="n">
        <v>40431</v>
      </c>
      <c r="B3544" s="7">
        <f>YEAR(A3544)</f>
        <v/>
      </c>
      <c r="C3544" s="7">
        <f>MONTH(A3544)</f>
        <v/>
      </c>
      <c r="D3544" s="10" t="n">
        <v>1.291847268</v>
      </c>
      <c r="E3544" s="11" t="n">
        <v>8.725436082</v>
      </c>
      <c r="F3544" s="12" t="n">
        <v>0.003716333555</v>
      </c>
      <c r="G3544" s="11" t="n">
        <v>284.0559205</v>
      </c>
      <c r="H3544" s="13">
        <f>F3544*1000</f>
        <v/>
      </c>
      <c r="I3544" s="14">
        <f>G3544-273.15</f>
        <v/>
      </c>
      <c r="K3544" s="15" t="n">
        <v>2010</v>
      </c>
      <c r="L3544" s="15" t="n">
        <v>10</v>
      </c>
      <c r="M3544" s="15" t="n">
        <v>30</v>
      </c>
      <c r="N3544" s="16" t="n">
        <v>5.451438931e-06</v>
      </c>
      <c r="O3544" s="11" t="n">
        <v>282.1026782</v>
      </c>
      <c r="P3544" s="13">
        <f>N3544*86400</f>
        <v/>
      </c>
      <c r="Q3544" s="14">
        <f>O3544-273.15</f>
        <v/>
      </c>
    </row>
    <row r="3545">
      <c r="A3545" s="9" t="n">
        <v>40432</v>
      </c>
      <c r="B3545" s="7">
        <f>YEAR(A3545)</f>
        <v/>
      </c>
      <c r="C3545" s="7">
        <f>MONTH(A3545)</f>
        <v/>
      </c>
      <c r="D3545" s="10" t="n">
        <v>0</v>
      </c>
      <c r="E3545" s="11" t="n">
        <v>9.238886387000001</v>
      </c>
      <c r="F3545" s="12" t="n">
        <v>0.001858441989</v>
      </c>
      <c r="G3545" s="11" t="n">
        <v>285.2204339</v>
      </c>
      <c r="H3545" s="13">
        <f>F3545*1000</f>
        <v/>
      </c>
      <c r="I3545" s="14">
        <f>G3545-273.15</f>
        <v/>
      </c>
      <c r="K3545" s="15" t="n">
        <v>2010</v>
      </c>
      <c r="L3545" s="15" t="n">
        <v>11</v>
      </c>
      <c r="M3545" s="15" t="n">
        <v>1</v>
      </c>
      <c r="N3545" s="16" t="n">
        <v>6.265532141e-05</v>
      </c>
      <c r="O3545" s="11" t="n">
        <v>281.0308958</v>
      </c>
      <c r="P3545" s="13">
        <f>N3545*86400</f>
        <v/>
      </c>
      <c r="Q3545" s="14">
        <f>O3545-273.15</f>
        <v/>
      </c>
    </row>
    <row r="3546">
      <c r="A3546" s="9" t="n">
        <v>40433</v>
      </c>
      <c r="B3546" s="7">
        <f>YEAR(A3546)</f>
        <v/>
      </c>
      <c r="C3546" s="7">
        <f>MONTH(A3546)</f>
        <v/>
      </c>
      <c r="D3546" s="10" t="n">
        <v>0</v>
      </c>
      <c r="E3546" s="11" t="n">
        <v>10.28553155</v>
      </c>
      <c r="F3546" s="12" t="n">
        <v>1.947365921e-05</v>
      </c>
      <c r="G3546" s="11" t="n">
        <v>286.1409598</v>
      </c>
      <c r="H3546" s="13">
        <f>F3546*1000</f>
        <v/>
      </c>
      <c r="I3546" s="14">
        <f>G3546-273.15</f>
        <v/>
      </c>
      <c r="K3546" s="15" t="n">
        <v>2010</v>
      </c>
      <c r="L3546" s="15" t="n">
        <v>11</v>
      </c>
      <c r="M3546" s="15" t="n">
        <v>2</v>
      </c>
      <c r="N3546" s="16" t="n">
        <v>0.0001219083369</v>
      </c>
      <c r="O3546" s="11" t="n">
        <v>282.942915</v>
      </c>
      <c r="P3546" s="13">
        <f>N3546*86400</f>
        <v/>
      </c>
      <c r="Q3546" s="14">
        <f>O3546-273.15</f>
        <v/>
      </c>
    </row>
    <row r="3547">
      <c r="A3547" s="9" t="n">
        <v>40434</v>
      </c>
      <c r="B3547" s="7">
        <f>YEAR(A3547)</f>
        <v/>
      </c>
      <c r="C3547" s="7">
        <f>MONTH(A3547)</f>
        <v/>
      </c>
      <c r="D3547" s="10" t="n">
        <v>0</v>
      </c>
      <c r="E3547" s="11" t="n">
        <v>9.460601407</v>
      </c>
      <c r="F3547" s="12" t="n">
        <v>0</v>
      </c>
      <c r="G3547" s="11" t="n">
        <v>284.4470505</v>
      </c>
      <c r="H3547" s="13">
        <f>F3547*1000</f>
        <v/>
      </c>
      <c r="I3547" s="14">
        <f>G3547-273.15</f>
        <v/>
      </c>
      <c r="K3547" s="15" t="n">
        <v>2010</v>
      </c>
      <c r="L3547" s="15" t="n">
        <v>11</v>
      </c>
      <c r="M3547" s="15" t="n">
        <v>3</v>
      </c>
      <c r="N3547" s="16" t="n">
        <v>4.937147019e-05</v>
      </c>
      <c r="O3547" s="11" t="n">
        <v>282.9057633</v>
      </c>
      <c r="P3547" s="13">
        <f>N3547*86400</f>
        <v/>
      </c>
      <c r="Q3547" s="14">
        <f>O3547-273.15</f>
        <v/>
      </c>
    </row>
    <row r="3548">
      <c r="A3548" s="9" t="n">
        <v>40435</v>
      </c>
      <c r="B3548" s="7">
        <f>YEAR(A3548)</f>
        <v/>
      </c>
      <c r="C3548" s="7">
        <f>MONTH(A3548)</f>
        <v/>
      </c>
      <c r="D3548" s="10" t="n">
        <v>0</v>
      </c>
      <c r="E3548" s="11" t="n">
        <v>7.804643324</v>
      </c>
      <c r="F3548" s="12" t="n">
        <v>0</v>
      </c>
      <c r="G3548" s="11" t="n">
        <v>282.8652968</v>
      </c>
      <c r="H3548" s="13">
        <f>F3548*1000</f>
        <v/>
      </c>
      <c r="I3548" s="14">
        <f>G3548-273.15</f>
        <v/>
      </c>
      <c r="K3548" s="15" t="n">
        <v>2010</v>
      </c>
      <c r="L3548" s="15" t="n">
        <v>11</v>
      </c>
      <c r="M3548" s="15" t="n">
        <v>4</v>
      </c>
      <c r="N3548" s="16" t="n">
        <v>1.347178506e-06</v>
      </c>
      <c r="O3548" s="11" t="n">
        <v>282.4110853</v>
      </c>
      <c r="P3548" s="13">
        <f>N3548*86400</f>
        <v/>
      </c>
      <c r="Q3548" s="14">
        <f>O3548-273.15</f>
        <v/>
      </c>
    </row>
    <row r="3549">
      <c r="A3549" s="9" t="n">
        <v>40436</v>
      </c>
      <c r="B3549" s="7">
        <f>YEAR(A3549)</f>
        <v/>
      </c>
      <c r="C3549" s="7">
        <f>MONTH(A3549)</f>
        <v/>
      </c>
      <c r="D3549" s="10" t="n">
        <v>0</v>
      </c>
      <c r="E3549" s="11" t="n">
        <v>9.002002031</v>
      </c>
      <c r="F3549" s="12" t="n">
        <v>0</v>
      </c>
      <c r="G3549" s="11" t="n">
        <v>284.0033651</v>
      </c>
      <c r="H3549" s="13">
        <f>F3549*1000</f>
        <v/>
      </c>
      <c r="I3549" s="14">
        <f>G3549-273.15</f>
        <v/>
      </c>
      <c r="K3549" s="15" t="n">
        <v>2010</v>
      </c>
      <c r="L3549" s="15" t="n">
        <v>11</v>
      </c>
      <c r="M3549" s="15" t="n">
        <v>5</v>
      </c>
      <c r="N3549" s="16" t="n">
        <v>0</v>
      </c>
      <c r="O3549" s="11" t="n">
        <v>283.3755924</v>
      </c>
      <c r="P3549" s="13">
        <f>N3549*86400</f>
        <v/>
      </c>
      <c r="Q3549" s="14">
        <f>O3549-273.15</f>
        <v/>
      </c>
    </row>
    <row r="3550">
      <c r="A3550" s="9" t="n">
        <v>40437</v>
      </c>
      <c r="B3550" s="7">
        <f>YEAR(A3550)</f>
        <v/>
      </c>
      <c r="C3550" s="7">
        <f>MONTH(A3550)</f>
        <v/>
      </c>
      <c r="D3550" s="10" t="n">
        <v>0</v>
      </c>
      <c r="E3550" s="11" t="n">
        <v>9.45811771</v>
      </c>
      <c r="F3550" s="12" t="n">
        <v>0</v>
      </c>
      <c r="G3550" s="11" t="n">
        <v>284.3707855</v>
      </c>
      <c r="H3550" s="13">
        <f>F3550*1000</f>
        <v/>
      </c>
      <c r="I3550" s="14">
        <f>G3550-273.15</f>
        <v/>
      </c>
      <c r="K3550" s="15" t="n">
        <v>2010</v>
      </c>
      <c r="L3550" s="15" t="n">
        <v>11</v>
      </c>
      <c r="M3550" s="15" t="n">
        <v>6</v>
      </c>
      <c r="N3550" s="16" t="n">
        <v>0</v>
      </c>
      <c r="O3550" s="11" t="n">
        <v>283.0102881</v>
      </c>
      <c r="P3550" s="13">
        <f>N3550*86400</f>
        <v/>
      </c>
      <c r="Q3550" s="14">
        <f>O3550-273.15</f>
        <v/>
      </c>
    </row>
    <row r="3551">
      <c r="A3551" s="9" t="n">
        <v>40438</v>
      </c>
      <c r="B3551" s="7">
        <f>YEAR(A3551)</f>
        <v/>
      </c>
      <c r="C3551" s="7">
        <f>MONTH(A3551)</f>
        <v/>
      </c>
      <c r="D3551" s="10" t="n">
        <v>0</v>
      </c>
      <c r="E3551" s="11" t="n">
        <v>9.533069726000001</v>
      </c>
      <c r="F3551" s="12" t="n">
        <v>0</v>
      </c>
      <c r="G3551" s="11" t="n">
        <v>285.2679507</v>
      </c>
      <c r="H3551" s="13">
        <f>F3551*1000</f>
        <v/>
      </c>
      <c r="I3551" s="14">
        <f>G3551-273.15</f>
        <v/>
      </c>
      <c r="K3551" s="15" t="n">
        <v>2010</v>
      </c>
      <c r="L3551" s="15" t="n">
        <v>11</v>
      </c>
      <c r="M3551" s="15" t="n">
        <v>7</v>
      </c>
      <c r="N3551" s="16" t="n">
        <v>0</v>
      </c>
      <c r="O3551" s="11" t="n">
        <v>283.1878382</v>
      </c>
      <c r="P3551" s="13">
        <f>N3551*86400</f>
        <v/>
      </c>
      <c r="Q3551" s="14">
        <f>O3551-273.15</f>
        <v/>
      </c>
    </row>
    <row r="3552">
      <c r="A3552" s="9" t="n">
        <v>40439</v>
      </c>
      <c r="B3552" s="7">
        <f>YEAR(A3552)</f>
        <v/>
      </c>
      <c r="C3552" s="7">
        <f>MONTH(A3552)</f>
        <v/>
      </c>
      <c r="D3552" s="10" t="n">
        <v>1.079156683</v>
      </c>
      <c r="E3552" s="11" t="n">
        <v>7.278727948</v>
      </c>
      <c r="F3552" s="12" t="n">
        <v>0.005708175213</v>
      </c>
      <c r="G3552" s="11" t="n">
        <v>283.2230815</v>
      </c>
      <c r="H3552" s="13">
        <f>F3552*1000</f>
        <v/>
      </c>
      <c r="I3552" s="14">
        <f>G3552-273.15</f>
        <v/>
      </c>
      <c r="K3552" s="15" t="n">
        <v>2010</v>
      </c>
      <c r="L3552" s="15" t="n">
        <v>11</v>
      </c>
      <c r="M3552" s="15" t="n">
        <v>8</v>
      </c>
      <c r="N3552" s="16" t="n">
        <v>0</v>
      </c>
      <c r="O3552" s="11" t="n">
        <v>281.8403261</v>
      </c>
      <c r="P3552" s="13">
        <f>N3552*86400</f>
        <v/>
      </c>
      <c r="Q3552" s="14">
        <f>O3552-273.15</f>
        <v/>
      </c>
    </row>
    <row r="3553">
      <c r="A3553" s="9" t="n">
        <v>40440</v>
      </c>
      <c r="B3553" s="7">
        <f>YEAR(A3553)</f>
        <v/>
      </c>
      <c r="C3553" s="7">
        <f>MONTH(A3553)</f>
        <v/>
      </c>
      <c r="D3553" s="10" t="n">
        <v>0.9926574202</v>
      </c>
      <c r="E3553" s="11" t="n">
        <v>6.925861414</v>
      </c>
      <c r="F3553" s="12" t="n">
        <v>0.01521529764</v>
      </c>
      <c r="G3553" s="11" t="n">
        <v>283.2750868</v>
      </c>
      <c r="H3553" s="13">
        <f>F3553*1000</f>
        <v/>
      </c>
      <c r="I3553" s="14">
        <f>G3553-273.15</f>
        <v/>
      </c>
      <c r="K3553" s="15" t="n">
        <v>2010</v>
      </c>
      <c r="L3553" s="15" t="n">
        <v>11</v>
      </c>
      <c r="M3553" s="15" t="n">
        <v>9</v>
      </c>
      <c r="N3553" s="16" t="n">
        <v>0</v>
      </c>
      <c r="O3553" s="11" t="n">
        <v>282.3918552</v>
      </c>
      <c r="P3553" s="13">
        <f>N3553*86400</f>
        <v/>
      </c>
      <c r="Q3553" s="14">
        <f>O3553-273.15</f>
        <v/>
      </c>
    </row>
    <row r="3554">
      <c r="A3554" s="9" t="n">
        <v>40441</v>
      </c>
      <c r="B3554" s="7">
        <f>YEAR(A3554)</f>
        <v/>
      </c>
      <c r="C3554" s="7">
        <f>MONTH(A3554)</f>
        <v/>
      </c>
      <c r="D3554" s="10" t="n">
        <v>0</v>
      </c>
      <c r="E3554" s="11" t="n">
        <v>7.161012256</v>
      </c>
      <c r="F3554" s="12" t="n">
        <v>0.0001201698106</v>
      </c>
      <c r="G3554" s="11" t="n">
        <v>283.8883646</v>
      </c>
      <c r="H3554" s="13">
        <f>F3554*1000</f>
        <v/>
      </c>
      <c r="I3554" s="14">
        <f>G3554-273.15</f>
        <v/>
      </c>
      <c r="K3554" s="15" t="n">
        <v>2010</v>
      </c>
      <c r="L3554" s="15" t="n">
        <v>11</v>
      </c>
      <c r="M3554" s="15" t="n">
        <v>10</v>
      </c>
      <c r="N3554" s="16" t="n">
        <v>4.235505254e-07</v>
      </c>
      <c r="O3554" s="11" t="n">
        <v>281.8456904</v>
      </c>
      <c r="P3554" s="13">
        <f>N3554*86400</f>
        <v/>
      </c>
      <c r="Q3554" s="14">
        <f>O3554-273.15</f>
        <v/>
      </c>
    </row>
    <row r="3555">
      <c r="A3555" s="9" t="n">
        <v>40442</v>
      </c>
      <c r="B3555" s="7">
        <f>YEAR(A3555)</f>
        <v/>
      </c>
      <c r="C3555" s="7">
        <f>MONTH(A3555)</f>
        <v/>
      </c>
      <c r="D3555" s="10" t="n">
        <v>0</v>
      </c>
      <c r="E3555" s="11" t="n">
        <v>7.640180092</v>
      </c>
      <c r="F3555" s="12" t="n">
        <v>0</v>
      </c>
      <c r="G3555" s="11" t="n">
        <v>282.841057</v>
      </c>
      <c r="H3555" s="13">
        <f>F3555*1000</f>
        <v/>
      </c>
      <c r="I3555" s="14">
        <f>G3555-273.15</f>
        <v/>
      </c>
      <c r="K3555" s="15" t="n">
        <v>2010</v>
      </c>
      <c r="L3555" s="15" t="n">
        <v>11</v>
      </c>
      <c r="M3555" s="15" t="n">
        <v>11</v>
      </c>
      <c r="N3555" s="16" t="n">
        <v>0.0001047197764</v>
      </c>
      <c r="O3555" s="11" t="n">
        <v>280.4912264</v>
      </c>
      <c r="P3555" s="13">
        <f>N3555*86400</f>
        <v/>
      </c>
      <c r="Q3555" s="14">
        <f>O3555-273.15</f>
        <v/>
      </c>
    </row>
    <row r="3556">
      <c r="A3556" s="9" t="n">
        <v>40443</v>
      </c>
      <c r="B3556" s="7">
        <f>YEAR(A3556)</f>
        <v/>
      </c>
      <c r="C3556" s="7">
        <f>MONTH(A3556)</f>
        <v/>
      </c>
      <c r="D3556" s="10" t="n">
        <v>0</v>
      </c>
      <c r="E3556" s="11" t="n">
        <v>7.456813709</v>
      </c>
      <c r="F3556" s="12" t="n">
        <v>0.005062616702</v>
      </c>
      <c r="G3556" s="11" t="n">
        <v>282.908244</v>
      </c>
      <c r="H3556" s="13">
        <f>F3556*1000</f>
        <v/>
      </c>
      <c r="I3556" s="14">
        <f>G3556-273.15</f>
        <v/>
      </c>
      <c r="K3556" s="15" t="n">
        <v>2010</v>
      </c>
      <c r="L3556" s="15" t="n">
        <v>11</v>
      </c>
      <c r="M3556" s="15" t="n">
        <v>12</v>
      </c>
      <c r="N3556" s="16" t="n">
        <v>2.440285371e-06</v>
      </c>
      <c r="O3556" s="11" t="n">
        <v>278.6477744</v>
      </c>
      <c r="P3556" s="13">
        <f>N3556*86400</f>
        <v/>
      </c>
      <c r="Q3556" s="14">
        <f>O3556-273.15</f>
        <v/>
      </c>
    </row>
    <row r="3557">
      <c r="A3557" s="9" t="n">
        <v>40444</v>
      </c>
      <c r="B3557" s="7">
        <f>YEAR(A3557)</f>
        <v/>
      </c>
      <c r="C3557" s="7">
        <f>MONTH(A3557)</f>
        <v/>
      </c>
      <c r="D3557" s="10" t="n">
        <v>0</v>
      </c>
      <c r="E3557" s="11" t="n">
        <v>6.935073854</v>
      </c>
      <c r="F3557" s="12" t="n">
        <v>9.748252893999999e-05</v>
      </c>
      <c r="G3557" s="11" t="n">
        <v>282.6792608</v>
      </c>
      <c r="H3557" s="13">
        <f>F3557*1000</f>
        <v/>
      </c>
      <c r="I3557" s="14">
        <f>G3557-273.15</f>
        <v/>
      </c>
      <c r="K3557" s="15" t="n">
        <v>2010</v>
      </c>
      <c r="L3557" s="15" t="n">
        <v>11</v>
      </c>
      <c r="M3557" s="15" t="n">
        <v>13</v>
      </c>
      <c r="N3557" s="16" t="n">
        <v>4.750473515e-06</v>
      </c>
      <c r="O3557" s="11" t="n">
        <v>281.5707047</v>
      </c>
      <c r="P3557" s="13">
        <f>N3557*86400</f>
        <v/>
      </c>
      <c r="Q3557" s="14">
        <f>O3557-273.15</f>
        <v/>
      </c>
    </row>
    <row r="3558">
      <c r="A3558" s="9" t="n">
        <v>40445</v>
      </c>
      <c r="B3558" s="7">
        <f>YEAR(A3558)</f>
        <v/>
      </c>
      <c r="C3558" s="7">
        <f>MONTH(A3558)</f>
        <v/>
      </c>
      <c r="D3558" s="10" t="n">
        <v>0</v>
      </c>
      <c r="E3558" s="11" t="n">
        <v>11.7460599</v>
      </c>
      <c r="F3558" s="12" t="n">
        <v>0</v>
      </c>
      <c r="G3558" s="11" t="n">
        <v>285.3630178</v>
      </c>
      <c r="H3558" s="13">
        <f>F3558*1000</f>
        <v/>
      </c>
      <c r="I3558" s="14">
        <f>G3558-273.15</f>
        <v/>
      </c>
      <c r="K3558" s="15" t="n">
        <v>2010</v>
      </c>
      <c r="L3558" s="15" t="n">
        <v>11</v>
      </c>
      <c r="M3558" s="15" t="n">
        <v>14</v>
      </c>
      <c r="N3558" s="16" t="n">
        <v>0</v>
      </c>
      <c r="O3558" s="11" t="n">
        <v>281.3231121</v>
      </c>
      <c r="P3558" s="13">
        <f>N3558*86400</f>
        <v/>
      </c>
      <c r="Q3558" s="14">
        <f>O3558-273.15</f>
        <v/>
      </c>
    </row>
    <row r="3559">
      <c r="A3559" s="9" t="n">
        <v>40446</v>
      </c>
      <c r="B3559" s="7">
        <f>YEAR(A3559)</f>
        <v/>
      </c>
      <c r="C3559" s="7">
        <f>MONTH(A3559)</f>
        <v/>
      </c>
      <c r="D3559" s="10" t="n">
        <v>0.7536809629</v>
      </c>
      <c r="E3559" s="11" t="n">
        <v>12.10889186</v>
      </c>
      <c r="F3559" s="12" t="n">
        <v>0.003743372984</v>
      </c>
      <c r="G3559" s="11" t="n">
        <v>286.6758728</v>
      </c>
      <c r="H3559" s="13">
        <f>F3559*1000</f>
        <v/>
      </c>
      <c r="I3559" s="14">
        <f>G3559-273.15</f>
        <v/>
      </c>
      <c r="K3559" s="15" t="n">
        <v>2010</v>
      </c>
      <c r="L3559" s="15" t="n">
        <v>11</v>
      </c>
      <c r="M3559" s="15" t="n">
        <v>15</v>
      </c>
      <c r="N3559" s="16" t="n">
        <v>0</v>
      </c>
      <c r="O3559" s="11" t="n">
        <v>280.3318626</v>
      </c>
      <c r="P3559" s="13">
        <f>N3559*86400</f>
        <v/>
      </c>
      <c r="Q3559" s="14">
        <f>O3559-273.15</f>
        <v/>
      </c>
    </row>
    <row r="3560">
      <c r="A3560" s="9" t="n">
        <v>40447</v>
      </c>
      <c r="B3560" s="7">
        <f>YEAR(A3560)</f>
        <v/>
      </c>
      <c r="C3560" s="7">
        <f>MONTH(A3560)</f>
        <v/>
      </c>
      <c r="D3560" s="10" t="n">
        <v>0</v>
      </c>
      <c r="E3560" s="11" t="n">
        <v>14.68555327</v>
      </c>
      <c r="F3560" s="12" t="n">
        <v>0.001641372789</v>
      </c>
      <c r="G3560" s="11" t="n">
        <v>288.4571976</v>
      </c>
      <c r="H3560" s="13">
        <f>F3560*1000</f>
        <v/>
      </c>
      <c r="I3560" s="14">
        <f>G3560-273.15</f>
        <v/>
      </c>
      <c r="K3560" s="15" t="n">
        <v>2010</v>
      </c>
      <c r="L3560" s="15" t="n">
        <v>11</v>
      </c>
      <c r="M3560" s="15" t="n">
        <v>16</v>
      </c>
      <c r="N3560" s="16" t="n">
        <v>0</v>
      </c>
      <c r="O3560" s="11" t="n">
        <v>283.0124607</v>
      </c>
      <c r="P3560" s="13">
        <f>N3560*86400</f>
        <v/>
      </c>
      <c r="Q3560" s="14">
        <f>O3560-273.15</f>
        <v/>
      </c>
    </row>
    <row r="3561">
      <c r="A3561" s="9" t="n">
        <v>40448</v>
      </c>
      <c r="B3561" s="7">
        <f>YEAR(A3561)</f>
        <v/>
      </c>
      <c r="C3561" s="7">
        <f>MONTH(A3561)</f>
        <v/>
      </c>
      <c r="D3561" s="10" t="n">
        <v>0</v>
      </c>
      <c r="E3561" s="11" t="n">
        <v>13.49904729</v>
      </c>
      <c r="F3561" s="12" t="n">
        <v>0</v>
      </c>
      <c r="G3561" s="11" t="n">
        <v>287.1646528</v>
      </c>
      <c r="H3561" s="13">
        <f>F3561*1000</f>
        <v/>
      </c>
      <c r="I3561" s="14">
        <f>G3561-273.15</f>
        <v/>
      </c>
      <c r="K3561" s="15" t="n">
        <v>2010</v>
      </c>
      <c r="L3561" s="15" t="n">
        <v>11</v>
      </c>
      <c r="M3561" s="15" t="n">
        <v>17</v>
      </c>
      <c r="N3561" s="16" t="n">
        <v>0</v>
      </c>
      <c r="O3561" s="11" t="n">
        <v>281.6492001</v>
      </c>
      <c r="P3561" s="13">
        <f>N3561*86400</f>
        <v/>
      </c>
      <c r="Q3561" s="14">
        <f>O3561-273.15</f>
        <v/>
      </c>
    </row>
    <row r="3562">
      <c r="A3562" s="9" t="n">
        <v>40449</v>
      </c>
      <c r="B3562" s="7">
        <f>YEAR(A3562)</f>
        <v/>
      </c>
      <c r="C3562" s="7">
        <f>MONTH(A3562)</f>
        <v/>
      </c>
      <c r="D3562" s="10" t="n">
        <v>0.5909885496</v>
      </c>
      <c r="E3562" s="11" t="n">
        <v>11.81540544</v>
      </c>
      <c r="F3562" s="12" t="n">
        <v>0.009704010573999999</v>
      </c>
      <c r="G3562" s="11" t="n">
        <v>285.8016847</v>
      </c>
      <c r="H3562" s="13">
        <f>F3562*1000</f>
        <v/>
      </c>
      <c r="I3562" s="14">
        <f>G3562-273.15</f>
        <v/>
      </c>
      <c r="K3562" s="15" t="n">
        <v>2010</v>
      </c>
      <c r="L3562" s="15" t="n">
        <v>11</v>
      </c>
      <c r="M3562" s="15" t="n">
        <v>18</v>
      </c>
      <c r="N3562" s="16" t="n">
        <v>7.183300454e-06</v>
      </c>
      <c r="O3562" s="11" t="n">
        <v>281.0673249</v>
      </c>
      <c r="P3562" s="13">
        <f>N3562*86400</f>
        <v/>
      </c>
      <c r="Q3562" s="14">
        <f>O3562-273.15</f>
        <v/>
      </c>
    </row>
    <row r="3563">
      <c r="A3563" s="9" t="n">
        <v>40450</v>
      </c>
      <c r="B3563" s="7">
        <f>YEAR(A3563)</f>
        <v/>
      </c>
      <c r="C3563" s="7">
        <f>MONTH(A3563)</f>
        <v/>
      </c>
      <c r="D3563" s="10" t="n">
        <v>0</v>
      </c>
      <c r="E3563" s="11" t="n">
        <v>11.73236265</v>
      </c>
      <c r="F3563" s="12" t="n">
        <v>0.00315527305</v>
      </c>
      <c r="G3563" s="11" t="n">
        <v>287.1226618</v>
      </c>
      <c r="H3563" s="13">
        <f>F3563*1000</f>
        <v/>
      </c>
      <c r="I3563" s="14">
        <f>G3563-273.15</f>
        <v/>
      </c>
      <c r="K3563" s="15" t="n">
        <v>2010</v>
      </c>
      <c r="L3563" s="15" t="n">
        <v>11</v>
      </c>
      <c r="M3563" s="15" t="n">
        <v>19</v>
      </c>
      <c r="N3563" s="16" t="n">
        <v>6.425592849e-07</v>
      </c>
      <c r="O3563" s="11" t="n">
        <v>281.2687116</v>
      </c>
      <c r="P3563" s="13">
        <f>N3563*86400</f>
        <v/>
      </c>
      <c r="Q3563" s="14">
        <f>O3563-273.15</f>
        <v/>
      </c>
    </row>
    <row r="3564">
      <c r="A3564" s="9" t="n">
        <v>40451</v>
      </c>
      <c r="B3564" s="7">
        <f>YEAR(A3564)</f>
        <v/>
      </c>
      <c r="C3564" s="7">
        <f>MONTH(A3564)</f>
        <v/>
      </c>
      <c r="D3564" s="10" t="n">
        <v>0</v>
      </c>
      <c r="E3564" s="11" t="n">
        <v>11.35537578</v>
      </c>
      <c r="F3564" s="12" t="n">
        <v>0</v>
      </c>
      <c r="G3564" s="11" t="n">
        <v>286.7164056</v>
      </c>
      <c r="H3564" s="13">
        <f>F3564*1000</f>
        <v/>
      </c>
      <c r="I3564" s="14">
        <f>G3564-273.15</f>
        <v/>
      </c>
      <c r="K3564" s="15" t="n">
        <v>2010</v>
      </c>
      <c r="L3564" s="15" t="n">
        <v>11</v>
      </c>
      <c r="M3564" s="15" t="n">
        <v>20</v>
      </c>
      <c r="N3564" s="16" t="n">
        <v>0</v>
      </c>
      <c r="O3564" s="11" t="n">
        <v>281.0657318</v>
      </c>
      <c r="P3564" s="13">
        <f>N3564*86400</f>
        <v/>
      </c>
      <c r="Q3564" s="14">
        <f>O3564-273.15</f>
        <v/>
      </c>
    </row>
    <row r="3565">
      <c r="A3565" s="9" t="n">
        <v>40452</v>
      </c>
      <c r="B3565" s="7">
        <f>YEAR(A3565)</f>
        <v/>
      </c>
      <c r="C3565" s="7">
        <f>MONTH(A3565)</f>
        <v/>
      </c>
      <c r="D3565" s="10" t="n">
        <v>0</v>
      </c>
      <c r="E3565" s="11" t="n">
        <v>11.74880477</v>
      </c>
      <c r="F3565" s="12" t="n">
        <v>0</v>
      </c>
      <c r="G3565" s="11" t="n">
        <v>286.7949995</v>
      </c>
      <c r="H3565" s="13">
        <f>F3565*1000</f>
        <v/>
      </c>
      <c r="I3565" s="14">
        <f>G3565-273.15</f>
        <v/>
      </c>
      <c r="K3565" s="15" t="n">
        <v>2010</v>
      </c>
      <c r="L3565" s="15" t="n">
        <v>11</v>
      </c>
      <c r="M3565" s="15" t="n">
        <v>21</v>
      </c>
      <c r="N3565" s="16" t="n">
        <v>0</v>
      </c>
      <c r="O3565" s="11" t="n">
        <v>278.2909449</v>
      </c>
      <c r="P3565" s="13">
        <f>N3565*86400</f>
        <v/>
      </c>
      <c r="Q3565" s="14">
        <f>O3565-273.15</f>
        <v/>
      </c>
    </row>
    <row r="3566">
      <c r="A3566" s="9" t="n">
        <v>40453</v>
      </c>
      <c r="B3566" s="7">
        <f>YEAR(A3566)</f>
        <v/>
      </c>
      <c r="C3566" s="7">
        <f>MONTH(A3566)</f>
        <v/>
      </c>
      <c r="D3566" s="10" t="n">
        <v>0</v>
      </c>
      <c r="E3566" s="11" t="n">
        <v>10.010986</v>
      </c>
      <c r="F3566" s="12" t="n">
        <v>0</v>
      </c>
      <c r="G3566" s="11" t="n">
        <v>284.9396829</v>
      </c>
      <c r="H3566" s="13">
        <f>F3566*1000</f>
        <v/>
      </c>
      <c r="I3566" s="14">
        <f>G3566-273.15</f>
        <v/>
      </c>
      <c r="K3566" s="15" t="n">
        <v>2010</v>
      </c>
      <c r="L3566" s="15" t="n">
        <v>11</v>
      </c>
      <c r="M3566" s="15" t="n">
        <v>22</v>
      </c>
      <c r="N3566" s="16" t="n">
        <v>0</v>
      </c>
      <c r="O3566" s="11" t="n">
        <v>279.0666595</v>
      </c>
      <c r="P3566" s="13">
        <f>N3566*86400</f>
        <v/>
      </c>
      <c r="Q3566" s="14">
        <f>O3566-273.15</f>
        <v/>
      </c>
    </row>
    <row r="3567">
      <c r="A3567" s="9" t="n">
        <v>40454</v>
      </c>
      <c r="B3567" s="7">
        <f>YEAR(A3567)</f>
        <v/>
      </c>
      <c r="C3567" s="7">
        <f>MONTH(A3567)</f>
        <v/>
      </c>
      <c r="D3567" s="10" t="n">
        <v>0</v>
      </c>
      <c r="E3567" s="11" t="n">
        <v>8.759780293</v>
      </c>
      <c r="F3567" s="12" t="n">
        <v>0</v>
      </c>
      <c r="G3567" s="11" t="n">
        <v>284.7909421</v>
      </c>
      <c r="H3567" s="13">
        <f>F3567*1000</f>
        <v/>
      </c>
      <c r="I3567" s="14">
        <f>G3567-273.15</f>
        <v/>
      </c>
      <c r="K3567" s="15" t="n">
        <v>2010</v>
      </c>
      <c r="L3567" s="15" t="n">
        <v>11</v>
      </c>
      <c r="M3567" s="15" t="n">
        <v>23</v>
      </c>
      <c r="N3567" s="16" t="n">
        <v>1.115099494e-05</v>
      </c>
      <c r="O3567" s="11" t="n">
        <v>279.2114866</v>
      </c>
      <c r="P3567" s="13">
        <f>N3567*86400</f>
        <v/>
      </c>
      <c r="Q3567" s="14">
        <f>O3567-273.15</f>
        <v/>
      </c>
    </row>
    <row r="3568">
      <c r="A3568" s="9" t="n">
        <v>40455</v>
      </c>
      <c r="B3568" s="7">
        <f>YEAR(A3568)</f>
        <v/>
      </c>
      <c r="C3568" s="7">
        <f>MONTH(A3568)</f>
        <v/>
      </c>
      <c r="D3568" s="10" t="n">
        <v>0</v>
      </c>
      <c r="E3568" s="11" t="n">
        <v>7.434346548</v>
      </c>
      <c r="F3568" s="12" t="n">
        <v>0</v>
      </c>
      <c r="G3568" s="11" t="n">
        <v>283.6415503</v>
      </c>
      <c r="H3568" s="13">
        <f>F3568*1000</f>
        <v/>
      </c>
      <c r="I3568" s="14">
        <f>G3568-273.15</f>
        <v/>
      </c>
      <c r="K3568" s="15" t="n">
        <v>2010</v>
      </c>
      <c r="L3568" s="15" t="n">
        <v>11</v>
      </c>
      <c r="M3568" s="15" t="n">
        <v>24</v>
      </c>
      <c r="N3568" s="16" t="n">
        <v>3.293215973e-05</v>
      </c>
      <c r="O3568" s="11" t="n">
        <v>278.4013295</v>
      </c>
      <c r="P3568" s="13">
        <f>N3568*86400</f>
        <v/>
      </c>
      <c r="Q3568" s="14">
        <f>O3568-273.15</f>
        <v/>
      </c>
    </row>
    <row r="3569">
      <c r="A3569" s="9" t="n">
        <v>40456</v>
      </c>
      <c r="B3569" s="7">
        <f>YEAR(A3569)</f>
        <v/>
      </c>
      <c r="C3569" s="7">
        <f>MONTH(A3569)</f>
        <v/>
      </c>
      <c r="D3569" s="10" t="n">
        <v>0</v>
      </c>
      <c r="E3569" s="11" t="n">
        <v>6.836036815</v>
      </c>
      <c r="F3569" s="12" t="n">
        <v>0</v>
      </c>
      <c r="G3569" s="11" t="n">
        <v>282.8559261</v>
      </c>
      <c r="H3569" s="13">
        <f>F3569*1000</f>
        <v/>
      </c>
      <c r="I3569" s="14">
        <f>G3569-273.15</f>
        <v/>
      </c>
      <c r="K3569" s="15" t="n">
        <v>2010</v>
      </c>
      <c r="L3569" s="15" t="n">
        <v>11</v>
      </c>
      <c r="M3569" s="15" t="n">
        <v>25</v>
      </c>
      <c r="N3569" s="16" t="n">
        <v>0</v>
      </c>
      <c r="O3569" s="11" t="n">
        <v>280.394562</v>
      </c>
      <c r="P3569" s="13">
        <f>N3569*86400</f>
        <v/>
      </c>
      <c r="Q3569" s="14">
        <f>O3569-273.15</f>
        <v/>
      </c>
    </row>
    <row r="3570">
      <c r="A3570" s="9" t="n">
        <v>40457</v>
      </c>
      <c r="B3570" s="7">
        <f>YEAR(A3570)</f>
        <v/>
      </c>
      <c r="C3570" s="7">
        <f>MONTH(A3570)</f>
        <v/>
      </c>
      <c r="D3570" s="10" t="n">
        <v>0</v>
      </c>
      <c r="E3570" s="11" t="n">
        <v>6.026716016</v>
      </c>
      <c r="F3570" s="12" t="n">
        <v>0</v>
      </c>
      <c r="G3570" s="11" t="n">
        <v>282.1602838</v>
      </c>
      <c r="H3570" s="13">
        <f>F3570*1000</f>
        <v/>
      </c>
      <c r="I3570" s="14">
        <f>G3570-273.15</f>
        <v/>
      </c>
      <c r="K3570" s="15" t="n">
        <v>2010</v>
      </c>
      <c r="L3570" s="15" t="n">
        <v>11</v>
      </c>
      <c r="M3570" s="15" t="n">
        <v>26</v>
      </c>
      <c r="N3570" s="16" t="n">
        <v>0.0001135959979</v>
      </c>
      <c r="O3570" s="11" t="n">
        <v>281.7924599</v>
      </c>
      <c r="P3570" s="13">
        <f>N3570*86400</f>
        <v/>
      </c>
      <c r="Q3570" s="14">
        <f>O3570-273.15</f>
        <v/>
      </c>
    </row>
    <row r="3571">
      <c r="A3571" s="9" t="n">
        <v>40458</v>
      </c>
      <c r="B3571" s="7">
        <f>YEAR(A3571)</f>
        <v/>
      </c>
      <c r="C3571" s="7">
        <f>MONTH(A3571)</f>
        <v/>
      </c>
      <c r="D3571" s="10" t="n">
        <v>0</v>
      </c>
      <c r="E3571" s="11" t="n">
        <v>7.101577768</v>
      </c>
      <c r="F3571" s="12" t="n">
        <v>5.739550645e-05</v>
      </c>
      <c r="G3571" s="11" t="n">
        <v>283.3260349</v>
      </c>
      <c r="H3571" s="13">
        <f>F3571*1000</f>
        <v/>
      </c>
      <c r="I3571" s="14">
        <f>G3571-273.15</f>
        <v/>
      </c>
      <c r="K3571" s="15" t="n">
        <v>2010</v>
      </c>
      <c r="L3571" s="15" t="n">
        <v>11</v>
      </c>
      <c r="M3571" s="15" t="n">
        <v>27</v>
      </c>
      <c r="N3571" s="16" t="n">
        <v>7.644022757e-05</v>
      </c>
      <c r="O3571" s="11" t="n">
        <v>281.5672591</v>
      </c>
      <c r="P3571" s="13">
        <f>N3571*86400</f>
        <v/>
      </c>
      <c r="Q3571" s="14">
        <f>O3571-273.15</f>
        <v/>
      </c>
    </row>
    <row r="3572">
      <c r="A3572" s="9" t="n">
        <v>40459</v>
      </c>
      <c r="B3572" s="7">
        <f>YEAR(A3572)</f>
        <v/>
      </c>
      <c r="C3572" s="7">
        <f>MONTH(A3572)</f>
        <v/>
      </c>
      <c r="D3572" s="10" t="n">
        <v>0</v>
      </c>
      <c r="E3572" s="11" t="n">
        <v>7.675396782</v>
      </c>
      <c r="F3572" s="12" t="n">
        <v>0</v>
      </c>
      <c r="G3572" s="11" t="n">
        <v>284.2266608</v>
      </c>
      <c r="H3572" s="13">
        <f>F3572*1000</f>
        <v/>
      </c>
      <c r="I3572" s="14">
        <f>G3572-273.15</f>
        <v/>
      </c>
      <c r="K3572" s="15" t="n">
        <v>2010</v>
      </c>
      <c r="L3572" s="15" t="n">
        <v>11</v>
      </c>
      <c r="M3572" s="15" t="n">
        <v>28</v>
      </c>
      <c r="N3572" s="16" t="n">
        <v>1.596604054e-05</v>
      </c>
      <c r="O3572" s="11" t="n">
        <v>281.9819631</v>
      </c>
      <c r="P3572" s="13">
        <f>N3572*86400</f>
        <v/>
      </c>
      <c r="Q3572" s="14">
        <f>O3572-273.15</f>
        <v/>
      </c>
    </row>
    <row r="3573">
      <c r="A3573" s="9" t="n">
        <v>40460</v>
      </c>
      <c r="B3573" s="7">
        <f>YEAR(A3573)</f>
        <v/>
      </c>
      <c r="C3573" s="7">
        <f>MONTH(A3573)</f>
        <v/>
      </c>
      <c r="D3573" s="10" t="n">
        <v>0</v>
      </c>
      <c r="E3573" s="11" t="n">
        <v>7.923357494</v>
      </c>
      <c r="F3573" s="12" t="n">
        <v>0</v>
      </c>
      <c r="G3573" s="11" t="n">
        <v>283.7203364</v>
      </c>
      <c r="H3573" s="13">
        <f>F3573*1000</f>
        <v/>
      </c>
      <c r="I3573" s="14">
        <f>G3573-273.15</f>
        <v/>
      </c>
      <c r="K3573" s="15" t="n">
        <v>2010</v>
      </c>
      <c r="L3573" s="15" t="n">
        <v>11</v>
      </c>
      <c r="M3573" s="15" t="n">
        <v>29</v>
      </c>
      <c r="N3573" s="16" t="n">
        <v>6.598294061e-06</v>
      </c>
      <c r="O3573" s="11" t="n">
        <v>281.5508862</v>
      </c>
      <c r="P3573" s="13">
        <f>N3573*86400</f>
        <v/>
      </c>
      <c r="Q3573" s="14">
        <f>O3573-273.15</f>
        <v/>
      </c>
    </row>
    <row r="3574">
      <c r="A3574" s="9" t="n">
        <v>40461</v>
      </c>
      <c r="B3574" s="7">
        <f>YEAR(A3574)</f>
        <v/>
      </c>
      <c r="C3574" s="7">
        <f>MONTH(A3574)</f>
        <v/>
      </c>
      <c r="D3574" s="10" t="n">
        <v>0</v>
      </c>
      <c r="E3574" s="11" t="n">
        <v>8.030304038000001</v>
      </c>
      <c r="F3574" s="12" t="n">
        <v>0.0001747118886</v>
      </c>
      <c r="G3574" s="11" t="n">
        <v>282.6967652</v>
      </c>
      <c r="H3574" s="13">
        <f>F3574*1000</f>
        <v/>
      </c>
      <c r="I3574" s="14">
        <f>G3574-273.15</f>
        <v/>
      </c>
      <c r="K3574" s="15" t="n">
        <v>2010</v>
      </c>
      <c r="L3574" s="15" t="n">
        <v>11</v>
      </c>
      <c r="M3574" s="15" t="n">
        <v>30</v>
      </c>
      <c r="N3574" s="16" t="n">
        <v>0</v>
      </c>
      <c r="O3574" s="11" t="n">
        <v>281.0624968</v>
      </c>
      <c r="P3574" s="13">
        <f>N3574*86400</f>
        <v/>
      </c>
      <c r="Q3574" s="14">
        <f>O3574-273.15</f>
        <v/>
      </c>
    </row>
    <row r="3575">
      <c r="A3575" s="9" t="n">
        <v>40462</v>
      </c>
      <c r="B3575" s="7">
        <f>YEAR(A3575)</f>
        <v/>
      </c>
      <c r="C3575" s="7">
        <f>MONTH(A3575)</f>
        <v/>
      </c>
      <c r="D3575" s="10" t="n">
        <v>0.3442928977</v>
      </c>
      <c r="E3575" s="11" t="n">
        <v>7.201097485</v>
      </c>
      <c r="F3575" s="12" t="n">
        <v>0.001344030684</v>
      </c>
      <c r="G3575" s="11" t="n">
        <v>281.8354487</v>
      </c>
      <c r="H3575" s="13">
        <f>F3575*1000</f>
        <v/>
      </c>
      <c r="I3575" s="14">
        <f>G3575-273.15</f>
        <v/>
      </c>
      <c r="K3575" s="15" t="n">
        <v>2010</v>
      </c>
      <c r="L3575" s="15" t="n">
        <v>12</v>
      </c>
      <c r="M3575" s="15" t="n">
        <v>1</v>
      </c>
      <c r="N3575" s="16" t="n">
        <v>0</v>
      </c>
      <c r="O3575" s="11" t="n">
        <v>281.7922188</v>
      </c>
      <c r="P3575" s="13">
        <f>N3575*86400</f>
        <v/>
      </c>
      <c r="Q3575" s="14">
        <f>O3575-273.15</f>
        <v/>
      </c>
    </row>
    <row r="3576">
      <c r="A3576" s="9" t="n">
        <v>40463</v>
      </c>
      <c r="B3576" s="7">
        <f>YEAR(A3576)</f>
        <v/>
      </c>
      <c r="C3576" s="7">
        <f>MONTH(A3576)</f>
        <v/>
      </c>
      <c r="D3576" s="10" t="n">
        <v>0</v>
      </c>
      <c r="E3576" s="11" t="n">
        <v>7.156127463</v>
      </c>
      <c r="F3576" s="12" t="n">
        <v>0</v>
      </c>
      <c r="G3576" s="11" t="n">
        <v>282.1554171</v>
      </c>
      <c r="H3576" s="13">
        <f>F3576*1000</f>
        <v/>
      </c>
      <c r="I3576" s="14">
        <f>G3576-273.15</f>
        <v/>
      </c>
      <c r="K3576" s="15" t="n">
        <v>2010</v>
      </c>
      <c r="L3576" s="15" t="n">
        <v>12</v>
      </c>
      <c r="M3576" s="15" t="n">
        <v>2</v>
      </c>
      <c r="N3576" s="16" t="n">
        <v>0</v>
      </c>
      <c r="O3576" s="11" t="n">
        <v>283.1216171</v>
      </c>
      <c r="P3576" s="13">
        <f>N3576*86400</f>
        <v/>
      </c>
      <c r="Q3576" s="14">
        <f>O3576-273.15</f>
        <v/>
      </c>
    </row>
    <row r="3577">
      <c r="A3577" s="9" t="n">
        <v>40464</v>
      </c>
      <c r="B3577" s="7">
        <f>YEAR(A3577)</f>
        <v/>
      </c>
      <c r="C3577" s="7">
        <f>MONTH(A3577)</f>
        <v/>
      </c>
      <c r="D3577" s="10" t="n">
        <v>2.212449839</v>
      </c>
      <c r="E3577" s="11" t="n">
        <v>5.620601174</v>
      </c>
      <c r="F3577" s="12" t="n">
        <v>4.090910812e-05</v>
      </c>
      <c r="G3577" s="11" t="n">
        <v>281.2791745</v>
      </c>
      <c r="H3577" s="13">
        <f>F3577*1000</f>
        <v/>
      </c>
      <c r="I3577" s="14">
        <f>G3577-273.15</f>
        <v/>
      </c>
      <c r="K3577" s="15" t="n">
        <v>2010</v>
      </c>
      <c r="L3577" s="15" t="n">
        <v>12</v>
      </c>
      <c r="M3577" s="15" t="n">
        <v>3</v>
      </c>
      <c r="N3577" s="16" t="n">
        <v>0</v>
      </c>
      <c r="O3577" s="11" t="n">
        <v>282.916179</v>
      </c>
      <c r="P3577" s="13">
        <f>N3577*86400</f>
        <v/>
      </c>
      <c r="Q3577" s="14">
        <f>O3577-273.15</f>
        <v/>
      </c>
    </row>
    <row r="3578">
      <c r="A3578" s="9" t="n">
        <v>40465</v>
      </c>
      <c r="B3578" s="7">
        <f>YEAR(A3578)</f>
        <v/>
      </c>
      <c r="C3578" s="7">
        <f>MONTH(A3578)</f>
        <v/>
      </c>
      <c r="D3578" s="10" t="n">
        <v>0</v>
      </c>
      <c r="E3578" s="11" t="n">
        <v>8.526891227</v>
      </c>
      <c r="F3578" s="12" t="n">
        <v>0.0008558830492</v>
      </c>
      <c r="G3578" s="11" t="n">
        <v>283.1914561</v>
      </c>
      <c r="H3578" s="13">
        <f>F3578*1000</f>
        <v/>
      </c>
      <c r="I3578" s="14">
        <f>G3578-273.15</f>
        <v/>
      </c>
      <c r="K3578" s="15" t="n">
        <v>2010</v>
      </c>
      <c r="L3578" s="15" t="n">
        <v>12</v>
      </c>
      <c r="M3578" s="15" t="n">
        <v>4</v>
      </c>
      <c r="N3578" s="16" t="n">
        <v>1.216263769e-06</v>
      </c>
      <c r="O3578" s="11" t="n">
        <v>281.3046449</v>
      </c>
      <c r="P3578" s="13">
        <f>N3578*86400</f>
        <v/>
      </c>
      <c r="Q3578" s="14">
        <f>O3578-273.15</f>
        <v/>
      </c>
    </row>
    <row r="3579">
      <c r="A3579" s="9" t="n">
        <v>40466</v>
      </c>
      <c r="B3579" s="7">
        <f>YEAR(A3579)</f>
        <v/>
      </c>
      <c r="C3579" s="7">
        <f>MONTH(A3579)</f>
        <v/>
      </c>
      <c r="D3579" s="10" t="n">
        <v>0</v>
      </c>
      <c r="E3579" s="11" t="n">
        <v>7.436785074</v>
      </c>
      <c r="F3579" s="12" t="n">
        <v>0</v>
      </c>
      <c r="G3579" s="11" t="n">
        <v>283.0956704</v>
      </c>
      <c r="H3579" s="13">
        <f>F3579*1000</f>
        <v/>
      </c>
      <c r="I3579" s="14">
        <f>G3579-273.15</f>
        <v/>
      </c>
      <c r="K3579" s="15" t="n">
        <v>2010</v>
      </c>
      <c r="L3579" s="15" t="n">
        <v>12</v>
      </c>
      <c r="M3579" s="15" t="n">
        <v>5</v>
      </c>
      <c r="N3579" s="16" t="n">
        <v>6.035238103e-08</v>
      </c>
      <c r="O3579" s="11" t="n">
        <v>278.0301069</v>
      </c>
      <c r="P3579" s="13">
        <f>N3579*86400</f>
        <v/>
      </c>
      <c r="Q3579" s="14">
        <f>O3579-273.15</f>
        <v/>
      </c>
    </row>
    <row r="3580">
      <c r="A3580" s="9" t="n">
        <v>40467</v>
      </c>
      <c r="B3580" s="7">
        <f>YEAR(A3580)</f>
        <v/>
      </c>
      <c r="C3580" s="7">
        <f>MONTH(A3580)</f>
        <v/>
      </c>
      <c r="D3580" s="10" t="n">
        <v>0</v>
      </c>
      <c r="E3580" s="11" t="n">
        <v>4.519640029</v>
      </c>
      <c r="F3580" s="12" t="n">
        <v>5.472004762e-05</v>
      </c>
      <c r="G3580" s="11" t="n">
        <v>280.0979512</v>
      </c>
      <c r="H3580" s="13">
        <f>F3580*1000</f>
        <v/>
      </c>
      <c r="I3580" s="14">
        <f>G3580-273.15</f>
        <v/>
      </c>
      <c r="K3580" s="15" t="n">
        <v>2010</v>
      </c>
      <c r="L3580" s="15" t="n">
        <v>12</v>
      </c>
      <c r="M3580" s="15" t="n">
        <v>6</v>
      </c>
      <c r="N3580" s="16" t="n">
        <v>1.641407667e-07</v>
      </c>
      <c r="O3580" s="11" t="n">
        <v>277.2192136</v>
      </c>
      <c r="P3580" s="13">
        <f>N3580*86400</f>
        <v/>
      </c>
      <c r="Q3580" s="14">
        <f>O3580-273.15</f>
        <v/>
      </c>
    </row>
    <row r="3581">
      <c r="A3581" s="9" t="n">
        <v>40468</v>
      </c>
      <c r="B3581" s="7">
        <f>YEAR(A3581)</f>
        <v/>
      </c>
      <c r="C3581" s="7">
        <f>MONTH(A3581)</f>
        <v/>
      </c>
      <c r="D3581" s="10" t="n">
        <v>0</v>
      </c>
      <c r="E3581" s="11" t="n">
        <v>3.603264839</v>
      </c>
      <c r="F3581" s="12" t="n">
        <v>0.0003335609052</v>
      </c>
      <c r="G3581" s="11" t="n">
        <v>278.8887315</v>
      </c>
      <c r="H3581" s="13">
        <f>F3581*1000</f>
        <v/>
      </c>
      <c r="I3581" s="14">
        <f>G3581-273.15</f>
        <v/>
      </c>
      <c r="K3581" s="15" t="n">
        <v>2010</v>
      </c>
      <c r="L3581" s="15" t="n">
        <v>12</v>
      </c>
      <c r="M3581" s="15" t="n">
        <v>7</v>
      </c>
      <c r="N3581" s="16" t="n">
        <v>5.612138001e-08</v>
      </c>
      <c r="O3581" s="11" t="n">
        <v>277.7916387</v>
      </c>
      <c r="P3581" s="13">
        <f>N3581*86400</f>
        <v/>
      </c>
      <c r="Q3581" s="14">
        <f>O3581-273.15</f>
        <v/>
      </c>
    </row>
    <row r="3582">
      <c r="A3582" s="9" t="n">
        <v>40469</v>
      </c>
      <c r="B3582" s="7">
        <f>YEAR(A3582)</f>
        <v/>
      </c>
      <c r="C3582" s="7">
        <f>MONTH(A3582)</f>
        <v/>
      </c>
      <c r="D3582" s="10" t="n">
        <v>0</v>
      </c>
      <c r="E3582" s="11" t="n">
        <v>5.077326855</v>
      </c>
      <c r="F3582" s="12" t="n">
        <v>0</v>
      </c>
      <c r="G3582" s="11" t="n">
        <v>280.3236947</v>
      </c>
      <c r="H3582" s="13">
        <f>F3582*1000</f>
        <v/>
      </c>
      <c r="I3582" s="14">
        <f>G3582-273.15</f>
        <v/>
      </c>
      <c r="K3582" s="15" t="n">
        <v>2010</v>
      </c>
      <c r="L3582" s="15" t="n">
        <v>12</v>
      </c>
      <c r="M3582" s="15" t="n">
        <v>8</v>
      </c>
      <c r="N3582" s="16" t="n">
        <v>4.406156275e-06</v>
      </c>
      <c r="O3582" s="11" t="n">
        <v>279.1395916</v>
      </c>
      <c r="P3582" s="13">
        <f>N3582*86400</f>
        <v/>
      </c>
      <c r="Q3582" s="14">
        <f>O3582-273.15</f>
        <v/>
      </c>
    </row>
    <row r="3583">
      <c r="A3583" s="9" t="n">
        <v>40470</v>
      </c>
      <c r="B3583" s="7">
        <f>YEAR(A3583)</f>
        <v/>
      </c>
      <c r="C3583" s="7">
        <f>MONTH(A3583)</f>
        <v/>
      </c>
      <c r="D3583" s="10" t="n">
        <v>0</v>
      </c>
      <c r="E3583" s="11" t="n">
        <v>3.181333733</v>
      </c>
      <c r="F3583" s="12" t="n">
        <v>2.832027646e-05</v>
      </c>
      <c r="G3583" s="11" t="n">
        <v>279.3596937</v>
      </c>
      <c r="H3583" s="13">
        <f>F3583*1000</f>
        <v/>
      </c>
      <c r="I3583" s="14">
        <f>G3583-273.15</f>
        <v/>
      </c>
      <c r="K3583" s="15" t="n">
        <v>2010</v>
      </c>
      <c r="L3583" s="15" t="n">
        <v>12</v>
      </c>
      <c r="M3583" s="15" t="n">
        <v>9</v>
      </c>
      <c r="N3583" s="16" t="n">
        <v>9.787541897e-06</v>
      </c>
      <c r="O3583" s="11" t="n">
        <v>281.2816784</v>
      </c>
      <c r="P3583" s="13">
        <f>N3583*86400</f>
        <v/>
      </c>
      <c r="Q3583" s="14">
        <f>O3583-273.15</f>
        <v/>
      </c>
    </row>
    <row r="3584">
      <c r="A3584" s="9" t="n">
        <v>40471</v>
      </c>
      <c r="B3584" s="7">
        <f>YEAR(A3584)</f>
        <v/>
      </c>
      <c r="C3584" s="7">
        <f>MONTH(A3584)</f>
        <v/>
      </c>
      <c r="D3584" s="10" t="n">
        <v>0.8397459348</v>
      </c>
      <c r="E3584" s="11" t="n">
        <v>7.15238192</v>
      </c>
      <c r="F3584" s="12" t="n">
        <v>0.0005878401311</v>
      </c>
      <c r="G3584" s="11" t="n">
        <v>284.0462464</v>
      </c>
      <c r="H3584" s="13">
        <f>F3584*1000</f>
        <v/>
      </c>
      <c r="I3584" s="14">
        <f>G3584-273.15</f>
        <v/>
      </c>
      <c r="K3584" s="15" t="n">
        <v>2010</v>
      </c>
      <c r="L3584" s="15" t="n">
        <v>12</v>
      </c>
      <c r="M3584" s="15" t="n">
        <v>10</v>
      </c>
      <c r="N3584" s="16" t="n">
        <v>2.981588194e-05</v>
      </c>
      <c r="O3584" s="11" t="n">
        <v>278.8361504</v>
      </c>
      <c r="P3584" s="13">
        <f>N3584*86400</f>
        <v/>
      </c>
      <c r="Q3584" s="14">
        <f>O3584-273.15</f>
        <v/>
      </c>
    </row>
    <row r="3585">
      <c r="A3585" s="9" t="n">
        <v>40472</v>
      </c>
      <c r="B3585" s="7">
        <f>YEAR(A3585)</f>
        <v/>
      </c>
      <c r="C3585" s="7">
        <f>MONTH(A3585)</f>
        <v/>
      </c>
      <c r="D3585" s="10" t="n">
        <v>0</v>
      </c>
      <c r="E3585" s="11" t="n">
        <v>7.098378659</v>
      </c>
      <c r="F3585" s="12" t="n">
        <v>0</v>
      </c>
      <c r="G3585" s="11" t="n">
        <v>283.7557298</v>
      </c>
      <c r="H3585" s="13">
        <f>F3585*1000</f>
        <v/>
      </c>
      <c r="I3585" s="14">
        <f>G3585-273.15</f>
        <v/>
      </c>
      <c r="K3585" s="15" t="n">
        <v>2010</v>
      </c>
      <c r="L3585" s="15" t="n">
        <v>12</v>
      </c>
      <c r="M3585" s="15" t="n">
        <v>11</v>
      </c>
      <c r="N3585" s="16" t="n">
        <v>2.04170004e-05</v>
      </c>
      <c r="O3585" s="11" t="n">
        <v>279.8904127</v>
      </c>
      <c r="P3585" s="13">
        <f>N3585*86400</f>
        <v/>
      </c>
      <c r="Q3585" s="14">
        <f>O3585-273.15</f>
        <v/>
      </c>
    </row>
    <row r="3586">
      <c r="A3586" s="9" t="n">
        <v>40473</v>
      </c>
      <c r="B3586" s="7">
        <f>YEAR(A3586)</f>
        <v/>
      </c>
      <c r="C3586" s="7">
        <f>MONTH(A3586)</f>
        <v/>
      </c>
      <c r="D3586" s="10" t="n">
        <v>0</v>
      </c>
      <c r="E3586" s="11" t="n">
        <v>6.988956588</v>
      </c>
      <c r="F3586" s="12" t="n">
        <v>0.001958854759</v>
      </c>
      <c r="G3586" s="11" t="n">
        <v>282.9488008</v>
      </c>
      <c r="H3586" s="13">
        <f>F3586*1000</f>
        <v/>
      </c>
      <c r="I3586" s="14">
        <f>G3586-273.15</f>
        <v/>
      </c>
      <c r="K3586" s="15" t="n">
        <v>2010</v>
      </c>
      <c r="L3586" s="15" t="n">
        <v>12</v>
      </c>
      <c r="M3586" s="15" t="n">
        <v>12</v>
      </c>
      <c r="N3586" s="16" t="n">
        <v>0</v>
      </c>
      <c r="O3586" s="11" t="n">
        <v>278.9122014</v>
      </c>
      <c r="P3586" s="13">
        <f>N3586*86400</f>
        <v/>
      </c>
      <c r="Q3586" s="14">
        <f>O3586-273.15</f>
        <v/>
      </c>
    </row>
    <row r="3587">
      <c r="A3587" s="9" t="n">
        <v>40474</v>
      </c>
      <c r="B3587" s="7">
        <f>YEAR(A3587)</f>
        <v/>
      </c>
      <c r="C3587" s="7">
        <f>MONTH(A3587)</f>
        <v/>
      </c>
      <c r="D3587" s="10" t="n">
        <v>6.128854773</v>
      </c>
      <c r="E3587" s="11" t="n">
        <v>5.540648398</v>
      </c>
      <c r="F3587" s="12" t="n">
        <v>0.007373273831</v>
      </c>
      <c r="G3587" s="11" t="n">
        <v>281.4293673</v>
      </c>
      <c r="H3587" s="13">
        <f>F3587*1000</f>
        <v/>
      </c>
      <c r="I3587" s="14">
        <f>G3587-273.15</f>
        <v/>
      </c>
      <c r="K3587" s="15" t="n">
        <v>2010</v>
      </c>
      <c r="L3587" s="15" t="n">
        <v>12</v>
      </c>
      <c r="M3587" s="15" t="n">
        <v>13</v>
      </c>
      <c r="N3587" s="16" t="n">
        <v>0</v>
      </c>
      <c r="O3587" s="11" t="n">
        <v>280.6876175</v>
      </c>
      <c r="P3587" s="13">
        <f>N3587*86400</f>
        <v/>
      </c>
      <c r="Q3587" s="14">
        <f>O3587-273.15</f>
        <v/>
      </c>
    </row>
    <row r="3588">
      <c r="A3588" s="9" t="n">
        <v>40475</v>
      </c>
      <c r="B3588" s="7">
        <f>YEAR(A3588)</f>
        <v/>
      </c>
      <c r="C3588" s="7">
        <f>MONTH(A3588)</f>
        <v/>
      </c>
      <c r="D3588" s="10" t="n">
        <v>0</v>
      </c>
      <c r="E3588" s="11" t="n">
        <v>5.387003579</v>
      </c>
      <c r="F3588" s="12" t="n">
        <v>0.003417947627</v>
      </c>
      <c r="G3588" s="11" t="n">
        <v>282.0656064</v>
      </c>
      <c r="H3588" s="13">
        <f>F3588*1000</f>
        <v/>
      </c>
      <c r="I3588" s="14">
        <f>G3588-273.15</f>
        <v/>
      </c>
      <c r="K3588" s="15" t="n">
        <v>2010</v>
      </c>
      <c r="L3588" s="15" t="n">
        <v>12</v>
      </c>
      <c r="M3588" s="15" t="n">
        <v>14</v>
      </c>
      <c r="N3588" s="16" t="n">
        <v>0</v>
      </c>
      <c r="O3588" s="11" t="n">
        <v>280.4149045</v>
      </c>
      <c r="P3588" s="13">
        <f>N3588*86400</f>
        <v/>
      </c>
      <c r="Q3588" s="14">
        <f>O3588-273.15</f>
        <v/>
      </c>
    </row>
    <row r="3589">
      <c r="A3589" s="9" t="n">
        <v>40476</v>
      </c>
      <c r="B3589" s="7">
        <f>YEAR(A3589)</f>
        <v/>
      </c>
      <c r="C3589" s="7">
        <f>MONTH(A3589)</f>
        <v/>
      </c>
      <c r="D3589" s="10" t="n">
        <v>0</v>
      </c>
      <c r="E3589" s="11" t="n">
        <v>8.493969378999999</v>
      </c>
      <c r="F3589" s="12" t="n">
        <v>0</v>
      </c>
      <c r="G3589" s="11" t="n">
        <v>284.9925222</v>
      </c>
      <c r="H3589" s="13">
        <f>F3589*1000</f>
        <v/>
      </c>
      <c r="I3589" s="14">
        <f>G3589-273.15</f>
        <v/>
      </c>
      <c r="K3589" s="15" t="n">
        <v>2010</v>
      </c>
      <c r="L3589" s="15" t="n">
        <v>12</v>
      </c>
      <c r="M3589" s="15" t="n">
        <v>15</v>
      </c>
      <c r="N3589" s="16" t="n">
        <v>0</v>
      </c>
      <c r="O3589" s="11" t="n">
        <v>279.3816265</v>
      </c>
      <c r="P3589" s="13">
        <f>N3589*86400</f>
        <v/>
      </c>
      <c r="Q3589" s="14">
        <f>O3589-273.15</f>
        <v/>
      </c>
    </row>
    <row r="3590">
      <c r="A3590" s="9" t="n">
        <v>40477</v>
      </c>
      <c r="B3590" s="7">
        <f>YEAR(A3590)</f>
        <v/>
      </c>
      <c r="C3590" s="7">
        <f>MONTH(A3590)</f>
        <v/>
      </c>
      <c r="D3590" s="10" t="n">
        <v>0</v>
      </c>
      <c r="E3590" s="11" t="n">
        <v>7.239397562</v>
      </c>
      <c r="F3590" s="12" t="n">
        <v>0</v>
      </c>
      <c r="G3590" s="11" t="n">
        <v>283.1596495</v>
      </c>
      <c r="H3590" s="13">
        <f>F3590*1000</f>
        <v/>
      </c>
      <c r="I3590" s="14">
        <f>G3590-273.15</f>
        <v/>
      </c>
      <c r="K3590" s="15" t="n">
        <v>2010</v>
      </c>
      <c r="L3590" s="15" t="n">
        <v>12</v>
      </c>
      <c r="M3590" s="15" t="n">
        <v>16</v>
      </c>
      <c r="N3590" s="16" t="n">
        <v>0</v>
      </c>
      <c r="O3590" s="11" t="n">
        <v>277.4412327</v>
      </c>
      <c r="P3590" s="13">
        <f>N3590*86400</f>
        <v/>
      </c>
      <c r="Q3590" s="14">
        <f>O3590-273.15</f>
        <v/>
      </c>
    </row>
    <row r="3591">
      <c r="A3591" s="9" t="n">
        <v>40478</v>
      </c>
      <c r="B3591" s="7">
        <f>YEAR(A3591)</f>
        <v/>
      </c>
      <c r="C3591" s="7">
        <f>MONTH(A3591)</f>
        <v/>
      </c>
      <c r="D3591" s="10" t="n">
        <v>0</v>
      </c>
      <c r="E3591" s="11" t="n">
        <v>6.912000872</v>
      </c>
      <c r="F3591" s="12" t="n">
        <v>0</v>
      </c>
      <c r="G3591" s="11" t="n">
        <v>282.1480859</v>
      </c>
      <c r="H3591" s="13">
        <f>F3591*1000</f>
        <v/>
      </c>
      <c r="I3591" s="14">
        <f>G3591-273.15</f>
        <v/>
      </c>
      <c r="K3591" s="15" t="n">
        <v>2010</v>
      </c>
      <c r="L3591" s="15" t="n">
        <v>12</v>
      </c>
      <c r="M3591" s="15" t="n">
        <v>17</v>
      </c>
      <c r="N3591" s="16" t="n">
        <v>1.573107198e-05</v>
      </c>
      <c r="O3591" s="11" t="n">
        <v>277.0476446</v>
      </c>
      <c r="P3591" s="13">
        <f>N3591*86400</f>
        <v/>
      </c>
      <c r="Q3591" s="14">
        <f>O3591-273.15</f>
        <v/>
      </c>
    </row>
    <row r="3592">
      <c r="A3592" s="9" t="n">
        <v>40479</v>
      </c>
      <c r="B3592" s="7">
        <f>YEAR(A3592)</f>
        <v/>
      </c>
      <c r="C3592" s="7">
        <f>MONTH(A3592)</f>
        <v/>
      </c>
      <c r="D3592" s="10" t="n">
        <v>0</v>
      </c>
      <c r="E3592" s="11" t="n">
        <v>5.043732751</v>
      </c>
      <c r="F3592" s="12" t="n">
        <v>0</v>
      </c>
      <c r="G3592" s="11" t="n">
        <v>280.0445977</v>
      </c>
      <c r="H3592" s="13">
        <f>F3592*1000</f>
        <v/>
      </c>
      <c r="I3592" s="14">
        <f>G3592-273.15</f>
        <v/>
      </c>
      <c r="K3592" s="15" t="n">
        <v>2010</v>
      </c>
      <c r="L3592" s="15" t="n">
        <v>12</v>
      </c>
      <c r="M3592" s="15" t="n">
        <v>18</v>
      </c>
      <c r="N3592" s="16" t="n">
        <v>1.086884319e-05</v>
      </c>
      <c r="O3592" s="11" t="n">
        <v>280.1770573</v>
      </c>
      <c r="P3592" s="13">
        <f>N3592*86400</f>
        <v/>
      </c>
      <c r="Q3592" s="14">
        <f>O3592-273.15</f>
        <v/>
      </c>
    </row>
    <row r="3593">
      <c r="A3593" s="9" t="n">
        <v>40480</v>
      </c>
      <c r="B3593" s="7">
        <f>YEAR(A3593)</f>
        <v/>
      </c>
      <c r="C3593" s="7">
        <f>MONTH(A3593)</f>
        <v/>
      </c>
      <c r="D3593" s="10" t="n">
        <v>0</v>
      </c>
      <c r="E3593" s="11" t="n">
        <v>3.788524354</v>
      </c>
      <c r="F3593" s="12" t="n">
        <v>0.0005713473952</v>
      </c>
      <c r="G3593" s="11" t="n">
        <v>278.3025513</v>
      </c>
      <c r="H3593" s="13">
        <f>F3593*1000</f>
        <v/>
      </c>
      <c r="I3593" s="14">
        <f>G3593-273.15</f>
        <v/>
      </c>
      <c r="K3593" s="15" t="n">
        <v>2010</v>
      </c>
      <c r="L3593" s="15" t="n">
        <v>12</v>
      </c>
      <c r="M3593" s="15" t="n">
        <v>19</v>
      </c>
      <c r="N3593" s="16" t="n">
        <v>6.870037186e-07</v>
      </c>
      <c r="O3593" s="11" t="n">
        <v>282.2414469</v>
      </c>
      <c r="P3593" s="13">
        <f>N3593*86400</f>
        <v/>
      </c>
      <c r="Q3593" s="14">
        <f>O3593-273.15</f>
        <v/>
      </c>
    </row>
    <row r="3594">
      <c r="A3594" s="9" t="n">
        <v>40481</v>
      </c>
      <c r="B3594" s="7">
        <f>YEAR(A3594)</f>
        <v/>
      </c>
      <c r="C3594" s="7">
        <f>MONTH(A3594)</f>
        <v/>
      </c>
      <c r="D3594" s="10" t="n">
        <v>0</v>
      </c>
      <c r="E3594" s="11" t="n">
        <v>6.555356923</v>
      </c>
      <c r="F3594" s="12" t="n">
        <v>0</v>
      </c>
      <c r="G3594" s="11" t="n">
        <v>280.9093318</v>
      </c>
      <c r="H3594" s="13">
        <f>F3594*1000</f>
        <v/>
      </c>
      <c r="I3594" s="14">
        <f>G3594-273.15</f>
        <v/>
      </c>
      <c r="K3594" s="15" t="n">
        <v>2010</v>
      </c>
      <c r="L3594" s="15" t="n">
        <v>12</v>
      </c>
      <c r="M3594" s="15" t="n">
        <v>20</v>
      </c>
      <c r="N3594" s="16" t="n">
        <v>1.167145195e-06</v>
      </c>
      <c r="O3594" s="11" t="n">
        <v>280.2504721</v>
      </c>
      <c r="P3594" s="13">
        <f>N3594*86400</f>
        <v/>
      </c>
      <c r="Q3594" s="14">
        <f>O3594-273.15</f>
        <v/>
      </c>
    </row>
    <row r="3595">
      <c r="A3595" s="9" t="n">
        <v>40482</v>
      </c>
      <c r="B3595" s="7">
        <f>YEAR(A3595)</f>
        <v/>
      </c>
      <c r="C3595" s="7">
        <f>MONTH(A3595)</f>
        <v/>
      </c>
      <c r="D3595" s="10" t="n">
        <v>0</v>
      </c>
      <c r="E3595" s="11" t="n">
        <v>6.664764991</v>
      </c>
      <c r="F3595" s="12" t="n">
        <v>0</v>
      </c>
      <c r="G3595" s="11" t="n">
        <v>281.2338048</v>
      </c>
      <c r="H3595" s="13">
        <f>F3595*1000</f>
        <v/>
      </c>
      <c r="I3595" s="14">
        <f>G3595-273.15</f>
        <v/>
      </c>
      <c r="K3595" s="15" t="n">
        <v>2010</v>
      </c>
      <c r="L3595" s="15" t="n">
        <v>12</v>
      </c>
      <c r="M3595" s="15" t="n">
        <v>21</v>
      </c>
      <c r="N3595" s="16" t="n">
        <v>0</v>
      </c>
      <c r="O3595" s="11" t="n">
        <v>278.0833617</v>
      </c>
      <c r="P3595" s="13">
        <f>N3595*86400</f>
        <v/>
      </c>
      <c r="Q3595" s="14">
        <f>O3595-273.15</f>
        <v/>
      </c>
    </row>
    <row r="3596">
      <c r="A3596" s="9" t="n">
        <v>40483</v>
      </c>
      <c r="B3596" s="7">
        <f>YEAR(A3596)</f>
        <v/>
      </c>
      <c r="C3596" s="7">
        <f>MONTH(A3596)</f>
        <v/>
      </c>
      <c r="D3596" s="10" t="n">
        <v>0</v>
      </c>
      <c r="E3596" s="11" t="n">
        <v>4.737849538</v>
      </c>
      <c r="F3596" s="12" t="n">
        <v>0</v>
      </c>
      <c r="G3596" s="11" t="n">
        <v>279.8831648</v>
      </c>
      <c r="H3596" s="13">
        <f>F3596*1000</f>
        <v/>
      </c>
      <c r="I3596" s="14">
        <f>G3596-273.15</f>
        <v/>
      </c>
      <c r="K3596" s="15" t="n">
        <v>2010</v>
      </c>
      <c r="L3596" s="15" t="n">
        <v>12</v>
      </c>
      <c r="M3596" s="15" t="n">
        <v>22</v>
      </c>
      <c r="N3596" s="16" t="n">
        <v>8.343153520999999e-06</v>
      </c>
      <c r="O3596" s="11" t="n">
        <v>279.6315434</v>
      </c>
      <c r="P3596" s="13">
        <f>N3596*86400</f>
        <v/>
      </c>
      <c r="Q3596" s="14">
        <f>O3596-273.15</f>
        <v/>
      </c>
    </row>
    <row r="3597">
      <c r="A3597" s="9" t="n">
        <v>40484</v>
      </c>
      <c r="B3597" s="7">
        <f>YEAR(A3597)</f>
        <v/>
      </c>
      <c r="C3597" s="7">
        <f>MONTH(A3597)</f>
        <v/>
      </c>
      <c r="D3597" s="10" t="n">
        <v>2.64961646</v>
      </c>
      <c r="E3597" s="11" t="n">
        <v>3.492728352</v>
      </c>
      <c r="F3597" s="12" t="n">
        <v>0.0002408266588</v>
      </c>
      <c r="G3597" s="11" t="n">
        <v>279.3349969</v>
      </c>
      <c r="H3597" s="13">
        <f>F3597*1000</f>
        <v/>
      </c>
      <c r="I3597" s="14">
        <f>G3597-273.15</f>
        <v/>
      </c>
      <c r="K3597" s="15" t="n">
        <v>2010</v>
      </c>
      <c r="L3597" s="15" t="n">
        <v>12</v>
      </c>
      <c r="M3597" s="15" t="n">
        <v>23</v>
      </c>
      <c r="N3597" s="16" t="n">
        <v>0</v>
      </c>
      <c r="O3597" s="11" t="n">
        <v>278.9854741</v>
      </c>
      <c r="P3597" s="13">
        <f>N3597*86400</f>
        <v/>
      </c>
      <c r="Q3597" s="14">
        <f>O3597-273.15</f>
        <v/>
      </c>
    </row>
    <row r="3598">
      <c r="A3598" s="9" t="n">
        <v>40485</v>
      </c>
      <c r="B3598" s="7">
        <f>YEAR(A3598)</f>
        <v/>
      </c>
      <c r="C3598" s="7">
        <f>MONTH(A3598)</f>
        <v/>
      </c>
      <c r="D3598" s="10" t="n">
        <v>4.50528022</v>
      </c>
      <c r="E3598" s="11" t="n">
        <v>3.256355546</v>
      </c>
      <c r="F3598" s="12" t="n">
        <v>0.001158608545</v>
      </c>
      <c r="G3598" s="11" t="n">
        <v>278.6402219</v>
      </c>
      <c r="H3598" s="13">
        <f>F3598*1000</f>
        <v/>
      </c>
      <c r="I3598" s="14">
        <f>G3598-273.15</f>
        <v/>
      </c>
      <c r="K3598" s="15" t="n">
        <v>2010</v>
      </c>
      <c r="L3598" s="15" t="n">
        <v>12</v>
      </c>
      <c r="M3598" s="15" t="n">
        <v>24</v>
      </c>
      <c r="N3598" s="16" t="n">
        <v>0</v>
      </c>
      <c r="O3598" s="11" t="n">
        <v>282.0877597</v>
      </c>
      <c r="P3598" s="13">
        <f>N3598*86400</f>
        <v/>
      </c>
      <c r="Q3598" s="14">
        <f>O3598-273.15</f>
        <v/>
      </c>
    </row>
    <row r="3599">
      <c r="A3599" s="9" t="n">
        <v>40486</v>
      </c>
      <c r="B3599" s="7">
        <f>YEAR(A3599)</f>
        <v/>
      </c>
      <c r="C3599" s="7">
        <f>MONTH(A3599)</f>
        <v/>
      </c>
      <c r="D3599" s="10" t="n">
        <v>0</v>
      </c>
      <c r="E3599" s="11" t="n">
        <v>3.332710029</v>
      </c>
      <c r="F3599" s="12" t="n">
        <v>0</v>
      </c>
      <c r="G3599" s="11" t="n">
        <v>279.0022043</v>
      </c>
      <c r="H3599" s="13">
        <f>F3599*1000</f>
        <v/>
      </c>
      <c r="I3599" s="14">
        <f>G3599-273.15</f>
        <v/>
      </c>
      <c r="K3599" s="15" t="n">
        <v>2010</v>
      </c>
      <c r="L3599" s="15" t="n">
        <v>12</v>
      </c>
      <c r="M3599" s="15" t="n">
        <v>25</v>
      </c>
      <c r="N3599" s="16" t="n">
        <v>0</v>
      </c>
      <c r="O3599" s="11" t="n">
        <v>283.9585227</v>
      </c>
      <c r="P3599" s="13">
        <f>N3599*86400</f>
        <v/>
      </c>
      <c r="Q3599" s="14">
        <f>O3599-273.15</f>
        <v/>
      </c>
    </row>
    <row r="3600">
      <c r="A3600" s="9" t="n">
        <v>40487</v>
      </c>
      <c r="B3600" s="7">
        <f>YEAR(A3600)</f>
        <v/>
      </c>
      <c r="C3600" s="7">
        <f>MONTH(A3600)</f>
        <v/>
      </c>
      <c r="D3600" s="10" t="n">
        <v>0</v>
      </c>
      <c r="E3600" s="11" t="n">
        <v>5.377683343</v>
      </c>
      <c r="F3600" s="12" t="n">
        <v>0</v>
      </c>
      <c r="G3600" s="11" t="n">
        <v>280.1549127</v>
      </c>
      <c r="H3600" s="13">
        <f>F3600*1000</f>
        <v/>
      </c>
      <c r="I3600" s="14">
        <f>G3600-273.15</f>
        <v/>
      </c>
      <c r="K3600" s="15" t="n">
        <v>2010</v>
      </c>
      <c r="L3600" s="15" t="n">
        <v>12</v>
      </c>
      <c r="M3600" s="15" t="n">
        <v>26</v>
      </c>
      <c r="N3600" s="16" t="n">
        <v>0</v>
      </c>
      <c r="O3600" s="11" t="n">
        <v>280.8781837</v>
      </c>
      <c r="P3600" s="13">
        <f>N3600*86400</f>
        <v/>
      </c>
      <c r="Q3600" s="14">
        <f>O3600-273.15</f>
        <v/>
      </c>
    </row>
    <row r="3601">
      <c r="A3601" s="9" t="n">
        <v>40488</v>
      </c>
      <c r="B3601" s="7">
        <f>YEAR(A3601)</f>
        <v/>
      </c>
      <c r="C3601" s="7">
        <f>MONTH(A3601)</f>
        <v/>
      </c>
      <c r="D3601" s="10" t="n">
        <v>0</v>
      </c>
      <c r="E3601" s="11" t="n">
        <v>2.927700596</v>
      </c>
      <c r="F3601" s="12" t="n">
        <v>0</v>
      </c>
      <c r="G3601" s="11" t="n">
        <v>278.3871555</v>
      </c>
      <c r="H3601" s="13">
        <f>F3601*1000</f>
        <v/>
      </c>
      <c r="I3601" s="14">
        <f>G3601-273.15</f>
        <v/>
      </c>
      <c r="K3601" s="15" t="n">
        <v>2010</v>
      </c>
      <c r="L3601" s="15" t="n">
        <v>12</v>
      </c>
      <c r="M3601" s="15" t="n">
        <v>27</v>
      </c>
      <c r="N3601" s="16" t="n">
        <v>3.883664636e-06</v>
      </c>
      <c r="O3601" s="11" t="n">
        <v>281.2026794</v>
      </c>
      <c r="P3601" s="13">
        <f>N3601*86400</f>
        <v/>
      </c>
      <c r="Q3601" s="14">
        <f>O3601-273.15</f>
        <v/>
      </c>
    </row>
    <row r="3602">
      <c r="A3602" s="9" t="n">
        <v>40489</v>
      </c>
      <c r="B3602" s="7">
        <f>YEAR(A3602)</f>
        <v/>
      </c>
      <c r="C3602" s="7">
        <f>MONTH(A3602)</f>
        <v/>
      </c>
      <c r="D3602" s="10" t="n">
        <v>0</v>
      </c>
      <c r="E3602" s="11" t="n">
        <v>2.872802082</v>
      </c>
      <c r="F3602" s="12" t="n">
        <v>0</v>
      </c>
      <c r="G3602" s="11" t="n">
        <v>279.0190541</v>
      </c>
      <c r="H3602" s="13">
        <f>F3602*1000</f>
        <v/>
      </c>
      <c r="I3602" s="14">
        <f>G3602-273.15</f>
        <v/>
      </c>
      <c r="K3602" s="15" t="n">
        <v>2010</v>
      </c>
      <c r="L3602" s="15" t="n">
        <v>12</v>
      </c>
      <c r="M3602" s="15" t="n">
        <v>28</v>
      </c>
      <c r="N3602" s="16" t="n">
        <v>2.820944962e-06</v>
      </c>
      <c r="O3602" s="11" t="n">
        <v>283.09879</v>
      </c>
      <c r="P3602" s="13">
        <f>N3602*86400</f>
        <v/>
      </c>
      <c r="Q3602" s="14">
        <f>O3602-273.15</f>
        <v/>
      </c>
    </row>
    <row r="3603">
      <c r="A3603" s="9" t="n">
        <v>40490</v>
      </c>
      <c r="B3603" s="7">
        <f>YEAR(A3603)</f>
        <v/>
      </c>
      <c r="C3603" s="7">
        <f>MONTH(A3603)</f>
        <v/>
      </c>
      <c r="D3603" s="10" t="n">
        <v>0</v>
      </c>
      <c r="E3603" s="11" t="n">
        <v>4.238392645</v>
      </c>
      <c r="F3603" s="12" t="n">
        <v>0</v>
      </c>
      <c r="G3603" s="11" t="n">
        <v>280.3517048</v>
      </c>
      <c r="H3603" s="13">
        <f>F3603*1000</f>
        <v/>
      </c>
      <c r="I3603" s="14">
        <f>G3603-273.15</f>
        <v/>
      </c>
      <c r="K3603" s="15" t="n">
        <v>2010</v>
      </c>
      <c r="L3603" s="15" t="n">
        <v>12</v>
      </c>
      <c r="M3603" s="15" t="n">
        <v>29</v>
      </c>
      <c r="N3603" s="16" t="n">
        <v>0</v>
      </c>
      <c r="O3603" s="11" t="n">
        <v>280.6614491</v>
      </c>
      <c r="P3603" s="13">
        <f>N3603*86400</f>
        <v/>
      </c>
      <c r="Q3603" s="14">
        <f>O3603-273.15</f>
        <v/>
      </c>
    </row>
    <row r="3604">
      <c r="A3604" s="9" t="n">
        <v>40491</v>
      </c>
      <c r="B3604" s="7">
        <f>YEAR(A3604)</f>
        <v/>
      </c>
      <c r="C3604" s="7">
        <f>MONTH(A3604)</f>
        <v/>
      </c>
      <c r="D3604" s="10" t="n">
        <v>0</v>
      </c>
      <c r="E3604" s="11" t="n">
        <v>3.612792859</v>
      </c>
      <c r="F3604" s="12" t="n">
        <v>0.0008346724201</v>
      </c>
      <c r="G3604" s="11" t="n">
        <v>279.6684867</v>
      </c>
      <c r="H3604" s="13">
        <f>F3604*1000</f>
        <v/>
      </c>
      <c r="I3604" s="14">
        <f>G3604-273.15</f>
        <v/>
      </c>
      <c r="K3604" s="15" t="n">
        <v>2010</v>
      </c>
      <c r="L3604" s="15" t="n">
        <v>12</v>
      </c>
      <c r="M3604" s="15" t="n">
        <v>30</v>
      </c>
      <c r="N3604" s="16" t="n">
        <v>3.349792018e-06</v>
      </c>
      <c r="O3604" s="11" t="n">
        <v>281.0946779</v>
      </c>
      <c r="P3604" s="13">
        <f>N3604*86400</f>
        <v/>
      </c>
      <c r="Q3604" s="14">
        <f>O3604-273.15</f>
        <v/>
      </c>
    </row>
    <row r="3605">
      <c r="A3605" s="9" t="n">
        <v>40492</v>
      </c>
      <c r="B3605" s="7">
        <f>YEAR(A3605)</f>
        <v/>
      </c>
      <c r="C3605" s="7">
        <f>MONTH(A3605)</f>
        <v/>
      </c>
      <c r="D3605" s="10" t="n">
        <v>0</v>
      </c>
      <c r="E3605" s="11" t="n">
        <v>4.532425182</v>
      </c>
      <c r="F3605" s="12" t="n">
        <v>0</v>
      </c>
      <c r="G3605" s="11" t="n">
        <v>280.6655927</v>
      </c>
      <c r="H3605" s="13">
        <f>F3605*1000</f>
        <v/>
      </c>
      <c r="I3605" s="14">
        <f>G3605-273.15</f>
        <v/>
      </c>
    </row>
    <row r="3606">
      <c r="A3606" s="9" t="n">
        <v>40493</v>
      </c>
      <c r="B3606" s="7">
        <f>YEAR(A3606)</f>
        <v/>
      </c>
      <c r="C3606" s="7">
        <f>MONTH(A3606)</f>
        <v/>
      </c>
      <c r="D3606" s="10" t="n">
        <v>0</v>
      </c>
      <c r="E3606" s="11" t="n">
        <v>5.266350959</v>
      </c>
      <c r="F3606" s="12" t="n">
        <v>4.854221518e-06</v>
      </c>
      <c r="G3606" s="11" t="n">
        <v>280.4798035</v>
      </c>
      <c r="H3606" s="13">
        <f>F3606*1000</f>
        <v/>
      </c>
      <c r="I3606" s="14">
        <f>G3606-273.15</f>
        <v/>
      </c>
    </row>
    <row r="3607">
      <c r="A3607" s="9" t="n">
        <v>40494</v>
      </c>
      <c r="B3607" s="7">
        <f>YEAR(A3607)</f>
        <v/>
      </c>
      <c r="C3607" s="7">
        <f>MONTH(A3607)</f>
        <v/>
      </c>
      <c r="D3607" s="10" t="n">
        <v>0</v>
      </c>
      <c r="E3607" s="11" t="n">
        <v>6.848215559</v>
      </c>
      <c r="F3607" s="12" t="n">
        <v>0</v>
      </c>
      <c r="G3607" s="11" t="n">
        <v>281.7135144</v>
      </c>
      <c r="H3607" s="13">
        <f>F3607*1000</f>
        <v/>
      </c>
      <c r="I3607" s="14">
        <f>G3607-273.15</f>
        <v/>
      </c>
    </row>
    <row r="3608">
      <c r="A3608" s="9" t="n">
        <v>40495</v>
      </c>
      <c r="B3608" s="7">
        <f>YEAR(A3608)</f>
        <v/>
      </c>
      <c r="C3608" s="7">
        <f>MONTH(A3608)</f>
        <v/>
      </c>
      <c r="D3608" s="10" t="n">
        <v>0</v>
      </c>
      <c r="E3608" s="11" t="n">
        <v>4.155113998</v>
      </c>
      <c r="F3608" s="12" t="n">
        <v>6.284100017e-05</v>
      </c>
      <c r="G3608" s="11" t="n">
        <v>279.1956145</v>
      </c>
      <c r="H3608" s="13">
        <f>F3608*1000</f>
        <v/>
      </c>
      <c r="I3608" s="14">
        <f>G3608-273.15</f>
        <v/>
      </c>
    </row>
    <row r="3609">
      <c r="A3609" s="9" t="n">
        <v>40496</v>
      </c>
      <c r="B3609" s="7">
        <f>YEAR(A3609)</f>
        <v/>
      </c>
      <c r="C3609" s="7">
        <f>MONTH(A3609)</f>
        <v/>
      </c>
      <c r="D3609" s="10" t="n">
        <v>0</v>
      </c>
      <c r="E3609" s="11" t="n">
        <v>2.91688193</v>
      </c>
      <c r="F3609" s="12" t="n">
        <v>0</v>
      </c>
      <c r="G3609" s="11" t="n">
        <v>278.0875168</v>
      </c>
      <c r="H3609" s="13">
        <f>F3609*1000</f>
        <v/>
      </c>
      <c r="I3609" s="14">
        <f>G3609-273.15</f>
        <v/>
      </c>
    </row>
    <row r="3610">
      <c r="A3610" s="9" t="n">
        <v>40497</v>
      </c>
      <c r="B3610" s="7">
        <f>YEAR(A3610)</f>
        <v/>
      </c>
      <c r="C3610" s="7">
        <f>MONTH(A3610)</f>
        <v/>
      </c>
      <c r="D3610" s="10" t="n">
        <v>0</v>
      </c>
      <c r="E3610" s="11" t="n">
        <v>3.639421921</v>
      </c>
      <c r="F3610" s="12" t="n">
        <v>0.0007411008408</v>
      </c>
      <c r="G3610" s="11" t="n">
        <v>279.101598</v>
      </c>
      <c r="H3610" s="13">
        <f>F3610*1000</f>
        <v/>
      </c>
      <c r="I3610" s="14">
        <f>G3610-273.15</f>
        <v/>
      </c>
    </row>
    <row r="3611">
      <c r="A3611" s="9" t="n">
        <v>40498</v>
      </c>
      <c r="B3611" s="7">
        <f>YEAR(A3611)</f>
        <v/>
      </c>
      <c r="C3611" s="7">
        <f>MONTH(A3611)</f>
        <v/>
      </c>
      <c r="D3611" s="10" t="n">
        <v>0</v>
      </c>
      <c r="E3611" s="11" t="n">
        <v>1.992596262</v>
      </c>
      <c r="F3611" s="12" t="n">
        <v>0.002876095499</v>
      </c>
      <c r="G3611" s="11" t="n">
        <v>276.869938</v>
      </c>
      <c r="H3611" s="13">
        <f>F3611*1000</f>
        <v/>
      </c>
      <c r="I3611" s="14">
        <f>G3611-273.15</f>
        <v/>
      </c>
    </row>
    <row r="3612">
      <c r="A3612" s="9" t="n">
        <v>40499</v>
      </c>
      <c r="B3612" s="7">
        <f>YEAR(A3612)</f>
        <v/>
      </c>
      <c r="C3612" s="7">
        <f>MONTH(A3612)</f>
        <v/>
      </c>
      <c r="D3612" s="10" t="n">
        <v>6.368499404</v>
      </c>
      <c r="E3612" s="11" t="n">
        <v>3.001962296</v>
      </c>
      <c r="F3612" s="12" t="n">
        <v>0.008945666394000001</v>
      </c>
      <c r="G3612" s="11" t="n">
        <v>277.1472665</v>
      </c>
      <c r="H3612" s="13">
        <f>F3612*1000</f>
        <v/>
      </c>
      <c r="I3612" s="14">
        <f>G3612-273.15</f>
        <v/>
      </c>
    </row>
    <row r="3613">
      <c r="A3613" s="9" t="n">
        <v>40500</v>
      </c>
      <c r="B3613" s="7">
        <f>YEAR(A3613)</f>
        <v/>
      </c>
      <c r="C3613" s="7">
        <f>MONTH(A3613)</f>
        <v/>
      </c>
      <c r="D3613" s="10" t="n">
        <v>0</v>
      </c>
      <c r="E3613" s="11" t="n">
        <v>5.522539174</v>
      </c>
      <c r="F3613" s="12" t="n">
        <v>0.001739546479</v>
      </c>
      <c r="G3613" s="11" t="n">
        <v>280.1196725</v>
      </c>
      <c r="H3613" s="13">
        <f>F3613*1000</f>
        <v/>
      </c>
      <c r="I3613" s="14">
        <f>G3613-273.15</f>
        <v/>
      </c>
    </row>
    <row r="3614">
      <c r="A3614" s="9" t="n">
        <v>40501</v>
      </c>
      <c r="B3614" s="7">
        <f>YEAR(A3614)</f>
        <v/>
      </c>
      <c r="C3614" s="7">
        <f>MONTH(A3614)</f>
        <v/>
      </c>
      <c r="D3614" s="10" t="n">
        <v>0</v>
      </c>
      <c r="E3614" s="11" t="n">
        <v>4.673702845</v>
      </c>
      <c r="F3614" s="12" t="n">
        <v>0</v>
      </c>
      <c r="G3614" s="11" t="n">
        <v>280.4223262</v>
      </c>
      <c r="H3614" s="13">
        <f>F3614*1000</f>
        <v/>
      </c>
      <c r="I3614" s="14">
        <f>G3614-273.15</f>
        <v/>
      </c>
    </row>
    <row r="3615">
      <c r="A3615" s="9" t="n">
        <v>40502</v>
      </c>
      <c r="B3615" s="7">
        <f>YEAR(A3615)</f>
        <v/>
      </c>
      <c r="C3615" s="7">
        <f>MONTH(A3615)</f>
        <v/>
      </c>
      <c r="D3615" s="10" t="n">
        <v>0</v>
      </c>
      <c r="E3615" s="11" t="n">
        <v>4.207379741</v>
      </c>
      <c r="F3615" s="12" t="n">
        <v>0.0002717585702</v>
      </c>
      <c r="G3615" s="11" t="n">
        <v>279.8427116</v>
      </c>
      <c r="H3615" s="13">
        <f>F3615*1000</f>
        <v/>
      </c>
      <c r="I3615" s="14">
        <f>G3615-273.15</f>
        <v/>
      </c>
    </row>
    <row r="3616">
      <c r="A3616" s="9" t="n">
        <v>40503</v>
      </c>
      <c r="B3616" s="7">
        <f>YEAR(A3616)</f>
        <v/>
      </c>
      <c r="C3616" s="7">
        <f>MONTH(A3616)</f>
        <v/>
      </c>
      <c r="D3616" s="10" t="n">
        <v>0</v>
      </c>
      <c r="E3616" s="11" t="n">
        <v>3.96626631</v>
      </c>
      <c r="F3616" s="12" t="n">
        <v>0.0001557304271</v>
      </c>
      <c r="G3616" s="11" t="n">
        <v>280.235496</v>
      </c>
      <c r="H3616" s="13">
        <f>F3616*1000</f>
        <v/>
      </c>
      <c r="I3616" s="14">
        <f>G3616-273.15</f>
        <v/>
      </c>
    </row>
    <row r="3617">
      <c r="A3617" s="9" t="n">
        <v>40504</v>
      </c>
      <c r="B3617" s="7">
        <f>YEAR(A3617)</f>
        <v/>
      </c>
      <c r="C3617" s="7">
        <f>MONTH(A3617)</f>
        <v/>
      </c>
      <c r="D3617" s="10" t="n">
        <v>0</v>
      </c>
      <c r="E3617" s="11" t="n">
        <v>3.876335714</v>
      </c>
      <c r="F3617" s="12" t="n">
        <v>7.054855284000001e-05</v>
      </c>
      <c r="G3617" s="11" t="n">
        <v>278.8418841</v>
      </c>
      <c r="H3617" s="13">
        <f>F3617*1000</f>
        <v/>
      </c>
      <c r="I3617" s="14">
        <f>G3617-273.15</f>
        <v/>
      </c>
    </row>
    <row r="3618">
      <c r="A3618" s="9" t="n">
        <v>40505</v>
      </c>
      <c r="B3618" s="7">
        <f>YEAR(A3618)</f>
        <v/>
      </c>
      <c r="C3618" s="7">
        <f>MONTH(A3618)</f>
        <v/>
      </c>
      <c r="D3618" s="10" t="n">
        <v>0</v>
      </c>
      <c r="E3618" s="11" t="n">
        <v>3.345952347</v>
      </c>
      <c r="F3618" s="12" t="n">
        <v>0</v>
      </c>
      <c r="G3618" s="11" t="n">
        <v>278.7776407</v>
      </c>
      <c r="H3618" s="13">
        <f>F3618*1000</f>
        <v/>
      </c>
      <c r="I3618" s="14">
        <f>G3618-273.15</f>
        <v/>
      </c>
    </row>
    <row r="3619">
      <c r="A3619" s="9" t="n">
        <v>40506</v>
      </c>
      <c r="B3619" s="7">
        <f>YEAR(A3619)</f>
        <v/>
      </c>
      <c r="C3619" s="7">
        <f>MONTH(A3619)</f>
        <v/>
      </c>
      <c r="D3619" s="10" t="n">
        <v>0</v>
      </c>
      <c r="E3619" s="11" t="n">
        <v>0.594660836</v>
      </c>
      <c r="F3619" s="12" t="n">
        <v>0</v>
      </c>
      <c r="G3619" s="11" t="n">
        <v>276.4420372</v>
      </c>
      <c r="H3619" s="13">
        <f>F3619*1000</f>
        <v/>
      </c>
      <c r="I3619" s="14">
        <f>G3619-273.15</f>
        <v/>
      </c>
    </row>
    <row r="3620">
      <c r="A3620" s="9" t="n">
        <v>40507</v>
      </c>
      <c r="B3620" s="7">
        <f>YEAR(A3620)</f>
        <v/>
      </c>
      <c r="C3620" s="7">
        <f>MONTH(A3620)</f>
        <v/>
      </c>
      <c r="D3620" s="10" t="n">
        <v>0</v>
      </c>
      <c r="E3620" s="11" t="n">
        <v>1.307370627</v>
      </c>
      <c r="F3620" s="12" t="n">
        <v>0</v>
      </c>
      <c r="G3620" s="11" t="n">
        <v>275.9885074</v>
      </c>
      <c r="H3620" s="13">
        <f>F3620*1000</f>
        <v/>
      </c>
      <c r="I3620" s="14">
        <f>G3620-273.15</f>
        <v/>
      </c>
    </row>
    <row r="3621">
      <c r="A3621" s="9" t="n">
        <v>40508</v>
      </c>
      <c r="B3621" s="7">
        <f>YEAR(A3621)</f>
        <v/>
      </c>
      <c r="C3621" s="7">
        <f>MONTH(A3621)</f>
        <v/>
      </c>
      <c r="D3621" s="10" t="n">
        <v>0</v>
      </c>
      <c r="E3621" s="11" t="n">
        <v>1.726894793</v>
      </c>
      <c r="F3621" s="12" t="n">
        <v>0</v>
      </c>
      <c r="G3621" s="11" t="n">
        <v>276.1294332</v>
      </c>
      <c r="H3621" s="13">
        <f>F3621*1000</f>
        <v/>
      </c>
      <c r="I3621" s="14">
        <f>G3621-273.15</f>
        <v/>
      </c>
    </row>
    <row r="3622">
      <c r="A3622" s="9" t="n">
        <v>40509</v>
      </c>
      <c r="B3622" s="7">
        <f>YEAR(A3622)</f>
        <v/>
      </c>
      <c r="C3622" s="7">
        <f>MONTH(A3622)</f>
        <v/>
      </c>
      <c r="D3622" s="10" t="n">
        <v>0</v>
      </c>
      <c r="E3622" s="11" t="n">
        <v>1.613918069</v>
      </c>
      <c r="F3622" s="12" t="n">
        <v>0</v>
      </c>
      <c r="G3622" s="11" t="n">
        <v>276.4292101</v>
      </c>
      <c r="H3622" s="13">
        <f>F3622*1000</f>
        <v/>
      </c>
      <c r="I3622" s="14">
        <f>G3622-273.15</f>
        <v/>
      </c>
    </row>
    <row r="3623">
      <c r="A3623" s="9" t="n">
        <v>40510</v>
      </c>
      <c r="B3623" s="7">
        <f>YEAR(A3623)</f>
        <v/>
      </c>
      <c r="C3623" s="7">
        <f>MONTH(A3623)</f>
        <v/>
      </c>
      <c r="D3623" s="10" t="n">
        <v>0</v>
      </c>
      <c r="E3623" s="11" t="n">
        <v>0.1289901958</v>
      </c>
      <c r="F3623" s="12" t="n">
        <v>0</v>
      </c>
      <c r="G3623" s="11" t="n">
        <v>274.5239191</v>
      </c>
      <c r="H3623" s="13">
        <f>F3623*1000</f>
        <v/>
      </c>
      <c r="I3623" s="14">
        <f>G3623-273.15</f>
        <v/>
      </c>
    </row>
    <row r="3624">
      <c r="A3624" s="9" t="n">
        <v>40511</v>
      </c>
      <c r="B3624" s="7">
        <f>YEAR(A3624)</f>
        <v/>
      </c>
      <c r="C3624" s="7">
        <f>MONTH(A3624)</f>
        <v/>
      </c>
      <c r="D3624" s="10" t="n">
        <v>0</v>
      </c>
      <c r="E3624" s="11" t="n">
        <v>1.143390311</v>
      </c>
      <c r="F3624" s="12" t="n">
        <v>6.722385541e-05</v>
      </c>
      <c r="G3624" s="11" t="n">
        <v>276.3986574</v>
      </c>
      <c r="H3624" s="13">
        <f>F3624*1000</f>
        <v/>
      </c>
      <c r="I3624" s="14">
        <f>G3624-273.15</f>
        <v/>
      </c>
    </row>
    <row r="3625">
      <c r="A3625" s="9" t="n">
        <v>40512</v>
      </c>
      <c r="B3625" s="7">
        <f>YEAR(A3625)</f>
        <v/>
      </c>
      <c r="C3625" s="7">
        <f>MONTH(A3625)</f>
        <v/>
      </c>
      <c r="D3625" s="10" t="n">
        <v>0.5092079674</v>
      </c>
      <c r="E3625" s="11" t="n">
        <v>3.609215074</v>
      </c>
      <c r="F3625" s="12" t="n">
        <v>0.004397146103</v>
      </c>
      <c r="G3625" s="11" t="n">
        <v>278.6025561</v>
      </c>
      <c r="H3625" s="13">
        <f>F3625*1000</f>
        <v/>
      </c>
      <c r="I3625" s="14">
        <f>G3625-273.15</f>
        <v/>
      </c>
    </row>
    <row r="3626">
      <c r="A3626" s="9" t="n">
        <v>40513</v>
      </c>
      <c r="B3626" s="7">
        <f>YEAR(A3626)</f>
        <v/>
      </c>
      <c r="C3626" s="7">
        <f>MONTH(A3626)</f>
        <v/>
      </c>
      <c r="D3626" s="10" t="n">
        <v>0</v>
      </c>
      <c r="E3626" s="11" t="n">
        <v>4.374927138</v>
      </c>
      <c r="F3626" s="12" t="n">
        <v>0</v>
      </c>
      <c r="G3626" s="11" t="n">
        <v>280.0800339</v>
      </c>
      <c r="H3626" s="13">
        <f>F3626*1000</f>
        <v/>
      </c>
      <c r="I3626" s="14">
        <f>G3626-273.15</f>
        <v/>
      </c>
    </row>
    <row r="3627">
      <c r="A3627" s="9" t="n">
        <v>40514</v>
      </c>
      <c r="B3627" s="7">
        <f>YEAR(A3627)</f>
        <v/>
      </c>
      <c r="C3627" s="7">
        <f>MONTH(A3627)</f>
        <v/>
      </c>
      <c r="D3627" s="10" t="n">
        <v>0</v>
      </c>
      <c r="E3627" s="11" t="n">
        <v>6.299495862</v>
      </c>
      <c r="F3627" s="12" t="n">
        <v>0</v>
      </c>
      <c r="G3627" s="11" t="n">
        <v>280.2311155</v>
      </c>
      <c r="H3627" s="13">
        <f>F3627*1000</f>
        <v/>
      </c>
      <c r="I3627" s="14">
        <f>G3627-273.15</f>
        <v/>
      </c>
    </row>
    <row r="3628">
      <c r="A3628" s="9" t="n">
        <v>40515</v>
      </c>
      <c r="B3628" s="7">
        <f>YEAR(A3628)</f>
        <v/>
      </c>
      <c r="C3628" s="7">
        <f>MONTH(A3628)</f>
        <v/>
      </c>
      <c r="D3628" s="10" t="n">
        <v>0</v>
      </c>
      <c r="E3628" s="11" t="n">
        <v>6.195947602</v>
      </c>
      <c r="F3628" s="12" t="n">
        <v>1.805829744e-05</v>
      </c>
      <c r="G3628" s="11" t="n">
        <v>280.039363</v>
      </c>
      <c r="H3628" s="13">
        <f>F3628*1000</f>
        <v/>
      </c>
      <c r="I3628" s="14">
        <f>G3628-273.15</f>
        <v/>
      </c>
    </row>
    <row r="3629">
      <c r="A3629" s="9" t="n">
        <v>40516</v>
      </c>
      <c r="B3629" s="7">
        <f>YEAR(A3629)</f>
        <v/>
      </c>
      <c r="C3629" s="7">
        <f>MONTH(A3629)</f>
        <v/>
      </c>
      <c r="D3629" s="10" t="n">
        <v>0</v>
      </c>
      <c r="E3629" s="11" t="n">
        <v>4.196715757</v>
      </c>
      <c r="F3629" s="12" t="n">
        <v>9.979119587e-05</v>
      </c>
      <c r="G3629" s="11" t="n">
        <v>278.5006442</v>
      </c>
      <c r="H3629" s="13">
        <f>F3629*1000</f>
        <v/>
      </c>
      <c r="I3629" s="14">
        <f>G3629-273.15</f>
        <v/>
      </c>
    </row>
    <row r="3630">
      <c r="A3630" s="9" t="n">
        <v>40517</v>
      </c>
      <c r="B3630" s="7">
        <f>YEAR(A3630)</f>
        <v/>
      </c>
      <c r="C3630" s="7">
        <f>MONTH(A3630)</f>
        <v/>
      </c>
      <c r="D3630" s="10" t="n">
        <v>0</v>
      </c>
      <c r="E3630" s="11" t="n">
        <v>3.55895304</v>
      </c>
      <c r="F3630" s="12" t="n">
        <v>0</v>
      </c>
      <c r="G3630" s="11" t="n">
        <v>277.8466656</v>
      </c>
      <c r="H3630" s="13">
        <f>F3630*1000</f>
        <v/>
      </c>
      <c r="I3630" s="14">
        <f>G3630-273.15</f>
        <v/>
      </c>
    </row>
    <row r="3631">
      <c r="A3631" s="9" t="n">
        <v>40518</v>
      </c>
      <c r="B3631" s="7">
        <f>YEAR(A3631)</f>
        <v/>
      </c>
      <c r="C3631" s="7">
        <f>MONTH(A3631)</f>
        <v/>
      </c>
      <c r="D3631" s="10" t="n">
        <v>0</v>
      </c>
      <c r="E3631" s="11" t="n">
        <v>1.825138878</v>
      </c>
      <c r="F3631" s="12" t="n">
        <v>0</v>
      </c>
      <c r="G3631" s="11" t="n">
        <v>277.6583803</v>
      </c>
      <c r="H3631" s="13">
        <f>F3631*1000</f>
        <v/>
      </c>
      <c r="I3631" s="14">
        <f>G3631-273.15</f>
        <v/>
      </c>
    </row>
    <row r="3632">
      <c r="A3632" s="9" t="n">
        <v>40519</v>
      </c>
      <c r="B3632" s="7">
        <f>YEAR(A3632)</f>
        <v/>
      </c>
      <c r="C3632" s="7">
        <f>MONTH(A3632)</f>
        <v/>
      </c>
      <c r="D3632" s="10" t="n">
        <v>0</v>
      </c>
      <c r="E3632" s="11" t="n">
        <v>1.473313298</v>
      </c>
      <c r="F3632" s="12" t="n">
        <v>0</v>
      </c>
      <c r="G3632" s="11" t="n">
        <v>277.3017927</v>
      </c>
      <c r="H3632" s="13">
        <f>F3632*1000</f>
        <v/>
      </c>
      <c r="I3632" s="14">
        <f>G3632-273.15</f>
        <v/>
      </c>
    </row>
    <row r="3633">
      <c r="A3633" s="9" t="n">
        <v>40520</v>
      </c>
      <c r="B3633" s="7">
        <f>YEAR(A3633)</f>
        <v/>
      </c>
      <c r="C3633" s="7">
        <f>MONTH(A3633)</f>
        <v/>
      </c>
      <c r="D3633" s="10" t="n">
        <v>0</v>
      </c>
      <c r="E3633" s="11" t="n">
        <v>2.819415605</v>
      </c>
      <c r="F3633" s="12" t="n">
        <v>0</v>
      </c>
      <c r="G3633" s="11" t="n">
        <v>278.7853447</v>
      </c>
      <c r="H3633" s="13">
        <f>F3633*1000</f>
        <v/>
      </c>
      <c r="I3633" s="14">
        <f>G3633-273.15</f>
        <v/>
      </c>
    </row>
    <row r="3634">
      <c r="A3634" s="9" t="n">
        <v>40521</v>
      </c>
      <c r="B3634" s="7">
        <f>YEAR(A3634)</f>
        <v/>
      </c>
      <c r="C3634" s="7">
        <f>MONTH(A3634)</f>
        <v/>
      </c>
      <c r="D3634" s="10" t="n">
        <v>0</v>
      </c>
      <c r="E3634" s="11" t="n">
        <v>2.292425764</v>
      </c>
      <c r="F3634" s="12" t="n">
        <v>5.194621821e-05</v>
      </c>
      <c r="G3634" s="11" t="n">
        <v>277.8369926</v>
      </c>
      <c r="H3634" s="13">
        <f>F3634*1000</f>
        <v/>
      </c>
      <c r="I3634" s="14">
        <f>G3634-273.15</f>
        <v/>
      </c>
    </row>
    <row r="3635">
      <c r="A3635" s="9" t="n">
        <v>40522</v>
      </c>
      <c r="B3635" s="7">
        <f>YEAR(A3635)</f>
        <v/>
      </c>
      <c r="C3635" s="7">
        <f>MONTH(A3635)</f>
        <v/>
      </c>
      <c r="D3635" s="10" t="n">
        <v>0</v>
      </c>
      <c r="E3635" s="11" t="n">
        <v>1.278379701</v>
      </c>
      <c r="F3635" s="12" t="n">
        <v>0</v>
      </c>
      <c r="G3635" s="11" t="n">
        <v>275.9666134</v>
      </c>
      <c r="H3635" s="13">
        <f>F3635*1000</f>
        <v/>
      </c>
      <c r="I3635" s="14">
        <f>G3635-273.15</f>
        <v/>
      </c>
    </row>
    <row r="3636">
      <c r="A3636" s="9" t="n">
        <v>40523</v>
      </c>
      <c r="B3636" s="7">
        <f>YEAR(A3636)</f>
        <v/>
      </c>
      <c r="C3636" s="7">
        <f>MONTH(A3636)</f>
        <v/>
      </c>
      <c r="D3636" s="10" t="n">
        <v>0</v>
      </c>
      <c r="E3636" s="11" t="n">
        <v>0.5260867209</v>
      </c>
      <c r="F3636" s="12" t="n">
        <v>0</v>
      </c>
      <c r="G3636" s="11" t="n">
        <v>275.7155059</v>
      </c>
      <c r="H3636" s="13">
        <f>F3636*1000</f>
        <v/>
      </c>
      <c r="I3636" s="14">
        <f>G3636-273.15</f>
        <v/>
      </c>
    </row>
    <row r="3637">
      <c r="A3637" s="9" t="n">
        <v>40524</v>
      </c>
      <c r="B3637" s="7">
        <f>YEAR(A3637)</f>
        <v/>
      </c>
      <c r="C3637" s="7">
        <f>MONTH(A3637)</f>
        <v/>
      </c>
      <c r="D3637" s="10" t="n">
        <v>0.2065551185</v>
      </c>
      <c r="E3637" s="11" t="n">
        <v>2.949649677</v>
      </c>
      <c r="F3637" s="12" t="n">
        <v>0.002207300128</v>
      </c>
      <c r="G3637" s="11" t="n">
        <v>277.9757399</v>
      </c>
      <c r="H3637" s="13">
        <f>F3637*1000</f>
        <v/>
      </c>
      <c r="I3637" s="14">
        <f>G3637-273.15</f>
        <v/>
      </c>
    </row>
    <row r="3638">
      <c r="A3638" s="9" t="n">
        <v>40525</v>
      </c>
      <c r="B3638" s="7">
        <f>YEAR(A3638)</f>
        <v/>
      </c>
      <c r="C3638" s="7">
        <f>MONTH(A3638)</f>
        <v/>
      </c>
      <c r="D3638" s="10" t="n">
        <v>0</v>
      </c>
      <c r="E3638" s="11" t="n">
        <v>4.774069334</v>
      </c>
      <c r="F3638" s="12" t="n">
        <v>0</v>
      </c>
      <c r="G3638" s="11" t="n">
        <v>279.6125922</v>
      </c>
      <c r="H3638" s="13">
        <f>F3638*1000</f>
        <v/>
      </c>
      <c r="I3638" s="14">
        <f>G3638-273.15</f>
        <v/>
      </c>
    </row>
    <row r="3639">
      <c r="A3639" s="9" t="n">
        <v>40526</v>
      </c>
      <c r="B3639" s="7">
        <f>YEAR(A3639)</f>
        <v/>
      </c>
      <c r="C3639" s="7">
        <f>MONTH(A3639)</f>
        <v/>
      </c>
      <c r="D3639" s="10" t="n">
        <v>0</v>
      </c>
      <c r="E3639" s="11" t="n">
        <v>4.58867732</v>
      </c>
      <c r="F3639" s="12" t="n">
        <v>0</v>
      </c>
      <c r="G3639" s="11" t="n">
        <v>279.0492715</v>
      </c>
      <c r="H3639" s="13">
        <f>F3639*1000</f>
        <v/>
      </c>
      <c r="I3639" s="14">
        <f>G3639-273.15</f>
        <v/>
      </c>
    </row>
    <row r="3640">
      <c r="A3640" s="9" t="n">
        <v>40527</v>
      </c>
      <c r="B3640" s="7">
        <f>YEAR(A3640)</f>
        <v/>
      </c>
      <c r="C3640" s="7">
        <f>MONTH(A3640)</f>
        <v/>
      </c>
      <c r="D3640" s="10" t="n">
        <v>0</v>
      </c>
      <c r="E3640" s="11" t="n">
        <v>2.904682577</v>
      </c>
      <c r="F3640" s="12" t="n">
        <v>0</v>
      </c>
      <c r="G3640" s="11" t="n">
        <v>277.8331099</v>
      </c>
      <c r="H3640" s="13">
        <f>F3640*1000</f>
        <v/>
      </c>
      <c r="I3640" s="14">
        <f>G3640-273.15</f>
        <v/>
      </c>
    </row>
    <row r="3641">
      <c r="A3641" s="9" t="n">
        <v>40528</v>
      </c>
      <c r="B3641" s="7">
        <f>YEAR(A3641)</f>
        <v/>
      </c>
      <c r="C3641" s="7">
        <f>MONTH(A3641)</f>
        <v/>
      </c>
      <c r="D3641" s="10" t="n">
        <v>0</v>
      </c>
      <c r="E3641" s="11" t="n">
        <v>2.14759843</v>
      </c>
      <c r="F3641" s="12" t="n">
        <v>0</v>
      </c>
      <c r="G3641" s="11" t="n">
        <v>277.6246829</v>
      </c>
      <c r="H3641" s="13">
        <f>F3641*1000</f>
        <v/>
      </c>
      <c r="I3641" s="14">
        <f>G3641-273.15</f>
        <v/>
      </c>
    </row>
    <row r="3642">
      <c r="A3642" s="9" t="n">
        <v>40529</v>
      </c>
      <c r="B3642" s="7">
        <f>YEAR(A3642)</f>
        <v/>
      </c>
      <c r="C3642" s="7">
        <f>MONTH(A3642)</f>
        <v/>
      </c>
      <c r="D3642" s="10" t="n">
        <v>0</v>
      </c>
      <c r="E3642" s="11" t="n">
        <v>0.4441292903</v>
      </c>
      <c r="F3642" s="12" t="n">
        <v>0.001963999273</v>
      </c>
      <c r="G3642" s="11" t="n">
        <v>276.6975337</v>
      </c>
      <c r="H3642" s="13">
        <f>F3642*1000</f>
        <v/>
      </c>
      <c r="I3642" s="14">
        <f>G3642-273.15</f>
        <v/>
      </c>
    </row>
    <row r="3643">
      <c r="A3643" s="9" t="n">
        <v>40530</v>
      </c>
      <c r="B3643" s="7">
        <f>YEAR(A3643)</f>
        <v/>
      </c>
      <c r="C3643" s="7">
        <f>MONTH(A3643)</f>
        <v/>
      </c>
      <c r="D3643" s="10" t="n">
        <v>0</v>
      </c>
      <c r="E3643" s="11" t="n">
        <v>0.05854415255</v>
      </c>
      <c r="F3643" s="12" t="n">
        <v>0</v>
      </c>
      <c r="G3643" s="11" t="n">
        <v>276.3136758</v>
      </c>
      <c r="H3643" s="13">
        <f>F3643*1000</f>
        <v/>
      </c>
      <c r="I3643" s="14">
        <f>G3643-273.15</f>
        <v/>
      </c>
    </row>
    <row r="3644">
      <c r="A3644" s="9" t="n">
        <v>40531</v>
      </c>
      <c r="B3644" s="7">
        <f>YEAR(A3644)</f>
        <v/>
      </c>
      <c r="C3644" s="7">
        <f>MONTH(A3644)</f>
        <v/>
      </c>
      <c r="D3644" s="10" t="n">
        <v>0</v>
      </c>
      <c r="E3644" s="11" t="n">
        <v>-0.8508709241</v>
      </c>
      <c r="F3644" s="12" t="n">
        <v>0</v>
      </c>
      <c r="G3644" s="11" t="n">
        <v>275.0643797</v>
      </c>
      <c r="H3644" s="13">
        <f>F3644*1000</f>
        <v/>
      </c>
      <c r="I3644" s="14">
        <f>G3644-273.15</f>
        <v/>
      </c>
    </row>
    <row r="3645">
      <c r="A3645" s="9" t="n">
        <v>40532</v>
      </c>
      <c r="B3645" s="7">
        <f>YEAR(A3645)</f>
        <v/>
      </c>
      <c r="C3645" s="7">
        <f>MONTH(A3645)</f>
        <v/>
      </c>
      <c r="D3645" s="10" t="n">
        <v>4.986585721</v>
      </c>
      <c r="E3645" s="11" t="n">
        <v>-0.4941241593</v>
      </c>
      <c r="F3645" s="12" t="n">
        <v>0.003694690419</v>
      </c>
      <c r="G3645" s="11" t="n">
        <v>276.5196356</v>
      </c>
      <c r="H3645" s="13">
        <f>F3645*1000</f>
        <v/>
      </c>
      <c r="I3645" s="14">
        <f>G3645-273.15</f>
        <v/>
      </c>
    </row>
    <row r="3646">
      <c r="A3646" s="9" t="n">
        <v>40533</v>
      </c>
      <c r="B3646" s="7">
        <f>YEAR(A3646)</f>
        <v/>
      </c>
      <c r="C3646" s="7">
        <f>MONTH(A3646)</f>
        <v/>
      </c>
      <c r="D3646" s="10" t="n">
        <v>0</v>
      </c>
      <c r="E3646" s="11" t="n">
        <v>0.3294345346</v>
      </c>
      <c r="F3646" s="12" t="n">
        <v>0.0008202061837</v>
      </c>
      <c r="G3646" s="11" t="n">
        <v>275.3010666</v>
      </c>
      <c r="H3646" s="13">
        <f>F3646*1000</f>
        <v/>
      </c>
      <c r="I3646" s="14">
        <f>G3646-273.15</f>
        <v/>
      </c>
    </row>
    <row r="3647">
      <c r="A3647" s="9" t="n">
        <v>40534</v>
      </c>
      <c r="B3647" s="7">
        <f>YEAR(A3647)</f>
        <v/>
      </c>
      <c r="C3647" s="7">
        <f>MONTH(A3647)</f>
        <v/>
      </c>
      <c r="D3647" s="10" t="n">
        <v>0</v>
      </c>
      <c r="E3647" s="11" t="n">
        <v>1.390566188</v>
      </c>
      <c r="F3647" s="12" t="n">
        <v>0.0001167630695</v>
      </c>
      <c r="G3647" s="11" t="n">
        <v>277.8294738</v>
      </c>
      <c r="H3647" s="13">
        <f>F3647*1000</f>
        <v/>
      </c>
      <c r="I3647" s="14">
        <f>G3647-273.15</f>
        <v/>
      </c>
    </row>
    <row r="3648">
      <c r="A3648" s="9" t="n">
        <v>40535</v>
      </c>
      <c r="B3648" s="7">
        <f>YEAR(A3648)</f>
        <v/>
      </c>
      <c r="C3648" s="7">
        <f>MONTH(A3648)</f>
        <v/>
      </c>
      <c r="D3648" s="10" t="n">
        <v>0</v>
      </c>
      <c r="E3648" s="11" t="n">
        <v>5.226841269</v>
      </c>
      <c r="F3648" s="12" t="n">
        <v>0</v>
      </c>
      <c r="G3648" s="11" t="n">
        <v>281.0634405</v>
      </c>
      <c r="H3648" s="13">
        <f>F3648*1000</f>
        <v/>
      </c>
      <c r="I3648" s="14">
        <f>G3648-273.15</f>
        <v/>
      </c>
    </row>
    <row r="3649">
      <c r="A3649" s="9" t="n">
        <v>40536</v>
      </c>
      <c r="B3649" s="7">
        <f>YEAR(A3649)</f>
        <v/>
      </c>
      <c r="C3649" s="7">
        <f>MONTH(A3649)</f>
        <v/>
      </c>
      <c r="D3649" s="10" t="n">
        <v>0</v>
      </c>
      <c r="E3649" s="11" t="n">
        <v>4.217946301</v>
      </c>
      <c r="F3649" s="12" t="n">
        <v>0</v>
      </c>
      <c r="G3649" s="11" t="n">
        <v>281.4004288</v>
      </c>
      <c r="H3649" s="13">
        <f>F3649*1000</f>
        <v/>
      </c>
      <c r="I3649" s="14">
        <f>G3649-273.15</f>
        <v/>
      </c>
    </row>
    <row r="3650">
      <c r="A3650" s="9" t="n">
        <v>40537</v>
      </c>
      <c r="B3650" s="7">
        <f>YEAR(A3650)</f>
        <v/>
      </c>
      <c r="C3650" s="7">
        <f>MONTH(A3650)</f>
        <v/>
      </c>
      <c r="D3650" s="10" t="n">
        <v>0</v>
      </c>
      <c r="E3650" s="11" t="n">
        <v>3.021349572</v>
      </c>
      <c r="F3650" s="12" t="n">
        <v>0</v>
      </c>
      <c r="G3650" s="11" t="n">
        <v>279.8278859</v>
      </c>
      <c r="H3650" s="13">
        <f>F3650*1000</f>
        <v/>
      </c>
      <c r="I3650" s="14">
        <f>G3650-273.15</f>
        <v/>
      </c>
    </row>
    <row r="3651">
      <c r="A3651" s="9" t="n">
        <v>40538</v>
      </c>
      <c r="B3651" s="7">
        <f>YEAR(A3651)</f>
        <v/>
      </c>
      <c r="C3651" s="7">
        <f>MONTH(A3651)</f>
        <v/>
      </c>
      <c r="D3651" s="10" t="n">
        <v>0</v>
      </c>
      <c r="E3651" s="11" t="n">
        <v>2.412985682</v>
      </c>
      <c r="F3651" s="12" t="n">
        <v>0</v>
      </c>
      <c r="G3651" s="11" t="n">
        <v>279.1463148</v>
      </c>
      <c r="H3651" s="13">
        <f>F3651*1000</f>
        <v/>
      </c>
      <c r="I3651" s="14">
        <f>G3651-273.15</f>
        <v/>
      </c>
    </row>
    <row r="3652">
      <c r="A3652" s="9" t="n">
        <v>40539</v>
      </c>
      <c r="B3652" s="7">
        <f>YEAR(A3652)</f>
        <v/>
      </c>
      <c r="C3652" s="7">
        <f>MONTH(A3652)</f>
        <v/>
      </c>
      <c r="D3652" s="10" t="n">
        <v>0</v>
      </c>
      <c r="E3652" s="11" t="n">
        <v>4.319684562</v>
      </c>
      <c r="F3652" s="12" t="n">
        <v>0</v>
      </c>
      <c r="G3652" s="11" t="n">
        <v>281.4774126</v>
      </c>
      <c r="H3652" s="13">
        <f>F3652*1000</f>
        <v/>
      </c>
      <c r="I3652" s="14">
        <f>G3652-273.15</f>
        <v/>
      </c>
    </row>
    <row r="3653">
      <c r="A3653" s="9" t="n">
        <v>40540</v>
      </c>
      <c r="B3653" s="7">
        <f>YEAR(A3653)</f>
        <v/>
      </c>
      <c r="C3653" s="7">
        <f>MONTH(A3653)</f>
        <v/>
      </c>
      <c r="D3653" s="10" t="n">
        <v>0</v>
      </c>
      <c r="E3653" s="11" t="n">
        <v>2.842305417</v>
      </c>
      <c r="F3653" s="12" t="n">
        <v>0.0008493430257</v>
      </c>
      <c r="G3653" s="11" t="n">
        <v>280.500603</v>
      </c>
      <c r="H3653" s="13">
        <f>F3653*1000</f>
        <v/>
      </c>
      <c r="I3653" s="14">
        <f>G3653-273.15</f>
        <v/>
      </c>
    </row>
    <row r="3654">
      <c r="A3654" s="9" t="n">
        <v>40541</v>
      </c>
      <c r="B3654" s="7">
        <f>YEAR(A3654)</f>
        <v/>
      </c>
      <c r="C3654" s="7">
        <f>MONTH(A3654)</f>
        <v/>
      </c>
      <c r="D3654" s="10" t="n">
        <v>0</v>
      </c>
      <c r="E3654" s="11" t="n">
        <v>3.846596009</v>
      </c>
      <c r="F3654" s="12" t="n">
        <v>0</v>
      </c>
      <c r="G3654" s="11" t="n">
        <v>280.9096226</v>
      </c>
      <c r="H3654" s="13">
        <f>F3654*1000</f>
        <v/>
      </c>
      <c r="I3654" s="14">
        <f>G3654-273.15</f>
        <v/>
      </c>
    </row>
    <row r="3655">
      <c r="A3655" s="9" t="n">
        <v>40542</v>
      </c>
      <c r="B3655" s="7">
        <f>YEAR(A3655)</f>
        <v/>
      </c>
      <c r="C3655" s="7">
        <f>MONTH(A3655)</f>
        <v/>
      </c>
      <c r="D3655" s="10" t="n">
        <v>0</v>
      </c>
      <c r="E3655" s="11" t="n">
        <v>3.976948754</v>
      </c>
      <c r="F3655" s="12" t="n">
        <v>0</v>
      </c>
      <c r="G3655" s="11" t="n">
        <v>280.599727</v>
      </c>
      <c r="H3655" s="13">
        <f>F3655*1000</f>
        <v/>
      </c>
      <c r="I3655" s="14">
        <f>G3655-273.15</f>
        <v/>
      </c>
    </row>
    <row r="3656">
      <c r="A3656" s="9" t="n">
        <v>40543</v>
      </c>
      <c r="B3656" s="7">
        <f>YEAR(A3656)</f>
        <v/>
      </c>
      <c r="C3656" s="7">
        <f>MONTH(A3656)</f>
        <v/>
      </c>
      <c r="D3656" s="10" t="n">
        <v>0</v>
      </c>
      <c r="E3656" s="11" t="n">
        <v>2.273904095</v>
      </c>
      <c r="F3656" s="12" t="n">
        <v>0</v>
      </c>
      <c r="G3656" s="11" t="n">
        <v>279.2547347</v>
      </c>
      <c r="H3656" s="13">
        <f>F3656*1000</f>
        <v/>
      </c>
      <c r="I3656" s="14">
        <f>G3656-273.15</f>
        <v/>
      </c>
    </row>
  </sheetData>
  <mergeCells count="2">
    <mergeCell ref="A3:I3"/>
    <mergeCell ref="K3:Q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38" customWidth="1" min="1" max="1"/>
    <col width="22" customWidth="1" min="2" max="2"/>
    <col width="24" customWidth="1" min="3" max="3"/>
    <col width="20" customWidth="1" min="4" max="4"/>
    <col width="16" customWidth="1" min="5" max="5"/>
    <col width="14" customWidth="1" min="6" max="6"/>
    <col width="18" customWidth="1" min="7" max="7"/>
  </cols>
  <sheetData>
    <row r="1">
      <c r="A1" s="6" t="inlineStr">
        <is>
          <t>Units and scales: converting model output and comparing scales</t>
        </is>
      </c>
    </row>
    <row r="3">
      <c r="A3" s="17" t="inlineStr">
        <is>
          <t>1. Precipitation flux (kg m-2 s-1) to mm/day</t>
        </is>
      </c>
    </row>
    <row r="4">
      <c r="A4" s="7" t="inlineStr">
        <is>
          <t>Seconds per day [s]</t>
        </is>
      </c>
      <c r="B4" s="15" t="n">
        <v>86400</v>
      </c>
    </row>
    <row r="5">
      <c r="A5" s="7" t="inlineStr">
        <is>
          <t>Density of water [kg m-3]</t>
        </is>
      </c>
      <c r="B5" s="15" t="n">
        <v>1000</v>
      </c>
    </row>
    <row r="6">
      <c r="A6" s="7" t="inlineStr">
        <is>
          <t>Millimetres per metre</t>
        </is>
      </c>
      <c r="B6" s="15" t="n">
        <v>1000</v>
      </c>
    </row>
    <row r="8" ht="48" customHeight="1">
      <c r="A8" s="8" t="inlineStr">
        <is>
          <t>flux [kg m-2 s-1]</t>
        </is>
      </c>
      <c r="B8" s="8" t="inlineStr">
        <is>
          <t>depth per second [mm/s] = flux / density x 1000</t>
        </is>
      </c>
      <c r="C8" s="8" t="inlineStr">
        <is>
          <t>depth per day [mm/day] = (previous) x 86400</t>
        </is>
      </c>
      <c r="D8" s="8" t="inlineStr">
        <is>
          <t>shortcut = flux x 86400</t>
        </is>
      </c>
      <c r="E8" s="8" t="inlineStr">
        <is>
          <t>difference (should be 0)</t>
        </is>
      </c>
    </row>
    <row r="9">
      <c r="A9" s="18" t="n">
        <v>1e-06</v>
      </c>
      <c r="B9" s="19">
        <f>A9/$B$5*$B$6</f>
        <v/>
      </c>
      <c r="C9" s="13">
        <f>B9*$B$4</f>
        <v/>
      </c>
      <c r="D9" s="13">
        <f>A9*$B$4</f>
        <v/>
      </c>
      <c r="E9" s="20">
        <f>C9-D9</f>
        <v/>
      </c>
    </row>
    <row r="10">
      <c r="A10" s="18" t="n">
        <v>1e-05</v>
      </c>
      <c r="B10" s="19">
        <f>A10/$B$5*$B$6</f>
        <v/>
      </c>
      <c r="C10" s="13">
        <f>B10*$B$4</f>
        <v/>
      </c>
      <c r="D10" s="13">
        <f>A10*$B$4</f>
        <v/>
      </c>
      <c r="E10" s="20">
        <f>C10-D10</f>
        <v/>
      </c>
    </row>
    <row r="11">
      <c r="A11" s="18" t="n">
        <v>5e-05</v>
      </c>
      <c r="B11" s="19">
        <f>A11/$B$5*$B$6</f>
        <v/>
      </c>
      <c r="C11" s="13">
        <f>B11*$B$4</f>
        <v/>
      </c>
      <c r="D11" s="13">
        <f>A11*$B$4</f>
        <v/>
      </c>
      <c r="E11" s="20">
        <f>C11-D11</f>
        <v/>
      </c>
    </row>
    <row r="12">
      <c r="A12" s="18" t="n">
        <v>0.0001</v>
      </c>
      <c r="B12" s="19">
        <f>A12/$B$5*$B$6</f>
        <v/>
      </c>
      <c r="C12" s="13">
        <f>B12*$B$4</f>
        <v/>
      </c>
      <c r="D12" s="13">
        <f>A12*$B$4</f>
        <v/>
      </c>
      <c r="E12" s="20">
        <f>C12-D12</f>
        <v/>
      </c>
    </row>
    <row r="13">
      <c r="A13" s="18" t="n">
        <v>0.0003</v>
      </c>
      <c r="B13" s="19">
        <f>A13/$B$5*$B$6</f>
        <v/>
      </c>
      <c r="C13" s="13">
        <f>B13*$B$4</f>
        <v/>
      </c>
      <c r="D13" s="13">
        <f>A13*$B$4</f>
        <v/>
      </c>
      <c r="E13" s="20">
        <f>C13-D13</f>
        <v/>
      </c>
    </row>
    <row r="14">
      <c r="A14" s="21">
        <f>Data!N5</f>
        <v/>
      </c>
      <c r="B14" s="19">
        <f>A14/$B$5*$B$6</f>
        <v/>
      </c>
      <c r="C14" s="13">
        <f>B14*$B$4</f>
        <v/>
      </c>
      <c r="D14" s="13">
        <f>A14*$B$4</f>
        <v/>
      </c>
      <c r="E14" s="20">
        <f>C14-D14</f>
        <v/>
      </c>
    </row>
    <row r="15" ht="48" customHeight="1">
      <c r="A15" s="22" t="inlineStr">
        <is>
          <t>1 kg of water spread over 1 m2 is 1/1000 m3 per m2 = 1 mm deep, so kg m-2 and mm are the same number (for water). The flux is per second, so multiply by 86400 to get mm per day.</t>
        </is>
      </c>
    </row>
    <row r="17">
      <c r="A17" s="17" t="inlineStr">
        <is>
          <t>2. Other conversions (first day of the Data sheet)</t>
        </is>
      </c>
    </row>
    <row r="18" ht="48" customHeight="1">
      <c r="A18" s="8" t="inlineStr">
        <is>
          <t>quantity</t>
        </is>
      </c>
      <c r="B18" s="8" t="inlineStr">
        <is>
          <t>raw value</t>
        </is>
      </c>
      <c r="C18" s="8" t="inlineStr">
        <is>
          <t>unit conversion</t>
        </is>
      </c>
      <c r="D18" s="8" t="inlineStr">
        <is>
          <t>converted</t>
        </is>
      </c>
      <c r="E18" s="8" t="inlineStr">
        <is>
          <t>unit</t>
        </is>
      </c>
    </row>
    <row r="19">
      <c r="A19" s="7" t="inlineStr">
        <is>
          <t>Reanalysis total precipitation</t>
        </is>
      </c>
      <c r="B19" s="23">
        <f>Data!F5</f>
        <v/>
      </c>
      <c r="C19" s="7" t="inlineStr">
        <is>
          <t>x 1000</t>
        </is>
      </c>
      <c r="D19" s="13">
        <f>B19*$B$6</f>
        <v/>
      </c>
      <c r="E19" s="7" t="inlineStr">
        <is>
          <t>mm/day</t>
        </is>
      </c>
    </row>
    <row r="20">
      <c r="A20" s="7" t="inlineStr">
        <is>
          <t>Reanalysis 2 m temperature</t>
        </is>
      </c>
      <c r="B20" s="14">
        <f>Data!G5</f>
        <v/>
      </c>
      <c r="C20" s="7" t="inlineStr">
        <is>
          <t>- 273.15</t>
        </is>
      </c>
      <c r="D20" s="14">
        <f>B20-273.15</f>
        <v/>
      </c>
      <c r="E20" s="7" t="inlineStr">
        <is>
          <t>degC</t>
        </is>
      </c>
    </row>
    <row r="21">
      <c r="A21" s="7" t="inlineStr">
        <is>
          <t>GCM near-surface temperature</t>
        </is>
      </c>
      <c r="B21" s="14">
        <f>Data!O5</f>
        <v/>
      </c>
      <c r="C21" s="7" t="inlineStr">
        <is>
          <t>- 273.15</t>
        </is>
      </c>
      <c r="D21" s="14">
        <f>B21-273.15</f>
        <v/>
      </c>
      <c r="E21" s="7" t="inlineStr">
        <is>
          <t>degC</t>
        </is>
      </c>
    </row>
    <row r="23">
      <c r="A23" s="17" t="inlineStr">
        <is>
          <t>3. Rainfall depth to discharge: Q [m3/s] = P [mm/day] x A [km2] / 86.4</t>
        </is>
      </c>
    </row>
    <row r="24">
      <c r="A24" s="7" t="inlineStr">
        <is>
          <t>Catchment area A [km2]</t>
        </is>
      </c>
      <c r="B24" s="24" t="n">
        <v>1000</v>
      </c>
    </row>
    <row r="26" ht="48" customHeight="1">
      <c r="A26" s="8" t="inlineStr">
        <is>
          <t>P [mm/day]</t>
        </is>
      </c>
      <c r="B26" s="8" t="inlineStr">
        <is>
          <t>volume per day [m3] = P/1000 x A x 1e6</t>
        </is>
      </c>
      <c r="C26" s="8" t="inlineStr">
        <is>
          <t>Q [m3/s] = volume / 86400</t>
        </is>
      </c>
      <c r="D26" s="8" t="inlineStr">
        <is>
          <t>shortcut P x A / 86.4</t>
        </is>
      </c>
      <c r="E26" s="8" t="inlineStr">
        <is>
          <t>difference</t>
        </is>
      </c>
    </row>
    <row r="27">
      <c r="A27" s="15" t="n">
        <v>1</v>
      </c>
      <c r="B27" s="25">
        <f>A27/1000*$B$24*1000000</f>
        <v/>
      </c>
      <c r="C27" s="14">
        <f>B27/$B$4</f>
        <v/>
      </c>
      <c r="D27" s="14">
        <f>A27*$B$24/86.4</f>
        <v/>
      </c>
      <c r="E27" s="20">
        <f>C27-D27</f>
        <v/>
      </c>
    </row>
    <row r="28">
      <c r="A28" s="15" t="n">
        <v>10</v>
      </c>
      <c r="B28" s="25">
        <f>A28/1000*$B$24*1000000</f>
        <v/>
      </c>
      <c r="C28" s="14">
        <f>B28/$B$4</f>
        <v/>
      </c>
      <c r="D28" s="14">
        <f>A28*$B$24/86.4</f>
        <v/>
      </c>
      <c r="E28" s="20">
        <f>C28-D28</f>
        <v/>
      </c>
    </row>
    <row r="29">
      <c r="A29" s="15" t="n">
        <v>50</v>
      </c>
      <c r="B29" s="25">
        <f>A29/1000*$B$24*1000000</f>
        <v/>
      </c>
      <c r="C29" s="14">
        <f>B29/$B$4</f>
        <v/>
      </c>
      <c r="D29" s="14">
        <f>A29*$B$24/86.4</f>
        <v/>
      </c>
      <c r="E29" s="20">
        <f>C29-D29</f>
        <v/>
      </c>
    </row>
    <row r="30">
      <c r="A30" s="15" t="n">
        <v>100</v>
      </c>
      <c r="B30" s="25">
        <f>A30/1000*$B$24*1000000</f>
        <v/>
      </c>
      <c r="C30" s="14">
        <f>B30/$B$4</f>
        <v/>
      </c>
      <c r="D30" s="14">
        <f>A30*$B$24/86.4</f>
        <v/>
      </c>
      <c r="E30" s="20">
        <f>C30-D30</f>
        <v/>
      </c>
    </row>
    <row r="31" ht="32" customHeight="1">
      <c r="A31" s="22" t="inlineStr">
        <is>
          <t>86.4 = 86400 s per day / 1000 (mm per m), with A in km2 (1e6 m2): 1 mm/day over 1 km2 is 1000 m3/day = 0.01157 m3/s.</t>
        </is>
      </c>
    </row>
    <row r="33">
      <c r="A33" s="17" t="inlineStr">
        <is>
          <t>4. Area of a grid cell: A = R^2 x (lon width in rad) x (sin lat_north - sin lat_south)</t>
        </is>
      </c>
    </row>
    <row r="34">
      <c r="A34" s="7" t="inlineStr">
        <is>
          <t>Earth radius R [km]</t>
        </is>
      </c>
      <c r="B34" s="24" t="n">
        <v>6371</v>
      </c>
    </row>
    <row r="35">
      <c r="A35" s="7" t="inlineStr">
        <is>
          <t>Latitude of the catchment [deg N]</t>
        </is>
      </c>
      <c r="B35" s="11" t="n">
        <v>31.75</v>
      </c>
    </row>
    <row r="36">
      <c r="A36" s="7" t="inlineStr">
        <is>
          <t>Catchment area for the share column [km2]</t>
        </is>
      </c>
      <c r="B36" s="24" t="n">
        <v>1000</v>
      </c>
    </row>
    <row r="38" ht="48" customHeight="1">
      <c r="A38" s="8" t="inlineStr">
        <is>
          <t>cell</t>
        </is>
      </c>
      <c r="B38" s="8" t="inlineStr">
        <is>
          <t>size [deg]</t>
        </is>
      </c>
      <c r="C38" s="8" t="inlineStr">
        <is>
          <t>lat south [deg]</t>
        </is>
      </c>
      <c r="D38" s="8" t="inlineStr">
        <is>
          <t>lat north [deg]</t>
        </is>
      </c>
      <c r="E38" s="8" t="inlineStr">
        <is>
          <t>lon width [deg]</t>
        </is>
      </c>
      <c r="F38" s="8" t="inlineStr">
        <is>
          <t>area [km2]</t>
        </is>
      </c>
      <c r="G38" s="8" t="inlineStr">
        <is>
          <t>catchment area as % of cell area</t>
        </is>
      </c>
    </row>
    <row r="39">
      <c r="A39" s="7" t="inlineStr">
        <is>
          <t>Typical CMIP GCM</t>
        </is>
      </c>
      <c r="B39" s="11" t="n">
        <v>2.5</v>
      </c>
      <c r="C39" s="13">
        <f>$B$35-B39/2</f>
        <v/>
      </c>
      <c r="D39" s="13">
        <f>$B$35+B39/2</f>
        <v/>
      </c>
      <c r="E39" s="14">
        <f>B39</f>
        <v/>
      </c>
      <c r="F39" s="25">
        <f>$B$34^2*RADIANS(E39)*(SIN(RADIANS(D39))-SIN(RADIANS(C39)))</f>
        <v/>
      </c>
      <c r="G39" s="26">
        <f>$B$36/F39*100</f>
        <v/>
      </c>
    </row>
    <row r="40">
      <c r="A40" s="7" t="inlineStr">
        <is>
          <t>Coarse reanalysis</t>
        </is>
      </c>
      <c r="B40" s="11" t="n">
        <v>1.25</v>
      </c>
      <c r="C40" s="13">
        <f>$B$35-B40/2</f>
        <v/>
      </c>
      <c r="D40" s="13">
        <f>$B$35+B40/2</f>
        <v/>
      </c>
      <c r="E40" s="14">
        <f>B40</f>
        <v/>
      </c>
      <c r="F40" s="25">
        <f>$B$34^2*RADIANS(E40)*(SIN(RADIANS(D40))-SIN(RADIANS(C40)))</f>
        <v/>
      </c>
      <c r="G40" s="26">
        <f>$B$36/F40*100</f>
        <v/>
      </c>
    </row>
    <row r="41">
      <c r="A41" s="7" t="inlineStr">
        <is>
          <t>ERA5 / NEX-GDDP-CMIP6</t>
        </is>
      </c>
      <c r="B41" s="11" t="n">
        <v>0.25</v>
      </c>
      <c r="C41" s="13">
        <f>$B$35-B41/2</f>
        <v/>
      </c>
      <c r="D41" s="13">
        <f>$B$35+B41/2</f>
        <v/>
      </c>
      <c r="E41" s="14">
        <f>B41</f>
        <v/>
      </c>
      <c r="F41" s="25">
        <f>$B$34^2*RADIANS(E41)*(SIN(RADIANS(D41))-SIN(RADIANS(C41)))</f>
        <v/>
      </c>
      <c r="G41" s="26">
        <f>$B$36/F41*100</f>
        <v/>
      </c>
    </row>
    <row r="42">
      <c r="A42" s="7" t="inlineStr">
        <is>
          <t>Catchment box of the notebook</t>
        </is>
      </c>
      <c r="B42" s="11" t="n">
        <v>0.5</v>
      </c>
      <c r="C42" s="13">
        <f>$B$35-B42/2</f>
        <v/>
      </c>
      <c r="D42" s="13">
        <f>$B$35+B42/2</f>
        <v/>
      </c>
      <c r="E42" s="14">
        <f>B42</f>
        <v/>
      </c>
      <c r="F42" s="25">
        <f>$B$34^2*RADIANS(E42)*(SIN(RADIANS(D42))-SIN(RADIANS(C42)))</f>
        <v/>
      </c>
      <c r="G42" s="26">
        <f>$B$36/F42*100</f>
        <v/>
      </c>
    </row>
    <row r="44" ht="32" customHeight="1">
      <c r="A44" s="22" t="inlineStr">
        <is>
          <t>A 1000 km2 catchment fills a small share of a 2.5 degree cell: it sits inside one GCM cell with no resolved structure.</t>
        </is>
      </c>
    </row>
  </sheetData>
  <mergeCells count="3">
    <mergeCell ref="A15:E15"/>
    <mergeCell ref="A44:G44"/>
    <mergeCell ref="A31:E3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58"/>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6" customWidth="1" min="5" max="5"/>
    <col width="16" customWidth="1" min="6" max="6"/>
    <col width="14" customWidth="1" min="7" max="7"/>
    <col width="14" customWidth="1" min="8" max="8"/>
    <col width="14" customWidth="1" min="9" max="9"/>
    <col width="14" customWidth="1" min="10" max="10"/>
    <col width="12" customWidth="1" min="11" max="11"/>
    <col width="14" customWidth="1" min="12" max="12"/>
  </cols>
  <sheetData>
    <row r="1">
      <c r="A1" s="6" t="inlineStr">
        <is>
          <t>Observation vs reanalysis vs GCM at the catchment (synthetic data)</t>
        </is>
      </c>
    </row>
    <row r="2">
      <c r="A2" s="7" t="inlineStr">
        <is>
          <t>Number of years in the record</t>
        </is>
      </c>
      <c r="B2" s="27">
        <f>MAX(Data!$B$5:$B$3656)-MIN(Data!$B$5:$B$3656)+1</f>
        <v/>
      </c>
    </row>
    <row r="3">
      <c r="A3" s="7" t="inlineStr">
        <is>
          <t>Wet-day threshold [mm/day]</t>
        </is>
      </c>
      <c r="B3" s="28" t="n">
        <v>1</v>
      </c>
    </row>
    <row r="5">
      <c r="A5" s="17" t="inlineStr">
        <is>
          <t>A. Monthly climatology (mean over all days of that month)</t>
        </is>
      </c>
    </row>
    <row r="7" ht="48" customHeight="1">
      <c r="A7" s="8" t="inlineStr">
        <is>
          <t>month</t>
        </is>
      </c>
      <c r="B7" s="8" t="inlineStr">
        <is>
          <t>obs [mm/day]</t>
        </is>
      </c>
      <c r="C7" s="8" t="inlineStr">
        <is>
          <t>reanalysis [mm/day]</t>
        </is>
      </c>
      <c r="D7" s="8" t="inlineStr">
        <is>
          <t>GCM [mm/day]</t>
        </is>
      </c>
      <c r="E7" s="8" t="inlineStr">
        <is>
          <t>days per month, real calendar</t>
        </is>
      </c>
      <c r="F7" s="8" t="inlineStr">
        <is>
          <t>days per month, GCM (360-day)</t>
        </is>
      </c>
      <c r="G7" s="8" t="inlineStr">
        <is>
          <t>obs total [mm]</t>
        </is>
      </c>
      <c r="H7" s="8" t="inlineStr">
        <is>
          <t>reanalysis total [mm]</t>
        </is>
      </c>
      <c r="I7" s="8" t="inlineStr">
        <is>
          <t>GCM total [mm]</t>
        </is>
      </c>
      <c r="J7" s="8" t="inlineStr">
        <is>
          <t>GCM - obs [mm/day]</t>
        </is>
      </c>
      <c r="K7" s="8" t="inlineStr">
        <is>
          <t>GCM / obs</t>
        </is>
      </c>
      <c r="L7" s="8" t="inlineStr">
        <is>
          <t>reanalysis / obs</t>
        </is>
      </c>
    </row>
    <row r="8">
      <c r="A8" s="27" t="n">
        <v>1</v>
      </c>
      <c r="B8" s="14">
        <f>AVERAGEIFS(Data!$D$5:$D$3656,Data!$C$5:$C$3656,$A8)</f>
        <v/>
      </c>
      <c r="C8" s="14">
        <f>AVERAGEIFS(Data!$H$5:$H$3656,Data!$C$5:$C$3656,$A8)</f>
        <v/>
      </c>
      <c r="D8" s="14">
        <f>AVERAGEIFS(Data!$P$5:$P$3604,Data!$L$5:$L$3604,$A8)</f>
        <v/>
      </c>
      <c r="E8" s="26">
        <f>COUNTIF(Data!$C$5:$C$3656,$A8)/$B$2</f>
        <v/>
      </c>
      <c r="F8" s="26">
        <f>COUNTIF(Data!$L$5:$L$3604,$A8)/$B$2</f>
        <v/>
      </c>
      <c r="G8" s="26">
        <f>B8*E8</f>
        <v/>
      </c>
      <c r="H8" s="26">
        <f>C8*E8</f>
        <v/>
      </c>
      <c r="I8" s="26">
        <f>D8*F8</f>
        <v/>
      </c>
      <c r="J8" s="14">
        <f>D8-B8</f>
        <v/>
      </c>
      <c r="K8" s="14">
        <f>D8/B8</f>
        <v/>
      </c>
      <c r="L8" s="14">
        <f>C8/B8</f>
        <v/>
      </c>
    </row>
    <row r="9">
      <c r="A9" s="27" t="n">
        <v>2</v>
      </c>
      <c r="B9" s="14">
        <f>AVERAGEIFS(Data!$D$5:$D$3656,Data!$C$5:$C$3656,$A9)</f>
        <v/>
      </c>
      <c r="C9" s="14">
        <f>AVERAGEIFS(Data!$H$5:$H$3656,Data!$C$5:$C$3656,$A9)</f>
        <v/>
      </c>
      <c r="D9" s="14">
        <f>AVERAGEIFS(Data!$P$5:$P$3604,Data!$L$5:$L$3604,$A9)</f>
        <v/>
      </c>
      <c r="E9" s="26">
        <f>COUNTIF(Data!$C$5:$C$3656,$A9)/$B$2</f>
        <v/>
      </c>
      <c r="F9" s="26">
        <f>COUNTIF(Data!$L$5:$L$3604,$A9)/$B$2</f>
        <v/>
      </c>
      <c r="G9" s="26">
        <f>B9*E9</f>
        <v/>
      </c>
      <c r="H9" s="26">
        <f>C9*E9</f>
        <v/>
      </c>
      <c r="I9" s="26">
        <f>D9*F9</f>
        <v/>
      </c>
      <c r="J9" s="14">
        <f>D9-B9</f>
        <v/>
      </c>
      <c r="K9" s="14">
        <f>D9/B9</f>
        <v/>
      </c>
      <c r="L9" s="14">
        <f>C9/B9</f>
        <v/>
      </c>
    </row>
    <row r="10">
      <c r="A10" s="27" t="n">
        <v>3</v>
      </c>
      <c r="B10" s="14">
        <f>AVERAGEIFS(Data!$D$5:$D$3656,Data!$C$5:$C$3656,$A10)</f>
        <v/>
      </c>
      <c r="C10" s="14">
        <f>AVERAGEIFS(Data!$H$5:$H$3656,Data!$C$5:$C$3656,$A10)</f>
        <v/>
      </c>
      <c r="D10" s="14">
        <f>AVERAGEIFS(Data!$P$5:$P$3604,Data!$L$5:$L$3604,$A10)</f>
        <v/>
      </c>
      <c r="E10" s="26">
        <f>COUNTIF(Data!$C$5:$C$3656,$A10)/$B$2</f>
        <v/>
      </c>
      <c r="F10" s="26">
        <f>COUNTIF(Data!$L$5:$L$3604,$A10)/$B$2</f>
        <v/>
      </c>
      <c r="G10" s="26">
        <f>B10*E10</f>
        <v/>
      </c>
      <c r="H10" s="26">
        <f>C10*E10</f>
        <v/>
      </c>
      <c r="I10" s="26">
        <f>D10*F10</f>
        <v/>
      </c>
      <c r="J10" s="14">
        <f>D10-B10</f>
        <v/>
      </c>
      <c r="K10" s="14">
        <f>D10/B10</f>
        <v/>
      </c>
      <c r="L10" s="14">
        <f>C10/B10</f>
        <v/>
      </c>
    </row>
    <row r="11">
      <c r="A11" s="27" t="n">
        <v>4</v>
      </c>
      <c r="B11" s="14">
        <f>AVERAGEIFS(Data!$D$5:$D$3656,Data!$C$5:$C$3656,$A11)</f>
        <v/>
      </c>
      <c r="C11" s="14">
        <f>AVERAGEIFS(Data!$H$5:$H$3656,Data!$C$5:$C$3656,$A11)</f>
        <v/>
      </c>
      <c r="D11" s="14">
        <f>AVERAGEIFS(Data!$P$5:$P$3604,Data!$L$5:$L$3604,$A11)</f>
        <v/>
      </c>
      <c r="E11" s="26">
        <f>COUNTIF(Data!$C$5:$C$3656,$A11)/$B$2</f>
        <v/>
      </c>
      <c r="F11" s="26">
        <f>COUNTIF(Data!$L$5:$L$3604,$A11)/$B$2</f>
        <v/>
      </c>
      <c r="G11" s="26">
        <f>B11*E11</f>
        <v/>
      </c>
      <c r="H11" s="26">
        <f>C11*E11</f>
        <v/>
      </c>
      <c r="I11" s="26">
        <f>D11*F11</f>
        <v/>
      </c>
      <c r="J11" s="14">
        <f>D11-B11</f>
        <v/>
      </c>
      <c r="K11" s="14">
        <f>D11/B11</f>
        <v/>
      </c>
      <c r="L11" s="14">
        <f>C11/B11</f>
        <v/>
      </c>
    </row>
    <row r="12">
      <c r="A12" s="27" t="n">
        <v>5</v>
      </c>
      <c r="B12" s="14">
        <f>AVERAGEIFS(Data!$D$5:$D$3656,Data!$C$5:$C$3656,$A12)</f>
        <v/>
      </c>
      <c r="C12" s="14">
        <f>AVERAGEIFS(Data!$H$5:$H$3656,Data!$C$5:$C$3656,$A12)</f>
        <v/>
      </c>
      <c r="D12" s="14">
        <f>AVERAGEIFS(Data!$P$5:$P$3604,Data!$L$5:$L$3604,$A12)</f>
        <v/>
      </c>
      <c r="E12" s="26">
        <f>COUNTIF(Data!$C$5:$C$3656,$A12)/$B$2</f>
        <v/>
      </c>
      <c r="F12" s="26">
        <f>COUNTIF(Data!$L$5:$L$3604,$A12)/$B$2</f>
        <v/>
      </c>
      <c r="G12" s="26">
        <f>B12*E12</f>
        <v/>
      </c>
      <c r="H12" s="26">
        <f>C12*E12</f>
        <v/>
      </c>
      <c r="I12" s="26">
        <f>D12*F12</f>
        <v/>
      </c>
      <c r="J12" s="14">
        <f>D12-B12</f>
        <v/>
      </c>
      <c r="K12" s="14">
        <f>D12/B12</f>
        <v/>
      </c>
      <c r="L12" s="14">
        <f>C12/B12</f>
        <v/>
      </c>
    </row>
    <row r="13">
      <c r="A13" s="27" t="n">
        <v>6</v>
      </c>
      <c r="B13" s="14">
        <f>AVERAGEIFS(Data!$D$5:$D$3656,Data!$C$5:$C$3656,$A13)</f>
        <v/>
      </c>
      <c r="C13" s="14">
        <f>AVERAGEIFS(Data!$H$5:$H$3656,Data!$C$5:$C$3656,$A13)</f>
        <v/>
      </c>
      <c r="D13" s="14">
        <f>AVERAGEIFS(Data!$P$5:$P$3604,Data!$L$5:$L$3604,$A13)</f>
        <v/>
      </c>
      <c r="E13" s="26">
        <f>COUNTIF(Data!$C$5:$C$3656,$A13)/$B$2</f>
        <v/>
      </c>
      <c r="F13" s="26">
        <f>COUNTIF(Data!$L$5:$L$3604,$A13)/$B$2</f>
        <v/>
      </c>
      <c r="G13" s="26">
        <f>B13*E13</f>
        <v/>
      </c>
      <c r="H13" s="26">
        <f>C13*E13</f>
        <v/>
      </c>
      <c r="I13" s="26">
        <f>D13*F13</f>
        <v/>
      </c>
      <c r="J13" s="14">
        <f>D13-B13</f>
        <v/>
      </c>
      <c r="K13" s="14">
        <f>D13/B13</f>
        <v/>
      </c>
      <c r="L13" s="14">
        <f>C13/B13</f>
        <v/>
      </c>
    </row>
    <row r="14">
      <c r="A14" s="27" t="n">
        <v>7</v>
      </c>
      <c r="B14" s="14">
        <f>AVERAGEIFS(Data!$D$5:$D$3656,Data!$C$5:$C$3656,$A14)</f>
        <v/>
      </c>
      <c r="C14" s="14">
        <f>AVERAGEIFS(Data!$H$5:$H$3656,Data!$C$5:$C$3656,$A14)</f>
        <v/>
      </c>
      <c r="D14" s="14">
        <f>AVERAGEIFS(Data!$P$5:$P$3604,Data!$L$5:$L$3604,$A14)</f>
        <v/>
      </c>
      <c r="E14" s="26">
        <f>COUNTIF(Data!$C$5:$C$3656,$A14)/$B$2</f>
        <v/>
      </c>
      <c r="F14" s="26">
        <f>COUNTIF(Data!$L$5:$L$3604,$A14)/$B$2</f>
        <v/>
      </c>
      <c r="G14" s="26">
        <f>B14*E14</f>
        <v/>
      </c>
      <c r="H14" s="26">
        <f>C14*E14</f>
        <v/>
      </c>
      <c r="I14" s="26">
        <f>D14*F14</f>
        <v/>
      </c>
      <c r="J14" s="14">
        <f>D14-B14</f>
        <v/>
      </c>
      <c r="K14" s="14">
        <f>D14/B14</f>
        <v/>
      </c>
      <c r="L14" s="14">
        <f>C14/B14</f>
        <v/>
      </c>
    </row>
    <row r="15">
      <c r="A15" s="27" t="n">
        <v>8</v>
      </c>
      <c r="B15" s="14">
        <f>AVERAGEIFS(Data!$D$5:$D$3656,Data!$C$5:$C$3656,$A15)</f>
        <v/>
      </c>
      <c r="C15" s="14">
        <f>AVERAGEIFS(Data!$H$5:$H$3656,Data!$C$5:$C$3656,$A15)</f>
        <v/>
      </c>
      <c r="D15" s="14">
        <f>AVERAGEIFS(Data!$P$5:$P$3604,Data!$L$5:$L$3604,$A15)</f>
        <v/>
      </c>
      <c r="E15" s="26">
        <f>COUNTIF(Data!$C$5:$C$3656,$A15)/$B$2</f>
        <v/>
      </c>
      <c r="F15" s="26">
        <f>COUNTIF(Data!$L$5:$L$3604,$A15)/$B$2</f>
        <v/>
      </c>
      <c r="G15" s="26">
        <f>B15*E15</f>
        <v/>
      </c>
      <c r="H15" s="26">
        <f>C15*E15</f>
        <v/>
      </c>
      <c r="I15" s="26">
        <f>D15*F15</f>
        <v/>
      </c>
      <c r="J15" s="14">
        <f>D15-B15</f>
        <v/>
      </c>
      <c r="K15" s="14">
        <f>D15/B15</f>
        <v/>
      </c>
      <c r="L15" s="14">
        <f>C15/B15</f>
        <v/>
      </c>
    </row>
    <row r="16">
      <c r="A16" s="27" t="n">
        <v>9</v>
      </c>
      <c r="B16" s="14">
        <f>AVERAGEIFS(Data!$D$5:$D$3656,Data!$C$5:$C$3656,$A16)</f>
        <v/>
      </c>
      <c r="C16" s="14">
        <f>AVERAGEIFS(Data!$H$5:$H$3656,Data!$C$5:$C$3656,$A16)</f>
        <v/>
      </c>
      <c r="D16" s="14">
        <f>AVERAGEIFS(Data!$P$5:$P$3604,Data!$L$5:$L$3604,$A16)</f>
        <v/>
      </c>
      <c r="E16" s="26">
        <f>COUNTIF(Data!$C$5:$C$3656,$A16)/$B$2</f>
        <v/>
      </c>
      <c r="F16" s="26">
        <f>COUNTIF(Data!$L$5:$L$3604,$A16)/$B$2</f>
        <v/>
      </c>
      <c r="G16" s="26">
        <f>B16*E16</f>
        <v/>
      </c>
      <c r="H16" s="26">
        <f>C16*E16</f>
        <v/>
      </c>
      <c r="I16" s="26">
        <f>D16*F16</f>
        <v/>
      </c>
      <c r="J16" s="14">
        <f>D16-B16</f>
        <v/>
      </c>
      <c r="K16" s="14">
        <f>D16/B16</f>
        <v/>
      </c>
      <c r="L16" s="14">
        <f>C16/B16</f>
        <v/>
      </c>
    </row>
    <row r="17">
      <c r="A17" s="27" t="n">
        <v>10</v>
      </c>
      <c r="B17" s="14">
        <f>AVERAGEIFS(Data!$D$5:$D$3656,Data!$C$5:$C$3656,$A17)</f>
        <v/>
      </c>
      <c r="C17" s="14">
        <f>AVERAGEIFS(Data!$H$5:$H$3656,Data!$C$5:$C$3656,$A17)</f>
        <v/>
      </c>
      <c r="D17" s="14">
        <f>AVERAGEIFS(Data!$P$5:$P$3604,Data!$L$5:$L$3604,$A17)</f>
        <v/>
      </c>
      <c r="E17" s="26">
        <f>COUNTIF(Data!$C$5:$C$3656,$A17)/$B$2</f>
        <v/>
      </c>
      <c r="F17" s="26">
        <f>COUNTIF(Data!$L$5:$L$3604,$A17)/$B$2</f>
        <v/>
      </c>
      <c r="G17" s="26">
        <f>B17*E17</f>
        <v/>
      </c>
      <c r="H17" s="26">
        <f>C17*E17</f>
        <v/>
      </c>
      <c r="I17" s="26">
        <f>D17*F17</f>
        <v/>
      </c>
      <c r="J17" s="14">
        <f>D17-B17</f>
        <v/>
      </c>
      <c r="K17" s="14">
        <f>D17/B17</f>
        <v/>
      </c>
      <c r="L17" s="14">
        <f>C17/B17</f>
        <v/>
      </c>
    </row>
    <row r="18">
      <c r="A18" s="27" t="n">
        <v>11</v>
      </c>
      <c r="B18" s="14">
        <f>AVERAGEIFS(Data!$D$5:$D$3656,Data!$C$5:$C$3656,$A18)</f>
        <v/>
      </c>
      <c r="C18" s="14">
        <f>AVERAGEIFS(Data!$H$5:$H$3656,Data!$C$5:$C$3656,$A18)</f>
        <v/>
      </c>
      <c r="D18" s="14">
        <f>AVERAGEIFS(Data!$P$5:$P$3604,Data!$L$5:$L$3604,$A18)</f>
        <v/>
      </c>
      <c r="E18" s="26">
        <f>COUNTIF(Data!$C$5:$C$3656,$A18)/$B$2</f>
        <v/>
      </c>
      <c r="F18" s="26">
        <f>COUNTIF(Data!$L$5:$L$3604,$A18)/$B$2</f>
        <v/>
      </c>
      <c r="G18" s="26">
        <f>B18*E18</f>
        <v/>
      </c>
      <c r="H18" s="26">
        <f>C18*E18</f>
        <v/>
      </c>
      <c r="I18" s="26">
        <f>D18*F18</f>
        <v/>
      </c>
      <c r="J18" s="14">
        <f>D18-B18</f>
        <v/>
      </c>
      <c r="K18" s="14">
        <f>D18/B18</f>
        <v/>
      </c>
      <c r="L18" s="14">
        <f>C18/B18</f>
        <v/>
      </c>
    </row>
    <row r="19">
      <c r="A19" s="27" t="n">
        <v>12</v>
      </c>
      <c r="B19" s="14">
        <f>AVERAGEIFS(Data!$D$5:$D$3656,Data!$C$5:$C$3656,$A19)</f>
        <v/>
      </c>
      <c r="C19" s="14">
        <f>AVERAGEIFS(Data!$H$5:$H$3656,Data!$C$5:$C$3656,$A19)</f>
        <v/>
      </c>
      <c r="D19" s="14">
        <f>AVERAGEIFS(Data!$P$5:$P$3604,Data!$L$5:$L$3604,$A19)</f>
        <v/>
      </c>
      <c r="E19" s="26">
        <f>COUNTIF(Data!$C$5:$C$3656,$A19)/$B$2</f>
        <v/>
      </c>
      <c r="F19" s="26">
        <f>COUNTIF(Data!$L$5:$L$3604,$A19)/$B$2</f>
        <v/>
      </c>
      <c r="G19" s="26">
        <f>B19*E19</f>
        <v/>
      </c>
      <c r="H19" s="26">
        <f>C19*E19</f>
        <v/>
      </c>
      <c r="I19" s="26">
        <f>D19*F19</f>
        <v/>
      </c>
      <c r="J19" s="14">
        <f>D19-B19</f>
        <v/>
      </c>
      <c r="K19" s="14">
        <f>D19/B19</f>
        <v/>
      </c>
      <c r="L19" s="14">
        <f>C19/B19</f>
        <v/>
      </c>
    </row>
    <row r="20">
      <c r="A20" s="17" t="inlineStr">
        <is>
          <t>Year</t>
        </is>
      </c>
      <c r="E20" s="29">
        <f>SUM(E8:E19)</f>
        <v/>
      </c>
      <c r="F20" s="29">
        <f>SUM(F8:F19)</f>
        <v/>
      </c>
      <c r="G20" s="29">
        <f>SUM(G8:G19)</f>
        <v/>
      </c>
      <c r="H20" s="29">
        <f>SUM(H8:H19)</f>
        <v/>
      </c>
      <c r="I20" s="29">
        <f>SUM(I8:I19)</f>
        <v/>
      </c>
      <c r="K20" s="14">
        <f>I20/G20</f>
        <v/>
      </c>
      <c r="L20" s="14">
        <f>H20/G20</f>
        <v/>
      </c>
    </row>
    <row r="22">
      <c r="A22" s="7" t="inlineStr">
        <is>
          <t>GCM annual total, wrong way: mean daily rain x 365.25 days [mm]</t>
        </is>
      </c>
      <c r="D22" s="26">
        <f>AVERAGE(Data!$P$5:$P$3604)*365.25</f>
        <v/>
      </c>
    </row>
    <row r="23">
      <c r="A23" s="7" t="inlineStr">
        <is>
          <t>GCM annual total, right way: mean daily rain x 360 days [mm]</t>
        </is>
      </c>
      <c r="D23" s="26">
        <f>AVERAGE(Data!$P$5:$P$3604)*360</f>
        <v/>
      </c>
    </row>
    <row r="24">
      <c r="A24" s="7" t="inlineStr">
        <is>
          <t>Overstatement from ignoring the 360-day calendar [%]</t>
        </is>
      </c>
      <c r="D24" s="14">
        <f>(D22/D23-1)*100</f>
        <v/>
      </c>
    </row>
    <row r="25" ht="32" customHeight="1">
      <c r="A25" s="22" t="inlineStr">
        <is>
          <t>A rate in mm/day does not depend on the calendar, but a total does: always multiply by the number of days of the calendar the data use (the same applies to monthly flow volumes).</t>
        </is>
      </c>
    </row>
    <row r="27">
      <c r="A27" s="17" t="inlineStr">
        <is>
          <t>B. Daily statistics over all days</t>
        </is>
      </c>
    </row>
    <row r="28" ht="30" customHeight="1">
      <c r="A28" s="8" t="inlineStr">
        <is>
          <t>statistic</t>
        </is>
      </c>
      <c r="B28" s="8" t="inlineStr">
        <is>
          <t>obs</t>
        </is>
      </c>
      <c r="C28" s="8" t="inlineStr">
        <is>
          <t>reanalysis</t>
        </is>
      </c>
      <c r="D28" s="8" t="inlineStr">
        <is>
          <t>GCM</t>
        </is>
      </c>
      <c r="E28" s="8" t="inlineStr">
        <is>
          <t>reanalysis - obs</t>
        </is>
      </c>
      <c r="F28" s="8" t="inlineStr">
        <is>
          <t>GCM - obs</t>
        </is>
      </c>
      <c r="G28" s="8" t="inlineStr">
        <is>
          <t>reanalysis / obs</t>
        </is>
      </c>
      <c r="H28" s="8" t="inlineStr">
        <is>
          <t>GCM / obs</t>
        </is>
      </c>
    </row>
    <row r="29">
      <c r="A29" s="7" t="inlineStr">
        <is>
          <t>mean rainfall [mm/day]</t>
        </is>
      </c>
      <c r="B29" s="14">
        <f>AVERAGE(Data!$D$5:$D$3656)</f>
        <v/>
      </c>
      <c r="C29" s="14">
        <f>AVERAGE(Data!$H$5:$H$3656)</f>
        <v/>
      </c>
      <c r="D29" s="14">
        <f>AVERAGE(Data!$P$5:$P$3604)</f>
        <v/>
      </c>
      <c r="E29" s="14">
        <f>C29-B29</f>
        <v/>
      </c>
      <c r="F29" s="14">
        <f>D29-B29</f>
        <v/>
      </c>
      <c r="G29" s="14">
        <f>C29/B29</f>
        <v/>
      </c>
      <c r="H29" s="14">
        <f>D29/B29</f>
        <v/>
      </c>
    </row>
    <row r="30">
      <c r="A30" s="7" t="inlineStr">
        <is>
          <t>standard deviation of daily rainfall [mm/day]</t>
        </is>
      </c>
      <c r="B30" s="14">
        <f>STDEV.S(Data!$D$5:$D$3656)</f>
        <v/>
      </c>
      <c r="C30" s="14">
        <f>STDEV.S(Data!$H$5:$H$3656)</f>
        <v/>
      </c>
      <c r="D30" s="14">
        <f>STDEV.S(Data!$P$5:$P$3604)</f>
        <v/>
      </c>
      <c r="E30" s="14">
        <f>C30-B30</f>
        <v/>
      </c>
      <c r="F30" s="14">
        <f>D30-B30</f>
        <v/>
      </c>
      <c r="G30" s="14">
        <f>C30/B30</f>
        <v/>
      </c>
      <c r="H30" s="14">
        <f>D30/B30</f>
        <v/>
      </c>
    </row>
    <row r="31">
      <c r="A31" s="7" t="inlineStr">
        <is>
          <t>wet-day fraction (&gt;= threshold)</t>
        </is>
      </c>
      <c r="B31" s="13">
        <f>COUNTIF(Data!$D$5:$D$3656,"&gt;="&amp;$B$3)/COUNT(Data!$D$5:$D$3656)</f>
        <v/>
      </c>
      <c r="C31" s="13">
        <f>COUNTIF(Data!$H$5:$H$3656,"&gt;="&amp;$B$3)/COUNT(Data!$H$5:$H$3656)</f>
        <v/>
      </c>
      <c r="D31" s="13">
        <f>COUNTIF(Data!$P$5:$P$3604,"&gt;="&amp;$B$3)/COUNT(Data!$P$5:$P$3604)</f>
        <v/>
      </c>
      <c r="E31" s="13">
        <f>C31-B31</f>
        <v/>
      </c>
      <c r="F31" s="13">
        <f>D31-B31</f>
        <v/>
      </c>
      <c r="G31" s="14">
        <f>C31/B31</f>
        <v/>
      </c>
      <c r="H31" s="14">
        <f>D31/B31</f>
        <v/>
      </c>
    </row>
    <row r="32">
      <c r="A32" s="7" t="inlineStr">
        <is>
          <t>mean wet-day intensity [mm/day]</t>
        </is>
      </c>
      <c r="B32" s="14">
        <f>AVERAGEIF(Data!$D$5:$D$3656,"&gt;="&amp;$B$3)</f>
        <v/>
      </c>
      <c r="C32" s="14">
        <f>AVERAGEIF(Data!$H$5:$H$3656,"&gt;="&amp;$B$3)</f>
        <v/>
      </c>
      <c r="D32" s="14">
        <f>AVERAGEIF(Data!$P$5:$P$3604,"&gt;="&amp;$B$3)</f>
        <v/>
      </c>
      <c r="E32" s="14">
        <f>C32-B32</f>
        <v/>
      </c>
      <c r="F32" s="14">
        <f>D32-B32</f>
        <v/>
      </c>
      <c r="G32" s="14">
        <f>C32/B32</f>
        <v/>
      </c>
      <c r="H32" s="14">
        <f>D32/B32</f>
        <v/>
      </c>
    </row>
    <row r="33">
      <c r="A33" s="7" t="inlineStr">
        <is>
          <t>95th percentile of all days [mm/day]</t>
        </is>
      </c>
      <c r="B33" s="14">
        <f>PERCENTILE.INC(Data!$D$5:$D$3656,0.95)</f>
        <v/>
      </c>
      <c r="C33" s="14">
        <f>PERCENTILE.INC(Data!$H$5:$H$3656,0.95)</f>
        <v/>
      </c>
      <c r="D33" s="14">
        <f>PERCENTILE.INC(Data!$P$5:$P$3604,0.95)</f>
        <v/>
      </c>
      <c r="E33" s="14">
        <f>C33-B33</f>
        <v/>
      </c>
      <c r="F33" s="14">
        <f>D33-B33</f>
        <v/>
      </c>
      <c r="G33" s="14">
        <f>C33/B33</f>
        <v/>
      </c>
      <c r="H33" s="14">
        <f>D33/B33</f>
        <v/>
      </c>
    </row>
    <row r="34">
      <c r="A34" s="7" t="inlineStr">
        <is>
          <t>99th percentile of all days [mm/day]</t>
        </is>
      </c>
      <c r="B34" s="14">
        <f>PERCENTILE.INC(Data!$D$5:$D$3656,0.99)</f>
        <v/>
      </c>
      <c r="C34" s="14">
        <f>PERCENTILE.INC(Data!$H$5:$H$3656,0.99)</f>
        <v/>
      </c>
      <c r="D34" s="14">
        <f>PERCENTILE.INC(Data!$P$5:$P$3604,0.99)</f>
        <v/>
      </c>
      <c r="E34" s="14">
        <f>C34-B34</f>
        <v/>
      </c>
      <c r="F34" s="14">
        <f>D34-B34</f>
        <v/>
      </c>
      <c r="G34" s="14">
        <f>C34/B34</f>
        <v/>
      </c>
      <c r="H34" s="14">
        <f>D34/B34</f>
        <v/>
      </c>
    </row>
    <row r="35">
      <c r="A35" s="7" t="inlineStr">
        <is>
          <t>maximum daily rainfall [mm/day]</t>
        </is>
      </c>
      <c r="B35" s="26">
        <f>MAX(Data!$D$5:$D$3656)</f>
        <v/>
      </c>
      <c r="C35" s="26">
        <f>MAX(Data!$H$5:$H$3656)</f>
        <v/>
      </c>
      <c r="D35" s="26">
        <f>MAX(Data!$P$5:$P$3604)</f>
        <v/>
      </c>
      <c r="E35" s="26">
        <f>C35-B35</f>
        <v/>
      </c>
      <c r="F35" s="26">
        <f>D35-B35</f>
        <v/>
      </c>
      <c r="G35" s="14">
        <f>C35/B35</f>
        <v/>
      </c>
      <c r="H35" s="14">
        <f>D35/B35</f>
        <v/>
      </c>
    </row>
    <row r="36">
      <c r="A36" s="7" t="inlineStr">
        <is>
          <t>mean temperature [degC]</t>
        </is>
      </c>
      <c r="B36" s="14">
        <f>AVERAGE(Data!$E$5:$E$3656)</f>
        <v/>
      </c>
      <c r="C36" s="14">
        <f>AVERAGE(Data!$I$5:$I$3656)</f>
        <v/>
      </c>
      <c r="D36" s="14">
        <f>AVERAGE(Data!$Q$5:$Q$3604)</f>
        <v/>
      </c>
      <c r="E36" s="14">
        <f>C36-B36</f>
        <v/>
      </c>
      <c r="F36" s="14">
        <f>D36-B36</f>
        <v/>
      </c>
      <c r="G36" s="14">
        <f>C36/B36</f>
        <v/>
      </c>
      <c r="H36" s="14">
        <f>D36/B36</f>
        <v/>
      </c>
    </row>
    <row r="37">
      <c r="A37" s="7" t="inlineStr">
        <is>
          <t>standard deviation of daily temperature [degC]</t>
        </is>
      </c>
      <c r="B37" s="14">
        <f>STDEV.S(Data!$E$5:$E$3656)</f>
        <v/>
      </c>
      <c r="C37" s="14">
        <f>STDEV.S(Data!$I$5:$I$3656)</f>
        <v/>
      </c>
      <c r="D37" s="14">
        <f>STDEV.S(Data!$Q$5:$Q$3604)</f>
        <v/>
      </c>
      <c r="E37" s="14">
        <f>C37-B37</f>
        <v/>
      </c>
      <c r="F37" s="14">
        <f>D37-B37</f>
        <v/>
      </c>
      <c r="G37" s="14">
        <f>C37/B37</f>
        <v/>
      </c>
      <c r="H37" s="14">
        <f>D37/B37</f>
        <v/>
      </c>
    </row>
    <row r="39">
      <c r="A39" s="17" t="inlineStr">
        <is>
          <t>C. Is the series synchronised with the real weather?</t>
        </is>
      </c>
    </row>
    <row r="40">
      <c r="A40" s="7" t="inlineStr">
        <is>
          <t>Daily correlation, reanalysis rain vs observed rain</t>
        </is>
      </c>
      <c r="B40" s="13">
        <f>CORREL(Data!$D$5:$D$3656,Data!$H$5:$H$3656)</f>
        <v/>
      </c>
    </row>
    <row r="41">
      <c r="A41" s="7" t="inlineStr">
        <is>
          <t>R squared of the same pair</t>
        </is>
      </c>
      <c r="B41" s="13">
        <f>RSQ(Data!$H$5:$H$3656,Data!$D$5:$D$3656)</f>
        <v/>
      </c>
    </row>
    <row r="42">
      <c r="A42" s="7" t="inlineStr">
        <is>
          <t>Daily correlation, reanalysis temperature vs observed</t>
        </is>
      </c>
      <c r="B42" s="13">
        <f>CORREL(Data!$E$5:$E$3656,Data!$I$5:$I$3656)</f>
        <v/>
      </c>
    </row>
    <row r="43">
      <c r="A43" s="7" t="inlineStr">
        <is>
          <t>Correlation of the 12 monthly means, GCM vs obs</t>
        </is>
      </c>
      <c r="B43" s="13">
        <f>CORREL(B8:B19,D8:D19)</f>
        <v/>
      </c>
    </row>
    <row r="44">
      <c r="A44" s="7" t="inlineStr">
        <is>
          <t>Correlation of the 12 monthly means, reanalysis vs obs</t>
        </is>
      </c>
      <c r="B44" s="13">
        <f>CORREL(B8:B19,C8:C19)</f>
        <v/>
      </c>
    </row>
    <row r="45" ht="48" customHeight="1">
      <c r="A45" s="22" t="inlineStr">
        <is>
          <t>A free-running GCM has its own weather: its day-to-day correlation with observed days is about zero once the shared seasonal cycle is removed (the notebook pairs days by date to show this). Only its climatology (monthly means, distribution) can be compared. A reanalysis assimilates observations, so its days track real days.</t>
        </is>
      </c>
    </row>
    <row r="47">
      <c r="A47" s="17" t="inlineStr">
        <is>
          <t>D. Temperature bias and the lapse-rate (elevation) check</t>
        </is>
      </c>
    </row>
    <row r="48">
      <c r="A48" s="7" t="inlineStr">
        <is>
          <t>Lapse rate [K per km]</t>
        </is>
      </c>
      <c r="B48" s="28" t="n">
        <v>6.5</v>
      </c>
    </row>
    <row r="49">
      <c r="A49" s="7" t="inlineStr">
        <is>
          <t>Catchment mean elevation [m]</t>
        </is>
      </c>
      <c r="B49" s="30" t="n">
        <v>2253.6</v>
      </c>
    </row>
    <row r="50">
      <c r="A50" s="7" t="inlineStr">
        <is>
          <t>Elevation of the GCM surface at the catchment [m]</t>
        </is>
      </c>
      <c r="B50" s="30" t="n">
        <v>1725.7</v>
      </c>
    </row>
    <row r="51">
      <c r="A51" s="7" t="inlineStr">
        <is>
          <t>Elevation of the reanalysis surface at the catchment [m]</t>
        </is>
      </c>
      <c r="B51" s="30" t="n">
        <v>2000</v>
      </c>
    </row>
    <row r="53">
      <c r="A53" s="8" t="inlineStr"/>
      <c r="B53" s="8" t="inlineStr">
        <is>
          <t>reanalysis</t>
        </is>
      </c>
      <c r="C53" s="8" t="inlineStr">
        <is>
          <t>GCM</t>
        </is>
      </c>
    </row>
    <row r="54">
      <c r="A54" s="7" t="inlineStr">
        <is>
          <t>Elevation difference model minus catchment [m]</t>
        </is>
      </c>
      <c r="B54" s="25">
        <f>B51-$B$49</f>
        <v/>
      </c>
      <c r="C54" s="25">
        <f>B50-$B$49</f>
        <v/>
      </c>
    </row>
    <row r="55">
      <c r="A55" s="7" t="inlineStr">
        <is>
          <t>Expected warm bias from elevation alone [K] = lapse x (catchment - model elevation) / 1000</t>
        </is>
      </c>
      <c r="B55" s="14">
        <f>$B$48*($B$49-B51)/1000</f>
        <v/>
      </c>
      <c r="C55" s="14">
        <f>$B$48*($B$49-B50)/1000</f>
        <v/>
      </c>
    </row>
    <row r="56">
      <c r="A56" s="7" t="inlineStr">
        <is>
          <t>Actual mean temperature bias [K]</t>
        </is>
      </c>
      <c r="B56" s="14">
        <f>E36</f>
        <v/>
      </c>
      <c r="C56" s="14">
        <f>F36</f>
        <v/>
      </c>
    </row>
    <row r="57">
      <c r="A57" s="7" t="inlineStr">
        <is>
          <t>Residual bias after the elevation correction [K]</t>
        </is>
      </c>
      <c r="B57" s="14">
        <f>B56-B55</f>
        <v/>
      </c>
      <c r="C57" s="14">
        <f>C56-C55</f>
        <v/>
      </c>
    </row>
    <row r="58" ht="32" customHeight="1">
      <c r="A58" s="22" t="inlineStr">
        <is>
          <t>Much of a raw temperature bias in mountains is only the difference between the model's smooth surface and the real catchment altitude, which is why temperature is often lapse-rate corrected before bias correction.</t>
        </is>
      </c>
    </row>
  </sheetData>
  <mergeCells count="3">
    <mergeCell ref="A58:L58"/>
    <mergeCell ref="A45:L45"/>
    <mergeCell ref="A25:L25"/>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6" customWidth="1" min="1" max="1"/>
    <col width="18" customWidth="1" min="2" max="2"/>
    <col width="22" customWidth="1" min="3" max="3"/>
    <col width="16" customWidth="1" min="4" max="4"/>
    <col width="20" customWidth="1" min="5" max="5"/>
    <col width="16" customWidth="1" min="6" max="6"/>
    <col width="14" customWidth="1" min="7" max="7"/>
    <col width="14" customWidth="1" min="8" max="8"/>
    <col width="40" customWidth="1" min="9" max="9"/>
    <col width="30" customWidth="1" min="10" max="10"/>
    <col width="22" customWidth="1" min="11" max="11"/>
  </cols>
  <sheetData>
    <row r="1">
      <c r="A1" s="6" t="inlineStr">
        <is>
          <t>Which downscaling scheme? A checklist that mirrors the flow chart of the notebook</t>
        </is>
      </c>
    </row>
    <row r="2" ht="32" customHeight="1">
      <c r="A2" s="22" t="inlineStr">
        <is>
          <t>Answer Y or N (blue cells). The first question answered Y, read left to right, decides the core method (predictor skill is tested against the threshold in B3); the last two questions add temporal and spatial downscaling. A guide, not a rule.</t>
        </is>
      </c>
    </row>
    <row r="3">
      <c r="A3" s="7" t="inlineStr">
        <is>
          <t>Predictor-skill threshold (|r| between local variable and large-scale predictors)</t>
        </is>
      </c>
      <c r="B3" s="11" t="n">
        <v>0.5</v>
      </c>
    </row>
    <row r="5" ht="78" customHeight="1">
      <c r="A5" s="8" t="inlineStr">
        <is>
          <t>Project</t>
        </is>
      </c>
      <c r="B5" s="8" t="inlineStr">
        <is>
          <t>Q1 Only a change factor needed?</t>
        </is>
      </c>
      <c r="C5" s="8" t="inlineStr">
        <is>
          <t>Q2 Is a corrected GCM distribution enough (no day-to-day match needed)?</t>
        </is>
      </c>
      <c r="D5" s="8" t="inlineStr">
        <is>
          <t>Q3 Predictor skill r (reanalysis period)</t>
        </is>
      </c>
      <c r="E5" s="8" t="inlineStr">
        <is>
          <t>Q4 Need many equally likely series / changed variability?</t>
        </is>
      </c>
      <c r="F5" s="8" t="inlineStr">
        <is>
          <t>Q5 Rain tied to circulation classes?</t>
        </is>
      </c>
      <c r="G5" s="8" t="inlineStr">
        <is>
          <t>Need sub-daily output?</t>
        </is>
      </c>
      <c r="H5" s="8" t="inlineStr">
        <is>
          <t>Need finer grid / many sites?</t>
        </is>
      </c>
      <c r="I5" s="8" t="inlineStr">
        <is>
          <t>Core method</t>
        </is>
      </c>
      <c r="J5" s="8" t="inlineStr">
        <is>
          <t>Add-ons</t>
        </is>
      </c>
      <c r="K5" s="8" t="inlineStr">
        <is>
          <t>Where it is taught</t>
        </is>
      </c>
    </row>
    <row r="6" ht="34" customHeight="1">
      <c r="A6" s="4" t="inlineStr">
        <is>
          <t>Seasonal inflow change to a reservoir, 2070-2100 vs 1981-2010</t>
        </is>
      </c>
      <c r="B6" s="31" t="inlineStr">
        <is>
          <t>Y</t>
        </is>
      </c>
      <c r="C6" s="31" t="inlineStr">
        <is>
          <t>N</t>
        </is>
      </c>
      <c r="D6" s="11" t="n">
        <v>0.3</v>
      </c>
      <c r="E6" s="31" t="inlineStr">
        <is>
          <t>N</t>
        </is>
      </c>
      <c r="F6" s="31" t="inlineStr">
        <is>
          <t>N</t>
        </is>
      </c>
      <c r="G6" s="31" t="inlineStr">
        <is>
          <t>N</t>
        </is>
      </c>
      <c r="H6" s="31" t="inlineStr">
        <is>
          <t>N</t>
        </is>
      </c>
      <c r="I6" s="7">
        <f>IF(B6="Y","Delta change (change factors)",IF(C6="Y","Bias correction (scaling, quantile mapping)",IF(D6&gt;=$B$3,"Regression downscaling (perfect prognosis)",IF(E6="Y","Weather generator",IF(F6="Y","Weather typing + stochastic model","Dynamical (RCM) output + bias correction")))))</f>
        <v/>
      </c>
      <c r="J6" s="7">
        <f>IF(AND(G6&lt;&gt;"Y",H6&lt;&gt;"Y"),"none",TRIM(IF(G6="Y","+ temporal downscaling ","")&amp;IF(H6="Y","+ spatial downscaling","")))</f>
        <v/>
      </c>
      <c r="K6" s="7">
        <f>INDEX($B$18:$B$23,MATCH(I6,$A$18:$A$23,0))</f>
        <v/>
      </c>
    </row>
    <row r="7" ht="34" customHeight="1">
      <c r="A7" s="4" t="inlineStr">
        <is>
          <t>Monthly water balance with a lumped model (Lecture 7), driven by corrected GCM rain</t>
        </is>
      </c>
      <c r="B7" s="31" t="inlineStr">
        <is>
          <t>N</t>
        </is>
      </c>
      <c r="C7" s="31" t="inlineStr">
        <is>
          <t>Y</t>
        </is>
      </c>
      <c r="D7" s="11" t="n">
        <v>0.3</v>
      </c>
      <c r="E7" s="31" t="inlineStr">
        <is>
          <t>N</t>
        </is>
      </c>
      <c r="F7" s="31" t="inlineStr">
        <is>
          <t>N</t>
        </is>
      </c>
      <c r="G7" s="31" t="inlineStr">
        <is>
          <t>N</t>
        </is>
      </c>
      <c r="H7" s="31" t="inlineStr">
        <is>
          <t>N</t>
        </is>
      </c>
      <c r="I7" s="7">
        <f>IF(B7="Y","Delta change (change factors)",IF(C7="Y","Bias correction (scaling, quantile mapping)",IF(D7&gt;=$B$3,"Regression downscaling (perfect prognosis)",IF(E7="Y","Weather generator",IF(F7="Y","Weather typing + stochastic model","Dynamical (RCM) output + bias correction")))))</f>
        <v/>
      </c>
      <c r="J7" s="7">
        <f>IF(AND(G7&lt;&gt;"Y",H7&lt;&gt;"Y"),"none",TRIM(IF(G7="Y","+ temporal downscaling ","")&amp;IF(H7="Y","+ spatial downscaling","")))</f>
        <v/>
      </c>
      <c r="K7" s="7">
        <f>INDEX($B$18:$B$23,MATCH(I7,$A$18:$A$23,0))</f>
        <v/>
      </c>
    </row>
    <row r="8" ht="34" customHeight="1">
      <c r="A8" s="4" t="inlineStr">
        <is>
          <t>Daily temperature for a crop model, strong link to reanalysis temperature</t>
        </is>
      </c>
      <c r="B8" s="31" t="inlineStr">
        <is>
          <t>N</t>
        </is>
      </c>
      <c r="C8" s="31" t="inlineStr">
        <is>
          <t>N</t>
        </is>
      </c>
      <c r="D8" s="11" t="n">
        <v>0.9</v>
      </c>
      <c r="E8" s="31" t="inlineStr">
        <is>
          <t>N</t>
        </is>
      </c>
      <c r="F8" s="31" t="inlineStr">
        <is>
          <t>N</t>
        </is>
      </c>
      <c r="G8" s="31" t="inlineStr">
        <is>
          <t>N</t>
        </is>
      </c>
      <c r="H8" s="31" t="inlineStr">
        <is>
          <t>N</t>
        </is>
      </c>
      <c r="I8" s="7">
        <f>IF(B8="Y","Delta change (change factors)",IF(C8="Y","Bias correction (scaling, quantile mapping)",IF(D8&gt;=$B$3,"Regression downscaling (perfect prognosis)",IF(E8="Y","Weather generator",IF(F8="Y","Weather typing + stochastic model","Dynamical (RCM) output + bias correction")))))</f>
        <v/>
      </c>
      <c r="J8" s="7">
        <f>IF(AND(G8&lt;&gt;"Y",H8&lt;&gt;"Y"),"none",TRIM(IF(G8="Y","+ temporal downscaling ","")&amp;IF(H8="Y","+ spatial downscaling","")))</f>
        <v/>
      </c>
      <c r="K8" s="7">
        <f>INDEX($B$18:$B$23,MATCH(I8,$A$18:$A$23,0))</f>
        <v/>
      </c>
    </row>
    <row r="9" ht="34" customHeight="1">
      <c r="A9" s="4" t="inlineStr">
        <is>
          <t>Drought risk: thousands of 30-year rainfall series</t>
        </is>
      </c>
      <c r="B9" s="31" t="inlineStr">
        <is>
          <t>N</t>
        </is>
      </c>
      <c r="C9" s="31" t="inlineStr">
        <is>
          <t>N</t>
        </is>
      </c>
      <c r="D9" s="11" t="n">
        <v>0.3</v>
      </c>
      <c r="E9" s="31" t="inlineStr">
        <is>
          <t>Y</t>
        </is>
      </c>
      <c r="F9" s="31" t="inlineStr">
        <is>
          <t>N</t>
        </is>
      </c>
      <c r="G9" s="31" t="inlineStr">
        <is>
          <t>N</t>
        </is>
      </c>
      <c r="H9" s="31" t="inlineStr">
        <is>
          <t>N</t>
        </is>
      </c>
      <c r="I9" s="7">
        <f>IF(B9="Y","Delta change (change factors)",IF(C9="Y","Bias correction (scaling, quantile mapping)",IF(D9&gt;=$B$3,"Regression downscaling (perfect prognosis)",IF(E9="Y","Weather generator",IF(F9="Y","Weather typing + stochastic model","Dynamical (RCM) output + bias correction")))))</f>
        <v/>
      </c>
      <c r="J9" s="7">
        <f>IF(AND(G9&lt;&gt;"Y",H9&lt;&gt;"Y"),"none",TRIM(IF(G9="Y","+ temporal downscaling ","")&amp;IF(H9="Y","+ spatial downscaling","")))</f>
        <v/>
      </c>
      <c r="K9" s="7">
        <f>INDEX($B$18:$B$23,MATCH(I9,$A$18:$A$23,0))</f>
        <v/>
      </c>
    </row>
    <row r="10" ht="34" customHeight="1">
      <c r="A10" s="4" t="inlineStr">
        <is>
          <t>Monsoon-depression rainfall linked to circulation types</t>
        </is>
      </c>
      <c r="B10" s="31" t="inlineStr">
        <is>
          <t>N</t>
        </is>
      </c>
      <c r="C10" s="31" t="inlineStr">
        <is>
          <t>N</t>
        </is>
      </c>
      <c r="D10" s="11" t="n">
        <v>0.3</v>
      </c>
      <c r="E10" s="31" t="inlineStr">
        <is>
          <t>N</t>
        </is>
      </c>
      <c r="F10" s="31" t="inlineStr">
        <is>
          <t>Y</t>
        </is>
      </c>
      <c r="G10" s="31" t="inlineStr">
        <is>
          <t>N</t>
        </is>
      </c>
      <c r="H10" s="31" t="inlineStr">
        <is>
          <t>N</t>
        </is>
      </c>
      <c r="I10" s="7">
        <f>IF(B10="Y","Delta change (change factors)",IF(C10="Y","Bias correction (scaling, quantile mapping)",IF(D10&gt;=$B$3,"Regression downscaling (perfect prognosis)",IF(E10="Y","Weather generator",IF(F10="Y","Weather typing + stochastic model","Dynamical (RCM) output + bias correction")))))</f>
        <v/>
      </c>
      <c r="J10" s="7">
        <f>IF(AND(G10&lt;&gt;"Y",H10&lt;&gt;"Y"),"none",TRIM(IF(G10="Y","+ temporal downscaling ","")&amp;IF(H10="Y","+ spatial downscaling","")))</f>
        <v/>
      </c>
      <c r="K10" s="7">
        <f>INDEX($B$18:$B$23,MATCH(I10,$A$18:$A$23,0))</f>
        <v/>
      </c>
    </row>
    <row r="11" ht="34" customHeight="1">
      <c r="A11" s="4" t="inlineStr">
        <is>
          <t>Urban drainage design: hourly rain for a 20 km2 catchment</t>
        </is>
      </c>
      <c r="B11" s="31" t="inlineStr">
        <is>
          <t>N</t>
        </is>
      </c>
      <c r="C11" s="31" t="inlineStr">
        <is>
          <t>N</t>
        </is>
      </c>
      <c r="D11" s="11" t="n">
        <v>0.3</v>
      </c>
      <c r="E11" s="31" t="inlineStr">
        <is>
          <t>Y</t>
        </is>
      </c>
      <c r="F11" s="31" t="inlineStr">
        <is>
          <t>N</t>
        </is>
      </c>
      <c r="G11" s="31" t="inlineStr">
        <is>
          <t>Y</t>
        </is>
      </c>
      <c r="H11" s="31" t="inlineStr">
        <is>
          <t>N</t>
        </is>
      </c>
      <c r="I11" s="7">
        <f>IF(B11="Y","Delta change (change factors)",IF(C11="Y","Bias correction (scaling, quantile mapping)",IF(D11&gt;=$B$3,"Regression downscaling (perfect prognosis)",IF(E11="Y","Weather generator",IF(F11="Y","Weather typing + stochastic model","Dynamical (RCM) output + bias correction")))))</f>
        <v/>
      </c>
      <c r="J11" s="7">
        <f>IF(AND(G11&lt;&gt;"Y",H11&lt;&gt;"Y"),"none",TRIM(IF(G11="Y","+ temporal downscaling ","")&amp;IF(H11="Y","+ spatial downscaling","")))</f>
        <v/>
      </c>
      <c r="K11" s="7">
        <f>INDEX($B$18:$B$23,MATCH(I11,$A$18:$A$23,0))</f>
        <v/>
      </c>
    </row>
    <row r="12" ht="34" customHeight="1">
      <c r="A12" s="4" t="inlineStr">
        <is>
          <t>Distributed hydrological model on a 1 km grid</t>
        </is>
      </c>
      <c r="B12" s="31" t="inlineStr">
        <is>
          <t>N</t>
        </is>
      </c>
      <c r="C12" s="31" t="inlineStr">
        <is>
          <t>Y</t>
        </is>
      </c>
      <c r="D12" s="11" t="n">
        <v>0.3</v>
      </c>
      <c r="E12" s="31" t="inlineStr">
        <is>
          <t>N</t>
        </is>
      </c>
      <c r="F12" s="31" t="inlineStr">
        <is>
          <t>N</t>
        </is>
      </c>
      <c r="G12" s="31" t="inlineStr">
        <is>
          <t>N</t>
        </is>
      </c>
      <c r="H12" s="31" t="inlineStr">
        <is>
          <t>Y</t>
        </is>
      </c>
      <c r="I12" s="7">
        <f>IF(B12="Y","Delta change (change factors)",IF(C12="Y","Bias correction (scaling, quantile mapping)",IF(D12&gt;=$B$3,"Regression downscaling (perfect prognosis)",IF(E12="Y","Weather generator",IF(F12="Y","Weather typing + stochastic model","Dynamical (RCM) output + bias correction")))))</f>
        <v/>
      </c>
      <c r="J12" s="7">
        <f>IF(AND(G12&lt;&gt;"Y",H12&lt;&gt;"Y"),"none",TRIM(IF(G12="Y","+ temporal downscaling ","")&amp;IF(H12="Y","+ spatial downscaling","")))</f>
        <v/>
      </c>
      <c r="K12" s="7">
        <f>INDEX($B$18:$B$23,MATCH(I12,$A$18:$A$23,0))</f>
        <v/>
      </c>
    </row>
    <row r="13" ht="34" customHeight="1">
      <c r="A13" s="4" t="inlineStr">
        <is>
          <t>Your case (change the blue cells)</t>
        </is>
      </c>
      <c r="B13" s="31" t="inlineStr">
        <is>
          <t>N</t>
        </is>
      </c>
      <c r="C13" s="31" t="inlineStr">
        <is>
          <t>N</t>
        </is>
      </c>
      <c r="D13" s="11" t="n">
        <v>0.3</v>
      </c>
      <c r="E13" s="31" t="inlineStr">
        <is>
          <t>N</t>
        </is>
      </c>
      <c r="F13" s="31" t="inlineStr">
        <is>
          <t>N</t>
        </is>
      </c>
      <c r="G13" s="31" t="inlineStr">
        <is>
          <t>N</t>
        </is>
      </c>
      <c r="H13" s="31" t="inlineStr">
        <is>
          <t>N</t>
        </is>
      </c>
      <c r="I13" s="7">
        <f>IF(B13="Y","Delta change (change factors)",IF(C13="Y","Bias correction (scaling, quantile mapping)",IF(D13&gt;=$B$3,"Regression downscaling (perfect prognosis)",IF(E13="Y","Weather generator",IF(F13="Y","Weather typing + stochastic model","Dynamical (RCM) output + bias correction")))))</f>
        <v/>
      </c>
      <c r="J13" s="7">
        <f>IF(AND(G13&lt;&gt;"Y",H13&lt;&gt;"Y"),"none",TRIM(IF(G13="Y","+ temporal downscaling ","")&amp;IF(H13="Y","+ spatial downscaling","")))</f>
        <v/>
      </c>
      <c r="K13" s="7">
        <f>INDEX($B$18:$B$23,MATCH(I13,$A$18:$A$23,0))</f>
        <v/>
      </c>
    </row>
    <row r="16">
      <c r="A16" s="17" t="inlineStr">
        <is>
          <t>Lookup table</t>
        </is>
      </c>
    </row>
    <row r="17">
      <c r="A17" s="8" t="inlineStr">
        <is>
          <t>Core method</t>
        </is>
      </c>
      <c r="B17" s="8" t="inlineStr">
        <is>
          <t>Lecture(s)</t>
        </is>
      </c>
      <c r="C17" s="8" t="inlineStr">
        <is>
          <t>What it gives you</t>
        </is>
      </c>
    </row>
    <row r="18">
      <c r="A18" s="7" t="inlineStr">
        <is>
          <t>Delta change (change factors)</t>
        </is>
      </c>
      <c r="B18" s="7" t="inlineStr">
        <is>
          <t>18</t>
        </is>
      </c>
      <c r="C18" s="7" t="inlineStr">
        <is>
          <t>observed record scaled by a projected change; no change in wet-day frequency or sequence</t>
        </is>
      </c>
    </row>
    <row r="19">
      <c r="A19" s="7" t="inlineStr">
        <is>
          <t>Bias correction (scaling, quantile mapping)</t>
        </is>
      </c>
      <c r="B19" s="7" t="inlineStr">
        <is>
          <t>18</t>
        </is>
      </c>
      <c r="C19" s="7" t="inlineStr">
        <is>
          <t>model series with the observed distribution; model weather kept</t>
        </is>
      </c>
    </row>
    <row r="20">
      <c r="A20" s="7" t="inlineStr">
        <is>
          <t>Regression downscaling (perfect prognosis)</t>
        </is>
      </c>
      <c r="B20" s="7" t="inlineStr">
        <is>
          <t>19, 20</t>
        </is>
      </c>
      <c r="C20" s="7" t="inlineStr">
        <is>
          <t>local series from large-scale predictors; needs skill and stationarity</t>
        </is>
      </c>
    </row>
    <row r="21">
      <c r="A21" s="7" t="inlineStr">
        <is>
          <t>Weather generator</t>
        </is>
      </c>
      <c r="B21" s="7" t="inlineStr">
        <is>
          <t>21</t>
        </is>
      </c>
      <c r="C21" s="7" t="inlineStr">
        <is>
          <t>unlimited synthetic series with perturbed statistics; no unique day</t>
        </is>
      </c>
    </row>
    <row r="22">
      <c r="A22" s="7" t="inlineStr">
        <is>
          <t>Weather typing + stochastic model</t>
        </is>
      </c>
      <c r="B22" s="7" t="inlineStr">
        <is>
          <t>22</t>
        </is>
      </c>
      <c r="C22" s="7" t="inlineStr">
        <is>
          <t>rain conditional on circulation classes</t>
        </is>
      </c>
    </row>
    <row r="23">
      <c r="A23" s="7" t="inlineStr">
        <is>
          <t>Dynamical (RCM) output + bias correction</t>
        </is>
      </c>
      <c r="B23" s="7" t="inlineStr">
        <is>
          <t>14 (Section 4)</t>
        </is>
      </c>
      <c r="C23" s="7" t="inlineStr">
        <is>
          <t>physically consistent fine-scale fields, expensive; still needs bias correction</t>
        </is>
      </c>
    </row>
  </sheetData>
  <mergeCells count="1">
    <mergeCell ref="A2:K2"/>
  </mergeCells>
  <dataValidations count="1">
    <dataValidation sqref="B6 B7 B8 B9 B10 B11 B12 B13 C6 C7 C8 C9 C10 C11 C12 C13 E6 E7 E8 E9 E10 E11 E12 E13 F6 F7 F8 F9 F10 F11 F12 F13 G6 G7 G8 G9 G10 G11 G12 G13 H6 H7 H8 H9 H10 H11 H12 H13" showDropDown="0" showInputMessage="0" showErrorMessage="0" allowBlank="0" type="list">
      <formula1>"Y,N"</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2026-10-15T11:05:14Z</dcterms:created>
  <dcterms:modified xmlns:dcterms="http://purl.org/dc/terms/" xmlns:xsi="http://www.w3.org/2001/XMLSchema-instance" xsi:type="dcterms:W3CDTF">2026-10-15T11:05:15Z</dcterms:modified>
</cp:coreProperties>
</file>