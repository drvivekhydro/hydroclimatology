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Occ_QM" sheetId="3" state="visible" r:id="rId3"/>
    <sheet xmlns:r="http://schemas.openxmlformats.org/officeDocument/2006/relationships" name="Delta" sheetId="4" state="visible" r:id="rId4"/>
    <sheet xmlns:r="http://schemas.openxmlformats.org/officeDocument/2006/relationships" name="QDM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0000FF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DE6F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5" fillId="3" borderId="0" pivotButton="0" quotePrefix="0" xfId="0"/>
    <xf numFmtId="164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CE524</author>
  </authors>
  <commentList>
    <comment ref="B3" authorId="0" shapeId="0">
      <text>
        <t>Number of observed wet days.</t>
      </text>
    </comment>
    <comment ref="B6" authorId="0" shapeId="0">
      <text>
        <t>Model values below this threshold are set to zero.</t>
      </text>
    </comment>
    <comment ref="C9" authorId="0" shapeId="0">
      <text>
        <t>Zero below the threshold, unchanged otherwise.</t>
      </text>
    </comment>
    <comment ref="C10" authorId="0" shapeId="0">
      <text>
        <t>Zero below the threshold, unchanged otherwise.</t>
      </text>
    </comment>
    <comment ref="C11" authorId="0" shapeId="0">
      <text>
        <t>Zero below the threshold, unchanged otherwise.</t>
      </text>
    </comment>
    <comment ref="C12" authorId="0" shapeId="0">
      <text>
        <t>Zero below the threshold, unchanged otherwise.</t>
      </text>
    </comment>
    <comment ref="C13" authorId="0" shapeId="0">
      <text>
        <t>Zero below the threshold, unchanged otherwise.</t>
      </text>
    </comment>
    <comment ref="C14" authorId="0" shapeId="0">
      <text>
        <t>Zero below the threshold, unchanged otherwise.</t>
      </text>
    </comment>
    <comment ref="C15" authorId="0" shapeId="0">
      <text>
        <t>Zero below the threshold, unchanged otherwise.</t>
      </text>
    </comment>
    <comment ref="C16" authorId="0" shapeId="0">
      <text>
        <t>Zero below the threshold, unchanged otherwise.</t>
      </text>
    </comment>
    <comment ref="C17" authorId="0" shapeId="0">
      <text>
        <t>Zero below the threshold, unchanged otherwise.</t>
      </text>
    </comment>
    <comment ref="C18" authorId="0" shapeId="0">
      <text>
        <t>Zero below the threshold, unchanged otherwise.</t>
      </text>
    </comment>
    <comment ref="C19" authorId="0" shapeId="0">
      <text>
        <t>Zero below the threshold, unchanged otherwise.</t>
      </text>
    </comment>
    <comment ref="C20" authorId="0" shapeId="0">
      <text>
        <t>Zero below the threshold, unchanged otherwise.</t>
      </text>
    </comment>
    <comment ref="B24" authorId="0" shapeId="0">
      <text>
        <t>i-th smallest wet observed value (skips the zeros).</t>
      </text>
    </comment>
    <comment ref="C24" authorId="0" shapeId="0">
      <text>
        <t>i-th smallest wet adjusted model value.</t>
      </text>
    </comment>
    <comment ref="D24" authorId="0" shapeId="0">
      <text>
        <t>Eq. 4.8, i/(n+1).</t>
      </text>
    </comment>
    <comment ref="H24" authorId="0" shapeId="0">
      <text>
        <t>Position of the largest sorted model value not above x_m,fut (0 if none).</t>
      </text>
    </comment>
    <comment ref="I24" authorId="0" shapeId="0">
      <text>
        <t>Nearest sorted model base value (book's nearest-value rule).</t>
      </text>
    </comment>
    <comment ref="J24" authorId="0" shapeId="0">
      <text>
        <t>F_m,base of the nearest model base value.</t>
      </text>
    </comment>
    <comment ref="K24" authorId="0" shapeId="0">
      <text>
        <t>Eq. 4.7: observed value with the same probability, F_o^-1(F_m,base(x_m,fut)).</t>
      </text>
    </comment>
    <comment ref="B25" authorId="0" shapeId="0">
      <text>
        <t>i-th smallest wet observed value (skips the zeros).</t>
      </text>
    </comment>
    <comment ref="C25" authorId="0" shapeId="0">
      <text>
        <t>i-th smallest wet adjusted model value.</t>
      </text>
    </comment>
    <comment ref="D25" authorId="0" shapeId="0">
      <text>
        <t>Eq. 4.8, i/(n+1).</t>
      </text>
    </comment>
    <comment ref="H25" authorId="0" shapeId="0">
      <text>
        <t>Position of the largest sorted model value not above x_m,fut (0 if none).</t>
      </text>
    </comment>
    <comment ref="I25" authorId="0" shapeId="0">
      <text>
        <t>Nearest sorted model base value (book's nearest-value rule).</t>
      </text>
    </comment>
    <comment ref="J25" authorId="0" shapeId="0">
      <text>
        <t>F_m,base of the nearest model base value.</t>
      </text>
    </comment>
    <comment ref="K25" authorId="0" shapeId="0">
      <text>
        <t>Eq. 4.7: observed value with the same probability, F_o^-1(F_m,base(x_m,fut)).</t>
      </text>
    </comment>
    <comment ref="B26" authorId="0" shapeId="0">
      <text>
        <t>i-th smallest wet observed value (skips the zeros).</t>
      </text>
    </comment>
    <comment ref="C26" authorId="0" shapeId="0">
      <text>
        <t>i-th smallest wet adjusted model value.</t>
      </text>
    </comment>
    <comment ref="D26" authorId="0" shapeId="0">
      <text>
        <t>Eq. 4.8, i/(n+1).</t>
      </text>
    </comment>
    <comment ref="H26" authorId="0" shapeId="0">
      <text>
        <t>Position of the largest sorted model value not above x_m,fut (0 if none).</t>
      </text>
    </comment>
    <comment ref="I26" authorId="0" shapeId="0">
      <text>
        <t>Nearest sorted model base value (book's nearest-value rule).</t>
      </text>
    </comment>
    <comment ref="J26" authorId="0" shapeId="0">
      <text>
        <t>F_m,base of the nearest model base value.</t>
      </text>
    </comment>
    <comment ref="K26" authorId="0" shapeId="0">
      <text>
        <t>Eq. 4.7: observed value with the same probability, F_o^-1(F_m,base(x_m,fut)).</t>
      </text>
    </comment>
    <comment ref="B27" authorId="0" shapeId="0">
      <text>
        <t>i-th smallest wet observed value (skips the zeros).</t>
      </text>
    </comment>
    <comment ref="C27" authorId="0" shapeId="0">
      <text>
        <t>i-th smallest wet adjusted model value.</t>
      </text>
    </comment>
    <comment ref="D27" authorId="0" shapeId="0">
      <text>
        <t>Eq. 4.8, i/(n+1).</t>
      </text>
    </comment>
    <comment ref="H27" authorId="0" shapeId="0">
      <text>
        <t>Position of the largest sorted model value not above x_m,fut (0 if none).</t>
      </text>
    </comment>
    <comment ref="I27" authorId="0" shapeId="0">
      <text>
        <t>Nearest sorted model base value (book's nearest-value rule).</t>
      </text>
    </comment>
    <comment ref="J27" authorId="0" shapeId="0">
      <text>
        <t>F_m,base of the nearest model base value.</t>
      </text>
    </comment>
    <comment ref="K27" authorId="0" shapeId="0">
      <text>
        <t>Eq. 4.7: observed value with the same probability, F_o^-1(F_m,base(x_m,fut)).</t>
      </text>
    </comment>
    <comment ref="B28" authorId="0" shapeId="0">
      <text>
        <t>i-th smallest wet observed value (skips the zeros).</t>
      </text>
    </comment>
    <comment ref="C28" authorId="0" shapeId="0">
      <text>
        <t>i-th smallest wet adjusted model value.</t>
      </text>
    </comment>
    <comment ref="D28" authorId="0" shapeId="0">
      <text>
        <t>Eq. 4.8, i/(n+1).</t>
      </text>
    </comment>
    <comment ref="H28" authorId="0" shapeId="0">
      <text>
        <t>Position of the largest sorted model value not above x_m,fut (0 if none).</t>
      </text>
    </comment>
    <comment ref="I28" authorId="0" shapeId="0">
      <text>
        <t>Nearest sorted model base value (book's nearest-value rule).</t>
      </text>
    </comment>
    <comment ref="J28" authorId="0" shapeId="0">
      <text>
        <t>F_m,base of the nearest model base value.</t>
      </text>
    </comment>
    <comment ref="K28" authorId="0" shapeId="0">
      <text>
        <t>Eq. 4.7: observed value with the same probability, F_o^-1(F_m,base(x_m,fut)).</t>
      </text>
    </comment>
    <comment ref="B29" authorId="0" shapeId="0">
      <text>
        <t>i-th smallest wet observed value (skips the zeros).</t>
      </text>
    </comment>
    <comment ref="C29" authorId="0" shapeId="0">
      <text>
        <t>i-th smallest wet adjusted model value.</t>
      </text>
    </comment>
    <comment ref="D29" authorId="0" shapeId="0">
      <text>
        <t>Eq. 4.8, i/(n+1).</t>
      </text>
    </comment>
    <comment ref="H29" authorId="0" shapeId="0">
      <text>
        <t>Position of the largest sorted model value not above x_m,fut (0 if none).</t>
      </text>
    </comment>
    <comment ref="I29" authorId="0" shapeId="0">
      <text>
        <t>Nearest sorted model base value (book's nearest-value rule).</t>
      </text>
    </comment>
    <comment ref="J29" authorId="0" shapeId="0">
      <text>
        <t>F_m,base of the nearest model base value.</t>
      </text>
    </comment>
    <comment ref="K29" authorId="0" shapeId="0">
      <text>
        <t>Eq. 4.7: observed value with the same probability, F_o^-1(F_m,base(x_m,fut)).</t>
      </text>
    </comment>
    <comment ref="B30" authorId="0" shapeId="0">
      <text>
        <t>i-th smallest wet observed value (skips the zeros).</t>
      </text>
    </comment>
    <comment ref="C30" authorId="0" shapeId="0">
      <text>
        <t>i-th smallest wet adjusted model value.</t>
      </text>
    </comment>
    <comment ref="D30" authorId="0" shapeId="0">
      <text>
        <t>Eq. 4.8, i/(n+1).</t>
      </text>
    </comment>
    <comment ref="H30" authorId="0" shapeId="0">
      <text>
        <t>Position of the largest sorted model value not above x_m,fut (0 if none).</t>
      </text>
    </comment>
    <comment ref="I30" authorId="0" shapeId="0">
      <text>
        <t>Nearest sorted model base value (book's nearest-value rule).</t>
      </text>
    </comment>
    <comment ref="J30" authorId="0" shapeId="0">
      <text>
        <t>F_m,base of the nearest model base value.</t>
      </text>
    </comment>
    <comment ref="K30" authorId="0" shapeId="0">
      <text>
        <t>Eq. 4.7: observed value with the same probability, F_o^-1(F_m,base(x_m,fut)).</t>
      </text>
    </comment>
    <comment ref="B31" authorId="0" shapeId="0">
      <text>
        <t>i-th smallest wet observed value (skips the zeros).</t>
      </text>
    </comment>
    <comment ref="C31" authorId="0" shapeId="0">
      <text>
        <t>i-th smallest wet adjusted model value.</t>
      </text>
    </comment>
    <comment ref="D31" authorId="0" shapeId="0">
      <text>
        <t>Eq. 4.8, i/(n+1).</t>
      </text>
    </comment>
    <comment ref="H31" authorId="0" shapeId="0">
      <text>
        <t>Position of the largest sorted model value not above x_m,fut (0 if none).</t>
      </text>
    </comment>
    <comment ref="I31" authorId="0" shapeId="0">
      <text>
        <t>Nearest sorted model base value (book's nearest-value rule).</t>
      </text>
    </comment>
    <comment ref="J31" authorId="0" shapeId="0">
      <text>
        <t>F_m,base of the nearest model base value.</t>
      </text>
    </comment>
    <comment ref="K31" authorId="0" shapeId="0">
      <text>
        <t>Eq. 4.7: observed value with the same probability, F_o^-1(F_m,base(x_m,fut)).</t>
      </text>
    </comment>
  </commentList>
</comments>
</file>

<file path=xl/comments/comment2.xml><?xml version="1.0" encoding="utf-8"?>
<comments xmlns="http://schemas.openxmlformats.org/spreadsheetml/2006/main">
  <authors>
    <author>CE524</author>
  </authors>
  <commentList>
    <comment ref="B3" authorId="0" shapeId="0">
      <text>
        <t>Wet-day values; STDEV is the sample standard deviation (n-1).</t>
      </text>
    </comment>
    <comment ref="B4" authorId="0" shapeId="0">
      <text>
        <t>Wet-day values; STDEV is the sample standard deviation (n-1).</t>
      </text>
    </comment>
    <comment ref="B5" authorId="0" shapeId="0">
      <text>
        <t>Wet-day values; STDEV is the sample standard deviation (n-1).</t>
      </text>
    </comment>
    <comment ref="B6" authorId="0" shapeId="0">
      <text>
        <t>Wet-day values; STDEV is the sample standard deviation (n-1).</t>
      </text>
    </comment>
    <comment ref="B7" authorId="0" shapeId="0">
      <text>
        <t>Wet-day values; STDEV is the sample standard deviation (n-1).</t>
      </text>
    </comment>
    <comment ref="B8" authorId="0" shapeId="0">
      <text>
        <t>Wet-day values; STDEV is the sample standard deviation (n-1).</t>
      </text>
    </comment>
    <comment ref="B9" authorId="0" shapeId="0">
      <text>
        <t>Eq. 4.4: mu_obs / mu_m,base * mu_m,fut.</t>
      </text>
    </comment>
    <comment ref="B10" authorId="0" shapeId="0">
      <text>
        <t>Eq. 4.3: sigma_obs / sigma_m,base * sigma_m,fut.</t>
      </text>
    </comment>
    <comment ref="B13" authorId="0" shapeId="0">
      <text>
        <t>Eq. 4.1.</t>
      </text>
    </comment>
    <comment ref="C13" authorId="0" shapeId="0">
      <text>
        <t>Eq. 4.2. Can be negative for large spread ratios; none here.</t>
      </text>
    </comment>
    <comment ref="B14" authorId="0" shapeId="0">
      <text>
        <t>Eq. 4.1.</t>
      </text>
    </comment>
    <comment ref="C14" authorId="0" shapeId="0">
      <text>
        <t>Eq. 4.2. Can be negative for large spread ratios; none here.</t>
      </text>
    </comment>
    <comment ref="B15" authorId="0" shapeId="0">
      <text>
        <t>Eq. 4.1.</t>
      </text>
    </comment>
    <comment ref="C15" authorId="0" shapeId="0">
      <text>
        <t>Eq. 4.2. Can be negative for large spread ratios; none here.</t>
      </text>
    </comment>
    <comment ref="B16" authorId="0" shapeId="0">
      <text>
        <t>Eq. 4.1.</t>
      </text>
    </comment>
    <comment ref="C16" authorId="0" shapeId="0">
      <text>
        <t>Eq. 4.2. Can be negative for large spread ratios; none here.</t>
      </text>
    </comment>
    <comment ref="B17" authorId="0" shapeId="0">
      <text>
        <t>Eq. 4.1.</t>
      </text>
    </comment>
    <comment ref="C17" authorId="0" shapeId="0">
      <text>
        <t>Eq. 4.2. Can be negative for large spread ratios; none here.</t>
      </text>
    </comment>
    <comment ref="B18" authorId="0" shapeId="0">
      <text>
        <t>Eq. 4.1.</t>
      </text>
    </comment>
    <comment ref="C18" authorId="0" shapeId="0">
      <text>
        <t>Eq. 4.2. Can be negative for large spread ratios; none here.</t>
      </text>
    </comment>
    <comment ref="B19" authorId="0" shapeId="0">
      <text>
        <t>Eq. 4.1.</t>
      </text>
    </comment>
    <comment ref="C19" authorId="0" shapeId="0">
      <text>
        <t>Eq. 4.2. Can be negative for large spread ratios; none here.</t>
      </text>
    </comment>
    <comment ref="B20" authorId="0" shapeId="0">
      <text>
        <t>Eq. 4.1.</t>
      </text>
    </comment>
    <comment ref="C20" authorId="0" shapeId="0">
      <text>
        <t>Eq. 4.2. Can be negative for large spread ratios; none here.</t>
      </text>
    </comment>
  </commentList>
</comments>
</file>

<file path=xl/comments/comment3.xml><?xml version="1.0" encoding="utf-8"?>
<comments xmlns="http://schemas.openxmlformats.org/spreadsheetml/2006/main">
  <authors>
    <author>CE524</author>
  </authors>
  <commentList>
    <comment ref="B4" authorId="0" shapeId="0">
      <text>
        <t>Eq. 4.9: i/(n+1) with i the rank of x_m,fut in its own series.</t>
      </text>
    </comment>
    <comment ref="C4" authorId="0" shapeId="0">
      <text>
        <t>Inverse empirical base CDF at tau.</t>
      </text>
    </comment>
    <comment ref="D4" authorId="0" shapeId="0">
      <text>
        <t>Eq. 4.10.</t>
      </text>
    </comment>
    <comment ref="E4" authorId="0" shapeId="0">
      <text>
        <t>Eq. 4.11: observed quantile at tau.</t>
      </text>
    </comment>
    <comment ref="F4" authorId="0" shapeId="0">
      <text>
        <t>Eq. 4.12.</t>
      </text>
    </comment>
    <comment ref="G4" authorId="0" shapeId="0">
      <text>
        <t>Eq. 4.14.</t>
      </text>
    </comment>
    <comment ref="H4" authorId="0" shapeId="0">
      <text>
        <t>Eq. 4.15.</t>
      </text>
    </comment>
    <comment ref="B5" authorId="0" shapeId="0">
      <text>
        <t>Eq. 4.9: i/(n+1) with i the rank of x_m,fut in its own series.</t>
      </text>
    </comment>
    <comment ref="C5" authorId="0" shapeId="0">
      <text>
        <t>Inverse empirical base CDF at tau.</t>
      </text>
    </comment>
    <comment ref="D5" authorId="0" shapeId="0">
      <text>
        <t>Eq. 4.10.</t>
      </text>
    </comment>
    <comment ref="E5" authorId="0" shapeId="0">
      <text>
        <t>Eq. 4.11: observed quantile at tau.</t>
      </text>
    </comment>
    <comment ref="F5" authorId="0" shapeId="0">
      <text>
        <t>Eq. 4.12.</t>
      </text>
    </comment>
    <comment ref="G5" authorId="0" shapeId="0">
      <text>
        <t>Eq. 4.14.</t>
      </text>
    </comment>
    <comment ref="H5" authorId="0" shapeId="0">
      <text>
        <t>Eq. 4.15.</t>
      </text>
    </comment>
    <comment ref="B6" authorId="0" shapeId="0">
      <text>
        <t>Eq. 4.9: i/(n+1) with i the rank of x_m,fut in its own series.</t>
      </text>
    </comment>
    <comment ref="C6" authorId="0" shapeId="0">
      <text>
        <t>Inverse empirical base CDF at tau.</t>
      </text>
    </comment>
    <comment ref="D6" authorId="0" shapeId="0">
      <text>
        <t>Eq. 4.10.</t>
      </text>
    </comment>
    <comment ref="E6" authorId="0" shapeId="0">
      <text>
        <t>Eq. 4.11: observed quantile at tau.</t>
      </text>
    </comment>
    <comment ref="F6" authorId="0" shapeId="0">
      <text>
        <t>Eq. 4.12.</t>
      </text>
    </comment>
    <comment ref="G6" authorId="0" shapeId="0">
      <text>
        <t>Eq. 4.14.</t>
      </text>
    </comment>
    <comment ref="H6" authorId="0" shapeId="0">
      <text>
        <t>Eq. 4.15.</t>
      </text>
    </comment>
    <comment ref="B7" authorId="0" shapeId="0">
      <text>
        <t>Eq. 4.9: i/(n+1) with i the rank of x_m,fut in its own series.</t>
      </text>
    </comment>
    <comment ref="C7" authorId="0" shapeId="0">
      <text>
        <t>Inverse empirical base CDF at tau.</t>
      </text>
    </comment>
    <comment ref="D7" authorId="0" shapeId="0">
      <text>
        <t>Eq. 4.10.</t>
      </text>
    </comment>
    <comment ref="E7" authorId="0" shapeId="0">
      <text>
        <t>Eq. 4.11: observed quantile at tau.</t>
      </text>
    </comment>
    <comment ref="F7" authorId="0" shapeId="0">
      <text>
        <t>Eq. 4.12.</t>
      </text>
    </comment>
    <comment ref="G7" authorId="0" shapeId="0">
      <text>
        <t>Eq. 4.14.</t>
      </text>
    </comment>
    <comment ref="H7" authorId="0" shapeId="0">
      <text>
        <t>Eq. 4.15.</t>
      </text>
    </comment>
    <comment ref="B8" authorId="0" shapeId="0">
      <text>
        <t>Eq. 4.9: i/(n+1) with i the rank of x_m,fut in its own series.</t>
      </text>
    </comment>
    <comment ref="C8" authorId="0" shapeId="0">
      <text>
        <t>Inverse empirical base CDF at tau.</t>
      </text>
    </comment>
    <comment ref="D8" authorId="0" shapeId="0">
      <text>
        <t>Eq. 4.10.</t>
      </text>
    </comment>
    <comment ref="E8" authorId="0" shapeId="0">
      <text>
        <t>Eq. 4.11: observed quantile at tau.</t>
      </text>
    </comment>
    <comment ref="F8" authorId="0" shapeId="0">
      <text>
        <t>Eq. 4.12.</t>
      </text>
    </comment>
    <comment ref="G8" authorId="0" shapeId="0">
      <text>
        <t>Eq. 4.14.</t>
      </text>
    </comment>
    <comment ref="H8" authorId="0" shapeId="0">
      <text>
        <t>Eq. 4.15.</t>
      </text>
    </comment>
    <comment ref="B9" authorId="0" shapeId="0">
      <text>
        <t>Eq. 4.9: i/(n+1) with i the rank of x_m,fut in its own series.</t>
      </text>
    </comment>
    <comment ref="C9" authorId="0" shapeId="0">
      <text>
        <t>Inverse empirical base CDF at tau.</t>
      </text>
    </comment>
    <comment ref="D9" authorId="0" shapeId="0">
      <text>
        <t>Eq. 4.10.</t>
      </text>
    </comment>
    <comment ref="E9" authorId="0" shapeId="0">
      <text>
        <t>Eq. 4.11: observed quantile at tau.</t>
      </text>
    </comment>
    <comment ref="F9" authorId="0" shapeId="0">
      <text>
        <t>Eq. 4.12.</t>
      </text>
    </comment>
    <comment ref="G9" authorId="0" shapeId="0">
      <text>
        <t>Eq. 4.14.</t>
      </text>
    </comment>
    <comment ref="H9" authorId="0" shapeId="0">
      <text>
        <t>Eq. 4.15.</t>
      </text>
    </comment>
    <comment ref="B10" authorId="0" shapeId="0">
      <text>
        <t>Eq. 4.9: i/(n+1) with i the rank of x_m,fut in its own series.</t>
      </text>
    </comment>
    <comment ref="C10" authorId="0" shapeId="0">
      <text>
        <t>Inverse empirical base CDF at tau.</t>
      </text>
    </comment>
    <comment ref="D10" authorId="0" shapeId="0">
      <text>
        <t>Eq. 4.10.</t>
      </text>
    </comment>
    <comment ref="E10" authorId="0" shapeId="0">
      <text>
        <t>Eq. 4.11: observed quantile at tau.</t>
      </text>
    </comment>
    <comment ref="F10" authorId="0" shapeId="0">
      <text>
        <t>Eq. 4.12.</t>
      </text>
    </comment>
    <comment ref="G10" authorId="0" shapeId="0">
      <text>
        <t>Eq. 4.14.</t>
      </text>
    </comment>
    <comment ref="H10" authorId="0" shapeId="0">
      <text>
        <t>Eq. 4.15.</t>
      </text>
    </comment>
    <comment ref="B11" authorId="0" shapeId="0">
      <text>
        <t>Eq. 4.9: i/(n+1) with i the rank of x_m,fut in its own series.</t>
      </text>
    </comment>
    <comment ref="C11" authorId="0" shapeId="0">
      <text>
        <t>Inverse empirical base CDF at tau.</t>
      </text>
    </comment>
    <comment ref="D11" authorId="0" shapeId="0">
      <text>
        <t>Eq. 4.10.</t>
      </text>
    </comment>
    <comment ref="E11" authorId="0" shapeId="0">
      <text>
        <t>Eq. 4.11: observed quantile at tau.</t>
      </text>
    </comment>
    <comment ref="F11" authorId="0" shapeId="0">
      <text>
        <t>Eq. 4.12.</t>
      </text>
    </comment>
    <comment ref="G11" authorId="0" shapeId="0">
      <text>
        <t>Eq. 4.14.</t>
      </text>
    </comment>
    <comment ref="H11" authorId="0" shapeId="0">
      <text>
        <t>Eq. 4.15.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Lecture 18, Bias correction: worked examples (CE524 Applied Hydroclimatology)</t>
        </is>
      </c>
    </row>
    <row r="2">
      <c r="A2" t="inlineStr">
        <is>
          <t>Notation follows Lee &amp; Singh (2019), Chapter 4: y_obs, x_m,base, x_m,fut, y_hat_m,fut, F_o, F_m,base, tau_m,fut, Delta_m,fut.</t>
        </is>
      </c>
    </row>
    <row r="3">
      <c r="A3" t="inlineStr">
        <is>
          <t>Blue font = inputs, black font = formulas, yellow fill = key results. Notes on formulas are cell comments.</t>
        </is>
      </c>
    </row>
    <row r="4">
      <c r="A4" t="inlineStr">
        <is>
          <t>All numbers are synthetic and are the numbers of the hand-solved example in the notebook (Section 7).</t>
        </is>
      </c>
    </row>
    <row r="5">
      <c r="A5" t="inlineStr"/>
    </row>
    <row r="6">
      <c r="A6" t="inlineStr">
        <is>
          <t>Data: 12 days of observed and model base rain, and 8 future model wet-day values.</t>
        </is>
      </c>
    </row>
    <row r="7">
      <c r="A7" t="inlineStr">
        <is>
          <t>Occ_QM: Section 4.2 occurrence adjustment (Part A) and Section 4.4.2 nonparametric quantile mapping (Part B), the hand example.</t>
        </is>
      </c>
    </row>
    <row r="8">
      <c r="A8" t="inlineStr">
        <is>
          <t>Delta: Section 4.3 empirical adjustment, Eqs. 4.1 to 4.5 (precipitation form).</t>
        </is>
      </c>
    </row>
    <row r="9">
      <c r="A9" t="inlineStr">
        <is>
          <t>QDM: Section 4.4.3 quantile delta mapping, Eqs. 4.9 to 4.15, empirical CDFs, F-hat(x_(i)) = i/(n+1).</t>
        </is>
      </c>
    </row>
    <row r="10">
      <c r="A10" t="inlineStr">
        <is>
          <t>Change a blue cell on Data and every sheet recalculates (the number of wet days n_1 must stay equal to the 8 future values).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5" max="5"/>
    <col width="11" customWidth="1" min="6" max="6"/>
  </cols>
  <sheetData>
    <row r="1">
      <c r="A1" s="2" t="inlineStr">
        <is>
          <t>Data (mm/day), synthetic</t>
        </is>
      </c>
    </row>
    <row r="3">
      <c r="A3" s="3" t="inlineStr">
        <is>
          <t>day</t>
        </is>
      </c>
      <c r="B3" s="3" t="inlineStr">
        <is>
          <t>y_obs</t>
        </is>
      </c>
      <c r="C3" s="3" t="inlineStr">
        <is>
          <t>x_m,base</t>
        </is>
      </c>
      <c r="E3" s="3" t="inlineStr">
        <is>
          <t>i</t>
        </is>
      </c>
      <c r="F3" s="3" t="inlineStr">
        <is>
          <t>x_m,fut</t>
        </is>
      </c>
      <c r="H3" t="inlineStr">
        <is>
          <t>x_m,fut: the eight future model wet-day values to be corrected (already occurrence-adjusted).</t>
        </is>
      </c>
    </row>
    <row r="4">
      <c r="A4" s="4" t="n">
        <v>1</v>
      </c>
      <c r="B4" s="4" t="n">
        <v>0</v>
      </c>
      <c r="C4" s="4" t="n">
        <v>0.6</v>
      </c>
      <c r="E4" s="4" t="n">
        <v>1</v>
      </c>
      <c r="F4" s="4" t="n">
        <v>1.9</v>
      </c>
    </row>
    <row r="5">
      <c r="A5" s="4" t="n">
        <v>2</v>
      </c>
      <c r="B5" s="4" t="n">
        <v>14</v>
      </c>
      <c r="C5" s="4" t="n">
        <v>2.9</v>
      </c>
      <c r="E5" s="4" t="n">
        <v>2</v>
      </c>
      <c r="F5" s="4" t="n">
        <v>6.2</v>
      </c>
    </row>
    <row r="6">
      <c r="A6" s="4" t="n">
        <v>3</v>
      </c>
      <c r="B6" s="4" t="n">
        <v>0</v>
      </c>
      <c r="C6" s="4" t="n">
        <v>0.2</v>
      </c>
      <c r="E6" s="4" t="n">
        <v>3</v>
      </c>
      <c r="F6" s="4" t="n">
        <v>0.7</v>
      </c>
    </row>
    <row r="7">
      <c r="A7" s="4" t="n">
        <v>4</v>
      </c>
      <c r="B7" s="4" t="n">
        <v>3.5</v>
      </c>
      <c r="C7" s="4" t="n">
        <v>1.4</v>
      </c>
      <c r="E7" s="4" t="n">
        <v>4</v>
      </c>
      <c r="F7" s="4" t="n">
        <v>3.6</v>
      </c>
    </row>
    <row r="8">
      <c r="A8" s="4" t="n">
        <v>5</v>
      </c>
      <c r="B8" s="4" t="n">
        <v>22</v>
      </c>
      <c r="C8" s="4" t="n">
        <v>4.1</v>
      </c>
      <c r="E8" s="4" t="n">
        <v>5</v>
      </c>
      <c r="F8" s="4" t="n">
        <v>2.5</v>
      </c>
    </row>
    <row r="9">
      <c r="A9" s="4" t="n">
        <v>6</v>
      </c>
      <c r="B9" s="4" t="n">
        <v>0</v>
      </c>
      <c r="C9" s="4" t="n">
        <v>0.9</v>
      </c>
      <c r="E9" s="4" t="n">
        <v>6</v>
      </c>
      <c r="F9" s="4" t="n">
        <v>9.4</v>
      </c>
    </row>
    <row r="10">
      <c r="A10" s="4" t="n">
        <v>7</v>
      </c>
      <c r="B10" s="4" t="n">
        <v>8</v>
      </c>
      <c r="C10" s="4" t="n">
        <v>7.8</v>
      </c>
      <c r="E10" s="4" t="n">
        <v>7</v>
      </c>
      <c r="F10" s="4" t="n">
        <v>1.2</v>
      </c>
    </row>
    <row r="11">
      <c r="A11" s="4" t="n">
        <v>8</v>
      </c>
      <c r="B11" s="4" t="n">
        <v>1</v>
      </c>
      <c r="C11" s="4" t="n">
        <v>0.3</v>
      </c>
      <c r="E11" s="4" t="n">
        <v>8</v>
      </c>
      <c r="F11" s="4" t="n">
        <v>4.9</v>
      </c>
    </row>
    <row r="12">
      <c r="A12" s="4" t="n">
        <v>9</v>
      </c>
      <c r="B12" s="4" t="n">
        <v>0</v>
      </c>
      <c r="C12" s="4" t="n">
        <v>2.2</v>
      </c>
    </row>
    <row r="13">
      <c r="A13" s="4" t="n">
        <v>10</v>
      </c>
      <c r="B13" s="4" t="n">
        <v>31.5</v>
      </c>
      <c r="C13" s="4" t="n">
        <v>1.1</v>
      </c>
    </row>
    <row r="14">
      <c r="A14" s="4" t="n">
        <v>11</v>
      </c>
      <c r="B14" s="4" t="n">
        <v>5.5</v>
      </c>
      <c r="C14" s="4" t="n">
        <v>3.4</v>
      </c>
    </row>
    <row r="15">
      <c r="A15" s="4" t="n">
        <v>12</v>
      </c>
      <c r="B15" s="4" t="n">
        <v>11</v>
      </c>
      <c r="C15" s="4" t="n">
        <v>0.5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8" customWidth="1" min="3" max="3"/>
    <col width="24" customWidth="1" min="4" max="4"/>
    <col width="4" customWidth="1" min="5" max="5"/>
    <col width="4" customWidth="1" min="6" max="6"/>
    <col width="10" customWidth="1" min="7" max="7"/>
    <col width="9" customWidth="1" min="8" max="8"/>
    <col width="10" customWidth="1" min="9" max="9"/>
    <col width="10" customWidth="1" min="10" max="10"/>
    <col width="13" customWidth="1" min="11" max="11"/>
  </cols>
  <sheetData>
    <row r="1">
      <c r="A1" s="2" t="inlineStr">
        <is>
          <t>Part A: occurrence adjustment (Section 4.2). Part B: nonparametric quantile mapping (Section 4.4.2)</t>
        </is>
      </c>
    </row>
    <row r="3">
      <c r="A3" t="inlineStr">
        <is>
          <t>n_1 (observed values &gt; 0)</t>
        </is>
      </c>
      <c r="B3" s="5">
        <f>COUNTIF(Data!B4:B15,"&gt;0")</f>
        <v/>
      </c>
    </row>
    <row r="4">
      <c r="A4" t="inlineStr">
        <is>
          <t>N</t>
        </is>
      </c>
      <c r="B4" s="5">
        <f>COUNT(Data!B4:B15)</f>
        <v/>
      </c>
    </row>
    <row r="5">
      <c r="A5" t="inlineStr">
        <is>
          <t>n_1 / N</t>
        </is>
      </c>
      <c r="B5" s="6">
        <f>B3/B4</f>
        <v/>
      </c>
    </row>
    <row r="6">
      <c r="A6" t="inlineStr">
        <is>
          <t>threshold (n_1-th largest x_m,base)</t>
        </is>
      </c>
      <c r="B6" s="7">
        <f>LARGE(Data!C4:C15,B3)</f>
        <v/>
      </c>
    </row>
    <row r="8">
      <c r="A8" s="3" t="inlineStr">
        <is>
          <t>day</t>
        </is>
      </c>
      <c r="B8" s="3" t="inlineStr">
        <is>
          <t>x_m,base</t>
        </is>
      </c>
      <c r="C8" s="3" t="inlineStr">
        <is>
          <t>adjusted x_m,base</t>
        </is>
      </c>
    </row>
    <row r="9">
      <c r="A9" s="5">
        <f>Data!A4</f>
        <v/>
      </c>
      <c r="B9" s="5">
        <f>Data!C4</f>
        <v/>
      </c>
      <c r="C9" s="5">
        <f>IF(B9&lt;$B$6,0,B9)</f>
        <v/>
      </c>
    </row>
    <row r="10">
      <c r="A10" s="5">
        <f>Data!A5</f>
        <v/>
      </c>
      <c r="B10" s="5">
        <f>Data!C5</f>
        <v/>
      </c>
      <c r="C10" s="5">
        <f>IF(B10&lt;$B$6,0,B10)</f>
        <v/>
      </c>
    </row>
    <row r="11">
      <c r="A11" s="5">
        <f>Data!A6</f>
        <v/>
      </c>
      <c r="B11" s="5">
        <f>Data!C6</f>
        <v/>
      </c>
      <c r="C11" s="5">
        <f>IF(B11&lt;$B$6,0,B11)</f>
        <v/>
      </c>
    </row>
    <row r="12">
      <c r="A12" s="5">
        <f>Data!A7</f>
        <v/>
      </c>
      <c r="B12" s="5">
        <f>Data!C7</f>
        <v/>
      </c>
      <c r="C12" s="5">
        <f>IF(B12&lt;$B$6,0,B12)</f>
        <v/>
      </c>
    </row>
    <row r="13">
      <c r="A13" s="5">
        <f>Data!A8</f>
        <v/>
      </c>
      <c r="B13" s="5">
        <f>Data!C8</f>
        <v/>
      </c>
      <c r="C13" s="5">
        <f>IF(B13&lt;$B$6,0,B13)</f>
        <v/>
      </c>
    </row>
    <row r="14">
      <c r="A14" s="5">
        <f>Data!A9</f>
        <v/>
      </c>
      <c r="B14" s="5">
        <f>Data!C9</f>
        <v/>
      </c>
      <c r="C14" s="5">
        <f>IF(B14&lt;$B$6,0,B14)</f>
        <v/>
      </c>
    </row>
    <row r="15">
      <c r="A15" s="5">
        <f>Data!A10</f>
        <v/>
      </c>
      <c r="B15" s="5">
        <f>Data!C10</f>
        <v/>
      </c>
      <c r="C15" s="5">
        <f>IF(B15&lt;$B$6,0,B15)</f>
        <v/>
      </c>
    </row>
    <row r="16">
      <c r="A16" s="5">
        <f>Data!A11</f>
        <v/>
      </c>
      <c r="B16" s="5">
        <f>Data!C11</f>
        <v/>
      </c>
      <c r="C16" s="5">
        <f>IF(B16&lt;$B$6,0,B16)</f>
        <v/>
      </c>
    </row>
    <row r="17">
      <c r="A17" s="5">
        <f>Data!A12</f>
        <v/>
      </c>
      <c r="B17" s="5">
        <f>Data!C12</f>
        <v/>
      </c>
      <c r="C17" s="5">
        <f>IF(B17&lt;$B$6,0,B17)</f>
        <v/>
      </c>
    </row>
    <row r="18">
      <c r="A18" s="5">
        <f>Data!A13</f>
        <v/>
      </c>
      <c r="B18" s="5">
        <f>Data!C13</f>
        <v/>
      </c>
      <c r="C18" s="5">
        <f>IF(B18&lt;$B$6,0,B18)</f>
        <v/>
      </c>
    </row>
    <row r="19">
      <c r="A19" s="5">
        <f>Data!A14</f>
        <v/>
      </c>
      <c r="B19" s="5">
        <f>Data!C14</f>
        <v/>
      </c>
      <c r="C19" s="5">
        <f>IF(B19&lt;$B$6,0,B19)</f>
        <v/>
      </c>
    </row>
    <row r="20">
      <c r="A20" s="5">
        <f>Data!A15</f>
        <v/>
      </c>
      <c r="B20" s="5">
        <f>Data!C15</f>
        <v/>
      </c>
      <c r="C20" s="5">
        <f>IF(B20&lt;$B$6,0,B20)</f>
        <v/>
      </c>
    </row>
    <row r="23">
      <c r="A23" s="3" t="inlineStr">
        <is>
          <t>i</t>
        </is>
      </c>
      <c r="B23" s="3" t="inlineStr">
        <is>
          <t>y_(i)</t>
        </is>
      </c>
      <c r="C23" s="3" t="inlineStr">
        <is>
          <t>x_(i), base</t>
        </is>
      </c>
      <c r="D23" s="3" t="inlineStr">
        <is>
          <t>F_o = F_m,base = i/(n+1)</t>
        </is>
      </c>
      <c r="G23" s="3" t="inlineStr">
        <is>
          <t>x_m,fut</t>
        </is>
      </c>
      <c r="H23" s="3" t="inlineStr">
        <is>
          <t>k below</t>
        </is>
      </c>
      <c r="I23" s="3" t="inlineStr">
        <is>
          <t>k nearest</t>
        </is>
      </c>
      <c r="J23" s="3" t="inlineStr">
        <is>
          <t>F_m,base</t>
        </is>
      </c>
      <c r="K23" s="3" t="inlineStr">
        <is>
          <t>y_hat_m,fut</t>
        </is>
      </c>
    </row>
    <row r="24">
      <c r="A24" s="4" t="n">
        <v>1</v>
      </c>
      <c r="B24" s="5">
        <f>SMALL(Data!$B$4:$B$15,$B$4-$B$3+A24)</f>
        <v/>
      </c>
      <c r="C24" s="5">
        <f>SMALL($C$9:$C$20,$B$4-$B$3+A24)</f>
        <v/>
      </c>
      <c r="D24" s="6">
        <f>A24/($B$3+1)</f>
        <v/>
      </c>
      <c r="G24" s="5">
        <f>Data!F4</f>
        <v/>
      </c>
      <c r="H24" s="5">
        <f>IFERROR(MATCH(G24,$C$24:$C$31,1),0)</f>
        <v/>
      </c>
      <c r="I24" s="5">
        <f>IF(H24=0,1,IF(H24=$B$3,H24,IF(ABS(G24-INDEX($C$24:$C$31,H24))&lt;=ABS(INDEX($C$24:$C$31,H24+1)-G24),H24,H24+1)))</f>
        <v/>
      </c>
      <c r="J24" s="6">
        <f>I24/($B$3+1)</f>
        <v/>
      </c>
      <c r="K24" s="7">
        <f>INDEX($B$24:$B$31,MAX(1,MIN($B$3,ROUND(J24*($B$3+1),0))))</f>
        <v/>
      </c>
    </row>
    <row r="25">
      <c r="A25" s="4" t="n">
        <v>2</v>
      </c>
      <c r="B25" s="5">
        <f>SMALL(Data!$B$4:$B$15,$B$4-$B$3+A25)</f>
        <v/>
      </c>
      <c r="C25" s="5">
        <f>SMALL($C$9:$C$20,$B$4-$B$3+A25)</f>
        <v/>
      </c>
      <c r="D25" s="6">
        <f>A25/($B$3+1)</f>
        <v/>
      </c>
      <c r="G25" s="5">
        <f>Data!F5</f>
        <v/>
      </c>
      <c r="H25" s="5">
        <f>IFERROR(MATCH(G25,$C$24:$C$31,1),0)</f>
        <v/>
      </c>
      <c r="I25" s="5">
        <f>IF(H25=0,1,IF(H25=$B$3,H25,IF(ABS(G25-INDEX($C$24:$C$31,H25))&lt;=ABS(INDEX($C$24:$C$31,H25+1)-G25),H25,H25+1)))</f>
        <v/>
      </c>
      <c r="J25" s="6">
        <f>I25/($B$3+1)</f>
        <v/>
      </c>
      <c r="K25" s="7">
        <f>INDEX($B$24:$B$31,MAX(1,MIN($B$3,ROUND(J25*($B$3+1),0))))</f>
        <v/>
      </c>
    </row>
    <row r="26">
      <c r="A26" s="4" t="n">
        <v>3</v>
      </c>
      <c r="B26" s="5">
        <f>SMALL(Data!$B$4:$B$15,$B$4-$B$3+A26)</f>
        <v/>
      </c>
      <c r="C26" s="5">
        <f>SMALL($C$9:$C$20,$B$4-$B$3+A26)</f>
        <v/>
      </c>
      <c r="D26" s="6">
        <f>A26/($B$3+1)</f>
        <v/>
      </c>
      <c r="G26" s="5">
        <f>Data!F6</f>
        <v/>
      </c>
      <c r="H26" s="5">
        <f>IFERROR(MATCH(G26,$C$24:$C$31,1),0)</f>
        <v/>
      </c>
      <c r="I26" s="5">
        <f>IF(H26=0,1,IF(H26=$B$3,H26,IF(ABS(G26-INDEX($C$24:$C$31,H26))&lt;=ABS(INDEX($C$24:$C$31,H26+1)-G26),H26,H26+1)))</f>
        <v/>
      </c>
      <c r="J26" s="6">
        <f>I26/($B$3+1)</f>
        <v/>
      </c>
      <c r="K26" s="7">
        <f>INDEX($B$24:$B$31,MAX(1,MIN($B$3,ROUND(J26*($B$3+1),0))))</f>
        <v/>
      </c>
    </row>
    <row r="27">
      <c r="A27" s="4" t="n">
        <v>4</v>
      </c>
      <c r="B27" s="5">
        <f>SMALL(Data!$B$4:$B$15,$B$4-$B$3+A27)</f>
        <v/>
      </c>
      <c r="C27" s="5">
        <f>SMALL($C$9:$C$20,$B$4-$B$3+A27)</f>
        <v/>
      </c>
      <c r="D27" s="6">
        <f>A27/($B$3+1)</f>
        <v/>
      </c>
      <c r="G27" s="5">
        <f>Data!F7</f>
        <v/>
      </c>
      <c r="H27" s="5">
        <f>IFERROR(MATCH(G27,$C$24:$C$31,1),0)</f>
        <v/>
      </c>
      <c r="I27" s="5">
        <f>IF(H27=0,1,IF(H27=$B$3,H27,IF(ABS(G27-INDEX($C$24:$C$31,H27))&lt;=ABS(INDEX($C$24:$C$31,H27+1)-G27),H27,H27+1)))</f>
        <v/>
      </c>
      <c r="J27" s="6">
        <f>I27/($B$3+1)</f>
        <v/>
      </c>
      <c r="K27" s="7">
        <f>INDEX($B$24:$B$31,MAX(1,MIN($B$3,ROUND(J27*($B$3+1),0))))</f>
        <v/>
      </c>
    </row>
    <row r="28">
      <c r="A28" s="4" t="n">
        <v>5</v>
      </c>
      <c r="B28" s="5">
        <f>SMALL(Data!$B$4:$B$15,$B$4-$B$3+A28)</f>
        <v/>
      </c>
      <c r="C28" s="5">
        <f>SMALL($C$9:$C$20,$B$4-$B$3+A28)</f>
        <v/>
      </c>
      <c r="D28" s="6">
        <f>A28/($B$3+1)</f>
        <v/>
      </c>
      <c r="G28" s="5">
        <f>Data!F8</f>
        <v/>
      </c>
      <c r="H28" s="5">
        <f>IFERROR(MATCH(G28,$C$24:$C$31,1),0)</f>
        <v/>
      </c>
      <c r="I28" s="5">
        <f>IF(H28=0,1,IF(H28=$B$3,H28,IF(ABS(G28-INDEX($C$24:$C$31,H28))&lt;=ABS(INDEX($C$24:$C$31,H28+1)-G28),H28,H28+1)))</f>
        <v/>
      </c>
      <c r="J28" s="6">
        <f>I28/($B$3+1)</f>
        <v/>
      </c>
      <c r="K28" s="7">
        <f>INDEX($B$24:$B$31,MAX(1,MIN($B$3,ROUND(J28*($B$3+1),0))))</f>
        <v/>
      </c>
    </row>
    <row r="29">
      <c r="A29" s="4" t="n">
        <v>6</v>
      </c>
      <c r="B29" s="5">
        <f>SMALL(Data!$B$4:$B$15,$B$4-$B$3+A29)</f>
        <v/>
      </c>
      <c r="C29" s="5">
        <f>SMALL($C$9:$C$20,$B$4-$B$3+A29)</f>
        <v/>
      </c>
      <c r="D29" s="6">
        <f>A29/($B$3+1)</f>
        <v/>
      </c>
      <c r="G29" s="5">
        <f>Data!F9</f>
        <v/>
      </c>
      <c r="H29" s="5">
        <f>IFERROR(MATCH(G29,$C$24:$C$31,1),0)</f>
        <v/>
      </c>
      <c r="I29" s="5">
        <f>IF(H29=0,1,IF(H29=$B$3,H29,IF(ABS(G29-INDEX($C$24:$C$31,H29))&lt;=ABS(INDEX($C$24:$C$31,H29+1)-G29),H29,H29+1)))</f>
        <v/>
      </c>
      <c r="J29" s="6">
        <f>I29/($B$3+1)</f>
        <v/>
      </c>
      <c r="K29" s="7">
        <f>INDEX($B$24:$B$31,MAX(1,MIN($B$3,ROUND(J29*($B$3+1),0))))</f>
        <v/>
      </c>
    </row>
    <row r="30">
      <c r="A30" s="4" t="n">
        <v>7</v>
      </c>
      <c r="B30" s="5">
        <f>SMALL(Data!$B$4:$B$15,$B$4-$B$3+A30)</f>
        <v/>
      </c>
      <c r="C30" s="5">
        <f>SMALL($C$9:$C$20,$B$4-$B$3+A30)</f>
        <v/>
      </c>
      <c r="D30" s="6">
        <f>A30/($B$3+1)</f>
        <v/>
      </c>
      <c r="G30" s="5">
        <f>Data!F10</f>
        <v/>
      </c>
      <c r="H30" s="5">
        <f>IFERROR(MATCH(G30,$C$24:$C$31,1),0)</f>
        <v/>
      </c>
      <c r="I30" s="5">
        <f>IF(H30=0,1,IF(H30=$B$3,H30,IF(ABS(G30-INDEX($C$24:$C$31,H30))&lt;=ABS(INDEX($C$24:$C$31,H30+1)-G30),H30,H30+1)))</f>
        <v/>
      </c>
      <c r="J30" s="6">
        <f>I30/($B$3+1)</f>
        <v/>
      </c>
      <c r="K30" s="7">
        <f>INDEX($B$24:$B$31,MAX(1,MIN($B$3,ROUND(J30*($B$3+1),0))))</f>
        <v/>
      </c>
    </row>
    <row r="31">
      <c r="A31" s="4" t="n">
        <v>8</v>
      </c>
      <c r="B31" s="5">
        <f>SMALL(Data!$B$4:$B$15,$B$4-$B$3+A31)</f>
        <v/>
      </c>
      <c r="C31" s="5">
        <f>SMALL($C$9:$C$20,$B$4-$B$3+A31)</f>
        <v/>
      </c>
      <c r="D31" s="6">
        <f>A31/($B$3+1)</f>
        <v/>
      </c>
      <c r="G31" s="5">
        <f>Data!F11</f>
        <v/>
      </c>
      <c r="H31" s="5">
        <f>IFERROR(MATCH(G31,$C$24:$C$31,1),0)</f>
        <v/>
      </c>
      <c r="I31" s="5">
        <f>IF(H31=0,1,IF(H31=$B$3,H31,IF(ABS(G31-INDEX($C$24:$C$31,H31))&lt;=ABS(INDEX($C$24:$C$31,H31+1)-G31),H31,H31+1)))</f>
        <v/>
      </c>
      <c r="J31" s="6">
        <f>I31/($B$3+1)</f>
        <v/>
      </c>
      <c r="K31" s="7">
        <f>INDEX($B$24:$B$31,MAX(1,MIN($B$3,ROUND(J31*($B$3+1),0))))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>
      <c r="A1" s="2" t="inlineStr">
        <is>
          <t>Empirical adjustment, delta method (Section 4.3, Eqs. 4.1 to 4.4)</t>
        </is>
      </c>
    </row>
    <row r="3">
      <c r="A3" t="inlineStr">
        <is>
          <t>mu_obs</t>
        </is>
      </c>
      <c r="B3" s="6">
        <f>AVERAGE(Occ_QM!B24:B31)</f>
        <v/>
      </c>
    </row>
    <row r="4">
      <c r="A4" t="inlineStr">
        <is>
          <t>mu_m,base</t>
        </is>
      </c>
      <c r="B4" s="6">
        <f>AVERAGE(Occ_QM!C24:C31)</f>
        <v/>
      </c>
    </row>
    <row r="5">
      <c r="A5" t="inlineStr">
        <is>
          <t>mu_m,fut</t>
        </is>
      </c>
      <c r="B5" s="6">
        <f>AVERAGE(Occ_QM!G24:G31)</f>
        <v/>
      </c>
    </row>
    <row r="6">
      <c r="A6" t="inlineStr">
        <is>
          <t>sigma_obs</t>
        </is>
      </c>
      <c r="B6" s="6">
        <f>STDEV(Occ_QM!B24:B31)</f>
        <v/>
      </c>
    </row>
    <row r="7">
      <c r="A7" t="inlineStr">
        <is>
          <t>sigma_m,base</t>
        </is>
      </c>
      <c r="B7" s="6">
        <f>STDEV(Occ_QM!C24:C31)</f>
        <v/>
      </c>
    </row>
    <row r="8">
      <c r="A8" t="inlineStr">
        <is>
          <t>sigma_m,fut</t>
        </is>
      </c>
      <c r="B8" s="6">
        <f>STDEV(Occ_QM!G24:G31)</f>
        <v/>
      </c>
    </row>
    <row r="9">
      <c r="A9" t="inlineStr">
        <is>
          <t>mu_hat_m,fut</t>
        </is>
      </c>
      <c r="B9" s="8">
        <f>B3/B4*B5</f>
        <v/>
      </c>
    </row>
    <row r="10">
      <c r="A10" t="inlineStr">
        <is>
          <t>sigma_hat_m,fut</t>
        </is>
      </c>
      <c r="B10" s="8">
        <f>B6/B7*B8</f>
        <v/>
      </c>
    </row>
    <row r="12">
      <c r="A12" s="3" t="inlineStr">
        <is>
          <t>x_m,fut</t>
        </is>
      </c>
      <c r="B12" s="3" t="inlineStr">
        <is>
          <t>z_m,fut</t>
        </is>
      </c>
      <c r="C12" s="3" t="inlineStr">
        <is>
          <t>y_hat_m,fut</t>
        </is>
      </c>
    </row>
    <row r="13">
      <c r="A13" s="5">
        <f>Occ_QM!G24</f>
        <v/>
      </c>
      <c r="B13" s="6">
        <f>(A13-$B$5)/$B$8</f>
        <v/>
      </c>
      <c r="C13" s="8">
        <f>B13*$B$10+$B$9</f>
        <v/>
      </c>
    </row>
    <row r="14">
      <c r="A14" s="5">
        <f>Occ_QM!G25</f>
        <v/>
      </c>
      <c r="B14" s="6">
        <f>(A14-$B$5)/$B$8</f>
        <v/>
      </c>
      <c r="C14" s="8">
        <f>B14*$B$10+$B$9</f>
        <v/>
      </c>
    </row>
    <row r="15">
      <c r="A15" s="5">
        <f>Occ_QM!G26</f>
        <v/>
      </c>
      <c r="B15" s="6">
        <f>(A15-$B$5)/$B$8</f>
        <v/>
      </c>
      <c r="C15" s="8">
        <f>B15*$B$10+$B$9</f>
        <v/>
      </c>
    </row>
    <row r="16">
      <c r="A16" s="5">
        <f>Occ_QM!G27</f>
        <v/>
      </c>
      <c r="B16" s="6">
        <f>(A16-$B$5)/$B$8</f>
        <v/>
      </c>
      <c r="C16" s="8">
        <f>B16*$B$10+$B$9</f>
        <v/>
      </c>
    </row>
    <row r="17">
      <c r="A17" s="5">
        <f>Occ_QM!G28</f>
        <v/>
      </c>
      <c r="B17" s="6">
        <f>(A17-$B$5)/$B$8</f>
        <v/>
      </c>
      <c r="C17" s="8">
        <f>B17*$B$10+$B$9</f>
        <v/>
      </c>
    </row>
    <row r="18">
      <c r="A18" s="5">
        <f>Occ_QM!G29</f>
        <v/>
      </c>
      <c r="B18" s="6">
        <f>(A18-$B$5)/$B$8</f>
        <v/>
      </c>
      <c r="C18" s="8">
        <f>B18*$B$10+$B$9</f>
        <v/>
      </c>
    </row>
    <row r="19">
      <c r="A19" s="5">
        <f>Occ_QM!G30</f>
        <v/>
      </c>
      <c r="B19" s="6">
        <f>(A19-$B$5)/$B$8</f>
        <v/>
      </c>
      <c r="C19" s="8">
        <f>B19*$B$10+$B$9</f>
        <v/>
      </c>
    </row>
    <row r="20">
      <c r="A20" s="5">
        <f>Occ_QM!G31</f>
        <v/>
      </c>
      <c r="B20" s="6">
        <f>(A20-$B$5)/$B$8</f>
        <v/>
      </c>
      <c r="C20" s="8">
        <f>B20*$B$10+$B$9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2" t="inlineStr">
        <is>
          <t>Quantile delta mapping (Section 4.4.3, Eqs. 4.9 to 4.15), empirical CDFs</t>
        </is>
      </c>
    </row>
    <row r="3">
      <c r="A3" s="3" t="inlineStr">
        <is>
          <t>x_m,fut</t>
        </is>
      </c>
      <c r="B3" s="3" t="inlineStr">
        <is>
          <t>tau_m,fut</t>
        </is>
      </c>
      <c r="C3" s="3" t="inlineStr">
        <is>
          <t>F_m,base^-1(tau)</t>
        </is>
      </c>
      <c r="D3" s="3" t="inlineStr">
        <is>
          <t>Delta_m,fut</t>
        </is>
      </c>
      <c r="E3" s="3" t="inlineStr">
        <is>
          <t>y_hat_o,fut</t>
        </is>
      </c>
      <c r="F3" s="3" t="inlineStr">
        <is>
          <t>y_hat_m,fut</t>
        </is>
      </c>
      <c r="G3" s="3" t="inlineStr">
        <is>
          <t>Delta (additive)</t>
        </is>
      </c>
      <c r="H3" s="3" t="inlineStr">
        <is>
          <t>y_hat_m,fut (additive)</t>
        </is>
      </c>
    </row>
    <row r="4">
      <c r="A4" s="5">
        <f>Occ_QM!G24</f>
        <v/>
      </c>
      <c r="B4" s="6">
        <f>COUNTIF($A$4:$A$11,"&lt;="&amp;A4)/(COUNT($A$4:$A$11)+1)</f>
        <v/>
      </c>
      <c r="C4" s="6">
        <f>INDEX(Occ_QM!$C$24:$C$31,MAX(1,MIN(Occ_QM!$B$3,ROUND(B4*(Occ_QM!$B$3+1),0))))</f>
        <v/>
      </c>
      <c r="D4" s="6">
        <f>A4/C4</f>
        <v/>
      </c>
      <c r="E4" s="6">
        <f>INDEX(Occ_QM!$B$24:$B$31,MAX(1,MIN(Occ_QM!$B$3,ROUND(B4*(Occ_QM!$B$3+1),0))))</f>
        <v/>
      </c>
      <c r="F4" s="8">
        <f>E4*D4</f>
        <v/>
      </c>
      <c r="G4" s="6">
        <f>A4-C4</f>
        <v/>
      </c>
      <c r="H4" s="6">
        <f>E4+G4</f>
        <v/>
      </c>
    </row>
    <row r="5">
      <c r="A5" s="5">
        <f>Occ_QM!G25</f>
        <v/>
      </c>
      <c r="B5" s="6">
        <f>COUNTIF($A$4:$A$11,"&lt;="&amp;A5)/(COUNT($A$4:$A$11)+1)</f>
        <v/>
      </c>
      <c r="C5" s="6">
        <f>INDEX(Occ_QM!$C$24:$C$31,MAX(1,MIN(Occ_QM!$B$3,ROUND(B5*(Occ_QM!$B$3+1),0))))</f>
        <v/>
      </c>
      <c r="D5" s="6">
        <f>A5/C5</f>
        <v/>
      </c>
      <c r="E5" s="6">
        <f>INDEX(Occ_QM!$B$24:$B$31,MAX(1,MIN(Occ_QM!$B$3,ROUND(B5*(Occ_QM!$B$3+1),0))))</f>
        <v/>
      </c>
      <c r="F5" s="8">
        <f>E5*D5</f>
        <v/>
      </c>
      <c r="G5" s="6">
        <f>A5-C5</f>
        <v/>
      </c>
      <c r="H5" s="6">
        <f>E5+G5</f>
        <v/>
      </c>
    </row>
    <row r="6">
      <c r="A6" s="5">
        <f>Occ_QM!G26</f>
        <v/>
      </c>
      <c r="B6" s="6">
        <f>COUNTIF($A$4:$A$11,"&lt;="&amp;A6)/(COUNT($A$4:$A$11)+1)</f>
        <v/>
      </c>
      <c r="C6" s="6">
        <f>INDEX(Occ_QM!$C$24:$C$31,MAX(1,MIN(Occ_QM!$B$3,ROUND(B6*(Occ_QM!$B$3+1),0))))</f>
        <v/>
      </c>
      <c r="D6" s="6">
        <f>A6/C6</f>
        <v/>
      </c>
      <c r="E6" s="6">
        <f>INDEX(Occ_QM!$B$24:$B$31,MAX(1,MIN(Occ_QM!$B$3,ROUND(B6*(Occ_QM!$B$3+1),0))))</f>
        <v/>
      </c>
      <c r="F6" s="8">
        <f>E6*D6</f>
        <v/>
      </c>
      <c r="G6" s="6">
        <f>A6-C6</f>
        <v/>
      </c>
      <c r="H6" s="6">
        <f>E6+G6</f>
        <v/>
      </c>
    </row>
    <row r="7">
      <c r="A7" s="5">
        <f>Occ_QM!G27</f>
        <v/>
      </c>
      <c r="B7" s="6">
        <f>COUNTIF($A$4:$A$11,"&lt;="&amp;A7)/(COUNT($A$4:$A$11)+1)</f>
        <v/>
      </c>
      <c r="C7" s="6">
        <f>INDEX(Occ_QM!$C$24:$C$31,MAX(1,MIN(Occ_QM!$B$3,ROUND(B7*(Occ_QM!$B$3+1),0))))</f>
        <v/>
      </c>
      <c r="D7" s="6">
        <f>A7/C7</f>
        <v/>
      </c>
      <c r="E7" s="6">
        <f>INDEX(Occ_QM!$B$24:$B$31,MAX(1,MIN(Occ_QM!$B$3,ROUND(B7*(Occ_QM!$B$3+1),0))))</f>
        <v/>
      </c>
      <c r="F7" s="8">
        <f>E7*D7</f>
        <v/>
      </c>
      <c r="G7" s="6">
        <f>A7-C7</f>
        <v/>
      </c>
      <c r="H7" s="6">
        <f>E7+G7</f>
        <v/>
      </c>
    </row>
    <row r="8">
      <c r="A8" s="5">
        <f>Occ_QM!G28</f>
        <v/>
      </c>
      <c r="B8" s="6">
        <f>COUNTIF($A$4:$A$11,"&lt;="&amp;A8)/(COUNT($A$4:$A$11)+1)</f>
        <v/>
      </c>
      <c r="C8" s="6">
        <f>INDEX(Occ_QM!$C$24:$C$31,MAX(1,MIN(Occ_QM!$B$3,ROUND(B8*(Occ_QM!$B$3+1),0))))</f>
        <v/>
      </c>
      <c r="D8" s="6">
        <f>A8/C8</f>
        <v/>
      </c>
      <c r="E8" s="6">
        <f>INDEX(Occ_QM!$B$24:$B$31,MAX(1,MIN(Occ_QM!$B$3,ROUND(B8*(Occ_QM!$B$3+1),0))))</f>
        <v/>
      </c>
      <c r="F8" s="8">
        <f>E8*D8</f>
        <v/>
      </c>
      <c r="G8" s="6">
        <f>A8-C8</f>
        <v/>
      </c>
      <c r="H8" s="6">
        <f>E8+G8</f>
        <v/>
      </c>
    </row>
    <row r="9">
      <c r="A9" s="5">
        <f>Occ_QM!G29</f>
        <v/>
      </c>
      <c r="B9" s="6">
        <f>COUNTIF($A$4:$A$11,"&lt;="&amp;A9)/(COUNT($A$4:$A$11)+1)</f>
        <v/>
      </c>
      <c r="C9" s="6">
        <f>INDEX(Occ_QM!$C$24:$C$31,MAX(1,MIN(Occ_QM!$B$3,ROUND(B9*(Occ_QM!$B$3+1),0))))</f>
        <v/>
      </c>
      <c r="D9" s="6">
        <f>A9/C9</f>
        <v/>
      </c>
      <c r="E9" s="6">
        <f>INDEX(Occ_QM!$B$24:$B$31,MAX(1,MIN(Occ_QM!$B$3,ROUND(B9*(Occ_QM!$B$3+1),0))))</f>
        <v/>
      </c>
      <c r="F9" s="8">
        <f>E9*D9</f>
        <v/>
      </c>
      <c r="G9" s="6">
        <f>A9-C9</f>
        <v/>
      </c>
      <c r="H9" s="6">
        <f>E9+G9</f>
        <v/>
      </c>
    </row>
    <row r="10">
      <c r="A10" s="5">
        <f>Occ_QM!G30</f>
        <v/>
      </c>
      <c r="B10" s="6">
        <f>COUNTIF($A$4:$A$11,"&lt;="&amp;A10)/(COUNT($A$4:$A$11)+1)</f>
        <v/>
      </c>
      <c r="C10" s="6">
        <f>INDEX(Occ_QM!$C$24:$C$31,MAX(1,MIN(Occ_QM!$B$3,ROUND(B10*(Occ_QM!$B$3+1),0))))</f>
        <v/>
      </c>
      <c r="D10" s="6">
        <f>A10/C10</f>
        <v/>
      </c>
      <c r="E10" s="6">
        <f>INDEX(Occ_QM!$B$24:$B$31,MAX(1,MIN(Occ_QM!$B$3,ROUND(B10*(Occ_QM!$B$3+1),0))))</f>
        <v/>
      </c>
      <c r="F10" s="8">
        <f>E10*D10</f>
        <v/>
      </c>
      <c r="G10" s="6">
        <f>A10-C10</f>
        <v/>
      </c>
      <c r="H10" s="6">
        <f>E10+G10</f>
        <v/>
      </c>
    </row>
    <row r="11">
      <c r="A11" s="5">
        <f>Occ_QM!G31</f>
        <v/>
      </c>
      <c r="B11" s="6">
        <f>COUNTIF($A$4:$A$11,"&lt;="&amp;A11)/(COUNT($A$4:$A$11)+1)</f>
        <v/>
      </c>
      <c r="C11" s="6">
        <f>INDEX(Occ_QM!$C$24:$C$31,MAX(1,MIN(Occ_QM!$B$3,ROUND(B11*(Occ_QM!$B$3+1),0))))</f>
        <v/>
      </c>
      <c r="D11" s="6">
        <f>A11/C11</f>
        <v/>
      </c>
      <c r="E11" s="6">
        <f>INDEX(Occ_QM!$B$24:$B$31,MAX(1,MIN(Occ_QM!$B$3,ROUND(B11*(Occ_QM!$B$3+1),0))))</f>
        <v/>
      </c>
      <c r="F11" s="8">
        <f>E11*D11</f>
        <v/>
      </c>
      <c r="G11" s="6">
        <f>A11-C11</f>
        <v/>
      </c>
      <c r="H11" s="6">
        <f>E11+G11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2026-10-23T07:20:38Z</dcterms:created>
  <dcterms:modified xmlns:dcterms="http://purl.org/dc/terms/" xmlns:xsi="http://www.w3.org/2001/XMLSchema-instance" xsi:type="dcterms:W3CDTF">2026-10-23T07:20:38Z</dcterms:modified>
</cp:coreProperties>
</file>