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mpleReg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MultiReg" sheetId="4" state="visible" r:id="rId4"/>
    <sheet xmlns:r="http://schemas.openxmlformats.org/officeDocument/2006/relationships" name="CalV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00000"/>
  </numFmts>
  <fonts count="4">
    <font>
      <name val="Calibri"/>
      <family val="2"/>
      <color theme="1"/>
      <sz val="11"/>
      <scheme val="minor"/>
    </font>
    <font>
      <b val="1"/>
    </font>
    <font>
      <color rgb="00000000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wrapText="1"/>
    </xf>
    <xf numFmtId="165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CE524</author>
  </authors>
  <commentList>
    <comment ref="H6" authorId="0" shapeId="0">
      <text>
        <t>Fitted value, y_hat_i = beta_0_hat + beta_1_hat x_i</t>
      </text>
    </comment>
  </commentList>
</comments>
</file>

<file path=xl/comments/comment2.xml><?xml version="1.0" encoding="utf-8"?>
<comments xmlns="http://schemas.openxmlformats.org/spreadsheetml/2006/main">
  <authors>
    <author>CE524</author>
  </authors>
  <commentList>
    <comment ref="B7" authorId="0" shapeId="0">
      <text>
        <t>Sample standard deviation, divisor n-1</t>
      </text>
    </comment>
    <comment ref="C7" authorId="0" shapeId="0">
      <text>
        <t>Sample standard deviation, divisor n-1</t>
      </text>
    </comment>
    <comment ref="D7" authorId="0" shapeId="0">
      <text>
        <t>Sample standard deviation, divisor n-1</t>
      </text>
    </comment>
    <comment ref="E7" authorId="0" shapeId="0">
      <text>
        <t>Sample standard deviation, divisor n-1</t>
      </text>
    </comment>
    <comment ref="N10" authorId="0" shapeId="0">
      <text>
        <t>Eq. 5.12: beta_hat = (X'X)^-1 X'y, with the first column of X equal to 1</t>
      </text>
    </comment>
    <comment ref="B14" authorId="0" shapeId="0">
      <text>
        <t>Eq. 5.14: x = (x_org - x_bar)/s_x</t>
      </text>
    </comment>
    <comment ref="C14" authorId="0" shapeId="0">
      <text>
        <t>Eq. 5.14: x = (x_org - x_bar)/s_x</t>
      </text>
    </comment>
    <comment ref="D14" authorId="0" shapeId="0">
      <text>
        <t>Eq. 5.14: x = (x_org - x_bar)/s_x</t>
      </text>
    </comment>
    <comment ref="F14" authorId="0" shapeId="0">
      <text>
        <t>Eq. 5.15: y_hat = beta_hat' x_i with x_i = [1, x_1, x_2, x_3]</t>
      </text>
    </comment>
    <comment ref="G14" authorId="0" shapeId="0">
      <text>
        <t>Back-standardisation: y_hat_org = y_hat s_y + y_bar</t>
      </text>
    </comment>
    <comment ref="W14" authorId="0" shapeId="0">
      <text>
        <t>Unit conversion: Pa to hPa</t>
      </text>
    </comment>
    <comment ref="X14" authorId="0" shapeId="0">
      <text>
        <t>Unit conversion: g/g to g/kg</t>
      </text>
    </comment>
    <comment ref="Y14" authorId="0" shapeId="0">
      <text>
        <t>Unit conversion: K to deg C</t>
      </text>
    </comment>
    <comment ref="Z14" authorId="0" shapeId="0">
      <text>
        <t>Standardise with the GCM base-period mean and std dev, also for the future (not the future's own)</t>
      </text>
    </comment>
    <comment ref="AA14" authorId="0" shapeId="0">
      <text>
        <t>Standardise with the GCM base-period mean and std dev, also for the future (not the future's own)</t>
      </text>
    </comment>
    <comment ref="AB14" authorId="0" shapeId="0">
      <text>
        <t>Standardise with the GCM base-period mean and std dev, also for the future (not the future's own)</t>
      </text>
    </comment>
    <comment ref="AD14" authorId="0" shapeId="0">
      <text>
        <t>Back-standardise with the observed y_bar and s_y</t>
      </text>
    </comment>
    <comment ref="L19" authorId="0" shapeId="0">
      <text>
        <t>Eq. 5.13 with the correct divisor n-S-1 (the book prints n-k+1)</t>
      </text>
    </comment>
    <comment ref="N28" authorId="0" shapeId="0">
      <text>
        <t>Standard error: s_eps times the square root of the j-th diagonal element of (X'X)^-1</t>
      </text>
    </comment>
  </commentList>
</comments>
</file>

<file path=xl/comments/comment3.xml><?xml version="1.0" encoding="utf-8"?>
<comments xmlns="http://schemas.openxmlformats.org/spreadsheetml/2006/main">
  <authors>
    <author>CE524</author>
  </authors>
  <commentList>
    <comment ref="B7" authorId="0" shapeId="0">
      <text>
        <t>Sample standard deviation, divisor n-1</t>
      </text>
    </comment>
    <comment ref="C7" authorId="0" shapeId="0">
      <text>
        <t>Sample standard deviation, divisor n-1</t>
      </text>
    </comment>
    <comment ref="D7" authorId="0" shapeId="0">
      <text>
        <t>Sample standard deviation, divisor n-1</t>
      </text>
    </comment>
    <comment ref="E7" authorId="0" shapeId="0">
      <text>
        <t>Sample standard deviation, divisor n-1</t>
      </text>
    </comment>
    <comment ref="N10" authorId="0" shapeId="0">
      <text>
        <t>Eq. 5.12: beta_hat = (X'X)^-1 X'y, with the first column of X equal to 1</t>
      </text>
    </comment>
    <comment ref="B14" authorId="0" shapeId="0">
      <text>
        <t>Eq. 5.14: x = (x_org - x_bar)/s_x</t>
      </text>
    </comment>
    <comment ref="C14" authorId="0" shapeId="0">
      <text>
        <t>Eq. 5.14: x = (x_org - x_bar)/s_x</t>
      </text>
    </comment>
    <comment ref="D14" authorId="0" shapeId="0">
      <text>
        <t>Eq. 5.14: x = (x_org - x_bar)/s_x</t>
      </text>
    </comment>
    <comment ref="F14" authorId="0" shapeId="0">
      <text>
        <t>Eq. 5.15: y_hat = beta_hat' x_i with x_i = [1, x_1, x_2, x_3]</t>
      </text>
    </comment>
    <comment ref="G14" authorId="0" shapeId="0">
      <text>
        <t>Back-standardisation: y_hat_org = y_hat s_y + y_bar</t>
      </text>
    </comment>
    <comment ref="L19" authorId="0" shapeId="0">
      <text>
        <t>Eq. 5.13 with the correct divisor n-S-1 (the book prints n-k+1)</t>
      </text>
    </comment>
    <comment ref="N28" authorId="0" shapeId="0">
      <text>
        <t>Standard error: s_eps times the square root of the j-th diagonal element of (X'X)^-1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Lecture 19 workbook: regression downscaling (CE524 Applied Hydroclimatology)</t>
        </is>
      </c>
    </row>
    <row r="2">
      <c r="A2" s="2" t="inlineStr">
        <is>
          <t>Notation follows Lee and Singh (2019), Statistical Downscaling for Hydrological and Environmental Applications, Chapter 5, Sections 5.1.1 and 5.1.2.</t>
        </is>
      </c>
    </row>
    <row r="3">
      <c r="A3" s="2" t="inlineStr">
        <is>
          <t>All numbers are synthetic. Blue = input (typed or pasted data), black = live formula. Cells with a red corner carry a note.</t>
        </is>
      </c>
    </row>
    <row r="4">
      <c r="A4" s="2" t="inlineStr"/>
    </row>
    <row r="5">
      <c r="A5" s="1" t="inlineStr">
        <is>
          <t>Sheets</t>
        </is>
      </c>
    </row>
    <row r="6">
      <c r="A6" s="2" t="inlineStr">
        <is>
          <t>SimpleReg : the hand-solved example of the lecture (6 points), laid out like the book's simple-regression table (Eqs 5.5 to 5.9).</t>
        </is>
      </c>
    </row>
    <row r="7">
      <c r="A7" s="2" t="inlineStr">
        <is>
          <t>Data      : 40 Januaries (1961-2000) of observed y and reanalysis predictors x_1, x_2, x_3 (A:E); GCM predictors 1951-2100 in GCM units (G:J).</t>
        </is>
      </c>
    </row>
    <row r="8">
      <c r="A8" s="2" t="inlineStr">
        <is>
          <t>MultiReg  : multiple regression on standardised data (Eqs 5.12, 5.14, 5.15), then the application to the GCM (fit on the left, GCM block from column V).</t>
        </is>
      </c>
    </row>
    <row r="9">
      <c r="A9" s="2" t="inlineStr">
        <is>
          <t>CalVal    : the same fit using 1961-1990 only, tested on 1991-2000.</t>
        </is>
      </c>
    </row>
    <row r="10">
      <c r="A10" s="2" t="inlineStr"/>
    </row>
    <row r="11">
      <c r="A11" s="2" t="inlineStr">
        <is>
          <t>Symbols: y = predictand (January maximum temperature, deg C); x_1 = sea-level pressure (hPa); x_2 = specific humidity (g/kg); x_3 = near-surface air temperature (deg C);</t>
        </is>
      </c>
    </row>
    <row r="12">
      <c r="A12" s="2" t="inlineStr">
        <is>
          <t>beta_0..beta_S = coefficients; eps_i = residual; n = sample size; S = number of predictors; SSE = sum of squared residuals; T = t statistic.</t>
        </is>
      </c>
    </row>
    <row r="13">
      <c r="A13" s="2" t="inlineStr">
        <is>
          <t>Where the book differs: Eq. 5.13 divides SSE by n-S-1 here (the printed divisor is wrong).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zoomScale="90" workbookViewId="0">
      <selection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8" customWidth="1" min="13" max="13"/>
    <col width="70" customWidth="1" min="15" max="15"/>
  </cols>
  <sheetData>
    <row r="1">
      <c r="A1" s="1" t="inlineStr">
        <is>
          <t>Simple linear regression by hand: y = beta_0 + beta_1 x + eps (Eqs 5.1 to 5.9)</t>
        </is>
      </c>
    </row>
    <row r="2">
      <c r="A2" s="2" t="inlineStr">
        <is>
          <t>Predictor x = specific humidity (g/kg); predictand y = January Tmax (deg C). Six synthetic years.</t>
        </is>
      </c>
    </row>
    <row r="4">
      <c r="M4" s="2" t="inlineStr">
        <is>
          <t>n</t>
        </is>
      </c>
      <c r="N4" s="2">
        <f>COUNT(B6:B11)</f>
        <v/>
      </c>
      <c r="O4" s="2" t="inlineStr">
        <is>
          <t>Sample size</t>
        </is>
      </c>
    </row>
    <row r="5" ht="45" customHeight="1">
      <c r="A5" s="3" t="inlineStr">
        <is>
          <t>i</t>
        </is>
      </c>
      <c r="B5" s="3" t="inlineStr">
        <is>
          <t>x_i</t>
        </is>
      </c>
      <c r="C5" s="3" t="inlineStr">
        <is>
          <t>y_i</t>
        </is>
      </c>
      <c r="D5" s="3" t="inlineStr">
        <is>
          <t>x_i - x_bar</t>
        </is>
      </c>
      <c r="E5" s="3" t="inlineStr">
        <is>
          <t>y_i - y_bar</t>
        </is>
      </c>
      <c r="F5" s="3" t="inlineStr">
        <is>
          <t>(x_i - x_bar)^2</t>
        </is>
      </c>
      <c r="G5" s="3" t="inlineStr">
        <is>
          <t>(x_i - x_bar)(y_i - y_bar)</t>
        </is>
      </c>
      <c r="H5" s="3" t="inlineStr">
        <is>
          <t>y_hat_i</t>
        </is>
      </c>
      <c r="I5" s="3" t="inlineStr">
        <is>
          <t>eps_i = y_i - y_hat_i</t>
        </is>
      </c>
      <c r="J5" s="3" t="inlineStr">
        <is>
          <t>eps_i^2</t>
        </is>
      </c>
      <c r="K5" s="3" t="inlineStr">
        <is>
          <t>(y_i - y_bar)^2</t>
        </is>
      </c>
      <c r="M5" s="2" t="inlineStr">
        <is>
          <t>x_bar</t>
        </is>
      </c>
      <c r="N5" s="4">
        <f>AVERAGE(B6:B11)</f>
        <v/>
      </c>
      <c r="O5" s="2" t="inlineStr">
        <is>
          <t>Mean of the predictor</t>
        </is>
      </c>
    </row>
    <row r="6">
      <c r="A6" s="2" t="n">
        <v>1</v>
      </c>
      <c r="B6" s="5" t="n">
        <v>1.5</v>
      </c>
      <c r="C6" s="5" t="n">
        <v>-8</v>
      </c>
      <c r="D6" s="6">
        <f>B6-$N$5</f>
        <v/>
      </c>
      <c r="E6" s="6">
        <f>C6-$N$6</f>
        <v/>
      </c>
      <c r="F6" s="4">
        <f>D6^2</f>
        <v/>
      </c>
      <c r="G6" s="4">
        <f>D6*E6</f>
        <v/>
      </c>
      <c r="H6" s="4">
        <f>$N$10+$N$9*B6</f>
        <v/>
      </c>
      <c r="I6" s="4">
        <f>C6-H6</f>
        <v/>
      </c>
      <c r="J6" s="4">
        <f>I6^2</f>
        <v/>
      </c>
      <c r="K6" s="4">
        <f>E6^2</f>
        <v/>
      </c>
      <c r="M6" s="2" t="inlineStr">
        <is>
          <t>y_bar</t>
        </is>
      </c>
      <c r="N6" s="4">
        <f>AVERAGE(C6:C11)</f>
        <v/>
      </c>
      <c r="O6" s="2" t="inlineStr">
        <is>
          <t>Mean of the predictand</t>
        </is>
      </c>
    </row>
    <row r="7">
      <c r="A7" s="2" t="n">
        <v>2</v>
      </c>
      <c r="B7" s="5" t="n">
        <v>1.8</v>
      </c>
      <c r="C7" s="5" t="n">
        <v>-8.6</v>
      </c>
      <c r="D7" s="6">
        <f>B7-$N$5</f>
        <v/>
      </c>
      <c r="E7" s="6">
        <f>C7-$N$6</f>
        <v/>
      </c>
      <c r="F7" s="4">
        <f>D7^2</f>
        <v/>
      </c>
      <c r="G7" s="4">
        <f>D7*E7</f>
        <v/>
      </c>
      <c r="H7" s="4">
        <f>$N$10+$N$9*B7</f>
        <v/>
      </c>
      <c r="I7" s="4">
        <f>C7-H7</f>
        <v/>
      </c>
      <c r="J7" s="4">
        <f>I7^2</f>
        <v/>
      </c>
      <c r="K7" s="4">
        <f>E7^2</f>
        <v/>
      </c>
      <c r="M7" s="2" t="inlineStr">
        <is>
          <t>S_xx = sum (x_i - x_bar)^2</t>
        </is>
      </c>
      <c r="N7" s="4">
        <f>F12</f>
        <v/>
      </c>
      <c r="O7" s="2" t="inlineStr">
        <is>
          <t>Denominator of Eq. 5.5</t>
        </is>
      </c>
    </row>
    <row r="8">
      <c r="A8" s="2" t="n">
        <v>3</v>
      </c>
      <c r="B8" s="5" t="n">
        <v>2.1</v>
      </c>
      <c r="C8" s="5" t="n">
        <v>-4.4</v>
      </c>
      <c r="D8" s="6">
        <f>B8-$N$5</f>
        <v/>
      </c>
      <c r="E8" s="6">
        <f>C8-$N$6</f>
        <v/>
      </c>
      <c r="F8" s="4">
        <f>D8^2</f>
        <v/>
      </c>
      <c r="G8" s="4">
        <f>D8*E8</f>
        <v/>
      </c>
      <c r="H8" s="4">
        <f>$N$10+$N$9*B8</f>
        <v/>
      </c>
      <c r="I8" s="4">
        <f>C8-H8</f>
        <v/>
      </c>
      <c r="J8" s="4">
        <f>I8^2</f>
        <v/>
      </c>
      <c r="K8" s="4">
        <f>E8^2</f>
        <v/>
      </c>
      <c r="M8" s="2" t="inlineStr">
        <is>
          <t>S_xy = sum (x_i - x_bar)(y_i - y_bar)</t>
        </is>
      </c>
      <c r="N8" s="4">
        <f>G12</f>
        <v/>
      </c>
      <c r="O8" s="2" t="inlineStr">
        <is>
          <t>Numerator of Eq. 5.5</t>
        </is>
      </c>
    </row>
    <row r="9">
      <c r="A9" s="2" t="n">
        <v>4</v>
      </c>
      <c r="B9" s="5" t="n">
        <v>2.4</v>
      </c>
      <c r="C9" s="5" t="n">
        <v>-6</v>
      </c>
      <c r="D9" s="6">
        <f>B9-$N$5</f>
        <v/>
      </c>
      <c r="E9" s="6">
        <f>C9-$N$6</f>
        <v/>
      </c>
      <c r="F9" s="4">
        <f>D9^2</f>
        <v/>
      </c>
      <c r="G9" s="4">
        <f>D9*E9</f>
        <v/>
      </c>
      <c r="H9" s="4">
        <f>$N$10+$N$9*B9</f>
        <v/>
      </c>
      <c r="I9" s="4">
        <f>C9-H9</f>
        <v/>
      </c>
      <c r="J9" s="4">
        <f>I9^2</f>
        <v/>
      </c>
      <c r="K9" s="4">
        <f>E9^2</f>
        <v/>
      </c>
      <c r="M9" s="2" t="inlineStr">
        <is>
          <t>beta_1_hat</t>
        </is>
      </c>
      <c r="N9" s="4">
        <f>N8/N7</f>
        <v/>
      </c>
      <c r="O9" s="2" t="inlineStr">
        <is>
          <t>Eq. 5.5: slope</t>
        </is>
      </c>
    </row>
    <row r="10">
      <c r="A10" s="2" t="n">
        <v>5</v>
      </c>
      <c r="B10" s="5" t="n">
        <v>2.7</v>
      </c>
      <c r="C10" s="5" t="n">
        <v>-2</v>
      </c>
      <c r="D10" s="6">
        <f>B10-$N$5</f>
        <v/>
      </c>
      <c r="E10" s="6">
        <f>C10-$N$6</f>
        <v/>
      </c>
      <c r="F10" s="4">
        <f>D10^2</f>
        <v/>
      </c>
      <c r="G10" s="4">
        <f>D10*E10</f>
        <v/>
      </c>
      <c r="H10" s="4">
        <f>$N$10+$N$9*B10</f>
        <v/>
      </c>
      <c r="I10" s="4">
        <f>C10-H10</f>
        <v/>
      </c>
      <c r="J10" s="4">
        <f>I10^2</f>
        <v/>
      </c>
      <c r="K10" s="4">
        <f>E10^2</f>
        <v/>
      </c>
      <c r="M10" s="2" t="inlineStr">
        <is>
          <t>beta_0_hat</t>
        </is>
      </c>
      <c r="N10" s="4">
        <f>N6-N9*N5</f>
        <v/>
      </c>
      <c r="O10" s="2" t="inlineStr">
        <is>
          <t>Eq. 5.6: intercept = y_bar - beta_1_hat x_bar</t>
        </is>
      </c>
    </row>
    <row r="11">
      <c r="A11" s="2" t="n">
        <v>6</v>
      </c>
      <c r="B11" s="5" t="n">
        <v>3</v>
      </c>
      <c r="C11" s="5" t="n">
        <v>-4</v>
      </c>
      <c r="D11" s="6">
        <f>B11-$N$5</f>
        <v/>
      </c>
      <c r="E11" s="6">
        <f>C11-$N$6</f>
        <v/>
      </c>
      <c r="F11" s="4">
        <f>D11^2</f>
        <v/>
      </c>
      <c r="G11" s="4">
        <f>D11*E11</f>
        <v/>
      </c>
      <c r="H11" s="4">
        <f>$N$10+$N$9*B11</f>
        <v/>
      </c>
      <c r="I11" s="4">
        <f>C11-H11</f>
        <v/>
      </c>
      <c r="J11" s="4">
        <f>I11^2</f>
        <v/>
      </c>
      <c r="K11" s="4">
        <f>E11^2</f>
        <v/>
      </c>
      <c r="M11" s="2" t="inlineStr">
        <is>
          <t>SSE</t>
        </is>
      </c>
      <c r="N11" s="4">
        <f>J12</f>
        <v/>
      </c>
      <c r="O11" s="2" t="inlineStr">
        <is>
          <t>Eq. 5.2 at the minimum: sum of eps_i^2</t>
        </is>
      </c>
    </row>
    <row r="12">
      <c r="A12" s="1" t="inlineStr">
        <is>
          <t>Sum</t>
        </is>
      </c>
      <c r="B12" s="4">
        <f>SUM(B6:B11)</f>
        <v/>
      </c>
      <c r="C12" s="4">
        <f>SUM(C6:C11)</f>
        <v/>
      </c>
      <c r="D12" s="4">
        <f>SUM(D6:D11)</f>
        <v/>
      </c>
      <c r="E12" s="4">
        <f>SUM(E6:E11)</f>
        <v/>
      </c>
      <c r="F12" s="4">
        <f>SUM(F6:F11)</f>
        <v/>
      </c>
      <c r="G12" s="4">
        <f>SUM(G6:G11)</f>
        <v/>
      </c>
      <c r="H12" s="4">
        <f>SUM(H6:H11)</f>
        <v/>
      </c>
      <c r="I12" s="4">
        <f>SUM(I6:I11)</f>
        <v/>
      </c>
      <c r="J12" s="4">
        <f>SUM(J6:J11)</f>
        <v/>
      </c>
      <c r="K12" s="4">
        <f>SUM(K6:K11)</f>
        <v/>
      </c>
      <c r="M12" s="2" t="inlineStr">
        <is>
          <t>s_eps^2</t>
        </is>
      </c>
      <c r="N12" s="4">
        <f>N11/(N4-2)</f>
        <v/>
      </c>
      <c r="O12" s="2" t="inlineStr">
        <is>
          <t>Eq. 5.8: SSE/(n-2); two parameters were estimated</t>
        </is>
      </c>
    </row>
    <row r="13">
      <c r="M13" s="2" t="inlineStr">
        <is>
          <t>s_beta_1_hat^2</t>
        </is>
      </c>
      <c r="N13" s="4">
        <f>N12/N7</f>
        <v/>
      </c>
      <c r="O13" s="2" t="inlineStr">
        <is>
          <t>Eq. 5.7: s_eps^2 / S_xx</t>
        </is>
      </c>
    </row>
    <row r="14">
      <c r="M14" s="2" t="inlineStr">
        <is>
          <t>s_beta_1_hat</t>
        </is>
      </c>
      <c r="N14" s="4">
        <f>SQRT(N13)</f>
        <v/>
      </c>
      <c r="O14" s="2" t="inlineStr">
        <is>
          <t>Standard error of the slope</t>
        </is>
      </c>
    </row>
    <row r="15">
      <c r="M15" s="2" t="inlineStr">
        <is>
          <t>T</t>
        </is>
      </c>
      <c r="N15" s="4">
        <f>N9/N14</f>
        <v/>
      </c>
      <c r="O15" s="2" t="inlineStr">
        <is>
          <t>Eq. 5.9 with H0: beta_1 = 0</t>
        </is>
      </c>
    </row>
    <row r="16">
      <c r="M16" s="2" t="inlineStr">
        <is>
          <t>alpha</t>
        </is>
      </c>
      <c r="N16" s="5" t="n">
        <v>0.05</v>
      </c>
      <c r="O16" s="2" t="inlineStr">
        <is>
          <t>Significance level (input)</t>
        </is>
      </c>
    </row>
    <row r="17">
      <c r="M17" s="2" t="inlineStr">
        <is>
          <t>t_(alpha/2, n-2)</t>
        </is>
      </c>
      <c r="N17" s="4">
        <f>TINV(N16,N4-2)</f>
        <v/>
      </c>
      <c r="O17" s="2" t="inlineStr">
        <is>
          <t>Two-sided critical value of t with n-2 degrees of freedom (not 1.96)</t>
        </is>
      </c>
    </row>
    <row r="18">
      <c r="M18" s="2" t="inlineStr">
        <is>
          <t>p-value</t>
        </is>
      </c>
      <c r="N18" s="4">
        <f>TDIST(ABS(N15),N4-2,2)</f>
        <v/>
      </c>
      <c r="O18" s="2" t="inlineStr">
        <is>
          <t>p = 2[1 - Pr(T &lt;= |T|)]</t>
        </is>
      </c>
    </row>
    <row r="19">
      <c r="M19" s="2" t="inlineStr">
        <is>
          <t>Decision</t>
        </is>
      </c>
      <c r="N19" s="2">
        <f>IF(ABS(N15)&gt;=N17,"reject H0","do not reject H0")</f>
        <v/>
      </c>
      <c r="O19" s="2" t="inlineStr">
        <is>
          <t>Reject H0 when |T| &gt;= critical value</t>
        </is>
      </c>
    </row>
    <row r="20">
      <c r="M20" s="2" t="inlineStr">
        <is>
          <t>S_yy = sum (y_i - y_bar)^2</t>
        </is>
      </c>
      <c r="N20" s="4">
        <f>K12</f>
        <v/>
      </c>
      <c r="O20" s="2" t="inlineStr">
        <is>
          <t>Total sum of squares</t>
        </is>
      </c>
    </row>
    <row r="21">
      <c r="M21" s="2" t="inlineStr">
        <is>
          <t>R^2</t>
        </is>
      </c>
      <c r="N21" s="4">
        <f>1-N11/N20</f>
        <v/>
      </c>
      <c r="O21" s="2" t="inlineStr">
        <is>
          <t>1 - SSE/S_yy</t>
        </is>
      </c>
    </row>
    <row r="22">
      <c r="M22" s="2" t="inlineStr">
        <is>
          <t>x_0 (new predictor value)</t>
        </is>
      </c>
      <c r="N22" s="5" t="n">
        <v>2</v>
      </c>
      <c r="O22" s="2" t="inlineStr">
        <is>
          <t>Input: for example a GCM value</t>
        </is>
      </c>
    </row>
    <row r="23">
      <c r="M23" s="2" t="inlineStr">
        <is>
          <t>y_hat_0</t>
        </is>
      </c>
      <c r="N23" s="4">
        <f>N10+N9*N22</f>
        <v/>
      </c>
      <c r="O23" s="2" t="inlineStr">
        <is>
          <t>Prediction at x_0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"/>
  <sheetViews>
    <sheetView zoomScale="9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Data (synthetic). Reanalysis + station, January, 1961-2000 (A:E); GCM predictors, 1951-2100, in GCM units (G:J)</t>
        </is>
      </c>
    </row>
    <row r="3" ht="32" customHeight="1">
      <c r="A3" s="3" t="inlineStr">
        <is>
          <t>year</t>
        </is>
      </c>
      <c r="B3" s="3" t="inlineStr">
        <is>
          <t>x_1: SLP (hPa)</t>
        </is>
      </c>
      <c r="C3" s="3" t="inlineStr">
        <is>
          <t>x_2: q (g/kg)</t>
        </is>
      </c>
      <c r="D3" s="3" t="inlineStr">
        <is>
          <t>x_3: T_air (deg C)</t>
        </is>
      </c>
      <c r="E3" s="3" t="inlineStr">
        <is>
          <t>y: Tmax (deg C)</t>
        </is>
      </c>
      <c r="G3" s="3" t="inlineStr">
        <is>
          <t>year</t>
        </is>
      </c>
      <c r="H3" s="3" t="inlineStr">
        <is>
          <t>SLP (Pa)</t>
        </is>
      </c>
      <c r="I3" s="3" t="inlineStr">
        <is>
          <t>q (g/g)</t>
        </is>
      </c>
      <c r="J3" s="3" t="inlineStr">
        <is>
          <t>T_air (K)</t>
        </is>
      </c>
    </row>
    <row r="4">
      <c r="A4" s="5" t="n">
        <v>1961</v>
      </c>
      <c r="B4" s="5" t="n">
        <v>1019.35</v>
      </c>
      <c r="C4" s="5" t="n">
        <v>1.781</v>
      </c>
      <c r="D4" s="5" t="n">
        <v>-7.38</v>
      </c>
      <c r="E4" s="5" t="n">
        <v>-3.47</v>
      </c>
      <c r="G4" s="5" t="n">
        <v>1951</v>
      </c>
      <c r="H4" s="5" t="n">
        <v>101437.2</v>
      </c>
      <c r="I4" s="5" t="n">
        <v>0.0023</v>
      </c>
      <c r="J4" s="5" t="n">
        <v>268.857</v>
      </c>
    </row>
    <row r="5">
      <c r="A5" s="5" t="n">
        <v>1962</v>
      </c>
      <c r="B5" s="5" t="n">
        <v>1015.6</v>
      </c>
      <c r="C5" s="5" t="n">
        <v>1.704</v>
      </c>
      <c r="D5" s="5" t="n">
        <v>-11.12</v>
      </c>
      <c r="E5" s="5" t="n">
        <v>-5.76</v>
      </c>
      <c r="G5" s="5" t="n">
        <v>1952</v>
      </c>
      <c r="H5" s="5" t="n">
        <v>101218</v>
      </c>
      <c r="I5" s="5" t="n">
        <v>0.00217</v>
      </c>
      <c r="J5" s="5" t="n">
        <v>266.821</v>
      </c>
    </row>
    <row r="6">
      <c r="A6" s="5" t="n">
        <v>1963</v>
      </c>
      <c r="B6" s="5" t="n">
        <v>1014.29</v>
      </c>
      <c r="C6" s="5" t="n">
        <v>2.346</v>
      </c>
      <c r="D6" s="5" t="n">
        <v>-11.77</v>
      </c>
      <c r="E6" s="5" t="n">
        <v>-4.36</v>
      </c>
      <c r="G6" s="5" t="n">
        <v>1953</v>
      </c>
      <c r="H6" s="5" t="n">
        <v>101879.9</v>
      </c>
      <c r="I6" s="5" t="n">
        <v>0.00094</v>
      </c>
      <c r="J6" s="5" t="n">
        <v>257.399</v>
      </c>
    </row>
    <row r="7">
      <c r="A7" s="5" t="n">
        <v>1964</v>
      </c>
      <c r="B7" s="5" t="n">
        <v>1012.89</v>
      </c>
      <c r="C7" s="5" t="n">
        <v>1.377</v>
      </c>
      <c r="D7" s="5" t="n">
        <v>-10.26</v>
      </c>
      <c r="E7" s="5" t="n">
        <v>-3.91</v>
      </c>
      <c r="G7" s="5" t="n">
        <v>1954</v>
      </c>
      <c r="H7" s="5" t="n">
        <v>101640.7</v>
      </c>
      <c r="I7" s="5" t="n">
        <v>0.00182</v>
      </c>
      <c r="J7" s="5" t="n">
        <v>266.592</v>
      </c>
    </row>
    <row r="8">
      <c r="A8" s="5" t="n">
        <v>1965</v>
      </c>
      <c r="B8" s="5" t="n">
        <v>1018.27</v>
      </c>
      <c r="C8" s="5" t="n">
        <v>1.989</v>
      </c>
      <c r="D8" s="5" t="n">
        <v>-15.31</v>
      </c>
      <c r="E8" s="5" t="n">
        <v>-7.24</v>
      </c>
      <c r="G8" s="5" t="n">
        <v>1955</v>
      </c>
      <c r="H8" s="5" t="n">
        <v>101875.6</v>
      </c>
      <c r="I8" s="5" t="n">
        <v>0.00141</v>
      </c>
      <c r="J8" s="5" t="n">
        <v>263.801</v>
      </c>
    </row>
    <row r="9">
      <c r="A9" s="5" t="n">
        <v>1966</v>
      </c>
      <c r="B9" s="5" t="n">
        <v>1015.72</v>
      </c>
      <c r="C9" s="5" t="n">
        <v>1.964</v>
      </c>
      <c r="D9" s="5" t="n">
        <v>-7.8</v>
      </c>
      <c r="E9" s="5" t="n">
        <v>-4.99</v>
      </c>
      <c r="G9" s="5" t="n">
        <v>1956</v>
      </c>
      <c r="H9" s="5" t="n">
        <v>101988.5</v>
      </c>
      <c r="I9" s="5" t="n">
        <v>0.00227</v>
      </c>
      <c r="J9" s="5" t="n">
        <v>265.829</v>
      </c>
    </row>
    <row r="10">
      <c r="A10" s="5" t="n">
        <v>1967</v>
      </c>
      <c r="B10" s="5" t="n">
        <v>1013.03</v>
      </c>
      <c r="C10" s="5" t="n">
        <v>1.5</v>
      </c>
      <c r="D10" s="5" t="n">
        <v>-11.59</v>
      </c>
      <c r="E10" s="5" t="n">
        <v>-9.75</v>
      </c>
      <c r="G10" s="5" t="n">
        <v>1957</v>
      </c>
      <c r="H10" s="5" t="n">
        <v>101150.5</v>
      </c>
      <c r="I10" s="5" t="n">
        <v>0.00162</v>
      </c>
      <c r="J10" s="5" t="n">
        <v>265.31</v>
      </c>
    </row>
    <row r="11">
      <c r="A11" s="5" t="n">
        <v>1968</v>
      </c>
      <c r="B11" s="5" t="n">
        <v>1015.14</v>
      </c>
      <c r="C11" s="5" t="n">
        <v>2.056</v>
      </c>
      <c r="D11" s="5" t="n">
        <v>-12.54</v>
      </c>
      <c r="E11" s="5" t="n">
        <v>-8.130000000000001</v>
      </c>
      <c r="G11" s="5" t="n">
        <v>1958</v>
      </c>
      <c r="H11" s="5" t="n">
        <v>101696.1</v>
      </c>
      <c r="I11" s="5" t="n">
        <v>0.00152</v>
      </c>
      <c r="J11" s="5" t="n">
        <v>264.52</v>
      </c>
    </row>
    <row r="12">
      <c r="A12" s="5" t="n">
        <v>1969</v>
      </c>
      <c r="B12" s="5" t="n">
        <v>1018.24</v>
      </c>
      <c r="C12" s="5" t="n">
        <v>1.488</v>
      </c>
      <c r="D12" s="5" t="n">
        <v>-9.720000000000001</v>
      </c>
      <c r="E12" s="5" t="n">
        <v>-6.24</v>
      </c>
      <c r="G12" s="5" t="n">
        <v>1959</v>
      </c>
      <c r="H12" s="5" t="n">
        <v>101305.7</v>
      </c>
      <c r="I12" s="5" t="n">
        <v>0.00189</v>
      </c>
      <c r="J12" s="5" t="n">
        <v>264.842</v>
      </c>
    </row>
    <row r="13">
      <c r="A13" s="5" t="n">
        <v>1970</v>
      </c>
      <c r="B13" s="5" t="n">
        <v>1011.9</v>
      </c>
      <c r="C13" s="5" t="n">
        <v>1.767</v>
      </c>
      <c r="D13" s="5" t="n">
        <v>-12.19</v>
      </c>
      <c r="E13" s="5" t="n">
        <v>-3.35</v>
      </c>
      <c r="G13" s="5" t="n">
        <v>1960</v>
      </c>
      <c r="H13" s="5" t="n">
        <v>101206.4</v>
      </c>
      <c r="I13" s="5" t="n">
        <v>0.00187</v>
      </c>
      <c r="J13" s="5" t="n">
        <v>264.918</v>
      </c>
    </row>
    <row r="14">
      <c r="A14" s="5" t="n">
        <v>1971</v>
      </c>
      <c r="B14" s="5" t="n">
        <v>1020.81</v>
      </c>
      <c r="C14" s="5" t="n">
        <v>2.583</v>
      </c>
      <c r="D14" s="5" t="n">
        <v>-8.99</v>
      </c>
      <c r="E14" s="5" t="n">
        <v>-1.34</v>
      </c>
      <c r="G14" s="5" t="n">
        <v>1961</v>
      </c>
      <c r="H14" s="5" t="n">
        <v>101857.5</v>
      </c>
      <c r="I14" s="5" t="n">
        <v>0.00201</v>
      </c>
      <c r="J14" s="5" t="n">
        <v>264.846</v>
      </c>
    </row>
    <row r="15">
      <c r="A15" s="5" t="n">
        <v>1972</v>
      </c>
      <c r="B15" s="5" t="n">
        <v>1019.92</v>
      </c>
      <c r="C15" s="5" t="n">
        <v>2.299</v>
      </c>
      <c r="D15" s="5" t="n">
        <v>-6.82</v>
      </c>
      <c r="E15" s="5" t="n">
        <v>-4.79</v>
      </c>
      <c r="G15" s="5" t="n">
        <v>1962</v>
      </c>
      <c r="H15" s="5" t="n">
        <v>101703.1</v>
      </c>
      <c r="I15" s="5" t="n">
        <v>0.00197</v>
      </c>
      <c r="J15" s="5" t="n">
        <v>265.576</v>
      </c>
    </row>
    <row r="16">
      <c r="A16" s="5" t="n">
        <v>1973</v>
      </c>
      <c r="B16" s="5" t="n">
        <v>1011.89</v>
      </c>
      <c r="C16" s="5" t="n">
        <v>2.005</v>
      </c>
      <c r="D16" s="5" t="n">
        <v>-12.42</v>
      </c>
      <c r="E16" s="5" t="n">
        <v>-8.69</v>
      </c>
      <c r="G16" s="5" t="n">
        <v>1963</v>
      </c>
      <c r="H16" s="5" t="n">
        <v>101979.6</v>
      </c>
      <c r="I16" s="5" t="n">
        <v>0.00168</v>
      </c>
      <c r="J16" s="5" t="n">
        <v>265.459</v>
      </c>
    </row>
    <row r="17">
      <c r="A17" s="5" t="n">
        <v>1974</v>
      </c>
      <c r="B17" s="5" t="n">
        <v>1010.69</v>
      </c>
      <c r="C17" s="5" t="n">
        <v>1.918</v>
      </c>
      <c r="D17" s="5" t="n">
        <v>-14.78</v>
      </c>
      <c r="E17" s="5" t="n">
        <v>-8.67</v>
      </c>
      <c r="G17" s="5" t="n">
        <v>1964</v>
      </c>
      <c r="H17" s="5" t="n">
        <v>101926.4</v>
      </c>
      <c r="I17" s="5" t="n">
        <v>0.00223</v>
      </c>
      <c r="J17" s="5" t="n">
        <v>271.242</v>
      </c>
    </row>
    <row r="18">
      <c r="A18" s="5" t="n">
        <v>1975</v>
      </c>
      <c r="B18" s="5" t="n">
        <v>1017.67</v>
      </c>
      <c r="C18" s="5" t="n">
        <v>1.638</v>
      </c>
      <c r="D18" s="5" t="n">
        <v>-11.11</v>
      </c>
      <c r="E18" s="5" t="n">
        <v>-4.26</v>
      </c>
      <c r="G18" s="5" t="n">
        <v>1965</v>
      </c>
      <c r="H18" s="5" t="n">
        <v>101406.9</v>
      </c>
      <c r="I18" s="5" t="n">
        <v>0.00189</v>
      </c>
      <c r="J18" s="5" t="n">
        <v>265.336</v>
      </c>
    </row>
    <row r="19">
      <c r="A19" s="5" t="n">
        <v>1976</v>
      </c>
      <c r="B19" s="5" t="n">
        <v>1012.64</v>
      </c>
      <c r="C19" s="5" t="n">
        <v>2.644</v>
      </c>
      <c r="D19" s="5" t="n">
        <v>-8.880000000000001</v>
      </c>
      <c r="E19" s="5" t="n">
        <v>-3.16</v>
      </c>
      <c r="G19" s="5" t="n">
        <v>1966</v>
      </c>
      <c r="H19" s="5" t="n">
        <v>101226.3</v>
      </c>
      <c r="I19" s="5" t="n">
        <v>0.0016</v>
      </c>
      <c r="J19" s="5" t="n">
        <v>263.697</v>
      </c>
    </row>
    <row r="20">
      <c r="A20" s="5" t="n">
        <v>1977</v>
      </c>
      <c r="B20" s="5" t="n">
        <v>1018.72</v>
      </c>
      <c r="C20" s="5" t="n">
        <v>1.755</v>
      </c>
      <c r="D20" s="5" t="n">
        <v>-9.59</v>
      </c>
      <c r="E20" s="5" t="n">
        <v>-3.37</v>
      </c>
      <c r="G20" s="5" t="n">
        <v>1967</v>
      </c>
      <c r="H20" s="5" t="n">
        <v>101287.8</v>
      </c>
      <c r="I20" s="5" t="n">
        <v>0.00149</v>
      </c>
      <c r="J20" s="5" t="n">
        <v>262.211</v>
      </c>
    </row>
    <row r="21">
      <c r="A21" s="5" t="n">
        <v>1978</v>
      </c>
      <c r="B21" s="5" t="n">
        <v>1014.86</v>
      </c>
      <c r="C21" s="5" t="n">
        <v>1.865</v>
      </c>
      <c r="D21" s="5" t="n">
        <v>-9.890000000000001</v>
      </c>
      <c r="E21" s="5" t="n">
        <v>-6.67</v>
      </c>
      <c r="G21" s="5" t="n">
        <v>1968</v>
      </c>
      <c r="H21" s="5" t="n">
        <v>101758.8</v>
      </c>
      <c r="I21" s="5" t="n">
        <v>0.00117</v>
      </c>
      <c r="J21" s="5" t="n">
        <v>258.618</v>
      </c>
    </row>
    <row r="22">
      <c r="A22" s="5" t="n">
        <v>1979</v>
      </c>
      <c r="B22" s="5" t="n">
        <v>1011.35</v>
      </c>
      <c r="C22" s="5" t="n">
        <v>1.819</v>
      </c>
      <c r="D22" s="5" t="n">
        <v>-11.56</v>
      </c>
      <c r="E22" s="5" t="n">
        <v>-5.61</v>
      </c>
      <c r="G22" s="5" t="n">
        <v>1969</v>
      </c>
      <c r="H22" s="5" t="n">
        <v>101641.6</v>
      </c>
      <c r="I22" s="5" t="n">
        <v>0.00168</v>
      </c>
      <c r="J22" s="5" t="n">
        <v>262.285</v>
      </c>
    </row>
    <row r="23">
      <c r="A23" s="5" t="n">
        <v>1980</v>
      </c>
      <c r="B23" s="5" t="n">
        <v>1019.09</v>
      </c>
      <c r="C23" s="5" t="n">
        <v>1.767</v>
      </c>
      <c r="D23" s="5" t="n">
        <v>-10.28</v>
      </c>
      <c r="E23" s="5" t="n">
        <v>-7.42</v>
      </c>
      <c r="G23" s="5" t="n">
        <v>1970</v>
      </c>
      <c r="H23" s="5" t="n">
        <v>101697.1</v>
      </c>
      <c r="I23" s="5" t="n">
        <v>0.00107</v>
      </c>
      <c r="J23" s="5" t="n">
        <v>259.585</v>
      </c>
    </row>
    <row r="24">
      <c r="A24" s="5" t="n">
        <v>1981</v>
      </c>
      <c r="B24" s="5" t="n">
        <v>1013.56</v>
      </c>
      <c r="C24" s="5" t="n">
        <v>2.17</v>
      </c>
      <c r="D24" s="5" t="n">
        <v>-12.65</v>
      </c>
      <c r="E24" s="5" t="n">
        <v>-5.19</v>
      </c>
      <c r="G24" s="5" t="n">
        <v>1971</v>
      </c>
      <c r="H24" s="5" t="n">
        <v>101815.8</v>
      </c>
      <c r="I24" s="5" t="n">
        <v>0.001</v>
      </c>
      <c r="J24" s="5" t="n">
        <v>261.31</v>
      </c>
    </row>
    <row r="25">
      <c r="A25" s="5" t="n">
        <v>1982</v>
      </c>
      <c r="B25" s="5" t="n">
        <v>1013.31</v>
      </c>
      <c r="C25" s="5" t="n">
        <v>2.154</v>
      </c>
      <c r="D25" s="5" t="n">
        <v>-9.449999999999999</v>
      </c>
      <c r="E25" s="5" t="n">
        <v>-4.91</v>
      </c>
      <c r="G25" s="5" t="n">
        <v>1972</v>
      </c>
      <c r="H25" s="5" t="n">
        <v>101921.4</v>
      </c>
      <c r="I25" s="5" t="n">
        <v>0.00178</v>
      </c>
      <c r="J25" s="5" t="n">
        <v>266.883</v>
      </c>
    </row>
    <row r="26">
      <c r="A26" s="5" t="n">
        <v>1983</v>
      </c>
      <c r="B26" s="5" t="n">
        <v>1016.66</v>
      </c>
      <c r="C26" s="5" t="n">
        <v>1.965</v>
      </c>
      <c r="D26" s="5" t="n">
        <v>-10.77</v>
      </c>
      <c r="E26" s="5" t="n">
        <v>-8.08</v>
      </c>
      <c r="G26" s="5" t="n">
        <v>1973</v>
      </c>
      <c r="H26" s="5" t="n">
        <v>101440.2</v>
      </c>
      <c r="I26" s="5" t="n">
        <v>0.00192</v>
      </c>
      <c r="J26" s="5" t="n">
        <v>265.222</v>
      </c>
    </row>
    <row r="27">
      <c r="A27" s="5" t="n">
        <v>1984</v>
      </c>
      <c r="B27" s="5" t="n">
        <v>1017.58</v>
      </c>
      <c r="C27" s="5" t="n">
        <v>2.226</v>
      </c>
      <c r="D27" s="5" t="n">
        <v>-8.789999999999999</v>
      </c>
      <c r="E27" s="5" t="n">
        <v>-3.32</v>
      </c>
      <c r="G27" s="5" t="n">
        <v>1974</v>
      </c>
      <c r="H27" s="5" t="n">
        <v>101772.4</v>
      </c>
      <c r="I27" s="5" t="n">
        <v>0.0026</v>
      </c>
      <c r="J27" s="5" t="n">
        <v>271.125</v>
      </c>
    </row>
    <row r="28">
      <c r="A28" s="5" t="n">
        <v>1985</v>
      </c>
      <c r="B28" s="5" t="n">
        <v>1016.23</v>
      </c>
      <c r="C28" s="5" t="n">
        <v>2.115</v>
      </c>
      <c r="D28" s="5" t="n">
        <v>-13.84</v>
      </c>
      <c r="E28" s="5" t="n">
        <v>-7.95</v>
      </c>
      <c r="G28" s="5" t="n">
        <v>1975</v>
      </c>
      <c r="H28" s="5" t="n">
        <v>101538.2</v>
      </c>
      <c r="I28" s="5" t="n">
        <v>0.00247</v>
      </c>
      <c r="J28" s="5" t="n">
        <v>269.82</v>
      </c>
    </row>
    <row r="29">
      <c r="A29" s="5" t="n">
        <v>1986</v>
      </c>
      <c r="B29" s="5" t="n">
        <v>1011.68</v>
      </c>
      <c r="C29" s="5" t="n">
        <v>1.474</v>
      </c>
      <c r="D29" s="5" t="n">
        <v>-15.05</v>
      </c>
      <c r="E29" s="5" t="n">
        <v>-10.58</v>
      </c>
      <c r="G29" s="5" t="n">
        <v>1976</v>
      </c>
      <c r="H29" s="5" t="n">
        <v>101133.3</v>
      </c>
      <c r="I29" s="5" t="n">
        <v>0.00174</v>
      </c>
      <c r="J29" s="5" t="n">
        <v>265.887</v>
      </c>
    </row>
    <row r="30">
      <c r="A30" s="5" t="n">
        <v>1987</v>
      </c>
      <c r="B30" s="5" t="n">
        <v>1015.31</v>
      </c>
      <c r="C30" s="5" t="n">
        <v>1.262</v>
      </c>
      <c r="D30" s="5" t="n">
        <v>-13.69</v>
      </c>
      <c r="E30" s="5" t="n">
        <v>-7.68</v>
      </c>
      <c r="G30" s="5" t="n">
        <v>1977</v>
      </c>
      <c r="H30" s="5" t="n">
        <v>102178.2</v>
      </c>
      <c r="I30" s="5" t="n">
        <v>0.00191</v>
      </c>
      <c r="J30" s="5" t="n">
        <v>265.762</v>
      </c>
    </row>
    <row r="31">
      <c r="A31" s="5" t="n">
        <v>1988</v>
      </c>
      <c r="B31" s="5" t="n">
        <v>1018.19</v>
      </c>
      <c r="C31" s="5" t="n">
        <v>0.899</v>
      </c>
      <c r="D31" s="5" t="n">
        <v>-9.34</v>
      </c>
      <c r="E31" s="5" t="n">
        <v>-6.83</v>
      </c>
      <c r="G31" s="5" t="n">
        <v>1978</v>
      </c>
      <c r="H31" s="5" t="n">
        <v>101492.6</v>
      </c>
      <c r="I31" s="5" t="n">
        <v>0.00243</v>
      </c>
      <c r="J31" s="5" t="n">
        <v>267.593</v>
      </c>
    </row>
    <row r="32">
      <c r="A32" s="5" t="n">
        <v>1989</v>
      </c>
      <c r="B32" s="5" t="n">
        <v>1022.06</v>
      </c>
      <c r="C32" s="5" t="n">
        <v>1.961</v>
      </c>
      <c r="D32" s="5" t="n">
        <v>-12.54</v>
      </c>
      <c r="E32" s="5" t="n">
        <v>-6.86</v>
      </c>
      <c r="G32" s="5" t="n">
        <v>1979</v>
      </c>
      <c r="H32" s="5" t="n">
        <v>101908.1</v>
      </c>
      <c r="I32" s="5" t="n">
        <v>0.00236</v>
      </c>
      <c r="J32" s="5" t="n">
        <v>267.098</v>
      </c>
    </row>
    <row r="33">
      <c r="A33" s="5" t="n">
        <v>1990</v>
      </c>
      <c r="B33" s="5" t="n">
        <v>1016.17</v>
      </c>
      <c r="C33" s="5" t="n">
        <v>2.219</v>
      </c>
      <c r="D33" s="5" t="n">
        <v>-10.83</v>
      </c>
      <c r="E33" s="5" t="n">
        <v>-5.79</v>
      </c>
      <c r="G33" s="5" t="n">
        <v>1980</v>
      </c>
      <c r="H33" s="5" t="n">
        <v>101463.2</v>
      </c>
      <c r="I33" s="5" t="n">
        <v>0.00211</v>
      </c>
      <c r="J33" s="5" t="n">
        <v>268.031</v>
      </c>
    </row>
    <row r="34">
      <c r="A34" s="5" t="n">
        <v>1991</v>
      </c>
      <c r="B34" s="5" t="n">
        <v>1014.65</v>
      </c>
      <c r="C34" s="5" t="n">
        <v>2.283</v>
      </c>
      <c r="D34" s="5" t="n">
        <v>-5.74</v>
      </c>
      <c r="E34" s="5" t="n">
        <v>-2.68</v>
      </c>
      <c r="G34" s="5" t="n">
        <v>1981</v>
      </c>
      <c r="H34" s="5" t="n">
        <v>101641.6</v>
      </c>
      <c r="I34" s="5" t="n">
        <v>0.00132</v>
      </c>
      <c r="J34" s="5" t="n">
        <v>264.579</v>
      </c>
    </row>
    <row r="35">
      <c r="A35" s="5" t="n">
        <v>1992</v>
      </c>
      <c r="B35" s="5" t="n">
        <v>1015.21</v>
      </c>
      <c r="C35" s="5" t="n">
        <v>1.59</v>
      </c>
      <c r="D35" s="5" t="n">
        <v>-15.35</v>
      </c>
      <c r="E35" s="5" t="n">
        <v>-6.85</v>
      </c>
      <c r="G35" s="5" t="n">
        <v>1982</v>
      </c>
      <c r="H35" s="5" t="n">
        <v>101515.6</v>
      </c>
      <c r="I35" s="5" t="n">
        <v>0.00205</v>
      </c>
      <c r="J35" s="5" t="n">
        <v>267.21</v>
      </c>
    </row>
    <row r="36">
      <c r="A36" s="5" t="n">
        <v>1993</v>
      </c>
      <c r="B36" s="5" t="n">
        <v>1018.08</v>
      </c>
      <c r="C36" s="5" t="n">
        <v>1.795</v>
      </c>
      <c r="D36" s="5" t="n">
        <v>-6.78</v>
      </c>
      <c r="E36" s="5" t="n">
        <v>0.3</v>
      </c>
      <c r="G36" s="5" t="n">
        <v>1983</v>
      </c>
      <c r="H36" s="5" t="n">
        <v>102358.1</v>
      </c>
      <c r="I36" s="5" t="n">
        <v>0.00138</v>
      </c>
      <c r="J36" s="5" t="n">
        <v>262.273</v>
      </c>
    </row>
    <row r="37">
      <c r="A37" s="5" t="n">
        <v>1994</v>
      </c>
      <c r="B37" s="5" t="n">
        <v>1014.96</v>
      </c>
      <c r="C37" s="5" t="n">
        <v>2.02</v>
      </c>
      <c r="D37" s="5" t="n">
        <v>-12.34</v>
      </c>
      <c r="E37" s="5" t="n">
        <v>-7.24</v>
      </c>
      <c r="G37" s="5" t="n">
        <v>1984</v>
      </c>
      <c r="H37" s="5" t="n">
        <v>101150.1</v>
      </c>
      <c r="I37" s="5" t="n">
        <v>0.00169</v>
      </c>
      <c r="J37" s="5" t="n">
        <v>265.316</v>
      </c>
    </row>
    <row r="38">
      <c r="A38" s="5" t="n">
        <v>1995</v>
      </c>
      <c r="B38" s="5" t="n">
        <v>1015.98</v>
      </c>
      <c r="C38" s="5" t="n">
        <v>2.853</v>
      </c>
      <c r="D38" s="5" t="n">
        <v>-6.86</v>
      </c>
      <c r="E38" s="5" t="n">
        <v>-1.71</v>
      </c>
      <c r="G38" s="5" t="n">
        <v>1985</v>
      </c>
      <c r="H38" s="5" t="n">
        <v>101878.1</v>
      </c>
      <c r="I38" s="5" t="n">
        <v>0.00246</v>
      </c>
      <c r="J38" s="5" t="n">
        <v>267.89</v>
      </c>
    </row>
    <row r="39">
      <c r="A39" s="5" t="n">
        <v>1996</v>
      </c>
      <c r="B39" s="5" t="n">
        <v>1018.05</v>
      </c>
      <c r="C39" s="5" t="n">
        <v>1.997</v>
      </c>
      <c r="D39" s="5" t="n">
        <v>-20.11</v>
      </c>
      <c r="E39" s="5" t="n">
        <v>-7.66</v>
      </c>
      <c r="G39" s="5" t="n">
        <v>1986</v>
      </c>
      <c r="H39" s="5" t="n">
        <v>101876</v>
      </c>
      <c r="I39" s="5" t="n">
        <v>0.00152</v>
      </c>
      <c r="J39" s="5" t="n">
        <v>264.678</v>
      </c>
    </row>
    <row r="40">
      <c r="A40" s="5" t="n">
        <v>1997</v>
      </c>
      <c r="B40" s="5" t="n">
        <v>1012.31</v>
      </c>
      <c r="C40" s="5" t="n">
        <v>2.305</v>
      </c>
      <c r="D40" s="5" t="n">
        <v>-8.630000000000001</v>
      </c>
      <c r="E40" s="5" t="n">
        <v>-4.09</v>
      </c>
      <c r="G40" s="5" t="n">
        <v>1987</v>
      </c>
      <c r="H40" s="5" t="n">
        <v>101875</v>
      </c>
      <c r="I40" s="5" t="n">
        <v>0.00192</v>
      </c>
      <c r="J40" s="5" t="n">
        <v>266.285</v>
      </c>
    </row>
    <row r="41">
      <c r="A41" s="5" t="n">
        <v>1998</v>
      </c>
      <c r="B41" s="5" t="n">
        <v>1015.6</v>
      </c>
      <c r="C41" s="5" t="n">
        <v>1.637</v>
      </c>
      <c r="D41" s="5" t="n">
        <v>-13.43</v>
      </c>
      <c r="E41" s="5" t="n">
        <v>-8.17</v>
      </c>
      <c r="G41" s="5" t="n">
        <v>1988</v>
      </c>
      <c r="H41" s="5" t="n">
        <v>101399.1</v>
      </c>
      <c r="I41" s="5" t="n">
        <v>0.00153</v>
      </c>
      <c r="J41" s="5" t="n">
        <v>261.271</v>
      </c>
    </row>
    <row r="42">
      <c r="A42" s="5" t="n">
        <v>1999</v>
      </c>
      <c r="B42" s="5" t="n">
        <v>1019.4</v>
      </c>
      <c r="C42" s="5" t="n">
        <v>2.083</v>
      </c>
      <c r="D42" s="5" t="n">
        <v>-5.5</v>
      </c>
      <c r="E42" s="5" t="n">
        <v>-0.9</v>
      </c>
      <c r="G42" s="5" t="n">
        <v>1989</v>
      </c>
      <c r="H42" s="5" t="n">
        <v>101705.2</v>
      </c>
      <c r="I42" s="5" t="n">
        <v>0.00257</v>
      </c>
      <c r="J42" s="5" t="n">
        <v>271.257</v>
      </c>
    </row>
    <row r="43">
      <c r="A43" s="5" t="n">
        <v>2000</v>
      </c>
      <c r="B43" s="5" t="n">
        <v>1008.39</v>
      </c>
      <c r="C43" s="5" t="n">
        <v>1.963</v>
      </c>
      <c r="D43" s="5" t="n">
        <v>-5.33</v>
      </c>
      <c r="E43" s="5" t="n">
        <v>-1.04</v>
      </c>
      <c r="G43" s="5" t="n">
        <v>1990</v>
      </c>
      <c r="H43" s="5" t="n">
        <v>101838.6</v>
      </c>
      <c r="I43" s="5" t="n">
        <v>0.00155</v>
      </c>
      <c r="J43" s="5" t="n">
        <v>264.376</v>
      </c>
    </row>
    <row r="44">
      <c r="G44" s="5" t="n">
        <v>1991</v>
      </c>
      <c r="H44" s="5" t="n">
        <v>101485.3</v>
      </c>
      <c r="I44" s="5" t="n">
        <v>0.00202</v>
      </c>
      <c r="J44" s="5" t="n">
        <v>266.674</v>
      </c>
    </row>
    <row r="45">
      <c r="G45" s="5" t="n">
        <v>1992</v>
      </c>
      <c r="H45" s="5" t="n">
        <v>102056.4</v>
      </c>
      <c r="I45" s="5" t="n">
        <v>0.00186</v>
      </c>
      <c r="J45" s="5" t="n">
        <v>264.567</v>
      </c>
    </row>
    <row r="46">
      <c r="G46" s="5" t="n">
        <v>1993</v>
      </c>
      <c r="H46" s="5" t="n">
        <v>101439.7</v>
      </c>
      <c r="I46" s="5" t="n">
        <v>0.00211</v>
      </c>
      <c r="J46" s="5" t="n">
        <v>267.309</v>
      </c>
    </row>
    <row r="47">
      <c r="G47" s="5" t="n">
        <v>1994</v>
      </c>
      <c r="H47" s="5" t="n">
        <v>101320.3</v>
      </c>
      <c r="I47" s="5" t="n">
        <v>0.0019</v>
      </c>
      <c r="J47" s="5" t="n">
        <v>265.583</v>
      </c>
    </row>
    <row r="48">
      <c r="G48" s="5" t="n">
        <v>1995</v>
      </c>
      <c r="H48" s="5" t="n">
        <v>101901.9</v>
      </c>
      <c r="I48" s="5" t="n">
        <v>0.00178</v>
      </c>
      <c r="J48" s="5" t="n">
        <v>266.556</v>
      </c>
    </row>
    <row r="49">
      <c r="G49" s="5" t="n">
        <v>1996</v>
      </c>
      <c r="H49" s="5" t="n">
        <v>101979.7</v>
      </c>
      <c r="I49" s="5" t="n">
        <v>0.00145</v>
      </c>
      <c r="J49" s="5" t="n">
        <v>263.507</v>
      </c>
    </row>
    <row r="50">
      <c r="G50" s="5" t="n">
        <v>1997</v>
      </c>
      <c r="H50" s="5" t="n">
        <v>102282.8</v>
      </c>
      <c r="I50" s="5" t="n">
        <v>0.002</v>
      </c>
      <c r="J50" s="5" t="n">
        <v>267.324</v>
      </c>
    </row>
    <row r="51">
      <c r="G51" s="5" t="n">
        <v>1998</v>
      </c>
      <c r="H51" s="5" t="n">
        <v>102372.5</v>
      </c>
      <c r="I51" s="5" t="n">
        <v>0.00174</v>
      </c>
      <c r="J51" s="5" t="n">
        <v>265.737</v>
      </c>
    </row>
    <row r="52">
      <c r="G52" s="5" t="n">
        <v>1999</v>
      </c>
      <c r="H52" s="5" t="n">
        <v>101291.5</v>
      </c>
      <c r="I52" s="5" t="n">
        <v>0.00198</v>
      </c>
      <c r="J52" s="5" t="n">
        <v>265.004</v>
      </c>
    </row>
    <row r="53">
      <c r="G53" s="5" t="n">
        <v>2000</v>
      </c>
      <c r="H53" s="5" t="n">
        <v>102034.8</v>
      </c>
      <c r="I53" s="5" t="n">
        <v>0.00151</v>
      </c>
      <c r="J53" s="5" t="n">
        <v>262.077</v>
      </c>
    </row>
    <row r="54">
      <c r="G54" s="5" t="n">
        <v>2001</v>
      </c>
      <c r="H54" s="5" t="n">
        <v>101793.5</v>
      </c>
      <c r="I54" s="5" t="n">
        <v>0.00216</v>
      </c>
      <c r="J54" s="5" t="n">
        <v>265.677</v>
      </c>
    </row>
    <row r="55">
      <c r="G55" s="5" t="n">
        <v>2002</v>
      </c>
      <c r="H55" s="5" t="n">
        <v>101824.7</v>
      </c>
      <c r="I55" s="5" t="n">
        <v>0.00127</v>
      </c>
      <c r="J55" s="5" t="n">
        <v>263.028</v>
      </c>
    </row>
    <row r="56">
      <c r="G56" s="5" t="n">
        <v>2003</v>
      </c>
      <c r="H56" s="5" t="n">
        <v>101941.4</v>
      </c>
      <c r="I56" s="5" t="n">
        <v>0.0014</v>
      </c>
      <c r="J56" s="5" t="n">
        <v>264.094</v>
      </c>
    </row>
    <row r="57">
      <c r="G57" s="5" t="n">
        <v>2004</v>
      </c>
      <c r="H57" s="5" t="n">
        <v>101589.8</v>
      </c>
      <c r="I57" s="5" t="n">
        <v>0.00245</v>
      </c>
      <c r="J57" s="5" t="n">
        <v>270.474</v>
      </c>
    </row>
    <row r="58">
      <c r="G58" s="5" t="n">
        <v>2005</v>
      </c>
      <c r="H58" s="5" t="n">
        <v>101826.6</v>
      </c>
      <c r="I58" s="5" t="n">
        <v>0.00135</v>
      </c>
      <c r="J58" s="5" t="n">
        <v>259.5</v>
      </c>
    </row>
    <row r="59">
      <c r="G59" s="5" t="n">
        <v>2006</v>
      </c>
      <c r="H59" s="5" t="n">
        <v>101756.2</v>
      </c>
      <c r="I59" s="5" t="n">
        <v>0.00179</v>
      </c>
      <c r="J59" s="5" t="n">
        <v>267.196</v>
      </c>
    </row>
    <row r="60">
      <c r="G60" s="5" t="n">
        <v>2007</v>
      </c>
      <c r="H60" s="5" t="n">
        <v>101317.3</v>
      </c>
      <c r="I60" s="5" t="n">
        <v>0.00236</v>
      </c>
      <c r="J60" s="5" t="n">
        <v>271.149</v>
      </c>
    </row>
    <row r="61">
      <c r="G61" s="5" t="n">
        <v>2008</v>
      </c>
      <c r="H61" s="5" t="n">
        <v>101668</v>
      </c>
      <c r="I61" s="5" t="n">
        <v>0.00187</v>
      </c>
      <c r="J61" s="5" t="n">
        <v>268.805</v>
      </c>
    </row>
    <row r="62">
      <c r="G62" s="5" t="n">
        <v>2009</v>
      </c>
      <c r="H62" s="5" t="n">
        <v>101349.2</v>
      </c>
      <c r="I62" s="5" t="n">
        <v>0.00184</v>
      </c>
      <c r="J62" s="5" t="n">
        <v>264.881</v>
      </c>
    </row>
    <row r="63">
      <c r="G63" s="5" t="n">
        <v>2010</v>
      </c>
      <c r="H63" s="5" t="n">
        <v>101882.8</v>
      </c>
      <c r="I63" s="5" t="n">
        <v>0.00192</v>
      </c>
      <c r="J63" s="5" t="n">
        <v>266.284</v>
      </c>
    </row>
    <row r="64">
      <c r="G64" s="5" t="n">
        <v>2011</v>
      </c>
      <c r="H64" s="5" t="n">
        <v>101287.8</v>
      </c>
      <c r="I64" s="5" t="n">
        <v>0.00219</v>
      </c>
      <c r="J64" s="5" t="n">
        <v>265.344</v>
      </c>
    </row>
    <row r="65">
      <c r="G65" s="5" t="n">
        <v>2012</v>
      </c>
      <c r="H65" s="5" t="n">
        <v>101677.3</v>
      </c>
      <c r="I65" s="5" t="n">
        <v>0.00202</v>
      </c>
      <c r="J65" s="5" t="n">
        <v>265.009</v>
      </c>
    </row>
    <row r="66">
      <c r="G66" s="5" t="n">
        <v>2013</v>
      </c>
      <c r="H66" s="5" t="n">
        <v>102195.7</v>
      </c>
      <c r="I66" s="5" t="n">
        <v>0.00217</v>
      </c>
      <c r="J66" s="5" t="n">
        <v>268.827</v>
      </c>
    </row>
    <row r="67">
      <c r="G67" s="5" t="n">
        <v>2014</v>
      </c>
      <c r="H67" s="5" t="n">
        <v>101462.4</v>
      </c>
      <c r="I67" s="5" t="n">
        <v>0.00209</v>
      </c>
      <c r="J67" s="5" t="n">
        <v>266.968</v>
      </c>
    </row>
    <row r="68">
      <c r="G68" s="5" t="n">
        <v>2015</v>
      </c>
      <c r="H68" s="5" t="n">
        <v>101638.6</v>
      </c>
      <c r="I68" s="5" t="n">
        <v>0.00215</v>
      </c>
      <c r="J68" s="5" t="n">
        <v>269.318</v>
      </c>
    </row>
    <row r="69">
      <c r="G69" s="5" t="n">
        <v>2016</v>
      </c>
      <c r="H69" s="5" t="n">
        <v>101633.6</v>
      </c>
      <c r="I69" s="5" t="n">
        <v>0.00236</v>
      </c>
      <c r="J69" s="5" t="n">
        <v>264.687</v>
      </c>
    </row>
    <row r="70">
      <c r="G70" s="5" t="n">
        <v>2017</v>
      </c>
      <c r="H70" s="5" t="n">
        <v>101394.3</v>
      </c>
      <c r="I70" s="5" t="n">
        <v>0.00151</v>
      </c>
      <c r="J70" s="5" t="n">
        <v>261.605</v>
      </c>
    </row>
    <row r="71">
      <c r="G71" s="5" t="n">
        <v>2018</v>
      </c>
      <c r="H71" s="5" t="n">
        <v>101484.4</v>
      </c>
      <c r="I71" s="5" t="n">
        <v>0.00108</v>
      </c>
      <c r="J71" s="5" t="n">
        <v>260.409</v>
      </c>
    </row>
    <row r="72">
      <c r="G72" s="5" t="n">
        <v>2019</v>
      </c>
      <c r="H72" s="5" t="n">
        <v>101524.2</v>
      </c>
      <c r="I72" s="5" t="n">
        <v>0.00193</v>
      </c>
      <c r="J72" s="5" t="n">
        <v>265.599</v>
      </c>
    </row>
    <row r="73">
      <c r="G73" s="5" t="n">
        <v>2020</v>
      </c>
      <c r="H73" s="5" t="n">
        <v>101740.6</v>
      </c>
      <c r="I73" s="5" t="n">
        <v>0.00239</v>
      </c>
      <c r="J73" s="5" t="n">
        <v>268.163</v>
      </c>
    </row>
    <row r="74">
      <c r="G74" s="5" t="n">
        <v>2021</v>
      </c>
      <c r="H74" s="5" t="n">
        <v>102181.2</v>
      </c>
      <c r="I74" s="5" t="n">
        <v>0.00227</v>
      </c>
      <c r="J74" s="5" t="n">
        <v>269.067</v>
      </c>
    </row>
    <row r="75">
      <c r="G75" s="5" t="n">
        <v>2022</v>
      </c>
      <c r="H75" s="5" t="n">
        <v>101146.5</v>
      </c>
      <c r="I75" s="5" t="n">
        <v>0.00226</v>
      </c>
      <c r="J75" s="5" t="n">
        <v>268.122</v>
      </c>
    </row>
    <row r="76">
      <c r="G76" s="5" t="n">
        <v>2023</v>
      </c>
      <c r="H76" s="5" t="n">
        <v>100979</v>
      </c>
      <c r="I76" s="5" t="n">
        <v>0.00128</v>
      </c>
      <c r="J76" s="5" t="n">
        <v>261.876</v>
      </c>
    </row>
    <row r="77">
      <c r="G77" s="5" t="n">
        <v>2024</v>
      </c>
      <c r="H77" s="5" t="n">
        <v>101156.6</v>
      </c>
      <c r="I77" s="5" t="n">
        <v>0.00183</v>
      </c>
      <c r="J77" s="5" t="n">
        <v>265.401</v>
      </c>
    </row>
    <row r="78">
      <c r="G78" s="5" t="n">
        <v>2025</v>
      </c>
      <c r="H78" s="5" t="n">
        <v>101322.8</v>
      </c>
      <c r="I78" s="5" t="n">
        <v>0.00231</v>
      </c>
      <c r="J78" s="5" t="n">
        <v>268.957</v>
      </c>
    </row>
    <row r="79">
      <c r="G79" s="5" t="n">
        <v>2026</v>
      </c>
      <c r="H79" s="5" t="n">
        <v>101490</v>
      </c>
      <c r="I79" s="5" t="n">
        <v>0.00245</v>
      </c>
      <c r="J79" s="5" t="n">
        <v>267.979</v>
      </c>
    </row>
    <row r="80">
      <c r="G80" s="5" t="n">
        <v>2027</v>
      </c>
      <c r="H80" s="5" t="n">
        <v>101579.1</v>
      </c>
      <c r="I80" s="5" t="n">
        <v>0.00148</v>
      </c>
      <c r="J80" s="5" t="n">
        <v>264.714</v>
      </c>
    </row>
    <row r="81">
      <c r="G81" s="5" t="n">
        <v>2028</v>
      </c>
      <c r="H81" s="5" t="n">
        <v>101097.9</v>
      </c>
      <c r="I81" s="5" t="n">
        <v>0.00165</v>
      </c>
      <c r="J81" s="5" t="n">
        <v>263.879</v>
      </c>
    </row>
    <row r="82">
      <c r="G82" s="5" t="n">
        <v>2029</v>
      </c>
      <c r="H82" s="5" t="n">
        <v>101842.8</v>
      </c>
      <c r="I82" s="5" t="n">
        <v>0.00188</v>
      </c>
      <c r="J82" s="5" t="n">
        <v>266.008</v>
      </c>
    </row>
    <row r="83">
      <c r="G83" s="5" t="n">
        <v>2030</v>
      </c>
      <c r="H83" s="5" t="n">
        <v>101985.8</v>
      </c>
      <c r="I83" s="5" t="n">
        <v>0.00197</v>
      </c>
      <c r="J83" s="5" t="n">
        <v>268.76</v>
      </c>
    </row>
    <row r="84">
      <c r="G84" s="5" t="n">
        <v>2031</v>
      </c>
      <c r="H84" s="5" t="n">
        <v>101434.7</v>
      </c>
      <c r="I84" s="5" t="n">
        <v>0.00218</v>
      </c>
      <c r="J84" s="5" t="n">
        <v>268.716</v>
      </c>
    </row>
    <row r="85">
      <c r="G85" s="5" t="n">
        <v>2032</v>
      </c>
      <c r="H85" s="5" t="n">
        <v>101100.9</v>
      </c>
      <c r="I85" s="5" t="n">
        <v>0.00251</v>
      </c>
      <c r="J85" s="5" t="n">
        <v>269.707</v>
      </c>
    </row>
    <row r="86">
      <c r="G86" s="5" t="n">
        <v>2033</v>
      </c>
      <c r="H86" s="5" t="n">
        <v>101390.8</v>
      </c>
      <c r="I86" s="5" t="n">
        <v>0.00183</v>
      </c>
      <c r="J86" s="5" t="n">
        <v>267.062</v>
      </c>
    </row>
    <row r="87">
      <c r="G87" s="5" t="n">
        <v>2034</v>
      </c>
      <c r="H87" s="5" t="n">
        <v>101832.8</v>
      </c>
      <c r="I87" s="5" t="n">
        <v>0.00187</v>
      </c>
      <c r="J87" s="5" t="n">
        <v>265.579</v>
      </c>
    </row>
    <row r="88">
      <c r="G88" s="5" t="n">
        <v>2035</v>
      </c>
      <c r="H88" s="5" t="n">
        <v>101628.5</v>
      </c>
      <c r="I88" s="5" t="n">
        <v>0.00163</v>
      </c>
      <c r="J88" s="5" t="n">
        <v>266.282</v>
      </c>
    </row>
    <row r="89">
      <c r="G89" s="5" t="n">
        <v>2036</v>
      </c>
      <c r="H89" s="5" t="n">
        <v>101475.6</v>
      </c>
      <c r="I89" s="5" t="n">
        <v>0.00191</v>
      </c>
      <c r="J89" s="5" t="n">
        <v>267.27</v>
      </c>
    </row>
    <row r="90">
      <c r="G90" s="5" t="n">
        <v>2037</v>
      </c>
      <c r="H90" s="5" t="n">
        <v>102037</v>
      </c>
      <c r="I90" s="5" t="n">
        <v>0.00152</v>
      </c>
      <c r="J90" s="5" t="n">
        <v>265.067</v>
      </c>
    </row>
    <row r="91">
      <c r="G91" s="5" t="n">
        <v>2038</v>
      </c>
      <c r="H91" s="5" t="n">
        <v>101832.6</v>
      </c>
      <c r="I91" s="5" t="n">
        <v>0.00167</v>
      </c>
      <c r="J91" s="5" t="n">
        <v>267.7</v>
      </c>
    </row>
    <row r="92">
      <c r="G92" s="5" t="n">
        <v>2039</v>
      </c>
      <c r="H92" s="5" t="n">
        <v>101867.5</v>
      </c>
      <c r="I92" s="5" t="n">
        <v>0.00201</v>
      </c>
      <c r="J92" s="5" t="n">
        <v>269.361</v>
      </c>
    </row>
    <row r="93">
      <c r="G93" s="5" t="n">
        <v>2040</v>
      </c>
      <c r="H93" s="5" t="n">
        <v>101376.4</v>
      </c>
      <c r="I93" s="5" t="n">
        <v>0.00206</v>
      </c>
      <c r="J93" s="5" t="n">
        <v>267.478</v>
      </c>
    </row>
    <row r="94">
      <c r="G94" s="5" t="n">
        <v>2041</v>
      </c>
      <c r="H94" s="5" t="n">
        <v>102034.8</v>
      </c>
      <c r="I94" s="5" t="n">
        <v>0.00171</v>
      </c>
      <c r="J94" s="5" t="n">
        <v>262.864</v>
      </c>
    </row>
    <row r="95">
      <c r="G95" s="5" t="n">
        <v>2042</v>
      </c>
      <c r="H95" s="5" t="n">
        <v>101995.8</v>
      </c>
      <c r="I95" s="5" t="n">
        <v>0.00227</v>
      </c>
      <c r="J95" s="5" t="n">
        <v>271.142</v>
      </c>
    </row>
    <row r="96">
      <c r="G96" s="5" t="n">
        <v>2043</v>
      </c>
      <c r="H96" s="5" t="n">
        <v>101203.5</v>
      </c>
      <c r="I96" s="5" t="n">
        <v>0.00188</v>
      </c>
      <c r="J96" s="5" t="n">
        <v>267.357</v>
      </c>
    </row>
    <row r="97">
      <c r="G97" s="5" t="n">
        <v>2044</v>
      </c>
      <c r="H97" s="5" t="n">
        <v>101202.5</v>
      </c>
      <c r="I97" s="5" t="n">
        <v>0.00191</v>
      </c>
      <c r="J97" s="5" t="n">
        <v>267.031</v>
      </c>
    </row>
    <row r="98">
      <c r="G98" s="5" t="n">
        <v>2045</v>
      </c>
      <c r="H98" s="5" t="n">
        <v>102350.1</v>
      </c>
      <c r="I98" s="5" t="n">
        <v>0.00159</v>
      </c>
      <c r="J98" s="5" t="n">
        <v>263.577</v>
      </c>
    </row>
    <row r="99">
      <c r="G99" s="5" t="n">
        <v>2046</v>
      </c>
      <c r="H99" s="5" t="n">
        <v>101544.5</v>
      </c>
      <c r="I99" s="5" t="n">
        <v>0.00258</v>
      </c>
      <c r="J99" s="5" t="n">
        <v>271.041</v>
      </c>
    </row>
    <row r="100">
      <c r="G100" s="5" t="n">
        <v>2047</v>
      </c>
      <c r="H100" s="5" t="n">
        <v>101513.1</v>
      </c>
      <c r="I100" s="5" t="n">
        <v>0.00162</v>
      </c>
      <c r="J100" s="5" t="n">
        <v>265.35</v>
      </c>
    </row>
    <row r="101">
      <c r="G101" s="5" t="n">
        <v>2048</v>
      </c>
      <c r="H101" s="5" t="n">
        <v>101712.3</v>
      </c>
      <c r="I101" s="5" t="n">
        <v>0.00202</v>
      </c>
      <c r="J101" s="5" t="n">
        <v>267.673</v>
      </c>
    </row>
    <row r="102">
      <c r="G102" s="5" t="n">
        <v>2049</v>
      </c>
      <c r="H102" s="5" t="n">
        <v>101944.2</v>
      </c>
      <c r="I102" s="5" t="n">
        <v>0.00224</v>
      </c>
      <c r="J102" s="5" t="n">
        <v>270.942</v>
      </c>
    </row>
    <row r="103">
      <c r="G103" s="5" t="n">
        <v>2050</v>
      </c>
      <c r="H103" s="5" t="n">
        <v>101427.3</v>
      </c>
      <c r="I103" s="5" t="n">
        <v>0.00253</v>
      </c>
      <c r="J103" s="5" t="n">
        <v>273.097</v>
      </c>
    </row>
    <row r="104">
      <c r="G104" s="5" t="n">
        <v>2051</v>
      </c>
      <c r="H104" s="5" t="n">
        <v>101647.1</v>
      </c>
      <c r="I104" s="5" t="n">
        <v>0.00235</v>
      </c>
      <c r="J104" s="5" t="n">
        <v>269.094</v>
      </c>
    </row>
    <row r="105">
      <c r="G105" s="5" t="n">
        <v>2052</v>
      </c>
      <c r="H105" s="5" t="n">
        <v>101042.2</v>
      </c>
      <c r="I105" s="5" t="n">
        <v>0.00263</v>
      </c>
      <c r="J105" s="5" t="n">
        <v>270.786</v>
      </c>
    </row>
    <row r="106">
      <c r="G106" s="5" t="n">
        <v>2053</v>
      </c>
      <c r="H106" s="5" t="n">
        <v>101760.5</v>
      </c>
      <c r="I106" s="5" t="n">
        <v>0.0022</v>
      </c>
      <c r="J106" s="5" t="n">
        <v>269.643</v>
      </c>
    </row>
    <row r="107">
      <c r="G107" s="5" t="n">
        <v>2054</v>
      </c>
      <c r="H107" s="5" t="n">
        <v>101606.1</v>
      </c>
      <c r="I107" s="5" t="n">
        <v>0.00208</v>
      </c>
      <c r="J107" s="5" t="n">
        <v>268.132</v>
      </c>
    </row>
    <row r="108">
      <c r="G108" s="5" t="n">
        <v>2055</v>
      </c>
      <c r="H108" s="5" t="n">
        <v>101875.7</v>
      </c>
      <c r="I108" s="5" t="n">
        <v>0.00189</v>
      </c>
      <c r="J108" s="5" t="n">
        <v>266.183</v>
      </c>
    </row>
    <row r="109">
      <c r="G109" s="5" t="n">
        <v>2056</v>
      </c>
      <c r="H109" s="5" t="n">
        <v>102092.7</v>
      </c>
      <c r="I109" s="5" t="n">
        <v>0.00183</v>
      </c>
      <c r="J109" s="5" t="n">
        <v>267.046</v>
      </c>
    </row>
    <row r="110">
      <c r="G110" s="5" t="n">
        <v>2057</v>
      </c>
      <c r="H110" s="5" t="n">
        <v>101341.3</v>
      </c>
      <c r="I110" s="5" t="n">
        <v>0.00235</v>
      </c>
      <c r="J110" s="5" t="n">
        <v>270.1</v>
      </c>
    </row>
    <row r="111">
      <c r="G111" s="5" t="n">
        <v>2058</v>
      </c>
      <c r="H111" s="5" t="n">
        <v>101680</v>
      </c>
      <c r="I111" s="5" t="n">
        <v>0.00214</v>
      </c>
      <c r="J111" s="5" t="n">
        <v>267.021</v>
      </c>
    </row>
    <row r="112">
      <c r="G112" s="5" t="n">
        <v>2059</v>
      </c>
      <c r="H112" s="5" t="n">
        <v>101934.4</v>
      </c>
      <c r="I112" s="5" t="n">
        <v>0.00244</v>
      </c>
      <c r="J112" s="5" t="n">
        <v>270.91</v>
      </c>
    </row>
    <row r="113">
      <c r="G113" s="5" t="n">
        <v>2060</v>
      </c>
      <c r="H113" s="5" t="n">
        <v>101454.8</v>
      </c>
      <c r="I113" s="5" t="n">
        <v>0.00174</v>
      </c>
      <c r="J113" s="5" t="n">
        <v>266.434</v>
      </c>
    </row>
    <row r="114">
      <c r="G114" s="5" t="n">
        <v>2061</v>
      </c>
      <c r="H114" s="5" t="n">
        <v>101962.5</v>
      </c>
      <c r="I114" s="5" t="n">
        <v>0.00247</v>
      </c>
      <c r="J114" s="5" t="n">
        <v>267.34</v>
      </c>
    </row>
    <row r="115">
      <c r="G115" s="5" t="n">
        <v>2062</v>
      </c>
      <c r="H115" s="5" t="n">
        <v>102128</v>
      </c>
      <c r="I115" s="5" t="n">
        <v>0.00206</v>
      </c>
      <c r="J115" s="5" t="n">
        <v>266.872</v>
      </c>
    </row>
    <row r="116">
      <c r="G116" s="5" t="n">
        <v>2063</v>
      </c>
      <c r="H116" s="5" t="n">
        <v>101599.3</v>
      </c>
      <c r="I116" s="5" t="n">
        <v>0.00245</v>
      </c>
      <c r="J116" s="5" t="n">
        <v>271.802</v>
      </c>
    </row>
    <row r="117">
      <c r="G117" s="5" t="n">
        <v>2064</v>
      </c>
      <c r="H117" s="5" t="n">
        <v>102152.3</v>
      </c>
      <c r="I117" s="5" t="n">
        <v>0.00257</v>
      </c>
      <c r="J117" s="5" t="n">
        <v>269.139</v>
      </c>
    </row>
    <row r="118">
      <c r="G118" s="5" t="n">
        <v>2065</v>
      </c>
      <c r="H118" s="5" t="n">
        <v>101718.1</v>
      </c>
      <c r="I118" s="5" t="n">
        <v>0.00224</v>
      </c>
      <c r="J118" s="5" t="n">
        <v>267.366</v>
      </c>
    </row>
    <row r="119">
      <c r="G119" s="5" t="n">
        <v>2066</v>
      </c>
      <c r="H119" s="5" t="n">
        <v>101706.7</v>
      </c>
      <c r="I119" s="5" t="n">
        <v>0.00242</v>
      </c>
      <c r="J119" s="5" t="n">
        <v>266.542</v>
      </c>
    </row>
    <row r="120">
      <c r="G120" s="5" t="n">
        <v>2067</v>
      </c>
      <c r="H120" s="5" t="n">
        <v>101553.3</v>
      </c>
      <c r="I120" s="5" t="n">
        <v>0.00252</v>
      </c>
      <c r="J120" s="5" t="n">
        <v>270.962</v>
      </c>
    </row>
    <row r="121">
      <c r="G121" s="5" t="n">
        <v>2068</v>
      </c>
      <c r="H121" s="5" t="n">
        <v>101662.9</v>
      </c>
      <c r="I121" s="5" t="n">
        <v>0.00222</v>
      </c>
      <c r="J121" s="5" t="n">
        <v>267.473</v>
      </c>
    </row>
    <row r="122">
      <c r="G122" s="5" t="n">
        <v>2069</v>
      </c>
      <c r="H122" s="5" t="n">
        <v>101474.7</v>
      </c>
      <c r="I122" s="5" t="n">
        <v>0.00206</v>
      </c>
      <c r="J122" s="5" t="n">
        <v>268.697</v>
      </c>
    </row>
    <row r="123">
      <c r="G123" s="5" t="n">
        <v>2070</v>
      </c>
      <c r="H123" s="5" t="n">
        <v>101675.2</v>
      </c>
      <c r="I123" s="5" t="n">
        <v>0.00212</v>
      </c>
      <c r="J123" s="5" t="n">
        <v>268.233</v>
      </c>
    </row>
    <row r="124">
      <c r="G124" s="5" t="n">
        <v>2071</v>
      </c>
      <c r="H124" s="5" t="n">
        <v>101927.7</v>
      </c>
      <c r="I124" s="5" t="n">
        <v>0.00316</v>
      </c>
      <c r="J124" s="5" t="n">
        <v>274.641</v>
      </c>
    </row>
    <row r="125">
      <c r="G125" s="5" t="n">
        <v>2072</v>
      </c>
      <c r="H125" s="5" t="n">
        <v>101696.7</v>
      </c>
      <c r="I125" s="5" t="n">
        <v>0.00219</v>
      </c>
      <c r="J125" s="5" t="n">
        <v>269.854</v>
      </c>
    </row>
    <row r="126">
      <c r="G126" s="5" t="n">
        <v>2073</v>
      </c>
      <c r="H126" s="5" t="n">
        <v>101457.7</v>
      </c>
      <c r="I126" s="5" t="n">
        <v>0.00261</v>
      </c>
      <c r="J126" s="5" t="n">
        <v>272.441</v>
      </c>
    </row>
    <row r="127">
      <c r="G127" s="5" t="n">
        <v>2074</v>
      </c>
      <c r="H127" s="5" t="n">
        <v>102266.9</v>
      </c>
      <c r="I127" s="5" t="n">
        <v>0.00205</v>
      </c>
      <c r="J127" s="5" t="n">
        <v>269.015</v>
      </c>
    </row>
    <row r="128">
      <c r="G128" s="5" t="n">
        <v>2075</v>
      </c>
      <c r="H128" s="5" t="n">
        <v>101424.2</v>
      </c>
      <c r="I128" s="5" t="n">
        <v>0.00226</v>
      </c>
      <c r="J128" s="5" t="n">
        <v>267.879</v>
      </c>
    </row>
    <row r="129">
      <c r="G129" s="5" t="n">
        <v>2076</v>
      </c>
      <c r="H129" s="5" t="n">
        <v>102379.6</v>
      </c>
      <c r="I129" s="5" t="n">
        <v>0.00204</v>
      </c>
      <c r="J129" s="5" t="n">
        <v>265.238</v>
      </c>
    </row>
    <row r="130">
      <c r="G130" s="5" t="n">
        <v>2077</v>
      </c>
      <c r="H130" s="5" t="n">
        <v>101460</v>
      </c>
      <c r="I130" s="5" t="n">
        <v>0.00149</v>
      </c>
      <c r="J130" s="5" t="n">
        <v>265.83</v>
      </c>
    </row>
    <row r="131">
      <c r="G131" s="5" t="n">
        <v>2078</v>
      </c>
      <c r="H131" s="5" t="n">
        <v>101733.6</v>
      </c>
      <c r="I131" s="5" t="n">
        <v>0.00189</v>
      </c>
      <c r="J131" s="5" t="n">
        <v>266.182</v>
      </c>
    </row>
    <row r="132">
      <c r="G132" s="5" t="n">
        <v>2079</v>
      </c>
      <c r="H132" s="5" t="n">
        <v>101941.6</v>
      </c>
      <c r="I132" s="5" t="n">
        <v>0.00304</v>
      </c>
      <c r="J132" s="5" t="n">
        <v>274.623</v>
      </c>
    </row>
    <row r="133">
      <c r="G133" s="5" t="n">
        <v>2080</v>
      </c>
      <c r="H133" s="5" t="n">
        <v>101749.3</v>
      </c>
      <c r="I133" s="5" t="n">
        <v>0.0026</v>
      </c>
      <c r="J133" s="5" t="n">
        <v>270.245</v>
      </c>
    </row>
    <row r="134">
      <c r="G134" s="5" t="n">
        <v>2081</v>
      </c>
      <c r="H134" s="5" t="n">
        <v>101503.2</v>
      </c>
      <c r="I134" s="5" t="n">
        <v>0.00306</v>
      </c>
      <c r="J134" s="5" t="n">
        <v>273.989</v>
      </c>
    </row>
    <row r="135">
      <c r="G135" s="5" t="n">
        <v>2082</v>
      </c>
      <c r="H135" s="5" t="n">
        <v>101718.9</v>
      </c>
      <c r="I135" s="5" t="n">
        <v>0.00192</v>
      </c>
      <c r="J135" s="5" t="n">
        <v>266.088</v>
      </c>
    </row>
    <row r="136">
      <c r="G136" s="5" t="n">
        <v>2083</v>
      </c>
      <c r="H136" s="5" t="n">
        <v>101789.8</v>
      </c>
      <c r="I136" s="5" t="n">
        <v>0.00294</v>
      </c>
      <c r="J136" s="5" t="n">
        <v>272.456</v>
      </c>
    </row>
    <row r="137">
      <c r="G137" s="5" t="n">
        <v>2084</v>
      </c>
      <c r="H137" s="5" t="n">
        <v>101744.8</v>
      </c>
      <c r="I137" s="5" t="n">
        <v>0.0027</v>
      </c>
      <c r="J137" s="5" t="n">
        <v>271.377</v>
      </c>
    </row>
    <row r="138">
      <c r="G138" s="5" t="n">
        <v>2085</v>
      </c>
      <c r="H138" s="5" t="n">
        <v>101128.7</v>
      </c>
      <c r="I138" s="5" t="n">
        <v>0.00328</v>
      </c>
      <c r="J138" s="5" t="n">
        <v>275.864</v>
      </c>
    </row>
    <row r="139">
      <c r="G139" s="5" t="n">
        <v>2086</v>
      </c>
      <c r="H139" s="5" t="n">
        <v>101548</v>
      </c>
      <c r="I139" s="5" t="n">
        <v>0.00254</v>
      </c>
      <c r="J139" s="5" t="n">
        <v>268.268</v>
      </c>
    </row>
    <row r="140">
      <c r="G140" s="5" t="n">
        <v>2087</v>
      </c>
      <c r="H140" s="5" t="n">
        <v>102301.2</v>
      </c>
      <c r="I140" s="5" t="n">
        <v>0.00226</v>
      </c>
      <c r="J140" s="5" t="n">
        <v>271.437</v>
      </c>
    </row>
    <row r="141">
      <c r="G141" s="5" t="n">
        <v>2088</v>
      </c>
      <c r="H141" s="5" t="n">
        <v>101967.6</v>
      </c>
      <c r="I141" s="5" t="n">
        <v>0.00272</v>
      </c>
      <c r="J141" s="5" t="n">
        <v>272.553</v>
      </c>
    </row>
    <row r="142">
      <c r="G142" s="5" t="n">
        <v>2089</v>
      </c>
      <c r="H142" s="5" t="n">
        <v>101685.3</v>
      </c>
      <c r="I142" s="5" t="n">
        <v>0.00263</v>
      </c>
      <c r="J142" s="5" t="n">
        <v>269.669</v>
      </c>
    </row>
    <row r="143">
      <c r="G143" s="5" t="n">
        <v>2090</v>
      </c>
      <c r="H143" s="5" t="n">
        <v>102016.7</v>
      </c>
      <c r="I143" s="5" t="n">
        <v>0.00255</v>
      </c>
      <c r="J143" s="5" t="n">
        <v>270.04</v>
      </c>
    </row>
    <row r="144">
      <c r="G144" s="5" t="n">
        <v>2091</v>
      </c>
      <c r="H144" s="5" t="n">
        <v>101667.1</v>
      </c>
      <c r="I144" s="5" t="n">
        <v>0.00226</v>
      </c>
      <c r="J144" s="5" t="n">
        <v>268.07</v>
      </c>
    </row>
    <row r="145">
      <c r="G145" s="5" t="n">
        <v>2092</v>
      </c>
      <c r="H145" s="5" t="n">
        <v>101976.2</v>
      </c>
      <c r="I145" s="5" t="n">
        <v>0.00257</v>
      </c>
      <c r="J145" s="5" t="n">
        <v>268.446</v>
      </c>
    </row>
    <row r="146">
      <c r="G146" s="5" t="n">
        <v>2093</v>
      </c>
      <c r="H146" s="5" t="n">
        <v>101558.5</v>
      </c>
      <c r="I146" s="5" t="n">
        <v>0.00298</v>
      </c>
      <c r="J146" s="5" t="n">
        <v>273.69</v>
      </c>
    </row>
    <row r="147">
      <c r="G147" s="5" t="n">
        <v>2094</v>
      </c>
      <c r="H147" s="5" t="n">
        <v>101739.5</v>
      </c>
      <c r="I147" s="5" t="n">
        <v>0.00309</v>
      </c>
      <c r="J147" s="5" t="n">
        <v>273.907</v>
      </c>
    </row>
    <row r="148">
      <c r="G148" s="5" t="n">
        <v>2095</v>
      </c>
      <c r="H148" s="5" t="n">
        <v>101578.3</v>
      </c>
      <c r="I148" s="5" t="n">
        <v>0.00265</v>
      </c>
      <c r="J148" s="5" t="n">
        <v>274.014</v>
      </c>
    </row>
    <row r="149">
      <c r="G149" s="5" t="n">
        <v>2096</v>
      </c>
      <c r="H149" s="5" t="n">
        <v>101439.9</v>
      </c>
      <c r="I149" s="5" t="n">
        <v>0.00332</v>
      </c>
      <c r="J149" s="5" t="n">
        <v>275.028</v>
      </c>
    </row>
    <row r="150">
      <c r="G150" s="5" t="n">
        <v>2097</v>
      </c>
      <c r="H150" s="5" t="n">
        <v>101710.7</v>
      </c>
      <c r="I150" s="5" t="n">
        <v>0.0018</v>
      </c>
      <c r="J150" s="5" t="n">
        <v>267.591</v>
      </c>
    </row>
    <row r="151">
      <c r="G151" s="5" t="n">
        <v>2098</v>
      </c>
      <c r="H151" s="5" t="n">
        <v>101658.4</v>
      </c>
      <c r="I151" s="5" t="n">
        <v>0.00247</v>
      </c>
      <c r="J151" s="5" t="n">
        <v>270.03</v>
      </c>
    </row>
    <row r="152">
      <c r="G152" s="5" t="n">
        <v>2099</v>
      </c>
      <c r="H152" s="5" t="n">
        <v>101256</v>
      </c>
      <c r="I152" s="5" t="n">
        <v>0.0023</v>
      </c>
      <c r="J152" s="5" t="n">
        <v>267.151</v>
      </c>
    </row>
    <row r="153">
      <c r="G153" s="5" t="n">
        <v>2100</v>
      </c>
      <c r="H153" s="5" t="n">
        <v>101407.1</v>
      </c>
      <c r="I153" s="5" t="n">
        <v>0.0025</v>
      </c>
      <c r="J153" s="5" t="n">
        <v>272.482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63"/>
  <sheetViews>
    <sheetView zoomScale="9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2" max="12"/>
    <col width="34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30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Multiple linear regression on standardised data (Eqs 5.10 to 5.15) and application to the GCM</t>
        </is>
      </c>
    </row>
    <row r="2">
      <c r="A2" s="2" t="inlineStr">
        <is>
          <t>Left: fit with reanalysis predictors x_1..x_3 and y, 1961-2000. Columns V onward: GCM predictors, standardised with the GCM base period 1951-2005.</t>
        </is>
      </c>
    </row>
    <row r="3">
      <c r="L3" s="1" t="inlineStr">
        <is>
          <t>X'X (4x4), calibration years</t>
        </is>
      </c>
      <c r="Q3" s="1" t="inlineStr">
        <is>
          <t>(X'X)^-1</t>
        </is>
      </c>
      <c r="V3" s="1" t="inlineStr">
        <is>
          <t>GCM application</t>
        </is>
      </c>
    </row>
    <row r="4">
      <c r="A4" s="1" t="inlineStr">
        <is>
          <t>statistics of the calibration years (original units)</t>
        </is>
      </c>
      <c r="L4" s="4">
        <f>COUNT(B14:B53)</f>
        <v/>
      </c>
      <c r="M4" s="4">
        <f>SUM(B14:B53)</f>
        <v/>
      </c>
      <c r="N4" s="4">
        <f>SUM(C14:C53)</f>
        <v/>
      </c>
      <c r="O4" s="4">
        <f>SUM(D14:D53)</f>
        <v/>
      </c>
      <c r="Q4" s="7">
        <f t="array" ref="Q4:T7">MINVERSE(L4:O7)</f>
        <v/>
      </c>
      <c r="R4" s="7" t="n"/>
      <c r="S4" s="7" t="n"/>
      <c r="T4" s="7" t="n"/>
      <c r="V4" s="1" t="inlineStr">
        <is>
          <t>GCM base-period statistics, 1951-2005</t>
        </is>
      </c>
    </row>
    <row r="5">
      <c r="B5" s="3" t="inlineStr">
        <is>
          <t>x_1</t>
        </is>
      </c>
      <c r="C5" s="3" t="inlineStr">
        <is>
          <t>x_2</t>
        </is>
      </c>
      <c r="D5" s="3" t="inlineStr">
        <is>
          <t>x_3</t>
        </is>
      </c>
      <c r="E5" s="3" t="inlineStr">
        <is>
          <t>y</t>
        </is>
      </c>
      <c r="L5" s="4">
        <f>SUM(B14:B53)</f>
        <v/>
      </c>
      <c r="M5" s="4">
        <f>SUMPRODUCT(B14:B53,B14:B53)</f>
        <v/>
      </c>
      <c r="N5" s="4">
        <f>SUMPRODUCT(B14:B53,C14:C53)</f>
        <v/>
      </c>
      <c r="O5" s="4">
        <f>SUMPRODUCT(B14:B53,D14:D53)</f>
        <v/>
      </c>
      <c r="Q5" s="7" t="n"/>
      <c r="R5" s="7" t="n"/>
      <c r="S5" s="7" t="n"/>
      <c r="T5" s="7" t="n"/>
      <c r="V5" s="2" t="inlineStr">
        <is>
          <t>mean</t>
        </is>
      </c>
      <c r="W5" s="4">
        <f>AVERAGE(W14:W68)</f>
        <v/>
      </c>
      <c r="X5" s="4">
        <f>AVERAGE(X14:X68)</f>
        <v/>
      </c>
      <c r="Y5" s="4">
        <f>AVERAGE(Y14:Y68)</f>
        <v/>
      </c>
    </row>
    <row r="6">
      <c r="A6" s="2" t="inlineStr">
        <is>
          <t>mean (x_bar, y_bar)</t>
        </is>
      </c>
      <c r="B6" s="4">
        <f>AVERAGE(Data!B4:B43)</f>
        <v/>
      </c>
      <c r="C6" s="4">
        <f>AVERAGE(Data!C4:C43)</f>
        <v/>
      </c>
      <c r="D6" s="4">
        <f>AVERAGE(Data!D4:D43)</f>
        <v/>
      </c>
      <c r="E6" s="4">
        <f>AVERAGE(Data!E4:E43)</f>
        <v/>
      </c>
      <c r="L6" s="4">
        <f>SUM(C14:C53)</f>
        <v/>
      </c>
      <c r="M6" s="4">
        <f>SUMPRODUCT(C14:C53,B14:B53)</f>
        <v/>
      </c>
      <c r="N6" s="4">
        <f>SUMPRODUCT(C14:C53,C14:C53)</f>
        <v/>
      </c>
      <c r="O6" s="4">
        <f>SUMPRODUCT(C14:C53,D14:D53)</f>
        <v/>
      </c>
      <c r="Q6" s="7" t="n"/>
      <c r="R6" s="7" t="n"/>
      <c r="S6" s="7" t="n"/>
      <c r="T6" s="7" t="n"/>
      <c r="V6" s="2" t="inlineStr">
        <is>
          <t>std dev</t>
        </is>
      </c>
      <c r="W6" s="4">
        <f>STDEV(W14:W68)</f>
        <v/>
      </c>
      <c r="X6" s="4">
        <f>STDEV(X14:X68)</f>
        <v/>
      </c>
      <c r="Y6" s="4">
        <f>STDEV(Y14:Y68)</f>
        <v/>
      </c>
    </row>
    <row r="7">
      <c r="A7" s="2" t="inlineStr">
        <is>
          <t>std dev (s_x, s_y)</t>
        </is>
      </c>
      <c r="B7" s="4">
        <f>STDEV(Data!B4:B43)</f>
        <v/>
      </c>
      <c r="C7" s="4">
        <f>STDEV(Data!C4:C43)</f>
        <v/>
      </c>
      <c r="D7" s="4">
        <f>STDEV(Data!D4:D43)</f>
        <v/>
      </c>
      <c r="E7" s="4">
        <f>STDEV(Data!E4:E43)</f>
        <v/>
      </c>
      <c r="L7" s="4">
        <f>SUM(D14:D53)</f>
        <v/>
      </c>
      <c r="M7" s="4">
        <f>SUMPRODUCT(D14:D53,B14:B53)</f>
        <v/>
      </c>
      <c r="N7" s="4">
        <f>SUMPRODUCT(D14:D53,C14:C53)</f>
        <v/>
      </c>
      <c r="O7" s="4">
        <f>SUMPRODUCT(D14:D53,D14:D53)</f>
        <v/>
      </c>
      <c r="Q7" s="7" t="n"/>
      <c r="R7" s="7" t="n"/>
      <c r="S7" s="7" t="n"/>
      <c r="T7" s="7" t="n"/>
    </row>
    <row r="8">
      <c r="V8" s="2" t="inlineStr">
        <is>
          <t>mean y_hat_org 1951-2005 (base)</t>
        </is>
      </c>
      <c r="Z8" s="6">
        <f>AVERAGE(AD14:AD68)</f>
        <v/>
      </c>
    </row>
    <row r="9">
      <c r="L9" s="1" t="inlineStr">
        <is>
          <t>X'y</t>
        </is>
      </c>
      <c r="N9" s="1" t="inlineStr">
        <is>
          <t>beta_hat (Eq. 5.12)</t>
        </is>
      </c>
      <c r="V9" s="2" t="inlineStr">
        <is>
          <t>mean y_hat_org 2071-2100 (future)</t>
        </is>
      </c>
      <c r="Z9" s="6">
        <f>AVERAGE(AD134:AD163)</f>
        <v/>
      </c>
    </row>
    <row r="10">
      <c r="L10" s="4">
        <f>SUM(E14:E53)</f>
        <v/>
      </c>
      <c r="M10" s="2" t="inlineStr">
        <is>
          <t>beta_0</t>
        </is>
      </c>
      <c r="N10" s="4">
        <f t="array" ref="N10:N13">MMULT(Q4:T7,L10:L13)</f>
        <v/>
      </c>
      <c r="V10" s="2" t="inlineStr">
        <is>
          <t>change (deg C)</t>
        </is>
      </c>
      <c r="Z10" s="6">
        <f>Z9-Z8</f>
        <v/>
      </c>
    </row>
    <row r="11">
      <c r="L11" s="4">
        <f>SUMPRODUCT(B14:B53,E14:E53)</f>
        <v/>
      </c>
      <c r="M11" s="2" t="inlineStr">
        <is>
          <t>beta_1 (SLP)</t>
        </is>
      </c>
      <c r="N11" s="4" t="n"/>
    </row>
    <row r="12">
      <c r="L12" s="4">
        <f>SUMPRODUCT(C14:C53,E14:E53)</f>
        <v/>
      </c>
      <c r="M12" s="2" t="inlineStr">
        <is>
          <t>beta_2 (q)</t>
        </is>
      </c>
      <c r="N12" s="4" t="n"/>
    </row>
    <row r="13" ht="32" customHeight="1">
      <c r="A13" s="3" t="inlineStr">
        <is>
          <t>year</t>
        </is>
      </c>
      <c r="B13" s="3" t="inlineStr">
        <is>
          <t>x_1 (std)</t>
        </is>
      </c>
      <c r="C13" s="3" t="inlineStr">
        <is>
          <t>x_2 (std)</t>
        </is>
      </c>
      <c r="D13" s="3" t="inlineStr">
        <is>
          <t>x_3 (std)</t>
        </is>
      </c>
      <c r="E13" s="3" t="inlineStr">
        <is>
          <t>y (std)</t>
        </is>
      </c>
      <c r="F13" s="3" t="inlineStr">
        <is>
          <t>y_hat (std)</t>
        </is>
      </c>
      <c r="G13" s="3" t="inlineStr">
        <is>
          <t>y_hat_org (deg C)</t>
        </is>
      </c>
      <c r="H13" s="3" t="inlineStr">
        <is>
          <t>y_org (deg C)</t>
        </is>
      </c>
      <c r="I13" s="3" t="inlineStr">
        <is>
          <t>eps = y - y_hat (std)</t>
        </is>
      </c>
      <c r="J13" s="3" t="inlineStr">
        <is>
          <t>eps^2</t>
        </is>
      </c>
      <c r="L13" s="4">
        <f>SUMPRODUCT(D14:D53,E14:E53)</f>
        <v/>
      </c>
      <c r="M13" s="2" t="inlineStr">
        <is>
          <t>beta_3 (T_air)</t>
        </is>
      </c>
      <c r="N13" s="4" t="n"/>
      <c r="V13" s="3" t="inlineStr">
        <is>
          <t>year</t>
        </is>
      </c>
      <c r="W13" s="3" t="inlineStr">
        <is>
          <t>x_1_org (hPa)</t>
        </is>
      </c>
      <c r="X13" s="3" t="inlineStr">
        <is>
          <t>x_2_org (g/kg)</t>
        </is>
      </c>
      <c r="Y13" s="3" t="inlineStr">
        <is>
          <t>x_3_org (deg C)</t>
        </is>
      </c>
      <c r="Z13" s="3" t="inlineStr">
        <is>
          <t>x_1 (std)</t>
        </is>
      </c>
      <c r="AA13" s="3" t="inlineStr">
        <is>
          <t>x_2 (std)</t>
        </is>
      </c>
      <c r="AB13" s="3" t="inlineStr">
        <is>
          <t>x_3 (std)</t>
        </is>
      </c>
      <c r="AC13" s="3" t="inlineStr">
        <is>
          <t>y_hat (std)</t>
        </is>
      </c>
      <c r="AD13" s="3" t="inlineStr">
        <is>
          <t>y_hat_org (deg C)</t>
        </is>
      </c>
    </row>
    <row r="14">
      <c r="A14" s="2">
        <f>Data!A4</f>
        <v/>
      </c>
      <c r="B14" s="6">
        <f>(Data!B4-B$6)/B$7</f>
        <v/>
      </c>
      <c r="C14" s="6">
        <f>(Data!C4-C$6)/C$7</f>
        <v/>
      </c>
      <c r="D14" s="6">
        <f>(Data!D4-D$6)/D$7</f>
        <v/>
      </c>
      <c r="E14" s="6">
        <f>(Data!E4-E$6)/E$7</f>
        <v/>
      </c>
      <c r="F14" s="6">
        <f>$N$10+$N$11*B14+$N$12*C14+$N$13*D14</f>
        <v/>
      </c>
      <c r="G14" s="6">
        <f>F14*$E$7+$E$6</f>
        <v/>
      </c>
      <c r="H14" s="6">
        <f>Data!E4</f>
        <v/>
      </c>
      <c r="I14" s="6">
        <f>E14-F14</f>
        <v/>
      </c>
      <c r="J14" s="4">
        <f>I14^2</f>
        <v/>
      </c>
      <c r="V14" s="2">
        <f>Data!G4</f>
        <v/>
      </c>
      <c r="W14" s="6">
        <f>Data!H4/100</f>
        <v/>
      </c>
      <c r="X14" s="6">
        <f>Data!I4*1000</f>
        <v/>
      </c>
      <c r="Y14" s="6">
        <f>Data!J4-273.15</f>
        <v/>
      </c>
      <c r="Z14" s="6">
        <f>(W14-W$5)/W$6</f>
        <v/>
      </c>
      <c r="AA14" s="6">
        <f>(X14-X$5)/X$6</f>
        <v/>
      </c>
      <c r="AB14" s="6">
        <f>(Y14-Y$5)/Y$6</f>
        <v/>
      </c>
      <c r="AC14" s="6">
        <f>$N$10+$N$11*Z14+$N$12*AA14+$N$13*AB14</f>
        <v/>
      </c>
      <c r="AD14" s="6">
        <f>AC14*$E$7+$E$6</f>
        <v/>
      </c>
    </row>
    <row r="15">
      <c r="A15" s="2">
        <f>Data!A5</f>
        <v/>
      </c>
      <c r="B15" s="6">
        <f>(Data!B5-B$6)/B$7</f>
        <v/>
      </c>
      <c r="C15" s="6">
        <f>(Data!C5-C$6)/C$7</f>
        <v/>
      </c>
      <c r="D15" s="6">
        <f>(Data!D5-D$6)/D$7</f>
        <v/>
      </c>
      <c r="E15" s="6">
        <f>(Data!E5-E$6)/E$7</f>
        <v/>
      </c>
      <c r="F15" s="6">
        <f>$N$10+$N$11*B15+$N$12*C15+$N$13*D15</f>
        <v/>
      </c>
      <c r="G15" s="6">
        <f>F15*$E$7+$E$6</f>
        <v/>
      </c>
      <c r="H15" s="6">
        <f>Data!E5</f>
        <v/>
      </c>
      <c r="I15" s="6">
        <f>E15-F15</f>
        <v/>
      </c>
      <c r="J15" s="4">
        <f>I15^2</f>
        <v/>
      </c>
      <c r="L15" s="1" t="inlineStr">
        <is>
          <t>Fit statistics</t>
        </is>
      </c>
      <c r="V15" s="2">
        <f>Data!G5</f>
        <v/>
      </c>
      <c r="W15" s="6">
        <f>Data!H5/100</f>
        <v/>
      </c>
      <c r="X15" s="6">
        <f>Data!I5*1000</f>
        <v/>
      </c>
      <c r="Y15" s="6">
        <f>Data!J5-273.15</f>
        <v/>
      </c>
      <c r="Z15" s="6">
        <f>(W15-W$5)/W$6</f>
        <v/>
      </c>
      <c r="AA15" s="6">
        <f>(X15-X$5)/X$6</f>
        <v/>
      </c>
      <c r="AB15" s="6">
        <f>(Y15-Y$5)/Y$6</f>
        <v/>
      </c>
      <c r="AC15" s="6">
        <f>$N$10+$N$11*Z15+$N$12*AA15+$N$13*AB15</f>
        <v/>
      </c>
      <c r="AD15" s="6">
        <f>AC15*$E$7+$E$6</f>
        <v/>
      </c>
    </row>
    <row r="16">
      <c r="A16" s="2">
        <f>Data!A6</f>
        <v/>
      </c>
      <c r="B16" s="6">
        <f>(Data!B6-B$6)/B$7</f>
        <v/>
      </c>
      <c r="C16" s="6">
        <f>(Data!C6-C$6)/C$7</f>
        <v/>
      </c>
      <c r="D16" s="6">
        <f>(Data!D6-D$6)/D$7</f>
        <v/>
      </c>
      <c r="E16" s="6">
        <f>(Data!E6-E$6)/E$7</f>
        <v/>
      </c>
      <c r="F16" s="6">
        <f>$N$10+$N$11*B16+$N$12*C16+$N$13*D16</f>
        <v/>
      </c>
      <c r="G16" s="6">
        <f>F16*$E$7+$E$6</f>
        <v/>
      </c>
      <c r="H16" s="6">
        <f>Data!E6</f>
        <v/>
      </c>
      <c r="I16" s="6">
        <f>E16-F16</f>
        <v/>
      </c>
      <c r="J16" s="4">
        <f>I16^2</f>
        <v/>
      </c>
      <c r="L16" s="2">
        <f>COUNT(B14:B53)</f>
        <v/>
      </c>
      <c r="M16" s="2" t="inlineStr">
        <is>
          <t>n (calibration years)</t>
        </is>
      </c>
      <c r="V16" s="2">
        <f>Data!G6</f>
        <v/>
      </c>
      <c r="W16" s="6">
        <f>Data!H6/100</f>
        <v/>
      </c>
      <c r="X16" s="6">
        <f>Data!I6*1000</f>
        <v/>
      </c>
      <c r="Y16" s="6">
        <f>Data!J6-273.15</f>
        <v/>
      </c>
      <c r="Z16" s="6">
        <f>(W16-W$5)/W$6</f>
        <v/>
      </c>
      <c r="AA16" s="6">
        <f>(X16-X$5)/X$6</f>
        <v/>
      </c>
      <c r="AB16" s="6">
        <f>(Y16-Y$5)/Y$6</f>
        <v/>
      </c>
      <c r="AC16" s="6">
        <f>$N$10+$N$11*Z16+$N$12*AA16+$N$13*AB16</f>
        <v/>
      </c>
      <c r="AD16" s="6">
        <f>AC16*$E$7+$E$6</f>
        <v/>
      </c>
    </row>
    <row r="17">
      <c r="A17" s="2">
        <f>Data!A7</f>
        <v/>
      </c>
      <c r="B17" s="6">
        <f>(Data!B7-B$6)/B$7</f>
        <v/>
      </c>
      <c r="C17" s="6">
        <f>(Data!C7-C$6)/C$7</f>
        <v/>
      </c>
      <c r="D17" s="6">
        <f>(Data!D7-D$6)/D$7</f>
        <v/>
      </c>
      <c r="E17" s="6">
        <f>(Data!E7-E$6)/E$7</f>
        <v/>
      </c>
      <c r="F17" s="6">
        <f>$N$10+$N$11*B17+$N$12*C17+$N$13*D17</f>
        <v/>
      </c>
      <c r="G17" s="6">
        <f>F17*$E$7+$E$6</f>
        <v/>
      </c>
      <c r="H17" s="6">
        <f>Data!E7</f>
        <v/>
      </c>
      <c r="I17" s="6">
        <f>E17-F17</f>
        <v/>
      </c>
      <c r="J17" s="4">
        <f>I17^2</f>
        <v/>
      </c>
      <c r="L17" s="5" t="n">
        <v>3</v>
      </c>
      <c r="M17" s="2" t="inlineStr">
        <is>
          <t>S (number of predictors)</t>
        </is>
      </c>
      <c r="V17" s="2">
        <f>Data!G7</f>
        <v/>
      </c>
      <c r="W17" s="6">
        <f>Data!H7/100</f>
        <v/>
      </c>
      <c r="X17" s="6">
        <f>Data!I7*1000</f>
        <v/>
      </c>
      <c r="Y17" s="6">
        <f>Data!J7-273.15</f>
        <v/>
      </c>
      <c r="Z17" s="6">
        <f>(W17-W$5)/W$6</f>
        <v/>
      </c>
      <c r="AA17" s="6">
        <f>(X17-X$5)/X$6</f>
        <v/>
      </c>
      <c r="AB17" s="6">
        <f>(Y17-Y$5)/Y$6</f>
        <v/>
      </c>
      <c r="AC17" s="6">
        <f>$N$10+$N$11*Z17+$N$12*AA17+$N$13*AB17</f>
        <v/>
      </c>
      <c r="AD17" s="6">
        <f>AC17*$E$7+$E$6</f>
        <v/>
      </c>
    </row>
    <row r="18">
      <c r="A18" s="2">
        <f>Data!A8</f>
        <v/>
      </c>
      <c r="B18" s="6">
        <f>(Data!B8-B$6)/B$7</f>
        <v/>
      </c>
      <c r="C18" s="6">
        <f>(Data!C8-C$6)/C$7</f>
        <v/>
      </c>
      <c r="D18" s="6">
        <f>(Data!D8-D$6)/D$7</f>
        <v/>
      </c>
      <c r="E18" s="6">
        <f>(Data!E8-E$6)/E$7</f>
        <v/>
      </c>
      <c r="F18" s="6">
        <f>$N$10+$N$11*B18+$N$12*C18+$N$13*D18</f>
        <v/>
      </c>
      <c r="G18" s="6">
        <f>F18*$E$7+$E$6</f>
        <v/>
      </c>
      <c r="H18" s="6">
        <f>Data!E8</f>
        <v/>
      </c>
      <c r="I18" s="6">
        <f>E18-F18</f>
        <v/>
      </c>
      <c r="J18" s="4">
        <f>I18^2</f>
        <v/>
      </c>
      <c r="L18" s="4">
        <f>SUM(J14:J53)</f>
        <v/>
      </c>
      <c r="M18" s="2" t="inlineStr">
        <is>
          <t>SSE (standardised y)</t>
        </is>
      </c>
      <c r="V18" s="2">
        <f>Data!G8</f>
        <v/>
      </c>
      <c r="W18" s="6">
        <f>Data!H8/100</f>
        <v/>
      </c>
      <c r="X18" s="6">
        <f>Data!I8*1000</f>
        <v/>
      </c>
      <c r="Y18" s="6">
        <f>Data!J8-273.15</f>
        <v/>
      </c>
      <c r="Z18" s="6">
        <f>(W18-W$5)/W$6</f>
        <v/>
      </c>
      <c r="AA18" s="6">
        <f>(X18-X$5)/X$6</f>
        <v/>
      </c>
      <c r="AB18" s="6">
        <f>(Y18-Y$5)/Y$6</f>
        <v/>
      </c>
      <c r="AC18" s="6">
        <f>$N$10+$N$11*Z18+$N$12*AA18+$N$13*AB18</f>
        <v/>
      </c>
      <c r="AD18" s="6">
        <f>AC18*$E$7+$E$6</f>
        <v/>
      </c>
    </row>
    <row r="19">
      <c r="A19" s="2">
        <f>Data!A9</f>
        <v/>
      </c>
      <c r="B19" s="6">
        <f>(Data!B9-B$6)/B$7</f>
        <v/>
      </c>
      <c r="C19" s="6">
        <f>(Data!C9-C$6)/C$7</f>
        <v/>
      </c>
      <c r="D19" s="6">
        <f>(Data!D9-D$6)/D$7</f>
        <v/>
      </c>
      <c r="E19" s="6">
        <f>(Data!E9-E$6)/E$7</f>
        <v/>
      </c>
      <c r="F19" s="6">
        <f>$N$10+$N$11*B19+$N$12*C19+$N$13*D19</f>
        <v/>
      </c>
      <c r="G19" s="6">
        <f>F19*$E$7+$E$6</f>
        <v/>
      </c>
      <c r="H19" s="6">
        <f>Data!E9</f>
        <v/>
      </c>
      <c r="I19" s="6">
        <f>E19-F19</f>
        <v/>
      </c>
      <c r="J19" s="4">
        <f>I19^2</f>
        <v/>
      </c>
      <c r="L19" s="4">
        <f>L18/(L16-L17-1)</f>
        <v/>
      </c>
      <c r="M19" s="2" t="inlineStr">
        <is>
          <t>s_eps^2 = SSE/(n-S-1)</t>
        </is>
      </c>
      <c r="V19" s="2">
        <f>Data!G9</f>
        <v/>
      </c>
      <c r="W19" s="6">
        <f>Data!H9/100</f>
        <v/>
      </c>
      <c r="X19" s="6">
        <f>Data!I9*1000</f>
        <v/>
      </c>
      <c r="Y19" s="6">
        <f>Data!J9-273.15</f>
        <v/>
      </c>
      <c r="Z19" s="6">
        <f>(W19-W$5)/W$6</f>
        <v/>
      </c>
      <c r="AA19" s="6">
        <f>(X19-X$5)/X$6</f>
        <v/>
      </c>
      <c r="AB19" s="6">
        <f>(Y19-Y$5)/Y$6</f>
        <v/>
      </c>
      <c r="AC19" s="6">
        <f>$N$10+$N$11*Z19+$N$12*AA19+$N$13*AB19</f>
        <v/>
      </c>
      <c r="AD19" s="6">
        <f>AC19*$E$7+$E$6</f>
        <v/>
      </c>
    </row>
    <row r="20">
      <c r="A20" s="2">
        <f>Data!A10</f>
        <v/>
      </c>
      <c r="B20" s="6">
        <f>(Data!B10-B$6)/B$7</f>
        <v/>
      </c>
      <c r="C20" s="6">
        <f>(Data!C10-C$6)/C$7</f>
        <v/>
      </c>
      <c r="D20" s="6">
        <f>(Data!D10-D$6)/D$7</f>
        <v/>
      </c>
      <c r="E20" s="6">
        <f>(Data!E10-E$6)/E$7</f>
        <v/>
      </c>
      <c r="F20" s="6">
        <f>$N$10+$N$11*B20+$N$12*C20+$N$13*D20</f>
        <v/>
      </c>
      <c r="G20" s="6">
        <f>F20*$E$7+$E$6</f>
        <v/>
      </c>
      <c r="H20" s="6">
        <f>Data!E10</f>
        <v/>
      </c>
      <c r="I20" s="6">
        <f>E20-F20</f>
        <v/>
      </c>
      <c r="J20" s="4">
        <f>I20^2</f>
        <v/>
      </c>
      <c r="L20" s="4">
        <f>SQRT(L19)*E7</f>
        <v/>
      </c>
      <c r="M20" s="2" t="inlineStr">
        <is>
          <t>s_eps (deg C)</t>
        </is>
      </c>
      <c r="V20" s="2">
        <f>Data!G10</f>
        <v/>
      </c>
      <c r="W20" s="6">
        <f>Data!H10/100</f>
        <v/>
      </c>
      <c r="X20" s="6">
        <f>Data!I10*1000</f>
        <v/>
      </c>
      <c r="Y20" s="6">
        <f>Data!J10-273.15</f>
        <v/>
      </c>
      <c r="Z20" s="6">
        <f>(W20-W$5)/W$6</f>
        <v/>
      </c>
      <c r="AA20" s="6">
        <f>(X20-X$5)/X$6</f>
        <v/>
      </c>
      <c r="AB20" s="6">
        <f>(Y20-Y$5)/Y$6</f>
        <v/>
      </c>
      <c r="AC20" s="6">
        <f>$N$10+$N$11*Z20+$N$12*AA20+$N$13*AB20</f>
        <v/>
      </c>
      <c r="AD20" s="6">
        <f>AC20*$E$7+$E$6</f>
        <v/>
      </c>
    </row>
    <row r="21">
      <c r="A21" s="2">
        <f>Data!A11</f>
        <v/>
      </c>
      <c r="B21" s="6">
        <f>(Data!B11-B$6)/B$7</f>
        <v/>
      </c>
      <c r="C21" s="6">
        <f>(Data!C11-C$6)/C$7</f>
        <v/>
      </c>
      <c r="D21" s="6">
        <f>(Data!D11-D$6)/D$7</f>
        <v/>
      </c>
      <c r="E21" s="6">
        <f>(Data!E11-E$6)/E$7</f>
        <v/>
      </c>
      <c r="F21" s="6">
        <f>$N$10+$N$11*B21+$N$12*C21+$N$13*D21</f>
        <v/>
      </c>
      <c r="G21" s="6">
        <f>F21*$E$7+$E$6</f>
        <v/>
      </c>
      <c r="H21" s="6">
        <f>Data!E11</f>
        <v/>
      </c>
      <c r="I21" s="6">
        <f>E21-F21</f>
        <v/>
      </c>
      <c r="J21" s="4">
        <f>I21^2</f>
        <v/>
      </c>
      <c r="L21" s="4">
        <f>DEVSQ(E14:E53)</f>
        <v/>
      </c>
      <c r="M21" s="2" t="inlineStr">
        <is>
          <t>SST (standardised y)</t>
        </is>
      </c>
      <c r="V21" s="2">
        <f>Data!G11</f>
        <v/>
      </c>
      <c r="W21" s="6">
        <f>Data!H11/100</f>
        <v/>
      </c>
      <c r="X21" s="6">
        <f>Data!I11*1000</f>
        <v/>
      </c>
      <c r="Y21" s="6">
        <f>Data!J11-273.15</f>
        <v/>
      </c>
      <c r="Z21" s="6">
        <f>(W21-W$5)/W$6</f>
        <v/>
      </c>
      <c r="AA21" s="6">
        <f>(X21-X$5)/X$6</f>
        <v/>
      </c>
      <c r="AB21" s="6">
        <f>(Y21-Y$5)/Y$6</f>
        <v/>
      </c>
      <c r="AC21" s="6">
        <f>$N$10+$N$11*Z21+$N$12*AA21+$N$13*AB21</f>
        <v/>
      </c>
      <c r="AD21" s="6">
        <f>AC21*$E$7+$E$6</f>
        <v/>
      </c>
    </row>
    <row r="22">
      <c r="A22" s="2">
        <f>Data!A12</f>
        <v/>
      </c>
      <c r="B22" s="6">
        <f>(Data!B12-B$6)/B$7</f>
        <v/>
      </c>
      <c r="C22" s="6">
        <f>(Data!C12-C$6)/C$7</f>
        <v/>
      </c>
      <c r="D22" s="6">
        <f>(Data!D12-D$6)/D$7</f>
        <v/>
      </c>
      <c r="E22" s="6">
        <f>(Data!E12-E$6)/E$7</f>
        <v/>
      </c>
      <c r="F22" s="6">
        <f>$N$10+$N$11*B22+$N$12*C22+$N$13*D22</f>
        <v/>
      </c>
      <c r="G22" s="6">
        <f>F22*$E$7+$E$6</f>
        <v/>
      </c>
      <c r="H22" s="6">
        <f>Data!E12</f>
        <v/>
      </c>
      <c r="I22" s="6">
        <f>E22-F22</f>
        <v/>
      </c>
      <c r="J22" s="4">
        <f>I22^2</f>
        <v/>
      </c>
      <c r="L22" s="4">
        <f>1-L18/L21</f>
        <v/>
      </c>
      <c r="M22" s="2" t="inlineStr">
        <is>
          <t>R^2 = 1 - SSE/SST</t>
        </is>
      </c>
      <c r="V22" s="2">
        <f>Data!G12</f>
        <v/>
      </c>
      <c r="W22" s="6">
        <f>Data!H12/100</f>
        <v/>
      </c>
      <c r="X22" s="6">
        <f>Data!I12*1000</f>
        <v/>
      </c>
      <c r="Y22" s="6">
        <f>Data!J12-273.15</f>
        <v/>
      </c>
      <c r="Z22" s="6">
        <f>(W22-W$5)/W$6</f>
        <v/>
      </c>
      <c r="AA22" s="6">
        <f>(X22-X$5)/X$6</f>
        <v/>
      </c>
      <c r="AB22" s="6">
        <f>(Y22-Y$5)/Y$6</f>
        <v/>
      </c>
      <c r="AC22" s="6">
        <f>$N$10+$N$11*Z22+$N$12*AA22+$N$13*AB22</f>
        <v/>
      </c>
      <c r="AD22" s="6">
        <f>AC22*$E$7+$E$6</f>
        <v/>
      </c>
    </row>
    <row r="23">
      <c r="A23" s="2">
        <f>Data!A13</f>
        <v/>
      </c>
      <c r="B23" s="6">
        <f>(Data!B13-B$6)/B$7</f>
        <v/>
      </c>
      <c r="C23" s="6">
        <f>(Data!C13-C$6)/C$7</f>
        <v/>
      </c>
      <c r="D23" s="6">
        <f>(Data!D13-D$6)/D$7</f>
        <v/>
      </c>
      <c r="E23" s="6">
        <f>(Data!E13-E$6)/E$7</f>
        <v/>
      </c>
      <c r="F23" s="6">
        <f>$N$10+$N$11*B23+$N$12*C23+$N$13*D23</f>
        <v/>
      </c>
      <c r="G23" s="6">
        <f>F23*$E$7+$E$6</f>
        <v/>
      </c>
      <c r="H23" s="6">
        <f>Data!E13</f>
        <v/>
      </c>
      <c r="I23" s="6">
        <f>E23-F23</f>
        <v/>
      </c>
      <c r="J23" s="4">
        <f>I23^2</f>
        <v/>
      </c>
      <c r="L23" s="2">
        <f>L16-L17-1</f>
        <v/>
      </c>
      <c r="M23" s="2" t="inlineStr">
        <is>
          <t>degrees of freedom n-S-1</t>
        </is>
      </c>
      <c r="V23" s="2">
        <f>Data!G13</f>
        <v/>
      </c>
      <c r="W23" s="6">
        <f>Data!H13/100</f>
        <v/>
      </c>
      <c r="X23" s="6">
        <f>Data!I13*1000</f>
        <v/>
      </c>
      <c r="Y23" s="6">
        <f>Data!J13-273.15</f>
        <v/>
      </c>
      <c r="Z23" s="6">
        <f>(W23-W$5)/W$6</f>
        <v/>
      </c>
      <c r="AA23" s="6">
        <f>(X23-X$5)/X$6</f>
        <v/>
      </c>
      <c r="AB23" s="6">
        <f>(Y23-Y$5)/Y$6</f>
        <v/>
      </c>
      <c r="AC23" s="6">
        <f>$N$10+$N$11*Z23+$N$12*AA23+$N$13*AB23</f>
        <v/>
      </c>
      <c r="AD23" s="6">
        <f>AC23*$E$7+$E$6</f>
        <v/>
      </c>
    </row>
    <row r="24">
      <c r="A24" s="2">
        <f>Data!A14</f>
        <v/>
      </c>
      <c r="B24" s="6">
        <f>(Data!B14-B$6)/B$7</f>
        <v/>
      </c>
      <c r="C24" s="6">
        <f>(Data!C14-C$6)/C$7</f>
        <v/>
      </c>
      <c r="D24" s="6">
        <f>(Data!D14-D$6)/D$7</f>
        <v/>
      </c>
      <c r="E24" s="6">
        <f>(Data!E14-E$6)/E$7</f>
        <v/>
      </c>
      <c r="F24" s="6">
        <f>$N$10+$N$11*B24+$N$12*C24+$N$13*D24</f>
        <v/>
      </c>
      <c r="G24" s="6">
        <f>F24*$E$7+$E$6</f>
        <v/>
      </c>
      <c r="H24" s="6">
        <f>Data!E14</f>
        <v/>
      </c>
      <c r="I24" s="6">
        <f>E24-F24</f>
        <v/>
      </c>
      <c r="J24" s="4">
        <f>I24^2</f>
        <v/>
      </c>
      <c r="L24" s="4">
        <f>TINV(0.05,L23)</f>
        <v/>
      </c>
      <c r="M24" s="2" t="inlineStr">
        <is>
          <t>t_(alpha/2, n-S-1), alpha = 0.05</t>
        </is>
      </c>
      <c r="V24" s="2">
        <f>Data!G14</f>
        <v/>
      </c>
      <c r="W24" s="6">
        <f>Data!H14/100</f>
        <v/>
      </c>
      <c r="X24" s="6">
        <f>Data!I14*1000</f>
        <v/>
      </c>
      <c r="Y24" s="6">
        <f>Data!J14-273.15</f>
        <v/>
      </c>
      <c r="Z24" s="6">
        <f>(W24-W$5)/W$6</f>
        <v/>
      </c>
      <c r="AA24" s="6">
        <f>(X24-X$5)/X$6</f>
        <v/>
      </c>
      <c r="AB24" s="6">
        <f>(Y24-Y$5)/Y$6</f>
        <v/>
      </c>
      <c r="AC24" s="6">
        <f>$N$10+$N$11*Z24+$N$12*AA24+$N$13*AB24</f>
        <v/>
      </c>
      <c r="AD24" s="6">
        <f>AC24*$E$7+$E$6</f>
        <v/>
      </c>
    </row>
    <row r="25">
      <c r="A25" s="2">
        <f>Data!A15</f>
        <v/>
      </c>
      <c r="B25" s="6">
        <f>(Data!B15-B$6)/B$7</f>
        <v/>
      </c>
      <c r="C25" s="6">
        <f>(Data!C15-C$6)/C$7</f>
        <v/>
      </c>
      <c r="D25" s="6">
        <f>(Data!D15-D$6)/D$7</f>
        <v/>
      </c>
      <c r="E25" s="6">
        <f>(Data!E15-E$6)/E$7</f>
        <v/>
      </c>
      <c r="F25" s="6">
        <f>$N$10+$N$11*B25+$N$12*C25+$N$13*D25</f>
        <v/>
      </c>
      <c r="G25" s="6">
        <f>F25*$E$7+$E$6</f>
        <v/>
      </c>
      <c r="H25" s="6">
        <f>Data!E15</f>
        <v/>
      </c>
      <c r="I25" s="6">
        <f>E25-F25</f>
        <v/>
      </c>
      <c r="J25" s="4">
        <f>I25^2</f>
        <v/>
      </c>
      <c r="V25" s="2">
        <f>Data!G15</f>
        <v/>
      </c>
      <c r="W25" s="6">
        <f>Data!H15/100</f>
        <v/>
      </c>
      <c r="X25" s="6">
        <f>Data!I15*1000</f>
        <v/>
      </c>
      <c r="Y25" s="6">
        <f>Data!J15-273.15</f>
        <v/>
      </c>
      <c r="Z25" s="6">
        <f>(W25-W$5)/W$6</f>
        <v/>
      </c>
      <c r="AA25" s="6">
        <f>(X25-X$5)/X$6</f>
        <v/>
      </c>
      <c r="AB25" s="6">
        <f>(Y25-Y$5)/Y$6</f>
        <v/>
      </c>
      <c r="AC25" s="6">
        <f>$N$10+$N$11*Z25+$N$12*AA25+$N$13*AB25</f>
        <v/>
      </c>
      <c r="AD25" s="6">
        <f>AC25*$E$7+$E$6</f>
        <v/>
      </c>
    </row>
    <row r="26">
      <c r="A26" s="2">
        <f>Data!A16</f>
        <v/>
      </c>
      <c r="B26" s="6">
        <f>(Data!B16-B$6)/B$7</f>
        <v/>
      </c>
      <c r="C26" s="6">
        <f>(Data!C16-C$6)/C$7</f>
        <v/>
      </c>
      <c r="D26" s="6">
        <f>(Data!D16-D$6)/D$7</f>
        <v/>
      </c>
      <c r="E26" s="6">
        <f>(Data!E16-E$6)/E$7</f>
        <v/>
      </c>
      <c r="F26" s="6">
        <f>$N$10+$N$11*B26+$N$12*C26+$N$13*D26</f>
        <v/>
      </c>
      <c r="G26" s="6">
        <f>F26*$E$7+$E$6</f>
        <v/>
      </c>
      <c r="H26" s="6">
        <f>Data!E16</f>
        <v/>
      </c>
      <c r="I26" s="6">
        <f>E26-F26</f>
        <v/>
      </c>
      <c r="J26" s="4">
        <f>I26^2</f>
        <v/>
      </c>
      <c r="L26" s="1" t="inlineStr">
        <is>
          <t>coefficient table (standardised units)</t>
        </is>
      </c>
      <c r="V26" s="2">
        <f>Data!G16</f>
        <v/>
      </c>
      <c r="W26" s="6">
        <f>Data!H16/100</f>
        <v/>
      </c>
      <c r="X26" s="6">
        <f>Data!I16*1000</f>
        <v/>
      </c>
      <c r="Y26" s="6">
        <f>Data!J16-273.15</f>
        <v/>
      </c>
      <c r="Z26" s="6">
        <f>(W26-W$5)/W$6</f>
        <v/>
      </c>
      <c r="AA26" s="6">
        <f>(X26-X$5)/X$6</f>
        <v/>
      </c>
      <c r="AB26" s="6">
        <f>(Y26-Y$5)/Y$6</f>
        <v/>
      </c>
      <c r="AC26" s="6">
        <f>$N$10+$N$11*Z26+$N$12*AA26+$N$13*AB26</f>
        <v/>
      </c>
      <c r="AD26" s="6">
        <f>AC26*$E$7+$E$6</f>
        <v/>
      </c>
    </row>
    <row r="27">
      <c r="A27" s="2">
        <f>Data!A17</f>
        <v/>
      </c>
      <c r="B27" s="6">
        <f>(Data!B17-B$6)/B$7</f>
        <v/>
      </c>
      <c r="C27" s="6">
        <f>(Data!C17-C$6)/C$7</f>
        <v/>
      </c>
      <c r="D27" s="6">
        <f>(Data!D17-D$6)/D$7</f>
        <v/>
      </c>
      <c r="E27" s="6">
        <f>(Data!E17-E$6)/E$7</f>
        <v/>
      </c>
      <c r="F27" s="6">
        <f>$N$10+$N$11*B27+$N$12*C27+$N$13*D27</f>
        <v/>
      </c>
      <c r="G27" s="6">
        <f>F27*$E$7+$E$6</f>
        <v/>
      </c>
      <c r="H27" s="6">
        <f>Data!E17</f>
        <v/>
      </c>
      <c r="I27" s="6">
        <f>E27-F27</f>
        <v/>
      </c>
      <c r="J27" s="4">
        <f>I27^2</f>
        <v/>
      </c>
      <c r="M27" s="3" t="inlineStr">
        <is>
          <t>beta_hat_j</t>
        </is>
      </c>
      <c r="N27" s="3" t="inlineStr">
        <is>
          <t>s_beta_j</t>
        </is>
      </c>
      <c r="O27" s="3" t="inlineStr">
        <is>
          <t>T_j</t>
        </is>
      </c>
      <c r="P27" s="3" t="inlineStr">
        <is>
          <t>p-value</t>
        </is>
      </c>
      <c r="V27" s="2">
        <f>Data!G17</f>
        <v/>
      </c>
      <c r="W27" s="6">
        <f>Data!H17/100</f>
        <v/>
      </c>
      <c r="X27" s="6">
        <f>Data!I17*1000</f>
        <v/>
      </c>
      <c r="Y27" s="6">
        <f>Data!J17-273.15</f>
        <v/>
      </c>
      <c r="Z27" s="6">
        <f>(W27-W$5)/W$6</f>
        <v/>
      </c>
      <c r="AA27" s="6">
        <f>(X27-X$5)/X$6</f>
        <v/>
      </c>
      <c r="AB27" s="6">
        <f>(Y27-Y$5)/Y$6</f>
        <v/>
      </c>
      <c r="AC27" s="6">
        <f>$N$10+$N$11*Z27+$N$12*AA27+$N$13*AB27</f>
        <v/>
      </c>
      <c r="AD27" s="6">
        <f>AC27*$E$7+$E$6</f>
        <v/>
      </c>
    </row>
    <row r="28">
      <c r="A28" s="2">
        <f>Data!A18</f>
        <v/>
      </c>
      <c r="B28" s="6">
        <f>(Data!B18-B$6)/B$7</f>
        <v/>
      </c>
      <c r="C28" s="6">
        <f>(Data!C18-C$6)/C$7</f>
        <v/>
      </c>
      <c r="D28" s="6">
        <f>(Data!D18-D$6)/D$7</f>
        <v/>
      </c>
      <c r="E28" s="6">
        <f>(Data!E18-E$6)/E$7</f>
        <v/>
      </c>
      <c r="F28" s="6">
        <f>$N$10+$N$11*B28+$N$12*C28+$N$13*D28</f>
        <v/>
      </c>
      <c r="G28" s="6">
        <f>F28*$E$7+$E$6</f>
        <v/>
      </c>
      <c r="H28" s="6">
        <f>Data!E18</f>
        <v/>
      </c>
      <c r="I28" s="6">
        <f>E28-F28</f>
        <v/>
      </c>
      <c r="J28" s="4">
        <f>I28^2</f>
        <v/>
      </c>
      <c r="L28" s="2" t="inlineStr">
        <is>
          <t>beta_0</t>
        </is>
      </c>
      <c r="M28" s="4">
        <f>N10</f>
        <v/>
      </c>
      <c r="N28" s="4">
        <f>SQRT($L$19*INDEX($Q$4:$T$7,1,1))</f>
        <v/>
      </c>
      <c r="O28" s="6">
        <f>IF(N28=0,0,M28/N28)</f>
        <v/>
      </c>
      <c r="P28" s="4">
        <f>TDIST(ABS(O28),$L$23,2)</f>
        <v/>
      </c>
      <c r="V28" s="2">
        <f>Data!G18</f>
        <v/>
      </c>
      <c r="W28" s="6">
        <f>Data!H18/100</f>
        <v/>
      </c>
      <c r="X28" s="6">
        <f>Data!I18*1000</f>
        <v/>
      </c>
      <c r="Y28" s="6">
        <f>Data!J18-273.15</f>
        <v/>
      </c>
      <c r="Z28" s="6">
        <f>(W28-W$5)/W$6</f>
        <v/>
      </c>
      <c r="AA28" s="6">
        <f>(X28-X$5)/X$6</f>
        <v/>
      </c>
      <c r="AB28" s="6">
        <f>(Y28-Y$5)/Y$6</f>
        <v/>
      </c>
      <c r="AC28" s="6">
        <f>$N$10+$N$11*Z28+$N$12*AA28+$N$13*AB28</f>
        <v/>
      </c>
      <c r="AD28" s="6">
        <f>AC28*$E$7+$E$6</f>
        <v/>
      </c>
    </row>
    <row r="29">
      <c r="A29" s="2">
        <f>Data!A19</f>
        <v/>
      </c>
      <c r="B29" s="6">
        <f>(Data!B19-B$6)/B$7</f>
        <v/>
      </c>
      <c r="C29" s="6">
        <f>(Data!C19-C$6)/C$7</f>
        <v/>
      </c>
      <c r="D29" s="6">
        <f>(Data!D19-D$6)/D$7</f>
        <v/>
      </c>
      <c r="E29" s="6">
        <f>(Data!E19-E$6)/E$7</f>
        <v/>
      </c>
      <c r="F29" s="6">
        <f>$N$10+$N$11*B29+$N$12*C29+$N$13*D29</f>
        <v/>
      </c>
      <c r="G29" s="6">
        <f>F29*$E$7+$E$6</f>
        <v/>
      </c>
      <c r="H29" s="6">
        <f>Data!E19</f>
        <v/>
      </c>
      <c r="I29" s="6">
        <f>E29-F29</f>
        <v/>
      </c>
      <c r="J29" s="4">
        <f>I29^2</f>
        <v/>
      </c>
      <c r="L29" s="2" t="inlineStr">
        <is>
          <t>beta_1 (SLP)</t>
        </is>
      </c>
      <c r="M29" s="4">
        <f>N11</f>
        <v/>
      </c>
      <c r="N29" s="4">
        <f>SQRT($L$19*INDEX($Q$4:$T$7,2,2))</f>
        <v/>
      </c>
      <c r="O29" s="6">
        <f>IF(N29=0,0,M29/N29)</f>
        <v/>
      </c>
      <c r="P29" s="4">
        <f>TDIST(ABS(O29),$L$23,2)</f>
        <v/>
      </c>
      <c r="V29" s="2">
        <f>Data!G19</f>
        <v/>
      </c>
      <c r="W29" s="6">
        <f>Data!H19/100</f>
        <v/>
      </c>
      <c r="X29" s="6">
        <f>Data!I19*1000</f>
        <v/>
      </c>
      <c r="Y29" s="6">
        <f>Data!J19-273.15</f>
        <v/>
      </c>
      <c r="Z29" s="6">
        <f>(W29-W$5)/W$6</f>
        <v/>
      </c>
      <c r="AA29" s="6">
        <f>(X29-X$5)/X$6</f>
        <v/>
      </c>
      <c r="AB29" s="6">
        <f>(Y29-Y$5)/Y$6</f>
        <v/>
      </c>
      <c r="AC29" s="6">
        <f>$N$10+$N$11*Z29+$N$12*AA29+$N$13*AB29</f>
        <v/>
      </c>
      <c r="AD29" s="6">
        <f>AC29*$E$7+$E$6</f>
        <v/>
      </c>
    </row>
    <row r="30">
      <c r="A30" s="2">
        <f>Data!A20</f>
        <v/>
      </c>
      <c r="B30" s="6">
        <f>(Data!B20-B$6)/B$7</f>
        <v/>
      </c>
      <c r="C30" s="6">
        <f>(Data!C20-C$6)/C$7</f>
        <v/>
      </c>
      <c r="D30" s="6">
        <f>(Data!D20-D$6)/D$7</f>
        <v/>
      </c>
      <c r="E30" s="6">
        <f>(Data!E20-E$6)/E$7</f>
        <v/>
      </c>
      <c r="F30" s="6">
        <f>$N$10+$N$11*B30+$N$12*C30+$N$13*D30</f>
        <v/>
      </c>
      <c r="G30" s="6">
        <f>F30*$E$7+$E$6</f>
        <v/>
      </c>
      <c r="H30" s="6">
        <f>Data!E20</f>
        <v/>
      </c>
      <c r="I30" s="6">
        <f>E30-F30</f>
        <v/>
      </c>
      <c r="J30" s="4">
        <f>I30^2</f>
        <v/>
      </c>
      <c r="L30" s="2" t="inlineStr">
        <is>
          <t>beta_2 (q)</t>
        </is>
      </c>
      <c r="M30" s="4">
        <f>N12</f>
        <v/>
      </c>
      <c r="N30" s="4">
        <f>SQRT($L$19*INDEX($Q$4:$T$7,3,3))</f>
        <v/>
      </c>
      <c r="O30" s="6">
        <f>IF(N30=0,0,M30/N30)</f>
        <v/>
      </c>
      <c r="P30" s="4">
        <f>TDIST(ABS(O30),$L$23,2)</f>
        <v/>
      </c>
      <c r="V30" s="2">
        <f>Data!G20</f>
        <v/>
      </c>
      <c r="W30" s="6">
        <f>Data!H20/100</f>
        <v/>
      </c>
      <c r="X30" s="6">
        <f>Data!I20*1000</f>
        <v/>
      </c>
      <c r="Y30" s="6">
        <f>Data!J20-273.15</f>
        <v/>
      </c>
      <c r="Z30" s="6">
        <f>(W30-W$5)/W$6</f>
        <v/>
      </c>
      <c r="AA30" s="6">
        <f>(X30-X$5)/X$6</f>
        <v/>
      </c>
      <c r="AB30" s="6">
        <f>(Y30-Y$5)/Y$6</f>
        <v/>
      </c>
      <c r="AC30" s="6">
        <f>$N$10+$N$11*Z30+$N$12*AA30+$N$13*AB30</f>
        <v/>
      </c>
      <c r="AD30" s="6">
        <f>AC30*$E$7+$E$6</f>
        <v/>
      </c>
    </row>
    <row r="31">
      <c r="A31" s="2">
        <f>Data!A21</f>
        <v/>
      </c>
      <c r="B31" s="6">
        <f>(Data!B21-B$6)/B$7</f>
        <v/>
      </c>
      <c r="C31" s="6">
        <f>(Data!C21-C$6)/C$7</f>
        <v/>
      </c>
      <c r="D31" s="6">
        <f>(Data!D21-D$6)/D$7</f>
        <v/>
      </c>
      <c r="E31" s="6">
        <f>(Data!E21-E$6)/E$7</f>
        <v/>
      </c>
      <c r="F31" s="6">
        <f>$N$10+$N$11*B31+$N$12*C31+$N$13*D31</f>
        <v/>
      </c>
      <c r="G31" s="6">
        <f>F31*$E$7+$E$6</f>
        <v/>
      </c>
      <c r="H31" s="6">
        <f>Data!E21</f>
        <v/>
      </c>
      <c r="I31" s="6">
        <f>E31-F31</f>
        <v/>
      </c>
      <c r="J31" s="4">
        <f>I31^2</f>
        <v/>
      </c>
      <c r="L31" s="2" t="inlineStr">
        <is>
          <t>beta_3 (T_air)</t>
        </is>
      </c>
      <c r="M31" s="4">
        <f>N13</f>
        <v/>
      </c>
      <c r="N31" s="4">
        <f>SQRT($L$19*INDEX($Q$4:$T$7,4,4))</f>
        <v/>
      </c>
      <c r="O31" s="6">
        <f>IF(N31=0,0,M31/N31)</f>
        <v/>
      </c>
      <c r="P31" s="4">
        <f>TDIST(ABS(O31),$L$23,2)</f>
        <v/>
      </c>
      <c r="V31" s="2">
        <f>Data!G21</f>
        <v/>
      </c>
      <c r="W31" s="6">
        <f>Data!H21/100</f>
        <v/>
      </c>
      <c r="X31" s="6">
        <f>Data!I21*1000</f>
        <v/>
      </c>
      <c r="Y31" s="6">
        <f>Data!J21-273.15</f>
        <v/>
      </c>
      <c r="Z31" s="6">
        <f>(W31-W$5)/W$6</f>
        <v/>
      </c>
      <c r="AA31" s="6">
        <f>(X31-X$5)/X$6</f>
        <v/>
      </c>
      <c r="AB31" s="6">
        <f>(Y31-Y$5)/Y$6</f>
        <v/>
      </c>
      <c r="AC31" s="6">
        <f>$N$10+$N$11*Z31+$N$12*AA31+$N$13*AB31</f>
        <v/>
      </c>
      <c r="AD31" s="6">
        <f>AC31*$E$7+$E$6</f>
        <v/>
      </c>
    </row>
    <row r="32">
      <c r="A32" s="2">
        <f>Data!A22</f>
        <v/>
      </c>
      <c r="B32" s="6">
        <f>(Data!B22-B$6)/B$7</f>
        <v/>
      </c>
      <c r="C32" s="6">
        <f>(Data!C22-C$6)/C$7</f>
        <v/>
      </c>
      <c r="D32" s="6">
        <f>(Data!D22-D$6)/D$7</f>
        <v/>
      </c>
      <c r="E32" s="6">
        <f>(Data!E22-E$6)/E$7</f>
        <v/>
      </c>
      <c r="F32" s="6">
        <f>$N$10+$N$11*B32+$N$12*C32+$N$13*D32</f>
        <v/>
      </c>
      <c r="G32" s="6">
        <f>F32*$E$7+$E$6</f>
        <v/>
      </c>
      <c r="H32" s="6">
        <f>Data!E22</f>
        <v/>
      </c>
      <c r="I32" s="6">
        <f>E32-F32</f>
        <v/>
      </c>
      <c r="J32" s="4">
        <f>I32^2</f>
        <v/>
      </c>
      <c r="V32" s="2">
        <f>Data!G22</f>
        <v/>
      </c>
      <c r="W32" s="6">
        <f>Data!H22/100</f>
        <v/>
      </c>
      <c r="X32" s="6">
        <f>Data!I22*1000</f>
        <v/>
      </c>
      <c r="Y32" s="6">
        <f>Data!J22-273.15</f>
        <v/>
      </c>
      <c r="Z32" s="6">
        <f>(W32-W$5)/W$6</f>
        <v/>
      </c>
      <c r="AA32" s="6">
        <f>(X32-X$5)/X$6</f>
        <v/>
      </c>
      <c r="AB32" s="6">
        <f>(Y32-Y$5)/Y$6</f>
        <v/>
      </c>
      <c r="AC32" s="6">
        <f>$N$10+$N$11*Z32+$N$12*AA32+$N$13*AB32</f>
        <v/>
      </c>
      <c r="AD32" s="6">
        <f>AC32*$E$7+$E$6</f>
        <v/>
      </c>
    </row>
    <row r="33">
      <c r="A33" s="2">
        <f>Data!A23</f>
        <v/>
      </c>
      <c r="B33" s="6">
        <f>(Data!B23-B$6)/B$7</f>
        <v/>
      </c>
      <c r="C33" s="6">
        <f>(Data!C23-C$6)/C$7</f>
        <v/>
      </c>
      <c r="D33" s="6">
        <f>(Data!D23-D$6)/D$7</f>
        <v/>
      </c>
      <c r="E33" s="6">
        <f>(Data!E23-E$6)/E$7</f>
        <v/>
      </c>
      <c r="F33" s="6">
        <f>$N$10+$N$11*B33+$N$12*C33+$N$13*D33</f>
        <v/>
      </c>
      <c r="G33" s="6">
        <f>F33*$E$7+$E$6</f>
        <v/>
      </c>
      <c r="H33" s="6">
        <f>Data!E23</f>
        <v/>
      </c>
      <c r="I33" s="6">
        <f>E33-F33</f>
        <v/>
      </c>
      <c r="J33" s="4">
        <f>I33^2</f>
        <v/>
      </c>
      <c r="V33" s="2">
        <f>Data!G23</f>
        <v/>
      </c>
      <c r="W33" s="6">
        <f>Data!H23/100</f>
        <v/>
      </c>
      <c r="X33" s="6">
        <f>Data!I23*1000</f>
        <v/>
      </c>
      <c r="Y33" s="6">
        <f>Data!J23-273.15</f>
        <v/>
      </c>
      <c r="Z33" s="6">
        <f>(W33-W$5)/W$6</f>
        <v/>
      </c>
      <c r="AA33" s="6">
        <f>(X33-X$5)/X$6</f>
        <v/>
      </c>
      <c r="AB33" s="6">
        <f>(Y33-Y$5)/Y$6</f>
        <v/>
      </c>
      <c r="AC33" s="6">
        <f>$N$10+$N$11*Z33+$N$12*AA33+$N$13*AB33</f>
        <v/>
      </c>
      <c r="AD33" s="6">
        <f>AC33*$E$7+$E$6</f>
        <v/>
      </c>
    </row>
    <row r="34">
      <c r="A34" s="2">
        <f>Data!A24</f>
        <v/>
      </c>
      <c r="B34" s="6">
        <f>(Data!B24-B$6)/B$7</f>
        <v/>
      </c>
      <c r="C34" s="6">
        <f>(Data!C24-C$6)/C$7</f>
        <v/>
      </c>
      <c r="D34" s="6">
        <f>(Data!D24-D$6)/D$7</f>
        <v/>
      </c>
      <c r="E34" s="6">
        <f>(Data!E24-E$6)/E$7</f>
        <v/>
      </c>
      <c r="F34" s="6">
        <f>$N$10+$N$11*B34+$N$12*C34+$N$13*D34</f>
        <v/>
      </c>
      <c r="G34" s="6">
        <f>F34*$E$7+$E$6</f>
        <v/>
      </c>
      <c r="H34" s="6">
        <f>Data!E24</f>
        <v/>
      </c>
      <c r="I34" s="6">
        <f>E34-F34</f>
        <v/>
      </c>
      <c r="J34" s="4">
        <f>I34^2</f>
        <v/>
      </c>
      <c r="V34" s="2">
        <f>Data!G24</f>
        <v/>
      </c>
      <c r="W34" s="6">
        <f>Data!H24/100</f>
        <v/>
      </c>
      <c r="X34" s="6">
        <f>Data!I24*1000</f>
        <v/>
      </c>
      <c r="Y34" s="6">
        <f>Data!J24-273.15</f>
        <v/>
      </c>
      <c r="Z34" s="6">
        <f>(W34-W$5)/W$6</f>
        <v/>
      </c>
      <c r="AA34" s="6">
        <f>(X34-X$5)/X$6</f>
        <v/>
      </c>
      <c r="AB34" s="6">
        <f>(Y34-Y$5)/Y$6</f>
        <v/>
      </c>
      <c r="AC34" s="6">
        <f>$N$10+$N$11*Z34+$N$12*AA34+$N$13*AB34</f>
        <v/>
      </c>
      <c r="AD34" s="6">
        <f>AC34*$E$7+$E$6</f>
        <v/>
      </c>
    </row>
    <row r="35">
      <c r="A35" s="2">
        <f>Data!A25</f>
        <v/>
      </c>
      <c r="B35" s="6">
        <f>(Data!B25-B$6)/B$7</f>
        <v/>
      </c>
      <c r="C35" s="6">
        <f>(Data!C25-C$6)/C$7</f>
        <v/>
      </c>
      <c r="D35" s="6">
        <f>(Data!D25-D$6)/D$7</f>
        <v/>
      </c>
      <c r="E35" s="6">
        <f>(Data!E25-E$6)/E$7</f>
        <v/>
      </c>
      <c r="F35" s="6">
        <f>$N$10+$N$11*B35+$N$12*C35+$N$13*D35</f>
        <v/>
      </c>
      <c r="G35" s="6">
        <f>F35*$E$7+$E$6</f>
        <v/>
      </c>
      <c r="H35" s="6">
        <f>Data!E25</f>
        <v/>
      </c>
      <c r="I35" s="6">
        <f>E35-F35</f>
        <v/>
      </c>
      <c r="J35" s="4">
        <f>I35^2</f>
        <v/>
      </c>
      <c r="V35" s="2">
        <f>Data!G25</f>
        <v/>
      </c>
      <c r="W35" s="6">
        <f>Data!H25/100</f>
        <v/>
      </c>
      <c r="X35" s="6">
        <f>Data!I25*1000</f>
        <v/>
      </c>
      <c r="Y35" s="6">
        <f>Data!J25-273.15</f>
        <v/>
      </c>
      <c r="Z35" s="6">
        <f>(W35-W$5)/W$6</f>
        <v/>
      </c>
      <c r="AA35" s="6">
        <f>(X35-X$5)/X$6</f>
        <v/>
      </c>
      <c r="AB35" s="6">
        <f>(Y35-Y$5)/Y$6</f>
        <v/>
      </c>
      <c r="AC35" s="6">
        <f>$N$10+$N$11*Z35+$N$12*AA35+$N$13*AB35</f>
        <v/>
      </c>
      <c r="AD35" s="6">
        <f>AC35*$E$7+$E$6</f>
        <v/>
      </c>
    </row>
    <row r="36">
      <c r="A36" s="2">
        <f>Data!A26</f>
        <v/>
      </c>
      <c r="B36" s="6">
        <f>(Data!B26-B$6)/B$7</f>
        <v/>
      </c>
      <c r="C36" s="6">
        <f>(Data!C26-C$6)/C$7</f>
        <v/>
      </c>
      <c r="D36" s="6">
        <f>(Data!D26-D$6)/D$7</f>
        <v/>
      </c>
      <c r="E36" s="6">
        <f>(Data!E26-E$6)/E$7</f>
        <v/>
      </c>
      <c r="F36" s="6">
        <f>$N$10+$N$11*B36+$N$12*C36+$N$13*D36</f>
        <v/>
      </c>
      <c r="G36" s="6">
        <f>F36*$E$7+$E$6</f>
        <v/>
      </c>
      <c r="H36" s="6">
        <f>Data!E26</f>
        <v/>
      </c>
      <c r="I36" s="6">
        <f>E36-F36</f>
        <v/>
      </c>
      <c r="J36" s="4">
        <f>I36^2</f>
        <v/>
      </c>
      <c r="V36" s="2">
        <f>Data!G26</f>
        <v/>
      </c>
      <c r="W36" s="6">
        <f>Data!H26/100</f>
        <v/>
      </c>
      <c r="X36" s="6">
        <f>Data!I26*1000</f>
        <v/>
      </c>
      <c r="Y36" s="6">
        <f>Data!J26-273.15</f>
        <v/>
      </c>
      <c r="Z36" s="6">
        <f>(W36-W$5)/W$6</f>
        <v/>
      </c>
      <c r="AA36" s="6">
        <f>(X36-X$5)/X$6</f>
        <v/>
      </c>
      <c r="AB36" s="6">
        <f>(Y36-Y$5)/Y$6</f>
        <v/>
      </c>
      <c r="AC36" s="6">
        <f>$N$10+$N$11*Z36+$N$12*AA36+$N$13*AB36</f>
        <v/>
      </c>
      <c r="AD36" s="6">
        <f>AC36*$E$7+$E$6</f>
        <v/>
      </c>
    </row>
    <row r="37">
      <c r="A37" s="2">
        <f>Data!A27</f>
        <v/>
      </c>
      <c r="B37" s="6">
        <f>(Data!B27-B$6)/B$7</f>
        <v/>
      </c>
      <c r="C37" s="6">
        <f>(Data!C27-C$6)/C$7</f>
        <v/>
      </c>
      <c r="D37" s="6">
        <f>(Data!D27-D$6)/D$7</f>
        <v/>
      </c>
      <c r="E37" s="6">
        <f>(Data!E27-E$6)/E$7</f>
        <v/>
      </c>
      <c r="F37" s="6">
        <f>$N$10+$N$11*B37+$N$12*C37+$N$13*D37</f>
        <v/>
      </c>
      <c r="G37" s="6">
        <f>F37*$E$7+$E$6</f>
        <v/>
      </c>
      <c r="H37" s="6">
        <f>Data!E27</f>
        <v/>
      </c>
      <c r="I37" s="6">
        <f>E37-F37</f>
        <v/>
      </c>
      <c r="J37" s="4">
        <f>I37^2</f>
        <v/>
      </c>
      <c r="V37" s="2">
        <f>Data!G27</f>
        <v/>
      </c>
      <c r="W37" s="6">
        <f>Data!H27/100</f>
        <v/>
      </c>
      <c r="X37" s="6">
        <f>Data!I27*1000</f>
        <v/>
      </c>
      <c r="Y37" s="6">
        <f>Data!J27-273.15</f>
        <v/>
      </c>
      <c r="Z37" s="6">
        <f>(W37-W$5)/W$6</f>
        <v/>
      </c>
      <c r="AA37" s="6">
        <f>(X37-X$5)/X$6</f>
        <v/>
      </c>
      <c r="AB37" s="6">
        <f>(Y37-Y$5)/Y$6</f>
        <v/>
      </c>
      <c r="AC37" s="6">
        <f>$N$10+$N$11*Z37+$N$12*AA37+$N$13*AB37</f>
        <v/>
      </c>
      <c r="AD37" s="6">
        <f>AC37*$E$7+$E$6</f>
        <v/>
      </c>
    </row>
    <row r="38">
      <c r="A38" s="2">
        <f>Data!A28</f>
        <v/>
      </c>
      <c r="B38" s="6">
        <f>(Data!B28-B$6)/B$7</f>
        <v/>
      </c>
      <c r="C38" s="6">
        <f>(Data!C28-C$6)/C$7</f>
        <v/>
      </c>
      <c r="D38" s="6">
        <f>(Data!D28-D$6)/D$7</f>
        <v/>
      </c>
      <c r="E38" s="6">
        <f>(Data!E28-E$6)/E$7</f>
        <v/>
      </c>
      <c r="F38" s="6">
        <f>$N$10+$N$11*B38+$N$12*C38+$N$13*D38</f>
        <v/>
      </c>
      <c r="G38" s="6">
        <f>F38*$E$7+$E$6</f>
        <v/>
      </c>
      <c r="H38" s="6">
        <f>Data!E28</f>
        <v/>
      </c>
      <c r="I38" s="6">
        <f>E38-F38</f>
        <v/>
      </c>
      <c r="J38" s="4">
        <f>I38^2</f>
        <v/>
      </c>
      <c r="V38" s="2">
        <f>Data!G28</f>
        <v/>
      </c>
      <c r="W38" s="6">
        <f>Data!H28/100</f>
        <v/>
      </c>
      <c r="X38" s="6">
        <f>Data!I28*1000</f>
        <v/>
      </c>
      <c r="Y38" s="6">
        <f>Data!J28-273.15</f>
        <v/>
      </c>
      <c r="Z38" s="6">
        <f>(W38-W$5)/W$6</f>
        <v/>
      </c>
      <c r="AA38" s="6">
        <f>(X38-X$5)/X$6</f>
        <v/>
      </c>
      <c r="AB38" s="6">
        <f>(Y38-Y$5)/Y$6</f>
        <v/>
      </c>
      <c r="AC38" s="6">
        <f>$N$10+$N$11*Z38+$N$12*AA38+$N$13*AB38</f>
        <v/>
      </c>
      <c r="AD38" s="6">
        <f>AC38*$E$7+$E$6</f>
        <v/>
      </c>
    </row>
    <row r="39">
      <c r="A39" s="2">
        <f>Data!A29</f>
        <v/>
      </c>
      <c r="B39" s="6">
        <f>(Data!B29-B$6)/B$7</f>
        <v/>
      </c>
      <c r="C39" s="6">
        <f>(Data!C29-C$6)/C$7</f>
        <v/>
      </c>
      <c r="D39" s="6">
        <f>(Data!D29-D$6)/D$7</f>
        <v/>
      </c>
      <c r="E39" s="6">
        <f>(Data!E29-E$6)/E$7</f>
        <v/>
      </c>
      <c r="F39" s="6">
        <f>$N$10+$N$11*B39+$N$12*C39+$N$13*D39</f>
        <v/>
      </c>
      <c r="G39" s="6">
        <f>F39*$E$7+$E$6</f>
        <v/>
      </c>
      <c r="H39" s="6">
        <f>Data!E29</f>
        <v/>
      </c>
      <c r="I39" s="6">
        <f>E39-F39</f>
        <v/>
      </c>
      <c r="J39" s="4">
        <f>I39^2</f>
        <v/>
      </c>
      <c r="V39" s="2">
        <f>Data!G29</f>
        <v/>
      </c>
      <c r="W39" s="6">
        <f>Data!H29/100</f>
        <v/>
      </c>
      <c r="X39" s="6">
        <f>Data!I29*1000</f>
        <v/>
      </c>
      <c r="Y39" s="6">
        <f>Data!J29-273.15</f>
        <v/>
      </c>
      <c r="Z39" s="6">
        <f>(W39-W$5)/W$6</f>
        <v/>
      </c>
      <c r="AA39" s="6">
        <f>(X39-X$5)/X$6</f>
        <v/>
      </c>
      <c r="AB39" s="6">
        <f>(Y39-Y$5)/Y$6</f>
        <v/>
      </c>
      <c r="AC39" s="6">
        <f>$N$10+$N$11*Z39+$N$12*AA39+$N$13*AB39</f>
        <v/>
      </c>
      <c r="AD39" s="6">
        <f>AC39*$E$7+$E$6</f>
        <v/>
      </c>
    </row>
    <row r="40">
      <c r="A40" s="2">
        <f>Data!A30</f>
        <v/>
      </c>
      <c r="B40" s="6">
        <f>(Data!B30-B$6)/B$7</f>
        <v/>
      </c>
      <c r="C40" s="6">
        <f>(Data!C30-C$6)/C$7</f>
        <v/>
      </c>
      <c r="D40" s="6">
        <f>(Data!D30-D$6)/D$7</f>
        <v/>
      </c>
      <c r="E40" s="6">
        <f>(Data!E30-E$6)/E$7</f>
        <v/>
      </c>
      <c r="F40" s="6">
        <f>$N$10+$N$11*B40+$N$12*C40+$N$13*D40</f>
        <v/>
      </c>
      <c r="G40" s="6">
        <f>F40*$E$7+$E$6</f>
        <v/>
      </c>
      <c r="H40" s="6">
        <f>Data!E30</f>
        <v/>
      </c>
      <c r="I40" s="6">
        <f>E40-F40</f>
        <v/>
      </c>
      <c r="J40" s="4">
        <f>I40^2</f>
        <v/>
      </c>
      <c r="V40" s="2">
        <f>Data!G30</f>
        <v/>
      </c>
      <c r="W40" s="6">
        <f>Data!H30/100</f>
        <v/>
      </c>
      <c r="X40" s="6">
        <f>Data!I30*1000</f>
        <v/>
      </c>
      <c r="Y40" s="6">
        <f>Data!J30-273.15</f>
        <v/>
      </c>
      <c r="Z40" s="6">
        <f>(W40-W$5)/W$6</f>
        <v/>
      </c>
      <c r="AA40" s="6">
        <f>(X40-X$5)/X$6</f>
        <v/>
      </c>
      <c r="AB40" s="6">
        <f>(Y40-Y$5)/Y$6</f>
        <v/>
      </c>
      <c r="AC40" s="6">
        <f>$N$10+$N$11*Z40+$N$12*AA40+$N$13*AB40</f>
        <v/>
      </c>
      <c r="AD40" s="6">
        <f>AC40*$E$7+$E$6</f>
        <v/>
      </c>
    </row>
    <row r="41">
      <c r="A41" s="2">
        <f>Data!A31</f>
        <v/>
      </c>
      <c r="B41" s="6">
        <f>(Data!B31-B$6)/B$7</f>
        <v/>
      </c>
      <c r="C41" s="6">
        <f>(Data!C31-C$6)/C$7</f>
        <v/>
      </c>
      <c r="D41" s="6">
        <f>(Data!D31-D$6)/D$7</f>
        <v/>
      </c>
      <c r="E41" s="6">
        <f>(Data!E31-E$6)/E$7</f>
        <v/>
      </c>
      <c r="F41" s="6">
        <f>$N$10+$N$11*B41+$N$12*C41+$N$13*D41</f>
        <v/>
      </c>
      <c r="G41" s="6">
        <f>F41*$E$7+$E$6</f>
        <v/>
      </c>
      <c r="H41" s="6">
        <f>Data!E31</f>
        <v/>
      </c>
      <c r="I41" s="6">
        <f>E41-F41</f>
        <v/>
      </c>
      <c r="J41" s="4">
        <f>I41^2</f>
        <v/>
      </c>
      <c r="V41" s="2">
        <f>Data!G31</f>
        <v/>
      </c>
      <c r="W41" s="6">
        <f>Data!H31/100</f>
        <v/>
      </c>
      <c r="X41" s="6">
        <f>Data!I31*1000</f>
        <v/>
      </c>
      <c r="Y41" s="6">
        <f>Data!J31-273.15</f>
        <v/>
      </c>
      <c r="Z41" s="6">
        <f>(W41-W$5)/W$6</f>
        <v/>
      </c>
      <c r="AA41" s="6">
        <f>(X41-X$5)/X$6</f>
        <v/>
      </c>
      <c r="AB41" s="6">
        <f>(Y41-Y$5)/Y$6</f>
        <v/>
      </c>
      <c r="AC41" s="6">
        <f>$N$10+$N$11*Z41+$N$12*AA41+$N$13*AB41</f>
        <v/>
      </c>
      <c r="AD41" s="6">
        <f>AC41*$E$7+$E$6</f>
        <v/>
      </c>
    </row>
    <row r="42">
      <c r="A42" s="2">
        <f>Data!A32</f>
        <v/>
      </c>
      <c r="B42" s="6">
        <f>(Data!B32-B$6)/B$7</f>
        <v/>
      </c>
      <c r="C42" s="6">
        <f>(Data!C32-C$6)/C$7</f>
        <v/>
      </c>
      <c r="D42" s="6">
        <f>(Data!D32-D$6)/D$7</f>
        <v/>
      </c>
      <c r="E42" s="6">
        <f>(Data!E32-E$6)/E$7</f>
        <v/>
      </c>
      <c r="F42" s="6">
        <f>$N$10+$N$11*B42+$N$12*C42+$N$13*D42</f>
        <v/>
      </c>
      <c r="G42" s="6">
        <f>F42*$E$7+$E$6</f>
        <v/>
      </c>
      <c r="H42" s="6">
        <f>Data!E32</f>
        <v/>
      </c>
      <c r="I42" s="6">
        <f>E42-F42</f>
        <v/>
      </c>
      <c r="J42" s="4">
        <f>I42^2</f>
        <v/>
      </c>
      <c r="V42" s="2">
        <f>Data!G32</f>
        <v/>
      </c>
      <c r="W42" s="6">
        <f>Data!H32/100</f>
        <v/>
      </c>
      <c r="X42" s="6">
        <f>Data!I32*1000</f>
        <v/>
      </c>
      <c r="Y42" s="6">
        <f>Data!J32-273.15</f>
        <v/>
      </c>
      <c r="Z42" s="6">
        <f>(W42-W$5)/W$6</f>
        <v/>
      </c>
      <c r="AA42" s="6">
        <f>(X42-X$5)/X$6</f>
        <v/>
      </c>
      <c r="AB42" s="6">
        <f>(Y42-Y$5)/Y$6</f>
        <v/>
      </c>
      <c r="AC42" s="6">
        <f>$N$10+$N$11*Z42+$N$12*AA42+$N$13*AB42</f>
        <v/>
      </c>
      <c r="AD42" s="6">
        <f>AC42*$E$7+$E$6</f>
        <v/>
      </c>
    </row>
    <row r="43">
      <c r="A43" s="2">
        <f>Data!A33</f>
        <v/>
      </c>
      <c r="B43" s="6">
        <f>(Data!B33-B$6)/B$7</f>
        <v/>
      </c>
      <c r="C43" s="6">
        <f>(Data!C33-C$6)/C$7</f>
        <v/>
      </c>
      <c r="D43" s="6">
        <f>(Data!D33-D$6)/D$7</f>
        <v/>
      </c>
      <c r="E43" s="6">
        <f>(Data!E33-E$6)/E$7</f>
        <v/>
      </c>
      <c r="F43" s="6">
        <f>$N$10+$N$11*B43+$N$12*C43+$N$13*D43</f>
        <v/>
      </c>
      <c r="G43" s="6">
        <f>F43*$E$7+$E$6</f>
        <v/>
      </c>
      <c r="H43" s="6">
        <f>Data!E33</f>
        <v/>
      </c>
      <c r="I43" s="6">
        <f>E43-F43</f>
        <v/>
      </c>
      <c r="J43" s="4">
        <f>I43^2</f>
        <v/>
      </c>
      <c r="V43" s="2">
        <f>Data!G33</f>
        <v/>
      </c>
      <c r="W43" s="6">
        <f>Data!H33/100</f>
        <v/>
      </c>
      <c r="X43" s="6">
        <f>Data!I33*1000</f>
        <v/>
      </c>
      <c r="Y43" s="6">
        <f>Data!J33-273.15</f>
        <v/>
      </c>
      <c r="Z43" s="6">
        <f>(W43-W$5)/W$6</f>
        <v/>
      </c>
      <c r="AA43" s="6">
        <f>(X43-X$5)/X$6</f>
        <v/>
      </c>
      <c r="AB43" s="6">
        <f>(Y43-Y$5)/Y$6</f>
        <v/>
      </c>
      <c r="AC43" s="6">
        <f>$N$10+$N$11*Z43+$N$12*AA43+$N$13*AB43</f>
        <v/>
      </c>
      <c r="AD43" s="6">
        <f>AC43*$E$7+$E$6</f>
        <v/>
      </c>
    </row>
    <row r="44">
      <c r="A44" s="2">
        <f>Data!A34</f>
        <v/>
      </c>
      <c r="B44" s="6">
        <f>(Data!B34-B$6)/B$7</f>
        <v/>
      </c>
      <c r="C44" s="6">
        <f>(Data!C34-C$6)/C$7</f>
        <v/>
      </c>
      <c r="D44" s="6">
        <f>(Data!D34-D$6)/D$7</f>
        <v/>
      </c>
      <c r="E44" s="6">
        <f>(Data!E34-E$6)/E$7</f>
        <v/>
      </c>
      <c r="F44" s="6">
        <f>$N$10+$N$11*B44+$N$12*C44+$N$13*D44</f>
        <v/>
      </c>
      <c r="G44" s="6">
        <f>F44*$E$7+$E$6</f>
        <v/>
      </c>
      <c r="H44" s="6">
        <f>Data!E34</f>
        <v/>
      </c>
      <c r="I44" s="6">
        <f>E44-F44</f>
        <v/>
      </c>
      <c r="J44" s="4">
        <f>I44^2</f>
        <v/>
      </c>
      <c r="V44" s="2">
        <f>Data!G34</f>
        <v/>
      </c>
      <c r="W44" s="6">
        <f>Data!H34/100</f>
        <v/>
      </c>
      <c r="X44" s="6">
        <f>Data!I34*1000</f>
        <v/>
      </c>
      <c r="Y44" s="6">
        <f>Data!J34-273.15</f>
        <v/>
      </c>
      <c r="Z44" s="6">
        <f>(W44-W$5)/W$6</f>
        <v/>
      </c>
      <c r="AA44" s="6">
        <f>(X44-X$5)/X$6</f>
        <v/>
      </c>
      <c r="AB44" s="6">
        <f>(Y44-Y$5)/Y$6</f>
        <v/>
      </c>
      <c r="AC44" s="6">
        <f>$N$10+$N$11*Z44+$N$12*AA44+$N$13*AB44</f>
        <v/>
      </c>
      <c r="AD44" s="6">
        <f>AC44*$E$7+$E$6</f>
        <v/>
      </c>
    </row>
    <row r="45">
      <c r="A45" s="2">
        <f>Data!A35</f>
        <v/>
      </c>
      <c r="B45" s="6">
        <f>(Data!B35-B$6)/B$7</f>
        <v/>
      </c>
      <c r="C45" s="6">
        <f>(Data!C35-C$6)/C$7</f>
        <v/>
      </c>
      <c r="D45" s="6">
        <f>(Data!D35-D$6)/D$7</f>
        <v/>
      </c>
      <c r="E45" s="6">
        <f>(Data!E35-E$6)/E$7</f>
        <v/>
      </c>
      <c r="F45" s="6">
        <f>$N$10+$N$11*B45+$N$12*C45+$N$13*D45</f>
        <v/>
      </c>
      <c r="G45" s="6">
        <f>F45*$E$7+$E$6</f>
        <v/>
      </c>
      <c r="H45" s="6">
        <f>Data!E35</f>
        <v/>
      </c>
      <c r="I45" s="6">
        <f>E45-F45</f>
        <v/>
      </c>
      <c r="J45" s="4">
        <f>I45^2</f>
        <v/>
      </c>
      <c r="V45" s="2">
        <f>Data!G35</f>
        <v/>
      </c>
      <c r="W45" s="6">
        <f>Data!H35/100</f>
        <v/>
      </c>
      <c r="X45" s="6">
        <f>Data!I35*1000</f>
        <v/>
      </c>
      <c r="Y45" s="6">
        <f>Data!J35-273.15</f>
        <v/>
      </c>
      <c r="Z45" s="6">
        <f>(W45-W$5)/W$6</f>
        <v/>
      </c>
      <c r="AA45" s="6">
        <f>(X45-X$5)/X$6</f>
        <v/>
      </c>
      <c r="AB45" s="6">
        <f>(Y45-Y$5)/Y$6</f>
        <v/>
      </c>
      <c r="AC45" s="6">
        <f>$N$10+$N$11*Z45+$N$12*AA45+$N$13*AB45</f>
        <v/>
      </c>
      <c r="AD45" s="6">
        <f>AC45*$E$7+$E$6</f>
        <v/>
      </c>
    </row>
    <row r="46">
      <c r="A46" s="2">
        <f>Data!A36</f>
        <v/>
      </c>
      <c r="B46" s="6">
        <f>(Data!B36-B$6)/B$7</f>
        <v/>
      </c>
      <c r="C46" s="6">
        <f>(Data!C36-C$6)/C$7</f>
        <v/>
      </c>
      <c r="D46" s="6">
        <f>(Data!D36-D$6)/D$7</f>
        <v/>
      </c>
      <c r="E46" s="6">
        <f>(Data!E36-E$6)/E$7</f>
        <v/>
      </c>
      <c r="F46" s="6">
        <f>$N$10+$N$11*B46+$N$12*C46+$N$13*D46</f>
        <v/>
      </c>
      <c r="G46" s="6">
        <f>F46*$E$7+$E$6</f>
        <v/>
      </c>
      <c r="H46" s="6">
        <f>Data!E36</f>
        <v/>
      </c>
      <c r="I46" s="6">
        <f>E46-F46</f>
        <v/>
      </c>
      <c r="J46" s="4">
        <f>I46^2</f>
        <v/>
      </c>
      <c r="V46" s="2">
        <f>Data!G36</f>
        <v/>
      </c>
      <c r="W46" s="6">
        <f>Data!H36/100</f>
        <v/>
      </c>
      <c r="X46" s="6">
        <f>Data!I36*1000</f>
        <v/>
      </c>
      <c r="Y46" s="6">
        <f>Data!J36-273.15</f>
        <v/>
      </c>
      <c r="Z46" s="6">
        <f>(W46-W$5)/W$6</f>
        <v/>
      </c>
      <c r="AA46" s="6">
        <f>(X46-X$5)/X$6</f>
        <v/>
      </c>
      <c r="AB46" s="6">
        <f>(Y46-Y$5)/Y$6</f>
        <v/>
      </c>
      <c r="AC46" s="6">
        <f>$N$10+$N$11*Z46+$N$12*AA46+$N$13*AB46</f>
        <v/>
      </c>
      <c r="AD46" s="6">
        <f>AC46*$E$7+$E$6</f>
        <v/>
      </c>
    </row>
    <row r="47">
      <c r="A47" s="2">
        <f>Data!A37</f>
        <v/>
      </c>
      <c r="B47" s="6">
        <f>(Data!B37-B$6)/B$7</f>
        <v/>
      </c>
      <c r="C47" s="6">
        <f>(Data!C37-C$6)/C$7</f>
        <v/>
      </c>
      <c r="D47" s="6">
        <f>(Data!D37-D$6)/D$7</f>
        <v/>
      </c>
      <c r="E47" s="6">
        <f>(Data!E37-E$6)/E$7</f>
        <v/>
      </c>
      <c r="F47" s="6">
        <f>$N$10+$N$11*B47+$N$12*C47+$N$13*D47</f>
        <v/>
      </c>
      <c r="G47" s="6">
        <f>F47*$E$7+$E$6</f>
        <v/>
      </c>
      <c r="H47" s="6">
        <f>Data!E37</f>
        <v/>
      </c>
      <c r="I47" s="6">
        <f>E47-F47</f>
        <v/>
      </c>
      <c r="J47" s="4">
        <f>I47^2</f>
        <v/>
      </c>
      <c r="V47" s="2">
        <f>Data!G37</f>
        <v/>
      </c>
      <c r="W47" s="6">
        <f>Data!H37/100</f>
        <v/>
      </c>
      <c r="X47" s="6">
        <f>Data!I37*1000</f>
        <v/>
      </c>
      <c r="Y47" s="6">
        <f>Data!J37-273.15</f>
        <v/>
      </c>
      <c r="Z47" s="6">
        <f>(W47-W$5)/W$6</f>
        <v/>
      </c>
      <c r="AA47" s="6">
        <f>(X47-X$5)/X$6</f>
        <v/>
      </c>
      <c r="AB47" s="6">
        <f>(Y47-Y$5)/Y$6</f>
        <v/>
      </c>
      <c r="AC47" s="6">
        <f>$N$10+$N$11*Z47+$N$12*AA47+$N$13*AB47</f>
        <v/>
      </c>
      <c r="AD47" s="6">
        <f>AC47*$E$7+$E$6</f>
        <v/>
      </c>
    </row>
    <row r="48">
      <c r="A48" s="2">
        <f>Data!A38</f>
        <v/>
      </c>
      <c r="B48" s="6">
        <f>(Data!B38-B$6)/B$7</f>
        <v/>
      </c>
      <c r="C48" s="6">
        <f>(Data!C38-C$6)/C$7</f>
        <v/>
      </c>
      <c r="D48" s="6">
        <f>(Data!D38-D$6)/D$7</f>
        <v/>
      </c>
      <c r="E48" s="6">
        <f>(Data!E38-E$6)/E$7</f>
        <v/>
      </c>
      <c r="F48" s="6">
        <f>$N$10+$N$11*B48+$N$12*C48+$N$13*D48</f>
        <v/>
      </c>
      <c r="G48" s="6">
        <f>F48*$E$7+$E$6</f>
        <v/>
      </c>
      <c r="H48" s="6">
        <f>Data!E38</f>
        <v/>
      </c>
      <c r="I48" s="6">
        <f>E48-F48</f>
        <v/>
      </c>
      <c r="J48" s="4">
        <f>I48^2</f>
        <v/>
      </c>
      <c r="V48" s="2">
        <f>Data!G38</f>
        <v/>
      </c>
      <c r="W48" s="6">
        <f>Data!H38/100</f>
        <v/>
      </c>
      <c r="X48" s="6">
        <f>Data!I38*1000</f>
        <v/>
      </c>
      <c r="Y48" s="6">
        <f>Data!J38-273.15</f>
        <v/>
      </c>
      <c r="Z48" s="6">
        <f>(W48-W$5)/W$6</f>
        <v/>
      </c>
      <c r="AA48" s="6">
        <f>(X48-X$5)/X$6</f>
        <v/>
      </c>
      <c r="AB48" s="6">
        <f>(Y48-Y$5)/Y$6</f>
        <v/>
      </c>
      <c r="AC48" s="6">
        <f>$N$10+$N$11*Z48+$N$12*AA48+$N$13*AB48</f>
        <v/>
      </c>
      <c r="AD48" s="6">
        <f>AC48*$E$7+$E$6</f>
        <v/>
      </c>
    </row>
    <row r="49">
      <c r="A49" s="2">
        <f>Data!A39</f>
        <v/>
      </c>
      <c r="B49" s="6">
        <f>(Data!B39-B$6)/B$7</f>
        <v/>
      </c>
      <c r="C49" s="6">
        <f>(Data!C39-C$6)/C$7</f>
        <v/>
      </c>
      <c r="D49" s="6">
        <f>(Data!D39-D$6)/D$7</f>
        <v/>
      </c>
      <c r="E49" s="6">
        <f>(Data!E39-E$6)/E$7</f>
        <v/>
      </c>
      <c r="F49" s="6">
        <f>$N$10+$N$11*B49+$N$12*C49+$N$13*D49</f>
        <v/>
      </c>
      <c r="G49" s="6">
        <f>F49*$E$7+$E$6</f>
        <v/>
      </c>
      <c r="H49" s="6">
        <f>Data!E39</f>
        <v/>
      </c>
      <c r="I49" s="6">
        <f>E49-F49</f>
        <v/>
      </c>
      <c r="J49" s="4">
        <f>I49^2</f>
        <v/>
      </c>
      <c r="V49" s="2">
        <f>Data!G39</f>
        <v/>
      </c>
      <c r="W49" s="6">
        <f>Data!H39/100</f>
        <v/>
      </c>
      <c r="X49" s="6">
        <f>Data!I39*1000</f>
        <v/>
      </c>
      <c r="Y49" s="6">
        <f>Data!J39-273.15</f>
        <v/>
      </c>
      <c r="Z49" s="6">
        <f>(W49-W$5)/W$6</f>
        <v/>
      </c>
      <c r="AA49" s="6">
        <f>(X49-X$5)/X$6</f>
        <v/>
      </c>
      <c r="AB49" s="6">
        <f>(Y49-Y$5)/Y$6</f>
        <v/>
      </c>
      <c r="AC49" s="6">
        <f>$N$10+$N$11*Z49+$N$12*AA49+$N$13*AB49</f>
        <v/>
      </c>
      <c r="AD49" s="6">
        <f>AC49*$E$7+$E$6</f>
        <v/>
      </c>
    </row>
    <row r="50">
      <c r="A50" s="2">
        <f>Data!A40</f>
        <v/>
      </c>
      <c r="B50" s="6">
        <f>(Data!B40-B$6)/B$7</f>
        <v/>
      </c>
      <c r="C50" s="6">
        <f>(Data!C40-C$6)/C$7</f>
        <v/>
      </c>
      <c r="D50" s="6">
        <f>(Data!D40-D$6)/D$7</f>
        <v/>
      </c>
      <c r="E50" s="6">
        <f>(Data!E40-E$6)/E$7</f>
        <v/>
      </c>
      <c r="F50" s="6">
        <f>$N$10+$N$11*B50+$N$12*C50+$N$13*D50</f>
        <v/>
      </c>
      <c r="G50" s="6">
        <f>F50*$E$7+$E$6</f>
        <v/>
      </c>
      <c r="H50" s="6">
        <f>Data!E40</f>
        <v/>
      </c>
      <c r="I50" s="6">
        <f>E50-F50</f>
        <v/>
      </c>
      <c r="J50" s="4">
        <f>I50^2</f>
        <v/>
      </c>
      <c r="V50" s="2">
        <f>Data!G40</f>
        <v/>
      </c>
      <c r="W50" s="6">
        <f>Data!H40/100</f>
        <v/>
      </c>
      <c r="X50" s="6">
        <f>Data!I40*1000</f>
        <v/>
      </c>
      <c r="Y50" s="6">
        <f>Data!J40-273.15</f>
        <v/>
      </c>
      <c r="Z50" s="6">
        <f>(W50-W$5)/W$6</f>
        <v/>
      </c>
      <c r="AA50" s="6">
        <f>(X50-X$5)/X$6</f>
        <v/>
      </c>
      <c r="AB50" s="6">
        <f>(Y50-Y$5)/Y$6</f>
        <v/>
      </c>
      <c r="AC50" s="6">
        <f>$N$10+$N$11*Z50+$N$12*AA50+$N$13*AB50</f>
        <v/>
      </c>
      <c r="AD50" s="6">
        <f>AC50*$E$7+$E$6</f>
        <v/>
      </c>
    </row>
    <row r="51">
      <c r="A51" s="2">
        <f>Data!A41</f>
        <v/>
      </c>
      <c r="B51" s="6">
        <f>(Data!B41-B$6)/B$7</f>
        <v/>
      </c>
      <c r="C51" s="6">
        <f>(Data!C41-C$6)/C$7</f>
        <v/>
      </c>
      <c r="D51" s="6">
        <f>(Data!D41-D$6)/D$7</f>
        <v/>
      </c>
      <c r="E51" s="6">
        <f>(Data!E41-E$6)/E$7</f>
        <v/>
      </c>
      <c r="F51" s="6">
        <f>$N$10+$N$11*B51+$N$12*C51+$N$13*D51</f>
        <v/>
      </c>
      <c r="G51" s="6">
        <f>F51*$E$7+$E$6</f>
        <v/>
      </c>
      <c r="H51" s="6">
        <f>Data!E41</f>
        <v/>
      </c>
      <c r="I51" s="6">
        <f>E51-F51</f>
        <v/>
      </c>
      <c r="J51" s="4">
        <f>I51^2</f>
        <v/>
      </c>
      <c r="V51" s="2">
        <f>Data!G41</f>
        <v/>
      </c>
      <c r="W51" s="6">
        <f>Data!H41/100</f>
        <v/>
      </c>
      <c r="X51" s="6">
        <f>Data!I41*1000</f>
        <v/>
      </c>
      <c r="Y51" s="6">
        <f>Data!J41-273.15</f>
        <v/>
      </c>
      <c r="Z51" s="6">
        <f>(W51-W$5)/W$6</f>
        <v/>
      </c>
      <c r="AA51" s="6">
        <f>(X51-X$5)/X$6</f>
        <v/>
      </c>
      <c r="AB51" s="6">
        <f>(Y51-Y$5)/Y$6</f>
        <v/>
      </c>
      <c r="AC51" s="6">
        <f>$N$10+$N$11*Z51+$N$12*AA51+$N$13*AB51</f>
        <v/>
      </c>
      <c r="AD51" s="6">
        <f>AC51*$E$7+$E$6</f>
        <v/>
      </c>
    </row>
    <row r="52">
      <c r="A52" s="2">
        <f>Data!A42</f>
        <v/>
      </c>
      <c r="B52" s="6">
        <f>(Data!B42-B$6)/B$7</f>
        <v/>
      </c>
      <c r="C52" s="6">
        <f>(Data!C42-C$6)/C$7</f>
        <v/>
      </c>
      <c r="D52" s="6">
        <f>(Data!D42-D$6)/D$7</f>
        <v/>
      </c>
      <c r="E52" s="6">
        <f>(Data!E42-E$6)/E$7</f>
        <v/>
      </c>
      <c r="F52" s="6">
        <f>$N$10+$N$11*B52+$N$12*C52+$N$13*D52</f>
        <v/>
      </c>
      <c r="G52" s="6">
        <f>F52*$E$7+$E$6</f>
        <v/>
      </c>
      <c r="H52" s="6">
        <f>Data!E42</f>
        <v/>
      </c>
      <c r="I52" s="6">
        <f>E52-F52</f>
        <v/>
      </c>
      <c r="J52" s="4">
        <f>I52^2</f>
        <v/>
      </c>
      <c r="V52" s="2">
        <f>Data!G42</f>
        <v/>
      </c>
      <c r="W52" s="6">
        <f>Data!H42/100</f>
        <v/>
      </c>
      <c r="X52" s="6">
        <f>Data!I42*1000</f>
        <v/>
      </c>
      <c r="Y52" s="6">
        <f>Data!J42-273.15</f>
        <v/>
      </c>
      <c r="Z52" s="6">
        <f>(W52-W$5)/W$6</f>
        <v/>
      </c>
      <c r="AA52" s="6">
        <f>(X52-X$5)/X$6</f>
        <v/>
      </c>
      <c r="AB52" s="6">
        <f>(Y52-Y$5)/Y$6</f>
        <v/>
      </c>
      <c r="AC52" s="6">
        <f>$N$10+$N$11*Z52+$N$12*AA52+$N$13*AB52</f>
        <v/>
      </c>
      <c r="AD52" s="6">
        <f>AC52*$E$7+$E$6</f>
        <v/>
      </c>
    </row>
    <row r="53">
      <c r="A53" s="2">
        <f>Data!A43</f>
        <v/>
      </c>
      <c r="B53" s="6">
        <f>(Data!B43-B$6)/B$7</f>
        <v/>
      </c>
      <c r="C53" s="6">
        <f>(Data!C43-C$6)/C$7</f>
        <v/>
      </c>
      <c r="D53" s="6">
        <f>(Data!D43-D$6)/D$7</f>
        <v/>
      </c>
      <c r="E53" s="6">
        <f>(Data!E43-E$6)/E$7</f>
        <v/>
      </c>
      <c r="F53" s="6">
        <f>$N$10+$N$11*B53+$N$12*C53+$N$13*D53</f>
        <v/>
      </c>
      <c r="G53" s="6">
        <f>F53*$E$7+$E$6</f>
        <v/>
      </c>
      <c r="H53" s="6">
        <f>Data!E43</f>
        <v/>
      </c>
      <c r="I53" s="6">
        <f>E53-F53</f>
        <v/>
      </c>
      <c r="J53" s="4">
        <f>I53^2</f>
        <v/>
      </c>
      <c r="V53" s="2">
        <f>Data!G43</f>
        <v/>
      </c>
      <c r="W53" s="6">
        <f>Data!H43/100</f>
        <v/>
      </c>
      <c r="X53" s="6">
        <f>Data!I43*1000</f>
        <v/>
      </c>
      <c r="Y53" s="6">
        <f>Data!J43-273.15</f>
        <v/>
      </c>
      <c r="Z53" s="6">
        <f>(W53-W$5)/W$6</f>
        <v/>
      </c>
      <c r="AA53" s="6">
        <f>(X53-X$5)/X$6</f>
        <v/>
      </c>
      <c r="AB53" s="6">
        <f>(Y53-Y$5)/Y$6</f>
        <v/>
      </c>
      <c r="AC53" s="6">
        <f>$N$10+$N$11*Z53+$N$12*AA53+$N$13*AB53</f>
        <v/>
      </c>
      <c r="AD53" s="6">
        <f>AC53*$E$7+$E$6</f>
        <v/>
      </c>
    </row>
    <row r="54">
      <c r="V54" s="2">
        <f>Data!G44</f>
        <v/>
      </c>
      <c r="W54" s="6">
        <f>Data!H44/100</f>
        <v/>
      </c>
      <c r="X54" s="6">
        <f>Data!I44*1000</f>
        <v/>
      </c>
      <c r="Y54" s="6">
        <f>Data!J44-273.15</f>
        <v/>
      </c>
      <c r="Z54" s="6">
        <f>(W54-W$5)/W$6</f>
        <v/>
      </c>
      <c r="AA54" s="6">
        <f>(X54-X$5)/X$6</f>
        <v/>
      </c>
      <c r="AB54" s="6">
        <f>(Y54-Y$5)/Y$6</f>
        <v/>
      </c>
      <c r="AC54" s="6">
        <f>$N$10+$N$11*Z54+$N$12*AA54+$N$13*AB54</f>
        <v/>
      </c>
      <c r="AD54" s="6">
        <f>AC54*$E$7+$E$6</f>
        <v/>
      </c>
    </row>
    <row r="55">
      <c r="V55" s="2">
        <f>Data!G45</f>
        <v/>
      </c>
      <c r="W55" s="6">
        <f>Data!H45/100</f>
        <v/>
      </c>
      <c r="X55" s="6">
        <f>Data!I45*1000</f>
        <v/>
      </c>
      <c r="Y55" s="6">
        <f>Data!J45-273.15</f>
        <v/>
      </c>
      <c r="Z55" s="6">
        <f>(W55-W$5)/W$6</f>
        <v/>
      </c>
      <c r="AA55" s="6">
        <f>(X55-X$5)/X$6</f>
        <v/>
      </c>
      <c r="AB55" s="6">
        <f>(Y55-Y$5)/Y$6</f>
        <v/>
      </c>
      <c r="AC55" s="6">
        <f>$N$10+$N$11*Z55+$N$12*AA55+$N$13*AB55</f>
        <v/>
      </c>
      <c r="AD55" s="6">
        <f>AC55*$E$7+$E$6</f>
        <v/>
      </c>
    </row>
    <row r="56">
      <c r="V56" s="2">
        <f>Data!G46</f>
        <v/>
      </c>
      <c r="W56" s="6">
        <f>Data!H46/100</f>
        <v/>
      </c>
      <c r="X56" s="6">
        <f>Data!I46*1000</f>
        <v/>
      </c>
      <c r="Y56" s="6">
        <f>Data!J46-273.15</f>
        <v/>
      </c>
      <c r="Z56" s="6">
        <f>(W56-W$5)/W$6</f>
        <v/>
      </c>
      <c r="AA56" s="6">
        <f>(X56-X$5)/X$6</f>
        <v/>
      </c>
      <c r="AB56" s="6">
        <f>(Y56-Y$5)/Y$6</f>
        <v/>
      </c>
      <c r="AC56" s="6">
        <f>$N$10+$N$11*Z56+$N$12*AA56+$N$13*AB56</f>
        <v/>
      </c>
      <c r="AD56" s="6">
        <f>AC56*$E$7+$E$6</f>
        <v/>
      </c>
    </row>
    <row r="57">
      <c r="V57" s="2">
        <f>Data!G47</f>
        <v/>
      </c>
      <c r="W57" s="6">
        <f>Data!H47/100</f>
        <v/>
      </c>
      <c r="X57" s="6">
        <f>Data!I47*1000</f>
        <v/>
      </c>
      <c r="Y57" s="6">
        <f>Data!J47-273.15</f>
        <v/>
      </c>
      <c r="Z57" s="6">
        <f>(W57-W$5)/W$6</f>
        <v/>
      </c>
      <c r="AA57" s="6">
        <f>(X57-X$5)/X$6</f>
        <v/>
      </c>
      <c r="AB57" s="6">
        <f>(Y57-Y$5)/Y$6</f>
        <v/>
      </c>
      <c r="AC57" s="6">
        <f>$N$10+$N$11*Z57+$N$12*AA57+$N$13*AB57</f>
        <v/>
      </c>
      <c r="AD57" s="6">
        <f>AC57*$E$7+$E$6</f>
        <v/>
      </c>
    </row>
    <row r="58">
      <c r="V58" s="2">
        <f>Data!G48</f>
        <v/>
      </c>
      <c r="W58" s="6">
        <f>Data!H48/100</f>
        <v/>
      </c>
      <c r="X58" s="6">
        <f>Data!I48*1000</f>
        <v/>
      </c>
      <c r="Y58" s="6">
        <f>Data!J48-273.15</f>
        <v/>
      </c>
      <c r="Z58" s="6">
        <f>(W58-W$5)/W$6</f>
        <v/>
      </c>
      <c r="AA58" s="6">
        <f>(X58-X$5)/X$6</f>
        <v/>
      </c>
      <c r="AB58" s="6">
        <f>(Y58-Y$5)/Y$6</f>
        <v/>
      </c>
      <c r="AC58" s="6">
        <f>$N$10+$N$11*Z58+$N$12*AA58+$N$13*AB58</f>
        <v/>
      </c>
      <c r="AD58" s="6">
        <f>AC58*$E$7+$E$6</f>
        <v/>
      </c>
    </row>
    <row r="59">
      <c r="V59" s="2">
        <f>Data!G49</f>
        <v/>
      </c>
      <c r="W59" s="6">
        <f>Data!H49/100</f>
        <v/>
      </c>
      <c r="X59" s="6">
        <f>Data!I49*1000</f>
        <v/>
      </c>
      <c r="Y59" s="6">
        <f>Data!J49-273.15</f>
        <v/>
      </c>
      <c r="Z59" s="6">
        <f>(W59-W$5)/W$6</f>
        <v/>
      </c>
      <c r="AA59" s="6">
        <f>(X59-X$5)/X$6</f>
        <v/>
      </c>
      <c r="AB59" s="6">
        <f>(Y59-Y$5)/Y$6</f>
        <v/>
      </c>
      <c r="AC59" s="6">
        <f>$N$10+$N$11*Z59+$N$12*AA59+$N$13*AB59</f>
        <v/>
      </c>
      <c r="AD59" s="6">
        <f>AC59*$E$7+$E$6</f>
        <v/>
      </c>
    </row>
    <row r="60">
      <c r="V60" s="2">
        <f>Data!G50</f>
        <v/>
      </c>
      <c r="W60" s="6">
        <f>Data!H50/100</f>
        <v/>
      </c>
      <c r="X60" s="6">
        <f>Data!I50*1000</f>
        <v/>
      </c>
      <c r="Y60" s="6">
        <f>Data!J50-273.15</f>
        <v/>
      </c>
      <c r="Z60" s="6">
        <f>(W60-W$5)/W$6</f>
        <v/>
      </c>
      <c r="AA60" s="6">
        <f>(X60-X$5)/X$6</f>
        <v/>
      </c>
      <c r="AB60" s="6">
        <f>(Y60-Y$5)/Y$6</f>
        <v/>
      </c>
      <c r="AC60" s="6">
        <f>$N$10+$N$11*Z60+$N$12*AA60+$N$13*AB60</f>
        <v/>
      </c>
      <c r="AD60" s="6">
        <f>AC60*$E$7+$E$6</f>
        <v/>
      </c>
    </row>
    <row r="61">
      <c r="V61" s="2">
        <f>Data!G51</f>
        <v/>
      </c>
      <c r="W61" s="6">
        <f>Data!H51/100</f>
        <v/>
      </c>
      <c r="X61" s="6">
        <f>Data!I51*1000</f>
        <v/>
      </c>
      <c r="Y61" s="6">
        <f>Data!J51-273.15</f>
        <v/>
      </c>
      <c r="Z61" s="6">
        <f>(W61-W$5)/W$6</f>
        <v/>
      </c>
      <c r="AA61" s="6">
        <f>(X61-X$5)/X$6</f>
        <v/>
      </c>
      <c r="AB61" s="6">
        <f>(Y61-Y$5)/Y$6</f>
        <v/>
      </c>
      <c r="AC61" s="6">
        <f>$N$10+$N$11*Z61+$N$12*AA61+$N$13*AB61</f>
        <v/>
      </c>
      <c r="AD61" s="6">
        <f>AC61*$E$7+$E$6</f>
        <v/>
      </c>
    </row>
    <row r="62">
      <c r="V62" s="2">
        <f>Data!G52</f>
        <v/>
      </c>
      <c r="W62" s="6">
        <f>Data!H52/100</f>
        <v/>
      </c>
      <c r="X62" s="6">
        <f>Data!I52*1000</f>
        <v/>
      </c>
      <c r="Y62" s="6">
        <f>Data!J52-273.15</f>
        <v/>
      </c>
      <c r="Z62" s="6">
        <f>(W62-W$5)/W$6</f>
        <v/>
      </c>
      <c r="AA62" s="6">
        <f>(X62-X$5)/X$6</f>
        <v/>
      </c>
      <c r="AB62" s="6">
        <f>(Y62-Y$5)/Y$6</f>
        <v/>
      </c>
      <c r="AC62" s="6">
        <f>$N$10+$N$11*Z62+$N$12*AA62+$N$13*AB62</f>
        <v/>
      </c>
      <c r="AD62" s="6">
        <f>AC62*$E$7+$E$6</f>
        <v/>
      </c>
    </row>
    <row r="63">
      <c r="V63" s="2">
        <f>Data!G53</f>
        <v/>
      </c>
      <c r="W63" s="6">
        <f>Data!H53/100</f>
        <v/>
      </c>
      <c r="X63" s="6">
        <f>Data!I53*1000</f>
        <v/>
      </c>
      <c r="Y63" s="6">
        <f>Data!J53-273.15</f>
        <v/>
      </c>
      <c r="Z63" s="6">
        <f>(W63-W$5)/W$6</f>
        <v/>
      </c>
      <c r="AA63" s="6">
        <f>(X63-X$5)/X$6</f>
        <v/>
      </c>
      <c r="AB63" s="6">
        <f>(Y63-Y$5)/Y$6</f>
        <v/>
      </c>
      <c r="AC63" s="6">
        <f>$N$10+$N$11*Z63+$N$12*AA63+$N$13*AB63</f>
        <v/>
      </c>
      <c r="AD63" s="6">
        <f>AC63*$E$7+$E$6</f>
        <v/>
      </c>
    </row>
    <row r="64">
      <c r="V64" s="2">
        <f>Data!G54</f>
        <v/>
      </c>
      <c r="W64" s="6">
        <f>Data!H54/100</f>
        <v/>
      </c>
      <c r="X64" s="6">
        <f>Data!I54*1000</f>
        <v/>
      </c>
      <c r="Y64" s="6">
        <f>Data!J54-273.15</f>
        <v/>
      </c>
      <c r="Z64" s="6">
        <f>(W64-W$5)/W$6</f>
        <v/>
      </c>
      <c r="AA64" s="6">
        <f>(X64-X$5)/X$6</f>
        <v/>
      </c>
      <c r="AB64" s="6">
        <f>(Y64-Y$5)/Y$6</f>
        <v/>
      </c>
      <c r="AC64" s="6">
        <f>$N$10+$N$11*Z64+$N$12*AA64+$N$13*AB64</f>
        <v/>
      </c>
      <c r="AD64" s="6">
        <f>AC64*$E$7+$E$6</f>
        <v/>
      </c>
    </row>
    <row r="65">
      <c r="V65" s="2">
        <f>Data!G55</f>
        <v/>
      </c>
      <c r="W65" s="6">
        <f>Data!H55/100</f>
        <v/>
      </c>
      <c r="X65" s="6">
        <f>Data!I55*1000</f>
        <v/>
      </c>
      <c r="Y65" s="6">
        <f>Data!J55-273.15</f>
        <v/>
      </c>
      <c r="Z65" s="6">
        <f>(W65-W$5)/W$6</f>
        <v/>
      </c>
      <c r="AA65" s="6">
        <f>(X65-X$5)/X$6</f>
        <v/>
      </c>
      <c r="AB65" s="6">
        <f>(Y65-Y$5)/Y$6</f>
        <v/>
      </c>
      <c r="AC65" s="6">
        <f>$N$10+$N$11*Z65+$N$12*AA65+$N$13*AB65</f>
        <v/>
      </c>
      <c r="AD65" s="6">
        <f>AC65*$E$7+$E$6</f>
        <v/>
      </c>
    </row>
    <row r="66">
      <c r="V66" s="2">
        <f>Data!G56</f>
        <v/>
      </c>
      <c r="W66" s="6">
        <f>Data!H56/100</f>
        <v/>
      </c>
      <c r="X66" s="6">
        <f>Data!I56*1000</f>
        <v/>
      </c>
      <c r="Y66" s="6">
        <f>Data!J56-273.15</f>
        <v/>
      </c>
      <c r="Z66" s="6">
        <f>(W66-W$5)/W$6</f>
        <v/>
      </c>
      <c r="AA66" s="6">
        <f>(X66-X$5)/X$6</f>
        <v/>
      </c>
      <c r="AB66" s="6">
        <f>(Y66-Y$5)/Y$6</f>
        <v/>
      </c>
      <c r="AC66" s="6">
        <f>$N$10+$N$11*Z66+$N$12*AA66+$N$13*AB66</f>
        <v/>
      </c>
      <c r="AD66" s="6">
        <f>AC66*$E$7+$E$6</f>
        <v/>
      </c>
    </row>
    <row r="67">
      <c r="V67" s="2">
        <f>Data!G57</f>
        <v/>
      </c>
      <c r="W67" s="6">
        <f>Data!H57/100</f>
        <v/>
      </c>
      <c r="X67" s="6">
        <f>Data!I57*1000</f>
        <v/>
      </c>
      <c r="Y67" s="6">
        <f>Data!J57-273.15</f>
        <v/>
      </c>
      <c r="Z67" s="6">
        <f>(W67-W$5)/W$6</f>
        <v/>
      </c>
      <c r="AA67" s="6">
        <f>(X67-X$5)/X$6</f>
        <v/>
      </c>
      <c r="AB67" s="6">
        <f>(Y67-Y$5)/Y$6</f>
        <v/>
      </c>
      <c r="AC67" s="6">
        <f>$N$10+$N$11*Z67+$N$12*AA67+$N$13*AB67</f>
        <v/>
      </c>
      <c r="AD67" s="6">
        <f>AC67*$E$7+$E$6</f>
        <v/>
      </c>
    </row>
    <row r="68">
      <c r="V68" s="2">
        <f>Data!G58</f>
        <v/>
      </c>
      <c r="W68" s="6">
        <f>Data!H58/100</f>
        <v/>
      </c>
      <c r="X68" s="6">
        <f>Data!I58*1000</f>
        <v/>
      </c>
      <c r="Y68" s="6">
        <f>Data!J58-273.15</f>
        <v/>
      </c>
      <c r="Z68" s="6">
        <f>(W68-W$5)/W$6</f>
        <v/>
      </c>
      <c r="AA68" s="6">
        <f>(X68-X$5)/X$6</f>
        <v/>
      </c>
      <c r="AB68" s="6">
        <f>(Y68-Y$5)/Y$6</f>
        <v/>
      </c>
      <c r="AC68" s="6">
        <f>$N$10+$N$11*Z68+$N$12*AA68+$N$13*AB68</f>
        <v/>
      </c>
      <c r="AD68" s="6">
        <f>AC68*$E$7+$E$6</f>
        <v/>
      </c>
    </row>
    <row r="69">
      <c r="V69" s="2">
        <f>Data!G59</f>
        <v/>
      </c>
      <c r="W69" s="6">
        <f>Data!H59/100</f>
        <v/>
      </c>
      <c r="X69" s="6">
        <f>Data!I59*1000</f>
        <v/>
      </c>
      <c r="Y69" s="6">
        <f>Data!J59-273.15</f>
        <v/>
      </c>
      <c r="Z69" s="6">
        <f>(W69-W$5)/W$6</f>
        <v/>
      </c>
      <c r="AA69" s="6">
        <f>(X69-X$5)/X$6</f>
        <v/>
      </c>
      <c r="AB69" s="6">
        <f>(Y69-Y$5)/Y$6</f>
        <v/>
      </c>
      <c r="AC69" s="6">
        <f>$N$10+$N$11*Z69+$N$12*AA69+$N$13*AB69</f>
        <v/>
      </c>
      <c r="AD69" s="6">
        <f>AC69*$E$7+$E$6</f>
        <v/>
      </c>
    </row>
    <row r="70">
      <c r="V70" s="2">
        <f>Data!G60</f>
        <v/>
      </c>
      <c r="W70" s="6">
        <f>Data!H60/100</f>
        <v/>
      </c>
      <c r="X70" s="6">
        <f>Data!I60*1000</f>
        <v/>
      </c>
      <c r="Y70" s="6">
        <f>Data!J60-273.15</f>
        <v/>
      </c>
      <c r="Z70" s="6">
        <f>(W70-W$5)/W$6</f>
        <v/>
      </c>
      <c r="AA70" s="6">
        <f>(X70-X$5)/X$6</f>
        <v/>
      </c>
      <c r="AB70" s="6">
        <f>(Y70-Y$5)/Y$6</f>
        <v/>
      </c>
      <c r="AC70" s="6">
        <f>$N$10+$N$11*Z70+$N$12*AA70+$N$13*AB70</f>
        <v/>
      </c>
      <c r="AD70" s="6">
        <f>AC70*$E$7+$E$6</f>
        <v/>
      </c>
    </row>
    <row r="71">
      <c r="V71" s="2">
        <f>Data!G61</f>
        <v/>
      </c>
      <c r="W71" s="6">
        <f>Data!H61/100</f>
        <v/>
      </c>
      <c r="X71" s="6">
        <f>Data!I61*1000</f>
        <v/>
      </c>
      <c r="Y71" s="6">
        <f>Data!J61-273.15</f>
        <v/>
      </c>
      <c r="Z71" s="6">
        <f>(W71-W$5)/W$6</f>
        <v/>
      </c>
      <c r="AA71" s="6">
        <f>(X71-X$5)/X$6</f>
        <v/>
      </c>
      <c r="AB71" s="6">
        <f>(Y71-Y$5)/Y$6</f>
        <v/>
      </c>
      <c r="AC71" s="6">
        <f>$N$10+$N$11*Z71+$N$12*AA71+$N$13*AB71</f>
        <v/>
      </c>
      <c r="AD71" s="6">
        <f>AC71*$E$7+$E$6</f>
        <v/>
      </c>
    </row>
    <row r="72">
      <c r="V72" s="2">
        <f>Data!G62</f>
        <v/>
      </c>
      <c r="W72" s="6">
        <f>Data!H62/100</f>
        <v/>
      </c>
      <c r="X72" s="6">
        <f>Data!I62*1000</f>
        <v/>
      </c>
      <c r="Y72" s="6">
        <f>Data!J62-273.15</f>
        <v/>
      </c>
      <c r="Z72" s="6">
        <f>(W72-W$5)/W$6</f>
        <v/>
      </c>
      <c r="AA72" s="6">
        <f>(X72-X$5)/X$6</f>
        <v/>
      </c>
      <c r="AB72" s="6">
        <f>(Y72-Y$5)/Y$6</f>
        <v/>
      </c>
      <c r="AC72" s="6">
        <f>$N$10+$N$11*Z72+$N$12*AA72+$N$13*AB72</f>
        <v/>
      </c>
      <c r="AD72" s="6">
        <f>AC72*$E$7+$E$6</f>
        <v/>
      </c>
    </row>
    <row r="73">
      <c r="V73" s="2">
        <f>Data!G63</f>
        <v/>
      </c>
      <c r="W73" s="6">
        <f>Data!H63/100</f>
        <v/>
      </c>
      <c r="X73" s="6">
        <f>Data!I63*1000</f>
        <v/>
      </c>
      <c r="Y73" s="6">
        <f>Data!J63-273.15</f>
        <v/>
      </c>
      <c r="Z73" s="6">
        <f>(W73-W$5)/W$6</f>
        <v/>
      </c>
      <c r="AA73" s="6">
        <f>(X73-X$5)/X$6</f>
        <v/>
      </c>
      <c r="AB73" s="6">
        <f>(Y73-Y$5)/Y$6</f>
        <v/>
      </c>
      <c r="AC73" s="6">
        <f>$N$10+$N$11*Z73+$N$12*AA73+$N$13*AB73</f>
        <v/>
      </c>
      <c r="AD73" s="6">
        <f>AC73*$E$7+$E$6</f>
        <v/>
      </c>
    </row>
    <row r="74">
      <c r="V74" s="2">
        <f>Data!G64</f>
        <v/>
      </c>
      <c r="W74" s="6">
        <f>Data!H64/100</f>
        <v/>
      </c>
      <c r="X74" s="6">
        <f>Data!I64*1000</f>
        <v/>
      </c>
      <c r="Y74" s="6">
        <f>Data!J64-273.15</f>
        <v/>
      </c>
      <c r="Z74" s="6">
        <f>(W74-W$5)/W$6</f>
        <v/>
      </c>
      <c r="AA74" s="6">
        <f>(X74-X$5)/X$6</f>
        <v/>
      </c>
      <c r="AB74" s="6">
        <f>(Y74-Y$5)/Y$6</f>
        <v/>
      </c>
      <c r="AC74" s="6">
        <f>$N$10+$N$11*Z74+$N$12*AA74+$N$13*AB74</f>
        <v/>
      </c>
      <c r="AD74" s="6">
        <f>AC74*$E$7+$E$6</f>
        <v/>
      </c>
    </row>
    <row r="75">
      <c r="V75" s="2">
        <f>Data!G65</f>
        <v/>
      </c>
      <c r="W75" s="6">
        <f>Data!H65/100</f>
        <v/>
      </c>
      <c r="X75" s="6">
        <f>Data!I65*1000</f>
        <v/>
      </c>
      <c r="Y75" s="6">
        <f>Data!J65-273.15</f>
        <v/>
      </c>
      <c r="Z75" s="6">
        <f>(W75-W$5)/W$6</f>
        <v/>
      </c>
      <c r="AA75" s="6">
        <f>(X75-X$5)/X$6</f>
        <v/>
      </c>
      <c r="AB75" s="6">
        <f>(Y75-Y$5)/Y$6</f>
        <v/>
      </c>
      <c r="AC75" s="6">
        <f>$N$10+$N$11*Z75+$N$12*AA75+$N$13*AB75</f>
        <v/>
      </c>
      <c r="AD75" s="6">
        <f>AC75*$E$7+$E$6</f>
        <v/>
      </c>
    </row>
    <row r="76">
      <c r="V76" s="2">
        <f>Data!G66</f>
        <v/>
      </c>
      <c r="W76" s="6">
        <f>Data!H66/100</f>
        <v/>
      </c>
      <c r="X76" s="6">
        <f>Data!I66*1000</f>
        <v/>
      </c>
      <c r="Y76" s="6">
        <f>Data!J66-273.15</f>
        <v/>
      </c>
      <c r="Z76" s="6">
        <f>(W76-W$5)/W$6</f>
        <v/>
      </c>
      <c r="AA76" s="6">
        <f>(X76-X$5)/X$6</f>
        <v/>
      </c>
      <c r="AB76" s="6">
        <f>(Y76-Y$5)/Y$6</f>
        <v/>
      </c>
      <c r="AC76" s="6">
        <f>$N$10+$N$11*Z76+$N$12*AA76+$N$13*AB76</f>
        <v/>
      </c>
      <c r="AD76" s="6">
        <f>AC76*$E$7+$E$6</f>
        <v/>
      </c>
    </row>
    <row r="77">
      <c r="V77" s="2">
        <f>Data!G67</f>
        <v/>
      </c>
      <c r="W77" s="6">
        <f>Data!H67/100</f>
        <v/>
      </c>
      <c r="X77" s="6">
        <f>Data!I67*1000</f>
        <v/>
      </c>
      <c r="Y77" s="6">
        <f>Data!J67-273.15</f>
        <v/>
      </c>
      <c r="Z77" s="6">
        <f>(W77-W$5)/W$6</f>
        <v/>
      </c>
      <c r="AA77" s="6">
        <f>(X77-X$5)/X$6</f>
        <v/>
      </c>
      <c r="AB77" s="6">
        <f>(Y77-Y$5)/Y$6</f>
        <v/>
      </c>
      <c r="AC77" s="6">
        <f>$N$10+$N$11*Z77+$N$12*AA77+$N$13*AB77</f>
        <v/>
      </c>
      <c r="AD77" s="6">
        <f>AC77*$E$7+$E$6</f>
        <v/>
      </c>
    </row>
    <row r="78">
      <c r="V78" s="2">
        <f>Data!G68</f>
        <v/>
      </c>
      <c r="W78" s="6">
        <f>Data!H68/100</f>
        <v/>
      </c>
      <c r="X78" s="6">
        <f>Data!I68*1000</f>
        <v/>
      </c>
      <c r="Y78" s="6">
        <f>Data!J68-273.15</f>
        <v/>
      </c>
      <c r="Z78" s="6">
        <f>(W78-W$5)/W$6</f>
        <v/>
      </c>
      <c r="AA78" s="6">
        <f>(X78-X$5)/X$6</f>
        <v/>
      </c>
      <c r="AB78" s="6">
        <f>(Y78-Y$5)/Y$6</f>
        <v/>
      </c>
      <c r="AC78" s="6">
        <f>$N$10+$N$11*Z78+$N$12*AA78+$N$13*AB78</f>
        <v/>
      </c>
      <c r="AD78" s="6">
        <f>AC78*$E$7+$E$6</f>
        <v/>
      </c>
    </row>
    <row r="79">
      <c r="V79" s="2">
        <f>Data!G69</f>
        <v/>
      </c>
      <c r="W79" s="6">
        <f>Data!H69/100</f>
        <v/>
      </c>
      <c r="X79" s="6">
        <f>Data!I69*1000</f>
        <v/>
      </c>
      <c r="Y79" s="6">
        <f>Data!J69-273.15</f>
        <v/>
      </c>
      <c r="Z79" s="6">
        <f>(W79-W$5)/W$6</f>
        <v/>
      </c>
      <c r="AA79" s="6">
        <f>(X79-X$5)/X$6</f>
        <v/>
      </c>
      <c r="AB79" s="6">
        <f>(Y79-Y$5)/Y$6</f>
        <v/>
      </c>
      <c r="AC79" s="6">
        <f>$N$10+$N$11*Z79+$N$12*AA79+$N$13*AB79</f>
        <v/>
      </c>
      <c r="AD79" s="6">
        <f>AC79*$E$7+$E$6</f>
        <v/>
      </c>
    </row>
    <row r="80">
      <c r="V80" s="2">
        <f>Data!G70</f>
        <v/>
      </c>
      <c r="W80" s="6">
        <f>Data!H70/100</f>
        <v/>
      </c>
      <c r="X80" s="6">
        <f>Data!I70*1000</f>
        <v/>
      </c>
      <c r="Y80" s="6">
        <f>Data!J70-273.15</f>
        <v/>
      </c>
      <c r="Z80" s="6">
        <f>(W80-W$5)/W$6</f>
        <v/>
      </c>
      <c r="AA80" s="6">
        <f>(X80-X$5)/X$6</f>
        <v/>
      </c>
      <c r="AB80" s="6">
        <f>(Y80-Y$5)/Y$6</f>
        <v/>
      </c>
      <c r="AC80" s="6">
        <f>$N$10+$N$11*Z80+$N$12*AA80+$N$13*AB80</f>
        <v/>
      </c>
      <c r="AD80" s="6">
        <f>AC80*$E$7+$E$6</f>
        <v/>
      </c>
    </row>
    <row r="81">
      <c r="V81" s="2">
        <f>Data!G71</f>
        <v/>
      </c>
      <c r="W81" s="6">
        <f>Data!H71/100</f>
        <v/>
      </c>
      <c r="X81" s="6">
        <f>Data!I71*1000</f>
        <v/>
      </c>
      <c r="Y81" s="6">
        <f>Data!J71-273.15</f>
        <v/>
      </c>
      <c r="Z81" s="6">
        <f>(W81-W$5)/W$6</f>
        <v/>
      </c>
      <c r="AA81" s="6">
        <f>(X81-X$5)/X$6</f>
        <v/>
      </c>
      <c r="AB81" s="6">
        <f>(Y81-Y$5)/Y$6</f>
        <v/>
      </c>
      <c r="AC81" s="6">
        <f>$N$10+$N$11*Z81+$N$12*AA81+$N$13*AB81</f>
        <v/>
      </c>
      <c r="AD81" s="6">
        <f>AC81*$E$7+$E$6</f>
        <v/>
      </c>
    </row>
    <row r="82">
      <c r="V82" s="2">
        <f>Data!G72</f>
        <v/>
      </c>
      <c r="W82" s="6">
        <f>Data!H72/100</f>
        <v/>
      </c>
      <c r="X82" s="6">
        <f>Data!I72*1000</f>
        <v/>
      </c>
      <c r="Y82" s="6">
        <f>Data!J72-273.15</f>
        <v/>
      </c>
      <c r="Z82" s="6">
        <f>(W82-W$5)/W$6</f>
        <v/>
      </c>
      <c r="AA82" s="6">
        <f>(X82-X$5)/X$6</f>
        <v/>
      </c>
      <c r="AB82" s="6">
        <f>(Y82-Y$5)/Y$6</f>
        <v/>
      </c>
      <c r="AC82" s="6">
        <f>$N$10+$N$11*Z82+$N$12*AA82+$N$13*AB82</f>
        <v/>
      </c>
      <c r="AD82" s="6">
        <f>AC82*$E$7+$E$6</f>
        <v/>
      </c>
    </row>
    <row r="83">
      <c r="V83" s="2">
        <f>Data!G73</f>
        <v/>
      </c>
      <c r="W83" s="6">
        <f>Data!H73/100</f>
        <v/>
      </c>
      <c r="X83" s="6">
        <f>Data!I73*1000</f>
        <v/>
      </c>
      <c r="Y83" s="6">
        <f>Data!J73-273.15</f>
        <v/>
      </c>
      <c r="Z83" s="6">
        <f>(W83-W$5)/W$6</f>
        <v/>
      </c>
      <c r="AA83" s="6">
        <f>(X83-X$5)/X$6</f>
        <v/>
      </c>
      <c r="AB83" s="6">
        <f>(Y83-Y$5)/Y$6</f>
        <v/>
      </c>
      <c r="AC83" s="6">
        <f>$N$10+$N$11*Z83+$N$12*AA83+$N$13*AB83</f>
        <v/>
      </c>
      <c r="AD83" s="6">
        <f>AC83*$E$7+$E$6</f>
        <v/>
      </c>
    </row>
    <row r="84">
      <c r="V84" s="2">
        <f>Data!G74</f>
        <v/>
      </c>
      <c r="W84" s="6">
        <f>Data!H74/100</f>
        <v/>
      </c>
      <c r="X84" s="6">
        <f>Data!I74*1000</f>
        <v/>
      </c>
      <c r="Y84" s="6">
        <f>Data!J74-273.15</f>
        <v/>
      </c>
      <c r="Z84" s="6">
        <f>(W84-W$5)/W$6</f>
        <v/>
      </c>
      <c r="AA84" s="6">
        <f>(X84-X$5)/X$6</f>
        <v/>
      </c>
      <c r="AB84" s="6">
        <f>(Y84-Y$5)/Y$6</f>
        <v/>
      </c>
      <c r="AC84" s="6">
        <f>$N$10+$N$11*Z84+$N$12*AA84+$N$13*AB84</f>
        <v/>
      </c>
      <c r="AD84" s="6">
        <f>AC84*$E$7+$E$6</f>
        <v/>
      </c>
    </row>
    <row r="85">
      <c r="V85" s="2">
        <f>Data!G75</f>
        <v/>
      </c>
      <c r="W85" s="6">
        <f>Data!H75/100</f>
        <v/>
      </c>
      <c r="X85" s="6">
        <f>Data!I75*1000</f>
        <v/>
      </c>
      <c r="Y85" s="6">
        <f>Data!J75-273.15</f>
        <v/>
      </c>
      <c r="Z85" s="6">
        <f>(W85-W$5)/W$6</f>
        <v/>
      </c>
      <c r="AA85" s="6">
        <f>(X85-X$5)/X$6</f>
        <v/>
      </c>
      <c r="AB85" s="6">
        <f>(Y85-Y$5)/Y$6</f>
        <v/>
      </c>
      <c r="AC85" s="6">
        <f>$N$10+$N$11*Z85+$N$12*AA85+$N$13*AB85</f>
        <v/>
      </c>
      <c r="AD85" s="6">
        <f>AC85*$E$7+$E$6</f>
        <v/>
      </c>
    </row>
    <row r="86">
      <c r="V86" s="2">
        <f>Data!G76</f>
        <v/>
      </c>
      <c r="W86" s="6">
        <f>Data!H76/100</f>
        <v/>
      </c>
      <c r="X86" s="6">
        <f>Data!I76*1000</f>
        <v/>
      </c>
      <c r="Y86" s="6">
        <f>Data!J76-273.15</f>
        <v/>
      </c>
      <c r="Z86" s="6">
        <f>(W86-W$5)/W$6</f>
        <v/>
      </c>
      <c r="AA86" s="6">
        <f>(X86-X$5)/X$6</f>
        <v/>
      </c>
      <c r="AB86" s="6">
        <f>(Y86-Y$5)/Y$6</f>
        <v/>
      </c>
      <c r="AC86" s="6">
        <f>$N$10+$N$11*Z86+$N$12*AA86+$N$13*AB86</f>
        <v/>
      </c>
      <c r="AD86" s="6">
        <f>AC86*$E$7+$E$6</f>
        <v/>
      </c>
    </row>
    <row r="87">
      <c r="V87" s="2">
        <f>Data!G77</f>
        <v/>
      </c>
      <c r="W87" s="6">
        <f>Data!H77/100</f>
        <v/>
      </c>
      <c r="X87" s="6">
        <f>Data!I77*1000</f>
        <v/>
      </c>
      <c r="Y87" s="6">
        <f>Data!J77-273.15</f>
        <v/>
      </c>
      <c r="Z87" s="6">
        <f>(W87-W$5)/W$6</f>
        <v/>
      </c>
      <c r="AA87" s="6">
        <f>(X87-X$5)/X$6</f>
        <v/>
      </c>
      <c r="AB87" s="6">
        <f>(Y87-Y$5)/Y$6</f>
        <v/>
      </c>
      <c r="AC87" s="6">
        <f>$N$10+$N$11*Z87+$N$12*AA87+$N$13*AB87</f>
        <v/>
      </c>
      <c r="AD87" s="6">
        <f>AC87*$E$7+$E$6</f>
        <v/>
      </c>
    </row>
    <row r="88">
      <c r="V88" s="2">
        <f>Data!G78</f>
        <v/>
      </c>
      <c r="W88" s="6">
        <f>Data!H78/100</f>
        <v/>
      </c>
      <c r="X88" s="6">
        <f>Data!I78*1000</f>
        <v/>
      </c>
      <c r="Y88" s="6">
        <f>Data!J78-273.15</f>
        <v/>
      </c>
      <c r="Z88" s="6">
        <f>(W88-W$5)/W$6</f>
        <v/>
      </c>
      <c r="AA88" s="6">
        <f>(X88-X$5)/X$6</f>
        <v/>
      </c>
      <c r="AB88" s="6">
        <f>(Y88-Y$5)/Y$6</f>
        <v/>
      </c>
      <c r="AC88" s="6">
        <f>$N$10+$N$11*Z88+$N$12*AA88+$N$13*AB88</f>
        <v/>
      </c>
      <c r="AD88" s="6">
        <f>AC88*$E$7+$E$6</f>
        <v/>
      </c>
    </row>
    <row r="89">
      <c r="V89" s="2">
        <f>Data!G79</f>
        <v/>
      </c>
      <c r="W89" s="6">
        <f>Data!H79/100</f>
        <v/>
      </c>
      <c r="X89" s="6">
        <f>Data!I79*1000</f>
        <v/>
      </c>
      <c r="Y89" s="6">
        <f>Data!J79-273.15</f>
        <v/>
      </c>
      <c r="Z89" s="6">
        <f>(W89-W$5)/W$6</f>
        <v/>
      </c>
      <c r="AA89" s="6">
        <f>(X89-X$5)/X$6</f>
        <v/>
      </c>
      <c r="AB89" s="6">
        <f>(Y89-Y$5)/Y$6</f>
        <v/>
      </c>
      <c r="AC89" s="6">
        <f>$N$10+$N$11*Z89+$N$12*AA89+$N$13*AB89</f>
        <v/>
      </c>
      <c r="AD89" s="6">
        <f>AC89*$E$7+$E$6</f>
        <v/>
      </c>
    </row>
    <row r="90">
      <c r="V90" s="2">
        <f>Data!G80</f>
        <v/>
      </c>
      <c r="W90" s="6">
        <f>Data!H80/100</f>
        <v/>
      </c>
      <c r="X90" s="6">
        <f>Data!I80*1000</f>
        <v/>
      </c>
      <c r="Y90" s="6">
        <f>Data!J80-273.15</f>
        <v/>
      </c>
      <c r="Z90" s="6">
        <f>(W90-W$5)/W$6</f>
        <v/>
      </c>
      <c r="AA90" s="6">
        <f>(X90-X$5)/X$6</f>
        <v/>
      </c>
      <c r="AB90" s="6">
        <f>(Y90-Y$5)/Y$6</f>
        <v/>
      </c>
      <c r="AC90" s="6">
        <f>$N$10+$N$11*Z90+$N$12*AA90+$N$13*AB90</f>
        <v/>
      </c>
      <c r="AD90" s="6">
        <f>AC90*$E$7+$E$6</f>
        <v/>
      </c>
    </row>
    <row r="91">
      <c r="V91" s="2">
        <f>Data!G81</f>
        <v/>
      </c>
      <c r="W91" s="6">
        <f>Data!H81/100</f>
        <v/>
      </c>
      <c r="X91" s="6">
        <f>Data!I81*1000</f>
        <v/>
      </c>
      <c r="Y91" s="6">
        <f>Data!J81-273.15</f>
        <v/>
      </c>
      <c r="Z91" s="6">
        <f>(W91-W$5)/W$6</f>
        <v/>
      </c>
      <c r="AA91" s="6">
        <f>(X91-X$5)/X$6</f>
        <v/>
      </c>
      <c r="AB91" s="6">
        <f>(Y91-Y$5)/Y$6</f>
        <v/>
      </c>
      <c r="AC91" s="6">
        <f>$N$10+$N$11*Z91+$N$12*AA91+$N$13*AB91</f>
        <v/>
      </c>
      <c r="AD91" s="6">
        <f>AC91*$E$7+$E$6</f>
        <v/>
      </c>
    </row>
    <row r="92">
      <c r="V92" s="2">
        <f>Data!G82</f>
        <v/>
      </c>
      <c r="W92" s="6">
        <f>Data!H82/100</f>
        <v/>
      </c>
      <c r="X92" s="6">
        <f>Data!I82*1000</f>
        <v/>
      </c>
      <c r="Y92" s="6">
        <f>Data!J82-273.15</f>
        <v/>
      </c>
      <c r="Z92" s="6">
        <f>(W92-W$5)/W$6</f>
        <v/>
      </c>
      <c r="AA92" s="6">
        <f>(X92-X$5)/X$6</f>
        <v/>
      </c>
      <c r="AB92" s="6">
        <f>(Y92-Y$5)/Y$6</f>
        <v/>
      </c>
      <c r="AC92" s="6">
        <f>$N$10+$N$11*Z92+$N$12*AA92+$N$13*AB92</f>
        <v/>
      </c>
      <c r="AD92" s="6">
        <f>AC92*$E$7+$E$6</f>
        <v/>
      </c>
    </row>
    <row r="93">
      <c r="V93" s="2">
        <f>Data!G83</f>
        <v/>
      </c>
      <c r="W93" s="6">
        <f>Data!H83/100</f>
        <v/>
      </c>
      <c r="X93" s="6">
        <f>Data!I83*1000</f>
        <v/>
      </c>
      <c r="Y93" s="6">
        <f>Data!J83-273.15</f>
        <v/>
      </c>
      <c r="Z93" s="6">
        <f>(W93-W$5)/W$6</f>
        <v/>
      </c>
      <c r="AA93" s="6">
        <f>(X93-X$5)/X$6</f>
        <v/>
      </c>
      <c r="AB93" s="6">
        <f>(Y93-Y$5)/Y$6</f>
        <v/>
      </c>
      <c r="AC93" s="6">
        <f>$N$10+$N$11*Z93+$N$12*AA93+$N$13*AB93</f>
        <v/>
      </c>
      <c r="AD93" s="6">
        <f>AC93*$E$7+$E$6</f>
        <v/>
      </c>
    </row>
    <row r="94">
      <c r="V94" s="2">
        <f>Data!G84</f>
        <v/>
      </c>
      <c r="W94" s="6">
        <f>Data!H84/100</f>
        <v/>
      </c>
      <c r="X94" s="6">
        <f>Data!I84*1000</f>
        <v/>
      </c>
      <c r="Y94" s="6">
        <f>Data!J84-273.15</f>
        <v/>
      </c>
      <c r="Z94" s="6">
        <f>(W94-W$5)/W$6</f>
        <v/>
      </c>
      <c r="AA94" s="6">
        <f>(X94-X$5)/X$6</f>
        <v/>
      </c>
      <c r="AB94" s="6">
        <f>(Y94-Y$5)/Y$6</f>
        <v/>
      </c>
      <c r="AC94" s="6">
        <f>$N$10+$N$11*Z94+$N$12*AA94+$N$13*AB94</f>
        <v/>
      </c>
      <c r="AD94" s="6">
        <f>AC94*$E$7+$E$6</f>
        <v/>
      </c>
    </row>
    <row r="95">
      <c r="V95" s="2">
        <f>Data!G85</f>
        <v/>
      </c>
      <c r="W95" s="6">
        <f>Data!H85/100</f>
        <v/>
      </c>
      <c r="X95" s="6">
        <f>Data!I85*1000</f>
        <v/>
      </c>
      <c r="Y95" s="6">
        <f>Data!J85-273.15</f>
        <v/>
      </c>
      <c r="Z95" s="6">
        <f>(W95-W$5)/W$6</f>
        <v/>
      </c>
      <c r="AA95" s="6">
        <f>(X95-X$5)/X$6</f>
        <v/>
      </c>
      <c r="AB95" s="6">
        <f>(Y95-Y$5)/Y$6</f>
        <v/>
      </c>
      <c r="AC95" s="6">
        <f>$N$10+$N$11*Z95+$N$12*AA95+$N$13*AB95</f>
        <v/>
      </c>
      <c r="AD95" s="6">
        <f>AC95*$E$7+$E$6</f>
        <v/>
      </c>
    </row>
    <row r="96">
      <c r="V96" s="2">
        <f>Data!G86</f>
        <v/>
      </c>
      <c r="W96" s="6">
        <f>Data!H86/100</f>
        <v/>
      </c>
      <c r="X96" s="6">
        <f>Data!I86*1000</f>
        <v/>
      </c>
      <c r="Y96" s="6">
        <f>Data!J86-273.15</f>
        <v/>
      </c>
      <c r="Z96" s="6">
        <f>(W96-W$5)/W$6</f>
        <v/>
      </c>
      <c r="AA96" s="6">
        <f>(X96-X$5)/X$6</f>
        <v/>
      </c>
      <c r="AB96" s="6">
        <f>(Y96-Y$5)/Y$6</f>
        <v/>
      </c>
      <c r="AC96" s="6">
        <f>$N$10+$N$11*Z96+$N$12*AA96+$N$13*AB96</f>
        <v/>
      </c>
      <c r="AD96" s="6">
        <f>AC96*$E$7+$E$6</f>
        <v/>
      </c>
    </row>
    <row r="97">
      <c r="V97" s="2">
        <f>Data!G87</f>
        <v/>
      </c>
      <c r="W97" s="6">
        <f>Data!H87/100</f>
        <v/>
      </c>
      <c r="X97" s="6">
        <f>Data!I87*1000</f>
        <v/>
      </c>
      <c r="Y97" s="6">
        <f>Data!J87-273.15</f>
        <v/>
      </c>
      <c r="Z97" s="6">
        <f>(W97-W$5)/W$6</f>
        <v/>
      </c>
      <c r="AA97" s="6">
        <f>(X97-X$5)/X$6</f>
        <v/>
      </c>
      <c r="AB97" s="6">
        <f>(Y97-Y$5)/Y$6</f>
        <v/>
      </c>
      <c r="AC97" s="6">
        <f>$N$10+$N$11*Z97+$N$12*AA97+$N$13*AB97</f>
        <v/>
      </c>
      <c r="AD97" s="6">
        <f>AC97*$E$7+$E$6</f>
        <v/>
      </c>
    </row>
    <row r="98">
      <c r="V98" s="2">
        <f>Data!G88</f>
        <v/>
      </c>
      <c r="W98" s="6">
        <f>Data!H88/100</f>
        <v/>
      </c>
      <c r="X98" s="6">
        <f>Data!I88*1000</f>
        <v/>
      </c>
      <c r="Y98" s="6">
        <f>Data!J88-273.15</f>
        <v/>
      </c>
      <c r="Z98" s="6">
        <f>(W98-W$5)/W$6</f>
        <v/>
      </c>
      <c r="AA98" s="6">
        <f>(X98-X$5)/X$6</f>
        <v/>
      </c>
      <c r="AB98" s="6">
        <f>(Y98-Y$5)/Y$6</f>
        <v/>
      </c>
      <c r="AC98" s="6">
        <f>$N$10+$N$11*Z98+$N$12*AA98+$N$13*AB98</f>
        <v/>
      </c>
      <c r="AD98" s="6">
        <f>AC98*$E$7+$E$6</f>
        <v/>
      </c>
    </row>
    <row r="99">
      <c r="V99" s="2">
        <f>Data!G89</f>
        <v/>
      </c>
      <c r="W99" s="6">
        <f>Data!H89/100</f>
        <v/>
      </c>
      <c r="X99" s="6">
        <f>Data!I89*1000</f>
        <v/>
      </c>
      <c r="Y99" s="6">
        <f>Data!J89-273.15</f>
        <v/>
      </c>
      <c r="Z99" s="6">
        <f>(W99-W$5)/W$6</f>
        <v/>
      </c>
      <c r="AA99" s="6">
        <f>(X99-X$5)/X$6</f>
        <v/>
      </c>
      <c r="AB99" s="6">
        <f>(Y99-Y$5)/Y$6</f>
        <v/>
      </c>
      <c r="AC99" s="6">
        <f>$N$10+$N$11*Z99+$N$12*AA99+$N$13*AB99</f>
        <v/>
      </c>
      <c r="AD99" s="6">
        <f>AC99*$E$7+$E$6</f>
        <v/>
      </c>
    </row>
    <row r="100">
      <c r="V100" s="2">
        <f>Data!G90</f>
        <v/>
      </c>
      <c r="W100" s="6">
        <f>Data!H90/100</f>
        <v/>
      </c>
      <c r="X100" s="6">
        <f>Data!I90*1000</f>
        <v/>
      </c>
      <c r="Y100" s="6">
        <f>Data!J90-273.15</f>
        <v/>
      </c>
      <c r="Z100" s="6">
        <f>(W100-W$5)/W$6</f>
        <v/>
      </c>
      <c r="AA100" s="6">
        <f>(X100-X$5)/X$6</f>
        <v/>
      </c>
      <c r="AB100" s="6">
        <f>(Y100-Y$5)/Y$6</f>
        <v/>
      </c>
      <c r="AC100" s="6">
        <f>$N$10+$N$11*Z100+$N$12*AA100+$N$13*AB100</f>
        <v/>
      </c>
      <c r="AD100" s="6">
        <f>AC100*$E$7+$E$6</f>
        <v/>
      </c>
    </row>
    <row r="101">
      <c r="V101" s="2">
        <f>Data!G91</f>
        <v/>
      </c>
      <c r="W101" s="6">
        <f>Data!H91/100</f>
        <v/>
      </c>
      <c r="X101" s="6">
        <f>Data!I91*1000</f>
        <v/>
      </c>
      <c r="Y101" s="6">
        <f>Data!J91-273.15</f>
        <v/>
      </c>
      <c r="Z101" s="6">
        <f>(W101-W$5)/W$6</f>
        <v/>
      </c>
      <c r="AA101" s="6">
        <f>(X101-X$5)/X$6</f>
        <v/>
      </c>
      <c r="AB101" s="6">
        <f>(Y101-Y$5)/Y$6</f>
        <v/>
      </c>
      <c r="AC101" s="6">
        <f>$N$10+$N$11*Z101+$N$12*AA101+$N$13*AB101</f>
        <v/>
      </c>
      <c r="AD101" s="6">
        <f>AC101*$E$7+$E$6</f>
        <v/>
      </c>
    </row>
    <row r="102">
      <c r="V102" s="2">
        <f>Data!G92</f>
        <v/>
      </c>
      <c r="W102" s="6">
        <f>Data!H92/100</f>
        <v/>
      </c>
      <c r="X102" s="6">
        <f>Data!I92*1000</f>
        <v/>
      </c>
      <c r="Y102" s="6">
        <f>Data!J92-273.15</f>
        <v/>
      </c>
      <c r="Z102" s="6">
        <f>(W102-W$5)/W$6</f>
        <v/>
      </c>
      <c r="AA102" s="6">
        <f>(X102-X$5)/X$6</f>
        <v/>
      </c>
      <c r="AB102" s="6">
        <f>(Y102-Y$5)/Y$6</f>
        <v/>
      </c>
      <c r="AC102" s="6">
        <f>$N$10+$N$11*Z102+$N$12*AA102+$N$13*AB102</f>
        <v/>
      </c>
      <c r="AD102" s="6">
        <f>AC102*$E$7+$E$6</f>
        <v/>
      </c>
    </row>
    <row r="103">
      <c r="V103" s="2">
        <f>Data!G93</f>
        <v/>
      </c>
      <c r="W103" s="6">
        <f>Data!H93/100</f>
        <v/>
      </c>
      <c r="X103" s="6">
        <f>Data!I93*1000</f>
        <v/>
      </c>
      <c r="Y103" s="6">
        <f>Data!J93-273.15</f>
        <v/>
      </c>
      <c r="Z103" s="6">
        <f>(W103-W$5)/W$6</f>
        <v/>
      </c>
      <c r="AA103" s="6">
        <f>(X103-X$5)/X$6</f>
        <v/>
      </c>
      <c r="AB103" s="6">
        <f>(Y103-Y$5)/Y$6</f>
        <v/>
      </c>
      <c r="AC103" s="6">
        <f>$N$10+$N$11*Z103+$N$12*AA103+$N$13*AB103</f>
        <v/>
      </c>
      <c r="AD103" s="6">
        <f>AC103*$E$7+$E$6</f>
        <v/>
      </c>
    </row>
    <row r="104">
      <c r="V104" s="2">
        <f>Data!G94</f>
        <v/>
      </c>
      <c r="W104" s="6">
        <f>Data!H94/100</f>
        <v/>
      </c>
      <c r="X104" s="6">
        <f>Data!I94*1000</f>
        <v/>
      </c>
      <c r="Y104" s="6">
        <f>Data!J94-273.15</f>
        <v/>
      </c>
      <c r="Z104" s="6">
        <f>(W104-W$5)/W$6</f>
        <v/>
      </c>
      <c r="AA104" s="6">
        <f>(X104-X$5)/X$6</f>
        <v/>
      </c>
      <c r="AB104" s="6">
        <f>(Y104-Y$5)/Y$6</f>
        <v/>
      </c>
      <c r="AC104" s="6">
        <f>$N$10+$N$11*Z104+$N$12*AA104+$N$13*AB104</f>
        <v/>
      </c>
      <c r="AD104" s="6">
        <f>AC104*$E$7+$E$6</f>
        <v/>
      </c>
    </row>
    <row r="105">
      <c r="V105" s="2">
        <f>Data!G95</f>
        <v/>
      </c>
      <c r="W105" s="6">
        <f>Data!H95/100</f>
        <v/>
      </c>
      <c r="X105" s="6">
        <f>Data!I95*1000</f>
        <v/>
      </c>
      <c r="Y105" s="6">
        <f>Data!J95-273.15</f>
        <v/>
      </c>
      <c r="Z105" s="6">
        <f>(W105-W$5)/W$6</f>
        <v/>
      </c>
      <c r="AA105" s="6">
        <f>(X105-X$5)/X$6</f>
        <v/>
      </c>
      <c r="AB105" s="6">
        <f>(Y105-Y$5)/Y$6</f>
        <v/>
      </c>
      <c r="AC105" s="6">
        <f>$N$10+$N$11*Z105+$N$12*AA105+$N$13*AB105</f>
        <v/>
      </c>
      <c r="AD105" s="6">
        <f>AC105*$E$7+$E$6</f>
        <v/>
      </c>
    </row>
    <row r="106">
      <c r="V106" s="2">
        <f>Data!G96</f>
        <v/>
      </c>
      <c r="W106" s="6">
        <f>Data!H96/100</f>
        <v/>
      </c>
      <c r="X106" s="6">
        <f>Data!I96*1000</f>
        <v/>
      </c>
      <c r="Y106" s="6">
        <f>Data!J96-273.15</f>
        <v/>
      </c>
      <c r="Z106" s="6">
        <f>(W106-W$5)/W$6</f>
        <v/>
      </c>
      <c r="AA106" s="6">
        <f>(X106-X$5)/X$6</f>
        <v/>
      </c>
      <c r="AB106" s="6">
        <f>(Y106-Y$5)/Y$6</f>
        <v/>
      </c>
      <c r="AC106" s="6">
        <f>$N$10+$N$11*Z106+$N$12*AA106+$N$13*AB106</f>
        <v/>
      </c>
      <c r="AD106" s="6">
        <f>AC106*$E$7+$E$6</f>
        <v/>
      </c>
    </row>
    <row r="107">
      <c r="V107" s="2">
        <f>Data!G97</f>
        <v/>
      </c>
      <c r="W107" s="6">
        <f>Data!H97/100</f>
        <v/>
      </c>
      <c r="X107" s="6">
        <f>Data!I97*1000</f>
        <v/>
      </c>
      <c r="Y107" s="6">
        <f>Data!J97-273.15</f>
        <v/>
      </c>
      <c r="Z107" s="6">
        <f>(W107-W$5)/W$6</f>
        <v/>
      </c>
      <c r="AA107" s="6">
        <f>(X107-X$5)/X$6</f>
        <v/>
      </c>
      <c r="AB107" s="6">
        <f>(Y107-Y$5)/Y$6</f>
        <v/>
      </c>
      <c r="AC107" s="6">
        <f>$N$10+$N$11*Z107+$N$12*AA107+$N$13*AB107</f>
        <v/>
      </c>
      <c r="AD107" s="6">
        <f>AC107*$E$7+$E$6</f>
        <v/>
      </c>
    </row>
    <row r="108">
      <c r="V108" s="2">
        <f>Data!G98</f>
        <v/>
      </c>
      <c r="W108" s="6">
        <f>Data!H98/100</f>
        <v/>
      </c>
      <c r="X108" s="6">
        <f>Data!I98*1000</f>
        <v/>
      </c>
      <c r="Y108" s="6">
        <f>Data!J98-273.15</f>
        <v/>
      </c>
      <c r="Z108" s="6">
        <f>(W108-W$5)/W$6</f>
        <v/>
      </c>
      <c r="AA108" s="6">
        <f>(X108-X$5)/X$6</f>
        <v/>
      </c>
      <c r="AB108" s="6">
        <f>(Y108-Y$5)/Y$6</f>
        <v/>
      </c>
      <c r="AC108" s="6">
        <f>$N$10+$N$11*Z108+$N$12*AA108+$N$13*AB108</f>
        <v/>
      </c>
      <c r="AD108" s="6">
        <f>AC108*$E$7+$E$6</f>
        <v/>
      </c>
    </row>
    <row r="109">
      <c r="V109" s="2">
        <f>Data!G99</f>
        <v/>
      </c>
      <c r="W109" s="6">
        <f>Data!H99/100</f>
        <v/>
      </c>
      <c r="X109" s="6">
        <f>Data!I99*1000</f>
        <v/>
      </c>
      <c r="Y109" s="6">
        <f>Data!J99-273.15</f>
        <v/>
      </c>
      <c r="Z109" s="6">
        <f>(W109-W$5)/W$6</f>
        <v/>
      </c>
      <c r="AA109" s="6">
        <f>(X109-X$5)/X$6</f>
        <v/>
      </c>
      <c r="AB109" s="6">
        <f>(Y109-Y$5)/Y$6</f>
        <v/>
      </c>
      <c r="AC109" s="6">
        <f>$N$10+$N$11*Z109+$N$12*AA109+$N$13*AB109</f>
        <v/>
      </c>
      <c r="AD109" s="6">
        <f>AC109*$E$7+$E$6</f>
        <v/>
      </c>
    </row>
    <row r="110">
      <c r="V110" s="2">
        <f>Data!G100</f>
        <v/>
      </c>
      <c r="W110" s="6">
        <f>Data!H100/100</f>
        <v/>
      </c>
      <c r="X110" s="6">
        <f>Data!I100*1000</f>
        <v/>
      </c>
      <c r="Y110" s="6">
        <f>Data!J100-273.15</f>
        <v/>
      </c>
      <c r="Z110" s="6">
        <f>(W110-W$5)/W$6</f>
        <v/>
      </c>
      <c r="AA110" s="6">
        <f>(X110-X$5)/X$6</f>
        <v/>
      </c>
      <c r="AB110" s="6">
        <f>(Y110-Y$5)/Y$6</f>
        <v/>
      </c>
      <c r="AC110" s="6">
        <f>$N$10+$N$11*Z110+$N$12*AA110+$N$13*AB110</f>
        <v/>
      </c>
      <c r="AD110" s="6">
        <f>AC110*$E$7+$E$6</f>
        <v/>
      </c>
    </row>
    <row r="111">
      <c r="V111" s="2">
        <f>Data!G101</f>
        <v/>
      </c>
      <c r="W111" s="6">
        <f>Data!H101/100</f>
        <v/>
      </c>
      <c r="X111" s="6">
        <f>Data!I101*1000</f>
        <v/>
      </c>
      <c r="Y111" s="6">
        <f>Data!J101-273.15</f>
        <v/>
      </c>
      <c r="Z111" s="6">
        <f>(W111-W$5)/W$6</f>
        <v/>
      </c>
      <c r="AA111" s="6">
        <f>(X111-X$5)/X$6</f>
        <v/>
      </c>
      <c r="AB111" s="6">
        <f>(Y111-Y$5)/Y$6</f>
        <v/>
      </c>
      <c r="AC111" s="6">
        <f>$N$10+$N$11*Z111+$N$12*AA111+$N$13*AB111</f>
        <v/>
      </c>
      <c r="AD111" s="6">
        <f>AC111*$E$7+$E$6</f>
        <v/>
      </c>
    </row>
    <row r="112">
      <c r="V112" s="2">
        <f>Data!G102</f>
        <v/>
      </c>
      <c r="W112" s="6">
        <f>Data!H102/100</f>
        <v/>
      </c>
      <c r="X112" s="6">
        <f>Data!I102*1000</f>
        <v/>
      </c>
      <c r="Y112" s="6">
        <f>Data!J102-273.15</f>
        <v/>
      </c>
      <c r="Z112" s="6">
        <f>(W112-W$5)/W$6</f>
        <v/>
      </c>
      <c r="AA112" s="6">
        <f>(X112-X$5)/X$6</f>
        <v/>
      </c>
      <c r="AB112" s="6">
        <f>(Y112-Y$5)/Y$6</f>
        <v/>
      </c>
      <c r="AC112" s="6">
        <f>$N$10+$N$11*Z112+$N$12*AA112+$N$13*AB112</f>
        <v/>
      </c>
      <c r="AD112" s="6">
        <f>AC112*$E$7+$E$6</f>
        <v/>
      </c>
    </row>
    <row r="113">
      <c r="V113" s="2">
        <f>Data!G103</f>
        <v/>
      </c>
      <c r="W113" s="6">
        <f>Data!H103/100</f>
        <v/>
      </c>
      <c r="X113" s="6">
        <f>Data!I103*1000</f>
        <v/>
      </c>
      <c r="Y113" s="6">
        <f>Data!J103-273.15</f>
        <v/>
      </c>
      <c r="Z113" s="6">
        <f>(W113-W$5)/W$6</f>
        <v/>
      </c>
      <c r="AA113" s="6">
        <f>(X113-X$5)/X$6</f>
        <v/>
      </c>
      <c r="AB113" s="6">
        <f>(Y113-Y$5)/Y$6</f>
        <v/>
      </c>
      <c r="AC113" s="6">
        <f>$N$10+$N$11*Z113+$N$12*AA113+$N$13*AB113</f>
        <v/>
      </c>
      <c r="AD113" s="6">
        <f>AC113*$E$7+$E$6</f>
        <v/>
      </c>
    </row>
    <row r="114">
      <c r="V114" s="2">
        <f>Data!G104</f>
        <v/>
      </c>
      <c r="W114" s="6">
        <f>Data!H104/100</f>
        <v/>
      </c>
      <c r="X114" s="6">
        <f>Data!I104*1000</f>
        <v/>
      </c>
      <c r="Y114" s="6">
        <f>Data!J104-273.15</f>
        <v/>
      </c>
      <c r="Z114" s="6">
        <f>(W114-W$5)/W$6</f>
        <v/>
      </c>
      <c r="AA114" s="6">
        <f>(X114-X$5)/X$6</f>
        <v/>
      </c>
      <c r="AB114" s="6">
        <f>(Y114-Y$5)/Y$6</f>
        <v/>
      </c>
      <c r="AC114" s="6">
        <f>$N$10+$N$11*Z114+$N$12*AA114+$N$13*AB114</f>
        <v/>
      </c>
      <c r="AD114" s="6">
        <f>AC114*$E$7+$E$6</f>
        <v/>
      </c>
    </row>
    <row r="115">
      <c r="V115" s="2">
        <f>Data!G105</f>
        <v/>
      </c>
      <c r="W115" s="6">
        <f>Data!H105/100</f>
        <v/>
      </c>
      <c r="X115" s="6">
        <f>Data!I105*1000</f>
        <v/>
      </c>
      <c r="Y115" s="6">
        <f>Data!J105-273.15</f>
        <v/>
      </c>
      <c r="Z115" s="6">
        <f>(W115-W$5)/W$6</f>
        <v/>
      </c>
      <c r="AA115" s="6">
        <f>(X115-X$5)/X$6</f>
        <v/>
      </c>
      <c r="AB115" s="6">
        <f>(Y115-Y$5)/Y$6</f>
        <v/>
      </c>
      <c r="AC115" s="6">
        <f>$N$10+$N$11*Z115+$N$12*AA115+$N$13*AB115</f>
        <v/>
      </c>
      <c r="AD115" s="6">
        <f>AC115*$E$7+$E$6</f>
        <v/>
      </c>
    </row>
    <row r="116">
      <c r="V116" s="2">
        <f>Data!G106</f>
        <v/>
      </c>
      <c r="W116" s="6">
        <f>Data!H106/100</f>
        <v/>
      </c>
      <c r="X116" s="6">
        <f>Data!I106*1000</f>
        <v/>
      </c>
      <c r="Y116" s="6">
        <f>Data!J106-273.15</f>
        <v/>
      </c>
      <c r="Z116" s="6">
        <f>(W116-W$5)/W$6</f>
        <v/>
      </c>
      <c r="AA116" s="6">
        <f>(X116-X$5)/X$6</f>
        <v/>
      </c>
      <c r="AB116" s="6">
        <f>(Y116-Y$5)/Y$6</f>
        <v/>
      </c>
      <c r="AC116" s="6">
        <f>$N$10+$N$11*Z116+$N$12*AA116+$N$13*AB116</f>
        <v/>
      </c>
      <c r="AD116" s="6">
        <f>AC116*$E$7+$E$6</f>
        <v/>
      </c>
    </row>
    <row r="117">
      <c r="V117" s="2">
        <f>Data!G107</f>
        <v/>
      </c>
      <c r="W117" s="6">
        <f>Data!H107/100</f>
        <v/>
      </c>
      <c r="X117" s="6">
        <f>Data!I107*1000</f>
        <v/>
      </c>
      <c r="Y117" s="6">
        <f>Data!J107-273.15</f>
        <v/>
      </c>
      <c r="Z117" s="6">
        <f>(W117-W$5)/W$6</f>
        <v/>
      </c>
      <c r="AA117" s="6">
        <f>(X117-X$5)/X$6</f>
        <v/>
      </c>
      <c r="AB117" s="6">
        <f>(Y117-Y$5)/Y$6</f>
        <v/>
      </c>
      <c r="AC117" s="6">
        <f>$N$10+$N$11*Z117+$N$12*AA117+$N$13*AB117</f>
        <v/>
      </c>
      <c r="AD117" s="6">
        <f>AC117*$E$7+$E$6</f>
        <v/>
      </c>
    </row>
    <row r="118">
      <c r="V118" s="2">
        <f>Data!G108</f>
        <v/>
      </c>
      <c r="W118" s="6">
        <f>Data!H108/100</f>
        <v/>
      </c>
      <c r="X118" s="6">
        <f>Data!I108*1000</f>
        <v/>
      </c>
      <c r="Y118" s="6">
        <f>Data!J108-273.15</f>
        <v/>
      </c>
      <c r="Z118" s="6">
        <f>(W118-W$5)/W$6</f>
        <v/>
      </c>
      <c r="AA118" s="6">
        <f>(X118-X$5)/X$6</f>
        <v/>
      </c>
      <c r="AB118" s="6">
        <f>(Y118-Y$5)/Y$6</f>
        <v/>
      </c>
      <c r="AC118" s="6">
        <f>$N$10+$N$11*Z118+$N$12*AA118+$N$13*AB118</f>
        <v/>
      </c>
      <c r="AD118" s="6">
        <f>AC118*$E$7+$E$6</f>
        <v/>
      </c>
    </row>
    <row r="119">
      <c r="V119" s="2">
        <f>Data!G109</f>
        <v/>
      </c>
      <c r="W119" s="6">
        <f>Data!H109/100</f>
        <v/>
      </c>
      <c r="X119" s="6">
        <f>Data!I109*1000</f>
        <v/>
      </c>
      <c r="Y119" s="6">
        <f>Data!J109-273.15</f>
        <v/>
      </c>
      <c r="Z119" s="6">
        <f>(W119-W$5)/W$6</f>
        <v/>
      </c>
      <c r="AA119" s="6">
        <f>(X119-X$5)/X$6</f>
        <v/>
      </c>
      <c r="AB119" s="6">
        <f>(Y119-Y$5)/Y$6</f>
        <v/>
      </c>
      <c r="AC119" s="6">
        <f>$N$10+$N$11*Z119+$N$12*AA119+$N$13*AB119</f>
        <v/>
      </c>
      <c r="AD119" s="6">
        <f>AC119*$E$7+$E$6</f>
        <v/>
      </c>
    </row>
    <row r="120">
      <c r="V120" s="2">
        <f>Data!G110</f>
        <v/>
      </c>
      <c r="W120" s="6">
        <f>Data!H110/100</f>
        <v/>
      </c>
      <c r="X120" s="6">
        <f>Data!I110*1000</f>
        <v/>
      </c>
      <c r="Y120" s="6">
        <f>Data!J110-273.15</f>
        <v/>
      </c>
      <c r="Z120" s="6">
        <f>(W120-W$5)/W$6</f>
        <v/>
      </c>
      <c r="AA120" s="6">
        <f>(X120-X$5)/X$6</f>
        <v/>
      </c>
      <c r="AB120" s="6">
        <f>(Y120-Y$5)/Y$6</f>
        <v/>
      </c>
      <c r="AC120" s="6">
        <f>$N$10+$N$11*Z120+$N$12*AA120+$N$13*AB120</f>
        <v/>
      </c>
      <c r="AD120" s="6">
        <f>AC120*$E$7+$E$6</f>
        <v/>
      </c>
    </row>
    <row r="121">
      <c r="V121" s="2">
        <f>Data!G111</f>
        <v/>
      </c>
      <c r="W121" s="6">
        <f>Data!H111/100</f>
        <v/>
      </c>
      <c r="X121" s="6">
        <f>Data!I111*1000</f>
        <v/>
      </c>
      <c r="Y121" s="6">
        <f>Data!J111-273.15</f>
        <v/>
      </c>
      <c r="Z121" s="6">
        <f>(W121-W$5)/W$6</f>
        <v/>
      </c>
      <c r="AA121" s="6">
        <f>(X121-X$5)/X$6</f>
        <v/>
      </c>
      <c r="AB121" s="6">
        <f>(Y121-Y$5)/Y$6</f>
        <v/>
      </c>
      <c r="AC121" s="6">
        <f>$N$10+$N$11*Z121+$N$12*AA121+$N$13*AB121</f>
        <v/>
      </c>
      <c r="AD121" s="6">
        <f>AC121*$E$7+$E$6</f>
        <v/>
      </c>
    </row>
    <row r="122">
      <c r="V122" s="2">
        <f>Data!G112</f>
        <v/>
      </c>
      <c r="W122" s="6">
        <f>Data!H112/100</f>
        <v/>
      </c>
      <c r="X122" s="6">
        <f>Data!I112*1000</f>
        <v/>
      </c>
      <c r="Y122" s="6">
        <f>Data!J112-273.15</f>
        <v/>
      </c>
      <c r="Z122" s="6">
        <f>(W122-W$5)/W$6</f>
        <v/>
      </c>
      <c r="AA122" s="6">
        <f>(X122-X$5)/X$6</f>
        <v/>
      </c>
      <c r="AB122" s="6">
        <f>(Y122-Y$5)/Y$6</f>
        <v/>
      </c>
      <c r="AC122" s="6">
        <f>$N$10+$N$11*Z122+$N$12*AA122+$N$13*AB122</f>
        <v/>
      </c>
      <c r="AD122" s="6">
        <f>AC122*$E$7+$E$6</f>
        <v/>
      </c>
    </row>
    <row r="123">
      <c r="V123" s="2">
        <f>Data!G113</f>
        <v/>
      </c>
      <c r="W123" s="6">
        <f>Data!H113/100</f>
        <v/>
      </c>
      <c r="X123" s="6">
        <f>Data!I113*1000</f>
        <v/>
      </c>
      <c r="Y123" s="6">
        <f>Data!J113-273.15</f>
        <v/>
      </c>
      <c r="Z123" s="6">
        <f>(W123-W$5)/W$6</f>
        <v/>
      </c>
      <c r="AA123" s="6">
        <f>(X123-X$5)/X$6</f>
        <v/>
      </c>
      <c r="AB123" s="6">
        <f>(Y123-Y$5)/Y$6</f>
        <v/>
      </c>
      <c r="AC123" s="6">
        <f>$N$10+$N$11*Z123+$N$12*AA123+$N$13*AB123</f>
        <v/>
      </c>
      <c r="AD123" s="6">
        <f>AC123*$E$7+$E$6</f>
        <v/>
      </c>
    </row>
    <row r="124">
      <c r="V124" s="2">
        <f>Data!G114</f>
        <v/>
      </c>
      <c r="W124" s="6">
        <f>Data!H114/100</f>
        <v/>
      </c>
      <c r="X124" s="6">
        <f>Data!I114*1000</f>
        <v/>
      </c>
      <c r="Y124" s="6">
        <f>Data!J114-273.15</f>
        <v/>
      </c>
      <c r="Z124" s="6">
        <f>(W124-W$5)/W$6</f>
        <v/>
      </c>
      <c r="AA124" s="6">
        <f>(X124-X$5)/X$6</f>
        <v/>
      </c>
      <c r="AB124" s="6">
        <f>(Y124-Y$5)/Y$6</f>
        <v/>
      </c>
      <c r="AC124" s="6">
        <f>$N$10+$N$11*Z124+$N$12*AA124+$N$13*AB124</f>
        <v/>
      </c>
      <c r="AD124" s="6">
        <f>AC124*$E$7+$E$6</f>
        <v/>
      </c>
    </row>
    <row r="125">
      <c r="V125" s="2">
        <f>Data!G115</f>
        <v/>
      </c>
      <c r="W125" s="6">
        <f>Data!H115/100</f>
        <v/>
      </c>
      <c r="X125" s="6">
        <f>Data!I115*1000</f>
        <v/>
      </c>
      <c r="Y125" s="6">
        <f>Data!J115-273.15</f>
        <v/>
      </c>
      <c r="Z125" s="6">
        <f>(W125-W$5)/W$6</f>
        <v/>
      </c>
      <c r="AA125" s="6">
        <f>(X125-X$5)/X$6</f>
        <v/>
      </c>
      <c r="AB125" s="6">
        <f>(Y125-Y$5)/Y$6</f>
        <v/>
      </c>
      <c r="AC125" s="6">
        <f>$N$10+$N$11*Z125+$N$12*AA125+$N$13*AB125</f>
        <v/>
      </c>
      <c r="AD125" s="6">
        <f>AC125*$E$7+$E$6</f>
        <v/>
      </c>
    </row>
    <row r="126">
      <c r="V126" s="2">
        <f>Data!G116</f>
        <v/>
      </c>
      <c r="W126" s="6">
        <f>Data!H116/100</f>
        <v/>
      </c>
      <c r="X126" s="6">
        <f>Data!I116*1000</f>
        <v/>
      </c>
      <c r="Y126" s="6">
        <f>Data!J116-273.15</f>
        <v/>
      </c>
      <c r="Z126" s="6">
        <f>(W126-W$5)/W$6</f>
        <v/>
      </c>
      <c r="AA126" s="6">
        <f>(X126-X$5)/X$6</f>
        <v/>
      </c>
      <c r="AB126" s="6">
        <f>(Y126-Y$5)/Y$6</f>
        <v/>
      </c>
      <c r="AC126" s="6">
        <f>$N$10+$N$11*Z126+$N$12*AA126+$N$13*AB126</f>
        <v/>
      </c>
      <c r="AD126" s="6">
        <f>AC126*$E$7+$E$6</f>
        <v/>
      </c>
    </row>
    <row r="127">
      <c r="V127" s="2">
        <f>Data!G117</f>
        <v/>
      </c>
      <c r="W127" s="6">
        <f>Data!H117/100</f>
        <v/>
      </c>
      <c r="X127" s="6">
        <f>Data!I117*1000</f>
        <v/>
      </c>
      <c r="Y127" s="6">
        <f>Data!J117-273.15</f>
        <v/>
      </c>
      <c r="Z127" s="6">
        <f>(W127-W$5)/W$6</f>
        <v/>
      </c>
      <c r="AA127" s="6">
        <f>(X127-X$5)/X$6</f>
        <v/>
      </c>
      <c r="AB127" s="6">
        <f>(Y127-Y$5)/Y$6</f>
        <v/>
      </c>
      <c r="AC127" s="6">
        <f>$N$10+$N$11*Z127+$N$12*AA127+$N$13*AB127</f>
        <v/>
      </c>
      <c r="AD127" s="6">
        <f>AC127*$E$7+$E$6</f>
        <v/>
      </c>
    </row>
    <row r="128">
      <c r="V128" s="2">
        <f>Data!G118</f>
        <v/>
      </c>
      <c r="W128" s="6">
        <f>Data!H118/100</f>
        <v/>
      </c>
      <c r="X128" s="6">
        <f>Data!I118*1000</f>
        <v/>
      </c>
      <c r="Y128" s="6">
        <f>Data!J118-273.15</f>
        <v/>
      </c>
      <c r="Z128" s="6">
        <f>(W128-W$5)/W$6</f>
        <v/>
      </c>
      <c r="AA128" s="6">
        <f>(X128-X$5)/X$6</f>
        <v/>
      </c>
      <c r="AB128" s="6">
        <f>(Y128-Y$5)/Y$6</f>
        <v/>
      </c>
      <c r="AC128" s="6">
        <f>$N$10+$N$11*Z128+$N$12*AA128+$N$13*AB128</f>
        <v/>
      </c>
      <c r="AD128" s="6">
        <f>AC128*$E$7+$E$6</f>
        <v/>
      </c>
    </row>
    <row r="129">
      <c r="V129" s="2">
        <f>Data!G119</f>
        <v/>
      </c>
      <c r="W129" s="6">
        <f>Data!H119/100</f>
        <v/>
      </c>
      <c r="X129" s="6">
        <f>Data!I119*1000</f>
        <v/>
      </c>
      <c r="Y129" s="6">
        <f>Data!J119-273.15</f>
        <v/>
      </c>
      <c r="Z129" s="6">
        <f>(W129-W$5)/W$6</f>
        <v/>
      </c>
      <c r="AA129" s="6">
        <f>(X129-X$5)/X$6</f>
        <v/>
      </c>
      <c r="AB129" s="6">
        <f>(Y129-Y$5)/Y$6</f>
        <v/>
      </c>
      <c r="AC129" s="6">
        <f>$N$10+$N$11*Z129+$N$12*AA129+$N$13*AB129</f>
        <v/>
      </c>
      <c r="AD129" s="6">
        <f>AC129*$E$7+$E$6</f>
        <v/>
      </c>
    </row>
    <row r="130">
      <c r="V130" s="2">
        <f>Data!G120</f>
        <v/>
      </c>
      <c r="W130" s="6">
        <f>Data!H120/100</f>
        <v/>
      </c>
      <c r="X130" s="6">
        <f>Data!I120*1000</f>
        <v/>
      </c>
      <c r="Y130" s="6">
        <f>Data!J120-273.15</f>
        <v/>
      </c>
      <c r="Z130" s="6">
        <f>(W130-W$5)/W$6</f>
        <v/>
      </c>
      <c r="AA130" s="6">
        <f>(X130-X$5)/X$6</f>
        <v/>
      </c>
      <c r="AB130" s="6">
        <f>(Y130-Y$5)/Y$6</f>
        <v/>
      </c>
      <c r="AC130" s="6">
        <f>$N$10+$N$11*Z130+$N$12*AA130+$N$13*AB130</f>
        <v/>
      </c>
      <c r="AD130" s="6">
        <f>AC130*$E$7+$E$6</f>
        <v/>
      </c>
    </row>
    <row r="131">
      <c r="V131" s="2">
        <f>Data!G121</f>
        <v/>
      </c>
      <c r="W131" s="6">
        <f>Data!H121/100</f>
        <v/>
      </c>
      <c r="X131" s="6">
        <f>Data!I121*1000</f>
        <v/>
      </c>
      <c r="Y131" s="6">
        <f>Data!J121-273.15</f>
        <v/>
      </c>
      <c r="Z131" s="6">
        <f>(W131-W$5)/W$6</f>
        <v/>
      </c>
      <c r="AA131" s="6">
        <f>(X131-X$5)/X$6</f>
        <v/>
      </c>
      <c r="AB131" s="6">
        <f>(Y131-Y$5)/Y$6</f>
        <v/>
      </c>
      <c r="AC131" s="6">
        <f>$N$10+$N$11*Z131+$N$12*AA131+$N$13*AB131</f>
        <v/>
      </c>
      <c r="AD131" s="6">
        <f>AC131*$E$7+$E$6</f>
        <v/>
      </c>
    </row>
    <row r="132">
      <c r="V132" s="2">
        <f>Data!G122</f>
        <v/>
      </c>
      <c r="W132" s="6">
        <f>Data!H122/100</f>
        <v/>
      </c>
      <c r="X132" s="6">
        <f>Data!I122*1000</f>
        <v/>
      </c>
      <c r="Y132" s="6">
        <f>Data!J122-273.15</f>
        <v/>
      </c>
      <c r="Z132" s="6">
        <f>(W132-W$5)/W$6</f>
        <v/>
      </c>
      <c r="AA132" s="6">
        <f>(X132-X$5)/X$6</f>
        <v/>
      </c>
      <c r="AB132" s="6">
        <f>(Y132-Y$5)/Y$6</f>
        <v/>
      </c>
      <c r="AC132" s="6">
        <f>$N$10+$N$11*Z132+$N$12*AA132+$N$13*AB132</f>
        <v/>
      </c>
      <c r="AD132" s="6">
        <f>AC132*$E$7+$E$6</f>
        <v/>
      </c>
    </row>
    <row r="133">
      <c r="V133" s="2">
        <f>Data!G123</f>
        <v/>
      </c>
      <c r="W133" s="6">
        <f>Data!H123/100</f>
        <v/>
      </c>
      <c r="X133" s="6">
        <f>Data!I123*1000</f>
        <v/>
      </c>
      <c r="Y133" s="6">
        <f>Data!J123-273.15</f>
        <v/>
      </c>
      <c r="Z133" s="6">
        <f>(W133-W$5)/W$6</f>
        <v/>
      </c>
      <c r="AA133" s="6">
        <f>(X133-X$5)/X$6</f>
        <v/>
      </c>
      <c r="AB133" s="6">
        <f>(Y133-Y$5)/Y$6</f>
        <v/>
      </c>
      <c r="AC133" s="6">
        <f>$N$10+$N$11*Z133+$N$12*AA133+$N$13*AB133</f>
        <v/>
      </c>
      <c r="AD133" s="6">
        <f>AC133*$E$7+$E$6</f>
        <v/>
      </c>
    </row>
    <row r="134">
      <c r="V134" s="2">
        <f>Data!G124</f>
        <v/>
      </c>
      <c r="W134" s="6">
        <f>Data!H124/100</f>
        <v/>
      </c>
      <c r="X134" s="6">
        <f>Data!I124*1000</f>
        <v/>
      </c>
      <c r="Y134" s="6">
        <f>Data!J124-273.15</f>
        <v/>
      </c>
      <c r="Z134" s="6">
        <f>(W134-W$5)/W$6</f>
        <v/>
      </c>
      <c r="AA134" s="6">
        <f>(X134-X$5)/X$6</f>
        <v/>
      </c>
      <c r="AB134" s="6">
        <f>(Y134-Y$5)/Y$6</f>
        <v/>
      </c>
      <c r="AC134" s="6">
        <f>$N$10+$N$11*Z134+$N$12*AA134+$N$13*AB134</f>
        <v/>
      </c>
      <c r="AD134" s="6">
        <f>AC134*$E$7+$E$6</f>
        <v/>
      </c>
    </row>
    <row r="135">
      <c r="V135" s="2">
        <f>Data!G125</f>
        <v/>
      </c>
      <c r="W135" s="6">
        <f>Data!H125/100</f>
        <v/>
      </c>
      <c r="X135" s="6">
        <f>Data!I125*1000</f>
        <v/>
      </c>
      <c r="Y135" s="6">
        <f>Data!J125-273.15</f>
        <v/>
      </c>
      <c r="Z135" s="6">
        <f>(W135-W$5)/W$6</f>
        <v/>
      </c>
      <c r="AA135" s="6">
        <f>(X135-X$5)/X$6</f>
        <v/>
      </c>
      <c r="AB135" s="6">
        <f>(Y135-Y$5)/Y$6</f>
        <v/>
      </c>
      <c r="AC135" s="6">
        <f>$N$10+$N$11*Z135+$N$12*AA135+$N$13*AB135</f>
        <v/>
      </c>
      <c r="AD135" s="6">
        <f>AC135*$E$7+$E$6</f>
        <v/>
      </c>
    </row>
    <row r="136">
      <c r="V136" s="2">
        <f>Data!G126</f>
        <v/>
      </c>
      <c r="W136" s="6">
        <f>Data!H126/100</f>
        <v/>
      </c>
      <c r="X136" s="6">
        <f>Data!I126*1000</f>
        <v/>
      </c>
      <c r="Y136" s="6">
        <f>Data!J126-273.15</f>
        <v/>
      </c>
      <c r="Z136" s="6">
        <f>(W136-W$5)/W$6</f>
        <v/>
      </c>
      <c r="AA136" s="6">
        <f>(X136-X$5)/X$6</f>
        <v/>
      </c>
      <c r="AB136" s="6">
        <f>(Y136-Y$5)/Y$6</f>
        <v/>
      </c>
      <c r="AC136" s="6">
        <f>$N$10+$N$11*Z136+$N$12*AA136+$N$13*AB136</f>
        <v/>
      </c>
      <c r="AD136" s="6">
        <f>AC136*$E$7+$E$6</f>
        <v/>
      </c>
    </row>
    <row r="137">
      <c r="V137" s="2">
        <f>Data!G127</f>
        <v/>
      </c>
      <c r="W137" s="6">
        <f>Data!H127/100</f>
        <v/>
      </c>
      <c r="X137" s="6">
        <f>Data!I127*1000</f>
        <v/>
      </c>
      <c r="Y137" s="6">
        <f>Data!J127-273.15</f>
        <v/>
      </c>
      <c r="Z137" s="6">
        <f>(W137-W$5)/W$6</f>
        <v/>
      </c>
      <c r="AA137" s="6">
        <f>(X137-X$5)/X$6</f>
        <v/>
      </c>
      <c r="AB137" s="6">
        <f>(Y137-Y$5)/Y$6</f>
        <v/>
      </c>
      <c r="AC137" s="6">
        <f>$N$10+$N$11*Z137+$N$12*AA137+$N$13*AB137</f>
        <v/>
      </c>
      <c r="AD137" s="6">
        <f>AC137*$E$7+$E$6</f>
        <v/>
      </c>
    </row>
    <row r="138">
      <c r="V138" s="2">
        <f>Data!G128</f>
        <v/>
      </c>
      <c r="W138" s="6">
        <f>Data!H128/100</f>
        <v/>
      </c>
      <c r="X138" s="6">
        <f>Data!I128*1000</f>
        <v/>
      </c>
      <c r="Y138" s="6">
        <f>Data!J128-273.15</f>
        <v/>
      </c>
      <c r="Z138" s="6">
        <f>(W138-W$5)/W$6</f>
        <v/>
      </c>
      <c r="AA138" s="6">
        <f>(X138-X$5)/X$6</f>
        <v/>
      </c>
      <c r="AB138" s="6">
        <f>(Y138-Y$5)/Y$6</f>
        <v/>
      </c>
      <c r="AC138" s="6">
        <f>$N$10+$N$11*Z138+$N$12*AA138+$N$13*AB138</f>
        <v/>
      </c>
      <c r="AD138" s="6">
        <f>AC138*$E$7+$E$6</f>
        <v/>
      </c>
    </row>
    <row r="139">
      <c r="V139" s="2">
        <f>Data!G129</f>
        <v/>
      </c>
      <c r="W139" s="6">
        <f>Data!H129/100</f>
        <v/>
      </c>
      <c r="X139" s="6">
        <f>Data!I129*1000</f>
        <v/>
      </c>
      <c r="Y139" s="6">
        <f>Data!J129-273.15</f>
        <v/>
      </c>
      <c r="Z139" s="6">
        <f>(W139-W$5)/W$6</f>
        <v/>
      </c>
      <c r="AA139" s="6">
        <f>(X139-X$5)/X$6</f>
        <v/>
      </c>
      <c r="AB139" s="6">
        <f>(Y139-Y$5)/Y$6</f>
        <v/>
      </c>
      <c r="AC139" s="6">
        <f>$N$10+$N$11*Z139+$N$12*AA139+$N$13*AB139</f>
        <v/>
      </c>
      <c r="AD139" s="6">
        <f>AC139*$E$7+$E$6</f>
        <v/>
      </c>
    </row>
    <row r="140">
      <c r="V140" s="2">
        <f>Data!G130</f>
        <v/>
      </c>
      <c r="W140" s="6">
        <f>Data!H130/100</f>
        <v/>
      </c>
      <c r="X140" s="6">
        <f>Data!I130*1000</f>
        <v/>
      </c>
      <c r="Y140" s="6">
        <f>Data!J130-273.15</f>
        <v/>
      </c>
      <c r="Z140" s="6">
        <f>(W140-W$5)/W$6</f>
        <v/>
      </c>
      <c r="AA140" s="6">
        <f>(X140-X$5)/X$6</f>
        <v/>
      </c>
      <c r="AB140" s="6">
        <f>(Y140-Y$5)/Y$6</f>
        <v/>
      </c>
      <c r="AC140" s="6">
        <f>$N$10+$N$11*Z140+$N$12*AA140+$N$13*AB140</f>
        <v/>
      </c>
      <c r="AD140" s="6">
        <f>AC140*$E$7+$E$6</f>
        <v/>
      </c>
    </row>
    <row r="141">
      <c r="V141" s="2">
        <f>Data!G131</f>
        <v/>
      </c>
      <c r="W141" s="6">
        <f>Data!H131/100</f>
        <v/>
      </c>
      <c r="X141" s="6">
        <f>Data!I131*1000</f>
        <v/>
      </c>
      <c r="Y141" s="6">
        <f>Data!J131-273.15</f>
        <v/>
      </c>
      <c r="Z141" s="6">
        <f>(W141-W$5)/W$6</f>
        <v/>
      </c>
      <c r="AA141" s="6">
        <f>(X141-X$5)/X$6</f>
        <v/>
      </c>
      <c r="AB141" s="6">
        <f>(Y141-Y$5)/Y$6</f>
        <v/>
      </c>
      <c r="AC141" s="6">
        <f>$N$10+$N$11*Z141+$N$12*AA141+$N$13*AB141</f>
        <v/>
      </c>
      <c r="AD141" s="6">
        <f>AC141*$E$7+$E$6</f>
        <v/>
      </c>
    </row>
    <row r="142">
      <c r="V142" s="2">
        <f>Data!G132</f>
        <v/>
      </c>
      <c r="W142" s="6">
        <f>Data!H132/100</f>
        <v/>
      </c>
      <c r="X142" s="6">
        <f>Data!I132*1000</f>
        <v/>
      </c>
      <c r="Y142" s="6">
        <f>Data!J132-273.15</f>
        <v/>
      </c>
      <c r="Z142" s="6">
        <f>(W142-W$5)/W$6</f>
        <v/>
      </c>
      <c r="AA142" s="6">
        <f>(X142-X$5)/X$6</f>
        <v/>
      </c>
      <c r="AB142" s="6">
        <f>(Y142-Y$5)/Y$6</f>
        <v/>
      </c>
      <c r="AC142" s="6">
        <f>$N$10+$N$11*Z142+$N$12*AA142+$N$13*AB142</f>
        <v/>
      </c>
      <c r="AD142" s="6">
        <f>AC142*$E$7+$E$6</f>
        <v/>
      </c>
    </row>
    <row r="143">
      <c r="V143" s="2">
        <f>Data!G133</f>
        <v/>
      </c>
      <c r="W143" s="6">
        <f>Data!H133/100</f>
        <v/>
      </c>
      <c r="X143" s="6">
        <f>Data!I133*1000</f>
        <v/>
      </c>
      <c r="Y143" s="6">
        <f>Data!J133-273.15</f>
        <v/>
      </c>
      <c r="Z143" s="6">
        <f>(W143-W$5)/W$6</f>
        <v/>
      </c>
      <c r="AA143" s="6">
        <f>(X143-X$5)/X$6</f>
        <v/>
      </c>
      <c r="AB143" s="6">
        <f>(Y143-Y$5)/Y$6</f>
        <v/>
      </c>
      <c r="AC143" s="6">
        <f>$N$10+$N$11*Z143+$N$12*AA143+$N$13*AB143</f>
        <v/>
      </c>
      <c r="AD143" s="6">
        <f>AC143*$E$7+$E$6</f>
        <v/>
      </c>
    </row>
    <row r="144">
      <c r="V144" s="2">
        <f>Data!G134</f>
        <v/>
      </c>
      <c r="W144" s="6">
        <f>Data!H134/100</f>
        <v/>
      </c>
      <c r="X144" s="6">
        <f>Data!I134*1000</f>
        <v/>
      </c>
      <c r="Y144" s="6">
        <f>Data!J134-273.15</f>
        <v/>
      </c>
      <c r="Z144" s="6">
        <f>(W144-W$5)/W$6</f>
        <v/>
      </c>
      <c r="AA144" s="6">
        <f>(X144-X$5)/X$6</f>
        <v/>
      </c>
      <c r="AB144" s="6">
        <f>(Y144-Y$5)/Y$6</f>
        <v/>
      </c>
      <c r="AC144" s="6">
        <f>$N$10+$N$11*Z144+$N$12*AA144+$N$13*AB144</f>
        <v/>
      </c>
      <c r="AD144" s="6">
        <f>AC144*$E$7+$E$6</f>
        <v/>
      </c>
    </row>
    <row r="145">
      <c r="V145" s="2">
        <f>Data!G135</f>
        <v/>
      </c>
      <c r="W145" s="6">
        <f>Data!H135/100</f>
        <v/>
      </c>
      <c r="X145" s="6">
        <f>Data!I135*1000</f>
        <v/>
      </c>
      <c r="Y145" s="6">
        <f>Data!J135-273.15</f>
        <v/>
      </c>
      <c r="Z145" s="6">
        <f>(W145-W$5)/W$6</f>
        <v/>
      </c>
      <c r="AA145" s="6">
        <f>(X145-X$5)/X$6</f>
        <v/>
      </c>
      <c r="AB145" s="6">
        <f>(Y145-Y$5)/Y$6</f>
        <v/>
      </c>
      <c r="AC145" s="6">
        <f>$N$10+$N$11*Z145+$N$12*AA145+$N$13*AB145</f>
        <v/>
      </c>
      <c r="AD145" s="6">
        <f>AC145*$E$7+$E$6</f>
        <v/>
      </c>
    </row>
    <row r="146">
      <c r="V146" s="2">
        <f>Data!G136</f>
        <v/>
      </c>
      <c r="W146" s="6">
        <f>Data!H136/100</f>
        <v/>
      </c>
      <c r="X146" s="6">
        <f>Data!I136*1000</f>
        <v/>
      </c>
      <c r="Y146" s="6">
        <f>Data!J136-273.15</f>
        <v/>
      </c>
      <c r="Z146" s="6">
        <f>(W146-W$5)/W$6</f>
        <v/>
      </c>
      <c r="AA146" s="6">
        <f>(X146-X$5)/X$6</f>
        <v/>
      </c>
      <c r="AB146" s="6">
        <f>(Y146-Y$5)/Y$6</f>
        <v/>
      </c>
      <c r="AC146" s="6">
        <f>$N$10+$N$11*Z146+$N$12*AA146+$N$13*AB146</f>
        <v/>
      </c>
      <c r="AD146" s="6">
        <f>AC146*$E$7+$E$6</f>
        <v/>
      </c>
    </row>
    <row r="147">
      <c r="V147" s="2">
        <f>Data!G137</f>
        <v/>
      </c>
      <c r="W147" s="6">
        <f>Data!H137/100</f>
        <v/>
      </c>
      <c r="X147" s="6">
        <f>Data!I137*1000</f>
        <v/>
      </c>
      <c r="Y147" s="6">
        <f>Data!J137-273.15</f>
        <v/>
      </c>
      <c r="Z147" s="6">
        <f>(W147-W$5)/W$6</f>
        <v/>
      </c>
      <c r="AA147" s="6">
        <f>(X147-X$5)/X$6</f>
        <v/>
      </c>
      <c r="AB147" s="6">
        <f>(Y147-Y$5)/Y$6</f>
        <v/>
      </c>
      <c r="AC147" s="6">
        <f>$N$10+$N$11*Z147+$N$12*AA147+$N$13*AB147</f>
        <v/>
      </c>
      <c r="AD147" s="6">
        <f>AC147*$E$7+$E$6</f>
        <v/>
      </c>
    </row>
    <row r="148">
      <c r="V148" s="2">
        <f>Data!G138</f>
        <v/>
      </c>
      <c r="W148" s="6">
        <f>Data!H138/100</f>
        <v/>
      </c>
      <c r="X148" s="6">
        <f>Data!I138*1000</f>
        <v/>
      </c>
      <c r="Y148" s="6">
        <f>Data!J138-273.15</f>
        <v/>
      </c>
      <c r="Z148" s="6">
        <f>(W148-W$5)/W$6</f>
        <v/>
      </c>
      <c r="AA148" s="6">
        <f>(X148-X$5)/X$6</f>
        <v/>
      </c>
      <c r="AB148" s="6">
        <f>(Y148-Y$5)/Y$6</f>
        <v/>
      </c>
      <c r="AC148" s="6">
        <f>$N$10+$N$11*Z148+$N$12*AA148+$N$13*AB148</f>
        <v/>
      </c>
      <c r="AD148" s="6">
        <f>AC148*$E$7+$E$6</f>
        <v/>
      </c>
    </row>
    <row r="149">
      <c r="V149" s="2">
        <f>Data!G139</f>
        <v/>
      </c>
      <c r="W149" s="6">
        <f>Data!H139/100</f>
        <v/>
      </c>
      <c r="X149" s="6">
        <f>Data!I139*1000</f>
        <v/>
      </c>
      <c r="Y149" s="6">
        <f>Data!J139-273.15</f>
        <v/>
      </c>
      <c r="Z149" s="6">
        <f>(W149-W$5)/W$6</f>
        <v/>
      </c>
      <c r="AA149" s="6">
        <f>(X149-X$5)/X$6</f>
        <v/>
      </c>
      <c r="AB149" s="6">
        <f>(Y149-Y$5)/Y$6</f>
        <v/>
      </c>
      <c r="AC149" s="6">
        <f>$N$10+$N$11*Z149+$N$12*AA149+$N$13*AB149</f>
        <v/>
      </c>
      <c r="AD149" s="6">
        <f>AC149*$E$7+$E$6</f>
        <v/>
      </c>
    </row>
    <row r="150">
      <c r="V150" s="2">
        <f>Data!G140</f>
        <v/>
      </c>
      <c r="W150" s="6">
        <f>Data!H140/100</f>
        <v/>
      </c>
      <c r="X150" s="6">
        <f>Data!I140*1000</f>
        <v/>
      </c>
      <c r="Y150" s="6">
        <f>Data!J140-273.15</f>
        <v/>
      </c>
      <c r="Z150" s="6">
        <f>(W150-W$5)/W$6</f>
        <v/>
      </c>
      <c r="AA150" s="6">
        <f>(X150-X$5)/X$6</f>
        <v/>
      </c>
      <c r="AB150" s="6">
        <f>(Y150-Y$5)/Y$6</f>
        <v/>
      </c>
      <c r="AC150" s="6">
        <f>$N$10+$N$11*Z150+$N$12*AA150+$N$13*AB150</f>
        <v/>
      </c>
      <c r="AD150" s="6">
        <f>AC150*$E$7+$E$6</f>
        <v/>
      </c>
    </row>
    <row r="151">
      <c r="V151" s="2">
        <f>Data!G141</f>
        <v/>
      </c>
      <c r="W151" s="6">
        <f>Data!H141/100</f>
        <v/>
      </c>
      <c r="X151" s="6">
        <f>Data!I141*1000</f>
        <v/>
      </c>
      <c r="Y151" s="6">
        <f>Data!J141-273.15</f>
        <v/>
      </c>
      <c r="Z151" s="6">
        <f>(W151-W$5)/W$6</f>
        <v/>
      </c>
      <c r="AA151" s="6">
        <f>(X151-X$5)/X$6</f>
        <v/>
      </c>
      <c r="AB151" s="6">
        <f>(Y151-Y$5)/Y$6</f>
        <v/>
      </c>
      <c r="AC151" s="6">
        <f>$N$10+$N$11*Z151+$N$12*AA151+$N$13*AB151</f>
        <v/>
      </c>
      <c r="AD151" s="6">
        <f>AC151*$E$7+$E$6</f>
        <v/>
      </c>
    </row>
    <row r="152">
      <c r="V152" s="2">
        <f>Data!G142</f>
        <v/>
      </c>
      <c r="W152" s="6">
        <f>Data!H142/100</f>
        <v/>
      </c>
      <c r="X152" s="6">
        <f>Data!I142*1000</f>
        <v/>
      </c>
      <c r="Y152" s="6">
        <f>Data!J142-273.15</f>
        <v/>
      </c>
      <c r="Z152" s="6">
        <f>(W152-W$5)/W$6</f>
        <v/>
      </c>
      <c r="AA152" s="6">
        <f>(X152-X$5)/X$6</f>
        <v/>
      </c>
      <c r="AB152" s="6">
        <f>(Y152-Y$5)/Y$6</f>
        <v/>
      </c>
      <c r="AC152" s="6">
        <f>$N$10+$N$11*Z152+$N$12*AA152+$N$13*AB152</f>
        <v/>
      </c>
      <c r="AD152" s="6">
        <f>AC152*$E$7+$E$6</f>
        <v/>
      </c>
    </row>
    <row r="153">
      <c r="V153" s="2">
        <f>Data!G143</f>
        <v/>
      </c>
      <c r="W153" s="6">
        <f>Data!H143/100</f>
        <v/>
      </c>
      <c r="X153" s="6">
        <f>Data!I143*1000</f>
        <v/>
      </c>
      <c r="Y153" s="6">
        <f>Data!J143-273.15</f>
        <v/>
      </c>
      <c r="Z153" s="6">
        <f>(W153-W$5)/W$6</f>
        <v/>
      </c>
      <c r="AA153" s="6">
        <f>(X153-X$5)/X$6</f>
        <v/>
      </c>
      <c r="AB153" s="6">
        <f>(Y153-Y$5)/Y$6</f>
        <v/>
      </c>
      <c r="AC153" s="6">
        <f>$N$10+$N$11*Z153+$N$12*AA153+$N$13*AB153</f>
        <v/>
      </c>
      <c r="AD153" s="6">
        <f>AC153*$E$7+$E$6</f>
        <v/>
      </c>
    </row>
    <row r="154">
      <c r="V154" s="2">
        <f>Data!G144</f>
        <v/>
      </c>
      <c r="W154" s="6">
        <f>Data!H144/100</f>
        <v/>
      </c>
      <c r="X154" s="6">
        <f>Data!I144*1000</f>
        <v/>
      </c>
      <c r="Y154" s="6">
        <f>Data!J144-273.15</f>
        <v/>
      </c>
      <c r="Z154" s="6">
        <f>(W154-W$5)/W$6</f>
        <v/>
      </c>
      <c r="AA154" s="6">
        <f>(X154-X$5)/X$6</f>
        <v/>
      </c>
      <c r="AB154" s="6">
        <f>(Y154-Y$5)/Y$6</f>
        <v/>
      </c>
      <c r="AC154" s="6">
        <f>$N$10+$N$11*Z154+$N$12*AA154+$N$13*AB154</f>
        <v/>
      </c>
      <c r="AD154" s="6">
        <f>AC154*$E$7+$E$6</f>
        <v/>
      </c>
    </row>
    <row r="155">
      <c r="V155" s="2">
        <f>Data!G145</f>
        <v/>
      </c>
      <c r="W155" s="6">
        <f>Data!H145/100</f>
        <v/>
      </c>
      <c r="X155" s="6">
        <f>Data!I145*1000</f>
        <v/>
      </c>
      <c r="Y155" s="6">
        <f>Data!J145-273.15</f>
        <v/>
      </c>
      <c r="Z155" s="6">
        <f>(W155-W$5)/W$6</f>
        <v/>
      </c>
      <c r="AA155" s="6">
        <f>(X155-X$5)/X$6</f>
        <v/>
      </c>
      <c r="AB155" s="6">
        <f>(Y155-Y$5)/Y$6</f>
        <v/>
      </c>
      <c r="AC155" s="6">
        <f>$N$10+$N$11*Z155+$N$12*AA155+$N$13*AB155</f>
        <v/>
      </c>
      <c r="AD155" s="6">
        <f>AC155*$E$7+$E$6</f>
        <v/>
      </c>
    </row>
    <row r="156">
      <c r="V156" s="2">
        <f>Data!G146</f>
        <v/>
      </c>
      <c r="W156" s="6">
        <f>Data!H146/100</f>
        <v/>
      </c>
      <c r="X156" s="6">
        <f>Data!I146*1000</f>
        <v/>
      </c>
      <c r="Y156" s="6">
        <f>Data!J146-273.15</f>
        <v/>
      </c>
      <c r="Z156" s="6">
        <f>(W156-W$5)/W$6</f>
        <v/>
      </c>
      <c r="AA156" s="6">
        <f>(X156-X$5)/X$6</f>
        <v/>
      </c>
      <c r="AB156" s="6">
        <f>(Y156-Y$5)/Y$6</f>
        <v/>
      </c>
      <c r="AC156" s="6">
        <f>$N$10+$N$11*Z156+$N$12*AA156+$N$13*AB156</f>
        <v/>
      </c>
      <c r="AD156" s="6">
        <f>AC156*$E$7+$E$6</f>
        <v/>
      </c>
    </row>
    <row r="157">
      <c r="V157" s="2">
        <f>Data!G147</f>
        <v/>
      </c>
      <c r="W157" s="6">
        <f>Data!H147/100</f>
        <v/>
      </c>
      <c r="X157" s="6">
        <f>Data!I147*1000</f>
        <v/>
      </c>
      <c r="Y157" s="6">
        <f>Data!J147-273.15</f>
        <v/>
      </c>
      <c r="Z157" s="6">
        <f>(W157-W$5)/W$6</f>
        <v/>
      </c>
      <c r="AA157" s="6">
        <f>(X157-X$5)/X$6</f>
        <v/>
      </c>
      <c r="AB157" s="6">
        <f>(Y157-Y$5)/Y$6</f>
        <v/>
      </c>
      <c r="AC157" s="6">
        <f>$N$10+$N$11*Z157+$N$12*AA157+$N$13*AB157</f>
        <v/>
      </c>
      <c r="AD157" s="6">
        <f>AC157*$E$7+$E$6</f>
        <v/>
      </c>
    </row>
    <row r="158">
      <c r="V158" s="2">
        <f>Data!G148</f>
        <v/>
      </c>
      <c r="W158" s="6">
        <f>Data!H148/100</f>
        <v/>
      </c>
      <c r="X158" s="6">
        <f>Data!I148*1000</f>
        <v/>
      </c>
      <c r="Y158" s="6">
        <f>Data!J148-273.15</f>
        <v/>
      </c>
      <c r="Z158" s="6">
        <f>(W158-W$5)/W$6</f>
        <v/>
      </c>
      <c r="AA158" s="6">
        <f>(X158-X$5)/X$6</f>
        <v/>
      </c>
      <c r="AB158" s="6">
        <f>(Y158-Y$5)/Y$6</f>
        <v/>
      </c>
      <c r="AC158" s="6">
        <f>$N$10+$N$11*Z158+$N$12*AA158+$N$13*AB158</f>
        <v/>
      </c>
      <c r="AD158" s="6">
        <f>AC158*$E$7+$E$6</f>
        <v/>
      </c>
    </row>
    <row r="159">
      <c r="V159" s="2">
        <f>Data!G149</f>
        <v/>
      </c>
      <c r="W159" s="6">
        <f>Data!H149/100</f>
        <v/>
      </c>
      <c r="X159" s="6">
        <f>Data!I149*1000</f>
        <v/>
      </c>
      <c r="Y159" s="6">
        <f>Data!J149-273.15</f>
        <v/>
      </c>
      <c r="Z159" s="6">
        <f>(W159-W$5)/W$6</f>
        <v/>
      </c>
      <c r="AA159" s="6">
        <f>(X159-X$5)/X$6</f>
        <v/>
      </c>
      <c r="AB159" s="6">
        <f>(Y159-Y$5)/Y$6</f>
        <v/>
      </c>
      <c r="AC159" s="6">
        <f>$N$10+$N$11*Z159+$N$12*AA159+$N$13*AB159</f>
        <v/>
      </c>
      <c r="AD159" s="6">
        <f>AC159*$E$7+$E$6</f>
        <v/>
      </c>
    </row>
    <row r="160">
      <c r="V160" s="2">
        <f>Data!G150</f>
        <v/>
      </c>
      <c r="W160" s="6">
        <f>Data!H150/100</f>
        <v/>
      </c>
      <c r="X160" s="6">
        <f>Data!I150*1000</f>
        <v/>
      </c>
      <c r="Y160" s="6">
        <f>Data!J150-273.15</f>
        <v/>
      </c>
      <c r="Z160" s="6">
        <f>(W160-W$5)/W$6</f>
        <v/>
      </c>
      <c r="AA160" s="6">
        <f>(X160-X$5)/X$6</f>
        <v/>
      </c>
      <c r="AB160" s="6">
        <f>(Y160-Y$5)/Y$6</f>
        <v/>
      </c>
      <c r="AC160" s="6">
        <f>$N$10+$N$11*Z160+$N$12*AA160+$N$13*AB160</f>
        <v/>
      </c>
      <c r="AD160" s="6">
        <f>AC160*$E$7+$E$6</f>
        <v/>
      </c>
    </row>
    <row r="161">
      <c r="V161" s="2">
        <f>Data!G151</f>
        <v/>
      </c>
      <c r="W161" s="6">
        <f>Data!H151/100</f>
        <v/>
      </c>
      <c r="X161" s="6">
        <f>Data!I151*1000</f>
        <v/>
      </c>
      <c r="Y161" s="6">
        <f>Data!J151-273.15</f>
        <v/>
      </c>
      <c r="Z161" s="6">
        <f>(W161-W$5)/W$6</f>
        <v/>
      </c>
      <c r="AA161" s="6">
        <f>(X161-X$5)/X$6</f>
        <v/>
      </c>
      <c r="AB161" s="6">
        <f>(Y161-Y$5)/Y$6</f>
        <v/>
      </c>
      <c r="AC161" s="6">
        <f>$N$10+$N$11*Z161+$N$12*AA161+$N$13*AB161</f>
        <v/>
      </c>
      <c r="AD161" s="6">
        <f>AC161*$E$7+$E$6</f>
        <v/>
      </c>
    </row>
    <row r="162">
      <c r="V162" s="2">
        <f>Data!G152</f>
        <v/>
      </c>
      <c r="W162" s="6">
        <f>Data!H152/100</f>
        <v/>
      </c>
      <c r="X162" s="6">
        <f>Data!I152*1000</f>
        <v/>
      </c>
      <c r="Y162" s="6">
        <f>Data!J152-273.15</f>
        <v/>
      </c>
      <c r="Z162" s="6">
        <f>(W162-W$5)/W$6</f>
        <v/>
      </c>
      <c r="AA162" s="6">
        <f>(X162-X$5)/X$6</f>
        <v/>
      </c>
      <c r="AB162" s="6">
        <f>(Y162-Y$5)/Y$6</f>
        <v/>
      </c>
      <c r="AC162" s="6">
        <f>$N$10+$N$11*Z162+$N$12*AA162+$N$13*AB162</f>
        <v/>
      </c>
      <c r="AD162" s="6">
        <f>AC162*$E$7+$E$6</f>
        <v/>
      </c>
    </row>
    <row r="163">
      <c r="V163" s="2">
        <f>Data!G153</f>
        <v/>
      </c>
      <c r="W163" s="6">
        <f>Data!H153/100</f>
        <v/>
      </c>
      <c r="X163" s="6">
        <f>Data!I153*1000</f>
        <v/>
      </c>
      <c r="Y163" s="6">
        <f>Data!J153-273.15</f>
        <v/>
      </c>
      <c r="Z163" s="6">
        <f>(W163-W$5)/W$6</f>
        <v/>
      </c>
      <c r="AA163" s="6">
        <f>(X163-X$5)/X$6</f>
        <v/>
      </c>
      <c r="AB163" s="6">
        <f>(Y163-Y$5)/Y$6</f>
        <v/>
      </c>
      <c r="AC163" s="6">
        <f>$N$10+$N$11*Z163+$N$12*AA163+$N$13*AB163</f>
        <v/>
      </c>
      <c r="AD163" s="6">
        <f>AC163*$E$7+$E$6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3"/>
  <sheetViews>
    <sheetView zoomScale="9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2" max="12"/>
    <col width="34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36" customWidth="1" min="22" max="22"/>
    <col width="14" customWidth="1" min="23" max="23"/>
    <col width="14" customWidth="1" min="24" max="24"/>
  </cols>
  <sheetData>
    <row r="1">
      <c r="A1" s="1" t="inlineStr">
        <is>
          <t>Calibration 1961-1990 (30 years), validation 1991-2000 (10 years)</t>
        </is>
      </c>
    </row>
    <row r="2">
      <c r="A2" s="2" t="inlineStr">
        <is>
          <t>The same standardisation and fit as in MultiReg, but using only the calibration years; the validation years are never used for the fit.</t>
        </is>
      </c>
    </row>
    <row r="3">
      <c r="L3" s="1" t="inlineStr">
        <is>
          <t>X'X (4x4), calibration years</t>
        </is>
      </c>
      <c r="Q3" s="1" t="inlineStr">
        <is>
          <t>(X'X)^-1</t>
        </is>
      </c>
      <c r="V3" s="1" t="inlineStr">
        <is>
          <t>Skill measures</t>
        </is>
      </c>
    </row>
    <row r="4">
      <c r="A4" s="1" t="inlineStr">
        <is>
          <t>statistics of the calibration years (original units)</t>
        </is>
      </c>
      <c r="L4" s="4">
        <f>COUNT(B14:B43)</f>
        <v/>
      </c>
      <c r="M4" s="4">
        <f>SUM(B14:B43)</f>
        <v/>
      </c>
      <c r="N4" s="4">
        <f>SUM(C14:C43)</f>
        <v/>
      </c>
      <c r="O4" s="4">
        <f>SUM(D14:D43)</f>
        <v/>
      </c>
      <c r="Q4" s="7">
        <f t="array" ref="Q4:T7">MINVERSE(L4:O7)</f>
        <v/>
      </c>
      <c r="R4" s="7" t="n"/>
      <c r="S4" s="7" t="n"/>
      <c r="T4" s="7" t="n"/>
      <c r="W4" s="3" t="inlineStr">
        <is>
          <t>calibration</t>
        </is>
      </c>
      <c r="X4" s="3" t="inlineStr">
        <is>
          <t>validation</t>
        </is>
      </c>
    </row>
    <row r="5">
      <c r="B5" s="3" t="inlineStr">
        <is>
          <t>x_1</t>
        </is>
      </c>
      <c r="C5" s="3" t="inlineStr">
        <is>
          <t>x_2</t>
        </is>
      </c>
      <c r="D5" s="3" t="inlineStr">
        <is>
          <t>x_3</t>
        </is>
      </c>
      <c r="E5" s="3" t="inlineStr">
        <is>
          <t>y</t>
        </is>
      </c>
      <c r="L5" s="4">
        <f>SUM(B14:B43)</f>
        <v/>
      </c>
      <c r="M5" s="4">
        <f>SUMPRODUCT(B14:B43,B14:B43)</f>
        <v/>
      </c>
      <c r="N5" s="4">
        <f>SUMPRODUCT(B14:B43,C14:C43)</f>
        <v/>
      </c>
      <c r="O5" s="4">
        <f>SUMPRODUCT(B14:B43,D14:D43)</f>
        <v/>
      </c>
      <c r="Q5" s="7" t="n"/>
      <c r="R5" s="7" t="n"/>
      <c r="S5" s="7" t="n"/>
      <c r="T5" s="7" t="n"/>
      <c r="V5" s="2" t="inlineStr">
        <is>
          <t>bias = mean(y_hat_org - y_org)</t>
        </is>
      </c>
      <c r="W5" s="6">
        <f>AVERAGE(G14:G43)-AVERAGE(H14:H43)</f>
        <v/>
      </c>
      <c r="X5" s="6">
        <f>AVERAGE(G44:G53)-AVERAGE(H44:H53)</f>
        <v/>
      </c>
    </row>
    <row r="6">
      <c r="A6" s="2" t="inlineStr">
        <is>
          <t>mean (x_bar, y_bar)</t>
        </is>
      </c>
      <c r="B6" s="4">
        <f>AVERAGE(Data!B4:B33)</f>
        <v/>
      </c>
      <c r="C6" s="4">
        <f>AVERAGE(Data!C4:C33)</f>
        <v/>
      </c>
      <c r="D6" s="4">
        <f>AVERAGE(Data!D4:D33)</f>
        <v/>
      </c>
      <c r="E6" s="4">
        <f>AVERAGE(Data!E4:E33)</f>
        <v/>
      </c>
      <c r="L6" s="4">
        <f>SUM(C14:C43)</f>
        <v/>
      </c>
      <c r="M6" s="4">
        <f>SUMPRODUCT(C14:C43,B14:B43)</f>
        <v/>
      </c>
      <c r="N6" s="4">
        <f>SUMPRODUCT(C14:C43,C14:C43)</f>
        <v/>
      </c>
      <c r="O6" s="4">
        <f>SUMPRODUCT(C14:C43,D14:D43)</f>
        <v/>
      </c>
      <c r="Q6" s="7" t="n"/>
      <c r="R6" s="7" t="n"/>
      <c r="S6" s="7" t="n"/>
      <c r="T6" s="7" t="n"/>
      <c r="V6" s="2" t="inlineStr">
        <is>
          <t>RMSE (deg C)</t>
        </is>
      </c>
      <c r="W6" s="6">
        <f>SQRT(SUMXMY2(G14:G43,H14:H43)/COUNT(G14:G43))</f>
        <v/>
      </c>
      <c r="X6" s="6">
        <f>SQRT(SUMXMY2(G44:G53,H44:H53)/COUNT(G44:G53))</f>
        <v/>
      </c>
    </row>
    <row r="7">
      <c r="A7" s="2" t="inlineStr">
        <is>
          <t>std dev (s_x, s_y)</t>
        </is>
      </c>
      <c r="B7" s="4">
        <f>STDEV(Data!B4:B33)</f>
        <v/>
      </c>
      <c r="C7" s="4">
        <f>STDEV(Data!C4:C33)</f>
        <v/>
      </c>
      <c r="D7" s="4">
        <f>STDEV(Data!D4:D33)</f>
        <v/>
      </c>
      <c r="E7" s="4">
        <f>STDEV(Data!E4:E33)</f>
        <v/>
      </c>
      <c r="L7" s="4">
        <f>SUM(D14:D43)</f>
        <v/>
      </c>
      <c r="M7" s="4">
        <f>SUMPRODUCT(D14:D43,B14:B43)</f>
        <v/>
      </c>
      <c r="N7" s="4">
        <f>SUMPRODUCT(D14:D43,C14:C43)</f>
        <v/>
      </c>
      <c r="O7" s="4">
        <f>SUMPRODUCT(D14:D43,D14:D43)</f>
        <v/>
      </c>
      <c r="Q7" s="7" t="n"/>
      <c r="R7" s="7" t="n"/>
      <c r="S7" s="7" t="n"/>
      <c r="T7" s="7" t="n"/>
      <c r="V7" s="2" t="inlineStr">
        <is>
          <t>R^2 = squared correlation</t>
        </is>
      </c>
      <c r="W7" s="6">
        <f>RSQ(H14:H43,G14:G43)</f>
        <v/>
      </c>
      <c r="X7" s="6">
        <f>RSQ(H44:H53,G44:G53)</f>
        <v/>
      </c>
    </row>
    <row r="8">
      <c r="V8" s="2" t="inlineStr">
        <is>
          <t>SD ratio = s(y_hat_org)/s(y_org)</t>
        </is>
      </c>
      <c r="W8" s="6">
        <f>STDEV(G14:G43)/STDEV(H14:H43)</f>
        <v/>
      </c>
      <c r="X8" s="6">
        <f>STDEV(G44:G53)/STDEV(H44:H53)</f>
        <v/>
      </c>
    </row>
    <row r="9">
      <c r="L9" s="1" t="inlineStr">
        <is>
          <t>X'y</t>
        </is>
      </c>
      <c r="N9" s="1" t="inlineStr">
        <is>
          <t>beta_hat (Eq. 5.12)</t>
        </is>
      </c>
    </row>
    <row r="10">
      <c r="L10" s="4">
        <f>SUM(E14:E43)</f>
        <v/>
      </c>
      <c r="M10" s="2" t="inlineStr">
        <is>
          <t>beta_0</t>
        </is>
      </c>
      <c r="N10" s="4">
        <f t="array" ref="N10:N13">MMULT(Q4:T7,L10:L13)</f>
        <v/>
      </c>
    </row>
    <row r="11">
      <c r="L11" s="4">
        <f>SUMPRODUCT(B14:B43,E14:E43)</f>
        <v/>
      </c>
      <c r="M11" s="2" t="inlineStr">
        <is>
          <t>beta_1 (SLP)</t>
        </is>
      </c>
      <c r="N11" s="4" t="n"/>
    </row>
    <row r="12">
      <c r="L12" s="4">
        <f>SUMPRODUCT(C14:C43,E14:E43)</f>
        <v/>
      </c>
      <c r="M12" s="2" t="inlineStr">
        <is>
          <t>beta_2 (q)</t>
        </is>
      </c>
      <c r="N12" s="4" t="n"/>
    </row>
    <row r="13" ht="32" customHeight="1">
      <c r="A13" s="3" t="inlineStr">
        <is>
          <t>year</t>
        </is>
      </c>
      <c r="B13" s="3" t="inlineStr">
        <is>
          <t>x_1 (std)</t>
        </is>
      </c>
      <c r="C13" s="3" t="inlineStr">
        <is>
          <t>x_2 (std)</t>
        </is>
      </c>
      <c r="D13" s="3" t="inlineStr">
        <is>
          <t>x_3 (std)</t>
        </is>
      </c>
      <c r="E13" s="3" t="inlineStr">
        <is>
          <t>y (std)</t>
        </is>
      </c>
      <c r="F13" s="3" t="inlineStr">
        <is>
          <t>y_hat (std)</t>
        </is>
      </c>
      <c r="G13" s="3" t="inlineStr">
        <is>
          <t>y_hat_org (deg C)</t>
        </is>
      </c>
      <c r="H13" s="3" t="inlineStr">
        <is>
          <t>y_org (deg C)</t>
        </is>
      </c>
      <c r="I13" s="3" t="inlineStr">
        <is>
          <t>eps = y - y_hat (std)</t>
        </is>
      </c>
      <c r="J13" s="3" t="inlineStr">
        <is>
          <t>eps^2</t>
        </is>
      </c>
      <c r="L13" s="4">
        <f>SUMPRODUCT(D14:D43,E14:E43)</f>
        <v/>
      </c>
      <c r="M13" s="2" t="inlineStr">
        <is>
          <t>beta_3 (T_air)</t>
        </is>
      </c>
      <c r="N13" s="4" t="n"/>
    </row>
    <row r="14">
      <c r="A14" s="2">
        <f>Data!A4</f>
        <v/>
      </c>
      <c r="B14" s="6">
        <f>(Data!B4-B$6)/B$7</f>
        <v/>
      </c>
      <c r="C14" s="6">
        <f>(Data!C4-C$6)/C$7</f>
        <v/>
      </c>
      <c r="D14" s="6">
        <f>(Data!D4-D$6)/D$7</f>
        <v/>
      </c>
      <c r="E14" s="6">
        <f>(Data!E4-E$6)/E$7</f>
        <v/>
      </c>
      <c r="F14" s="6">
        <f>$N$10+$N$11*B14+$N$12*C14+$N$13*D14</f>
        <v/>
      </c>
      <c r="G14" s="6">
        <f>F14*$E$7+$E$6</f>
        <v/>
      </c>
      <c r="H14" s="6">
        <f>Data!E4</f>
        <v/>
      </c>
      <c r="I14" s="6">
        <f>E14-F14</f>
        <v/>
      </c>
      <c r="J14" s="4">
        <f>I14^2</f>
        <v/>
      </c>
    </row>
    <row r="15">
      <c r="A15" s="2">
        <f>Data!A5</f>
        <v/>
      </c>
      <c r="B15" s="6">
        <f>(Data!B5-B$6)/B$7</f>
        <v/>
      </c>
      <c r="C15" s="6">
        <f>(Data!C5-C$6)/C$7</f>
        <v/>
      </c>
      <c r="D15" s="6">
        <f>(Data!D5-D$6)/D$7</f>
        <v/>
      </c>
      <c r="E15" s="6">
        <f>(Data!E5-E$6)/E$7</f>
        <v/>
      </c>
      <c r="F15" s="6">
        <f>$N$10+$N$11*B15+$N$12*C15+$N$13*D15</f>
        <v/>
      </c>
      <c r="G15" s="6">
        <f>F15*$E$7+$E$6</f>
        <v/>
      </c>
      <c r="H15" s="6">
        <f>Data!E5</f>
        <v/>
      </c>
      <c r="I15" s="6">
        <f>E15-F15</f>
        <v/>
      </c>
      <c r="J15" s="4">
        <f>I15^2</f>
        <v/>
      </c>
      <c r="L15" s="1" t="inlineStr">
        <is>
          <t>Fit statistics</t>
        </is>
      </c>
    </row>
    <row r="16">
      <c r="A16" s="2">
        <f>Data!A6</f>
        <v/>
      </c>
      <c r="B16" s="6">
        <f>(Data!B6-B$6)/B$7</f>
        <v/>
      </c>
      <c r="C16" s="6">
        <f>(Data!C6-C$6)/C$7</f>
        <v/>
      </c>
      <c r="D16" s="6">
        <f>(Data!D6-D$6)/D$7</f>
        <v/>
      </c>
      <c r="E16" s="6">
        <f>(Data!E6-E$6)/E$7</f>
        <v/>
      </c>
      <c r="F16" s="6">
        <f>$N$10+$N$11*B16+$N$12*C16+$N$13*D16</f>
        <v/>
      </c>
      <c r="G16" s="6">
        <f>F16*$E$7+$E$6</f>
        <v/>
      </c>
      <c r="H16" s="6">
        <f>Data!E6</f>
        <v/>
      </c>
      <c r="I16" s="6">
        <f>E16-F16</f>
        <v/>
      </c>
      <c r="J16" s="4">
        <f>I16^2</f>
        <v/>
      </c>
      <c r="L16" s="2">
        <f>COUNT(B14:B43)</f>
        <v/>
      </c>
      <c r="M16" s="2" t="inlineStr">
        <is>
          <t>n (calibration years)</t>
        </is>
      </c>
    </row>
    <row r="17">
      <c r="A17" s="2">
        <f>Data!A7</f>
        <v/>
      </c>
      <c r="B17" s="6">
        <f>(Data!B7-B$6)/B$7</f>
        <v/>
      </c>
      <c r="C17" s="6">
        <f>(Data!C7-C$6)/C$7</f>
        <v/>
      </c>
      <c r="D17" s="6">
        <f>(Data!D7-D$6)/D$7</f>
        <v/>
      </c>
      <c r="E17" s="6">
        <f>(Data!E7-E$6)/E$7</f>
        <v/>
      </c>
      <c r="F17" s="6">
        <f>$N$10+$N$11*B17+$N$12*C17+$N$13*D17</f>
        <v/>
      </c>
      <c r="G17" s="6">
        <f>F17*$E$7+$E$6</f>
        <v/>
      </c>
      <c r="H17" s="6">
        <f>Data!E7</f>
        <v/>
      </c>
      <c r="I17" s="6">
        <f>E17-F17</f>
        <v/>
      </c>
      <c r="J17" s="4">
        <f>I17^2</f>
        <v/>
      </c>
      <c r="L17" s="5" t="n">
        <v>3</v>
      </c>
      <c r="M17" s="2" t="inlineStr">
        <is>
          <t>S (number of predictors)</t>
        </is>
      </c>
    </row>
    <row r="18">
      <c r="A18" s="2">
        <f>Data!A8</f>
        <v/>
      </c>
      <c r="B18" s="6">
        <f>(Data!B8-B$6)/B$7</f>
        <v/>
      </c>
      <c r="C18" s="6">
        <f>(Data!C8-C$6)/C$7</f>
        <v/>
      </c>
      <c r="D18" s="6">
        <f>(Data!D8-D$6)/D$7</f>
        <v/>
      </c>
      <c r="E18" s="6">
        <f>(Data!E8-E$6)/E$7</f>
        <v/>
      </c>
      <c r="F18" s="6">
        <f>$N$10+$N$11*B18+$N$12*C18+$N$13*D18</f>
        <v/>
      </c>
      <c r="G18" s="6">
        <f>F18*$E$7+$E$6</f>
        <v/>
      </c>
      <c r="H18" s="6">
        <f>Data!E8</f>
        <v/>
      </c>
      <c r="I18" s="6">
        <f>E18-F18</f>
        <v/>
      </c>
      <c r="J18" s="4">
        <f>I18^2</f>
        <v/>
      </c>
      <c r="L18" s="4">
        <f>SUM(J14:J43)</f>
        <v/>
      </c>
      <c r="M18" s="2" t="inlineStr">
        <is>
          <t>SSE (standardised y)</t>
        </is>
      </c>
    </row>
    <row r="19">
      <c r="A19" s="2">
        <f>Data!A9</f>
        <v/>
      </c>
      <c r="B19" s="6">
        <f>(Data!B9-B$6)/B$7</f>
        <v/>
      </c>
      <c r="C19" s="6">
        <f>(Data!C9-C$6)/C$7</f>
        <v/>
      </c>
      <c r="D19" s="6">
        <f>(Data!D9-D$6)/D$7</f>
        <v/>
      </c>
      <c r="E19" s="6">
        <f>(Data!E9-E$6)/E$7</f>
        <v/>
      </c>
      <c r="F19" s="6">
        <f>$N$10+$N$11*B19+$N$12*C19+$N$13*D19</f>
        <v/>
      </c>
      <c r="G19" s="6">
        <f>F19*$E$7+$E$6</f>
        <v/>
      </c>
      <c r="H19" s="6">
        <f>Data!E9</f>
        <v/>
      </c>
      <c r="I19" s="6">
        <f>E19-F19</f>
        <v/>
      </c>
      <c r="J19" s="4">
        <f>I19^2</f>
        <v/>
      </c>
      <c r="L19" s="4">
        <f>L18/(L16-L17-1)</f>
        <v/>
      </c>
      <c r="M19" s="2" t="inlineStr">
        <is>
          <t>s_eps^2 = SSE/(n-S-1)</t>
        </is>
      </c>
    </row>
    <row r="20">
      <c r="A20" s="2">
        <f>Data!A10</f>
        <v/>
      </c>
      <c r="B20" s="6">
        <f>(Data!B10-B$6)/B$7</f>
        <v/>
      </c>
      <c r="C20" s="6">
        <f>(Data!C10-C$6)/C$7</f>
        <v/>
      </c>
      <c r="D20" s="6">
        <f>(Data!D10-D$6)/D$7</f>
        <v/>
      </c>
      <c r="E20" s="6">
        <f>(Data!E10-E$6)/E$7</f>
        <v/>
      </c>
      <c r="F20" s="6">
        <f>$N$10+$N$11*B20+$N$12*C20+$N$13*D20</f>
        <v/>
      </c>
      <c r="G20" s="6">
        <f>F20*$E$7+$E$6</f>
        <v/>
      </c>
      <c r="H20" s="6">
        <f>Data!E10</f>
        <v/>
      </c>
      <c r="I20" s="6">
        <f>E20-F20</f>
        <v/>
      </c>
      <c r="J20" s="4">
        <f>I20^2</f>
        <v/>
      </c>
      <c r="L20" s="4">
        <f>SQRT(L19)*E7</f>
        <v/>
      </c>
      <c r="M20" s="2" t="inlineStr">
        <is>
          <t>s_eps (deg C)</t>
        </is>
      </c>
    </row>
    <row r="21">
      <c r="A21" s="2">
        <f>Data!A11</f>
        <v/>
      </c>
      <c r="B21" s="6">
        <f>(Data!B11-B$6)/B$7</f>
        <v/>
      </c>
      <c r="C21" s="6">
        <f>(Data!C11-C$6)/C$7</f>
        <v/>
      </c>
      <c r="D21" s="6">
        <f>(Data!D11-D$6)/D$7</f>
        <v/>
      </c>
      <c r="E21" s="6">
        <f>(Data!E11-E$6)/E$7</f>
        <v/>
      </c>
      <c r="F21" s="6">
        <f>$N$10+$N$11*B21+$N$12*C21+$N$13*D21</f>
        <v/>
      </c>
      <c r="G21" s="6">
        <f>F21*$E$7+$E$6</f>
        <v/>
      </c>
      <c r="H21" s="6">
        <f>Data!E11</f>
        <v/>
      </c>
      <c r="I21" s="6">
        <f>E21-F21</f>
        <v/>
      </c>
      <c r="J21" s="4">
        <f>I21^2</f>
        <v/>
      </c>
      <c r="L21" s="4">
        <f>DEVSQ(E14:E43)</f>
        <v/>
      </c>
      <c r="M21" s="2" t="inlineStr">
        <is>
          <t>SST (standardised y)</t>
        </is>
      </c>
    </row>
    <row r="22">
      <c r="A22" s="2">
        <f>Data!A12</f>
        <v/>
      </c>
      <c r="B22" s="6">
        <f>(Data!B12-B$6)/B$7</f>
        <v/>
      </c>
      <c r="C22" s="6">
        <f>(Data!C12-C$6)/C$7</f>
        <v/>
      </c>
      <c r="D22" s="6">
        <f>(Data!D12-D$6)/D$7</f>
        <v/>
      </c>
      <c r="E22" s="6">
        <f>(Data!E12-E$6)/E$7</f>
        <v/>
      </c>
      <c r="F22" s="6">
        <f>$N$10+$N$11*B22+$N$12*C22+$N$13*D22</f>
        <v/>
      </c>
      <c r="G22" s="6">
        <f>F22*$E$7+$E$6</f>
        <v/>
      </c>
      <c r="H22" s="6">
        <f>Data!E12</f>
        <v/>
      </c>
      <c r="I22" s="6">
        <f>E22-F22</f>
        <v/>
      </c>
      <c r="J22" s="4">
        <f>I22^2</f>
        <v/>
      </c>
      <c r="L22" s="4">
        <f>1-L18/L21</f>
        <v/>
      </c>
      <c r="M22" s="2" t="inlineStr">
        <is>
          <t>R^2 = 1 - SSE/SST</t>
        </is>
      </c>
    </row>
    <row r="23">
      <c r="A23" s="2">
        <f>Data!A13</f>
        <v/>
      </c>
      <c r="B23" s="6">
        <f>(Data!B13-B$6)/B$7</f>
        <v/>
      </c>
      <c r="C23" s="6">
        <f>(Data!C13-C$6)/C$7</f>
        <v/>
      </c>
      <c r="D23" s="6">
        <f>(Data!D13-D$6)/D$7</f>
        <v/>
      </c>
      <c r="E23" s="6">
        <f>(Data!E13-E$6)/E$7</f>
        <v/>
      </c>
      <c r="F23" s="6">
        <f>$N$10+$N$11*B23+$N$12*C23+$N$13*D23</f>
        <v/>
      </c>
      <c r="G23" s="6">
        <f>F23*$E$7+$E$6</f>
        <v/>
      </c>
      <c r="H23" s="6">
        <f>Data!E13</f>
        <v/>
      </c>
      <c r="I23" s="6">
        <f>E23-F23</f>
        <v/>
      </c>
      <c r="J23" s="4">
        <f>I23^2</f>
        <v/>
      </c>
      <c r="L23" s="2">
        <f>L16-L17-1</f>
        <v/>
      </c>
      <c r="M23" s="2" t="inlineStr">
        <is>
          <t>degrees of freedom n-S-1</t>
        </is>
      </c>
    </row>
    <row r="24">
      <c r="A24" s="2">
        <f>Data!A14</f>
        <v/>
      </c>
      <c r="B24" s="6">
        <f>(Data!B14-B$6)/B$7</f>
        <v/>
      </c>
      <c r="C24" s="6">
        <f>(Data!C14-C$6)/C$7</f>
        <v/>
      </c>
      <c r="D24" s="6">
        <f>(Data!D14-D$6)/D$7</f>
        <v/>
      </c>
      <c r="E24" s="6">
        <f>(Data!E14-E$6)/E$7</f>
        <v/>
      </c>
      <c r="F24" s="6">
        <f>$N$10+$N$11*B24+$N$12*C24+$N$13*D24</f>
        <v/>
      </c>
      <c r="G24" s="6">
        <f>F24*$E$7+$E$6</f>
        <v/>
      </c>
      <c r="H24" s="6">
        <f>Data!E14</f>
        <v/>
      </c>
      <c r="I24" s="6">
        <f>E24-F24</f>
        <v/>
      </c>
      <c r="J24" s="4">
        <f>I24^2</f>
        <v/>
      </c>
      <c r="L24" s="4">
        <f>TINV(0.05,L23)</f>
        <v/>
      </c>
      <c r="M24" s="2" t="inlineStr">
        <is>
          <t>t_(alpha/2, n-S-1), alpha = 0.05</t>
        </is>
      </c>
    </row>
    <row r="25">
      <c r="A25" s="2">
        <f>Data!A15</f>
        <v/>
      </c>
      <c r="B25" s="6">
        <f>(Data!B15-B$6)/B$7</f>
        <v/>
      </c>
      <c r="C25" s="6">
        <f>(Data!C15-C$6)/C$7</f>
        <v/>
      </c>
      <c r="D25" s="6">
        <f>(Data!D15-D$6)/D$7</f>
        <v/>
      </c>
      <c r="E25" s="6">
        <f>(Data!E15-E$6)/E$7</f>
        <v/>
      </c>
      <c r="F25" s="6">
        <f>$N$10+$N$11*B25+$N$12*C25+$N$13*D25</f>
        <v/>
      </c>
      <c r="G25" s="6">
        <f>F25*$E$7+$E$6</f>
        <v/>
      </c>
      <c r="H25" s="6">
        <f>Data!E15</f>
        <v/>
      </c>
      <c r="I25" s="6">
        <f>E25-F25</f>
        <v/>
      </c>
      <c r="J25" s="4">
        <f>I25^2</f>
        <v/>
      </c>
    </row>
    <row r="26">
      <c r="A26" s="2">
        <f>Data!A16</f>
        <v/>
      </c>
      <c r="B26" s="6">
        <f>(Data!B16-B$6)/B$7</f>
        <v/>
      </c>
      <c r="C26" s="6">
        <f>(Data!C16-C$6)/C$7</f>
        <v/>
      </c>
      <c r="D26" s="6">
        <f>(Data!D16-D$6)/D$7</f>
        <v/>
      </c>
      <c r="E26" s="6">
        <f>(Data!E16-E$6)/E$7</f>
        <v/>
      </c>
      <c r="F26" s="6">
        <f>$N$10+$N$11*B26+$N$12*C26+$N$13*D26</f>
        <v/>
      </c>
      <c r="G26" s="6">
        <f>F26*$E$7+$E$6</f>
        <v/>
      </c>
      <c r="H26" s="6">
        <f>Data!E16</f>
        <v/>
      </c>
      <c r="I26" s="6">
        <f>E26-F26</f>
        <v/>
      </c>
      <c r="J26" s="4">
        <f>I26^2</f>
        <v/>
      </c>
      <c r="L26" s="1" t="inlineStr">
        <is>
          <t>coefficient table (standardised units)</t>
        </is>
      </c>
    </row>
    <row r="27">
      <c r="A27" s="2">
        <f>Data!A17</f>
        <v/>
      </c>
      <c r="B27" s="6">
        <f>(Data!B17-B$6)/B$7</f>
        <v/>
      </c>
      <c r="C27" s="6">
        <f>(Data!C17-C$6)/C$7</f>
        <v/>
      </c>
      <c r="D27" s="6">
        <f>(Data!D17-D$6)/D$7</f>
        <v/>
      </c>
      <c r="E27" s="6">
        <f>(Data!E17-E$6)/E$7</f>
        <v/>
      </c>
      <c r="F27" s="6">
        <f>$N$10+$N$11*B27+$N$12*C27+$N$13*D27</f>
        <v/>
      </c>
      <c r="G27" s="6">
        <f>F27*$E$7+$E$6</f>
        <v/>
      </c>
      <c r="H27" s="6">
        <f>Data!E17</f>
        <v/>
      </c>
      <c r="I27" s="6">
        <f>E27-F27</f>
        <v/>
      </c>
      <c r="J27" s="4">
        <f>I27^2</f>
        <v/>
      </c>
      <c r="M27" s="3" t="inlineStr">
        <is>
          <t>beta_hat_j</t>
        </is>
      </c>
      <c r="N27" s="3" t="inlineStr">
        <is>
          <t>s_beta_j</t>
        </is>
      </c>
      <c r="O27" s="3" t="inlineStr">
        <is>
          <t>T_j</t>
        </is>
      </c>
      <c r="P27" s="3" t="inlineStr">
        <is>
          <t>p-value</t>
        </is>
      </c>
    </row>
    <row r="28">
      <c r="A28" s="2">
        <f>Data!A18</f>
        <v/>
      </c>
      <c r="B28" s="6">
        <f>(Data!B18-B$6)/B$7</f>
        <v/>
      </c>
      <c r="C28" s="6">
        <f>(Data!C18-C$6)/C$7</f>
        <v/>
      </c>
      <c r="D28" s="6">
        <f>(Data!D18-D$6)/D$7</f>
        <v/>
      </c>
      <c r="E28" s="6">
        <f>(Data!E18-E$6)/E$7</f>
        <v/>
      </c>
      <c r="F28" s="6">
        <f>$N$10+$N$11*B28+$N$12*C28+$N$13*D28</f>
        <v/>
      </c>
      <c r="G28" s="6">
        <f>F28*$E$7+$E$6</f>
        <v/>
      </c>
      <c r="H28" s="6">
        <f>Data!E18</f>
        <v/>
      </c>
      <c r="I28" s="6">
        <f>E28-F28</f>
        <v/>
      </c>
      <c r="J28" s="4">
        <f>I28^2</f>
        <v/>
      </c>
      <c r="L28" s="2" t="inlineStr">
        <is>
          <t>beta_0</t>
        </is>
      </c>
      <c r="M28" s="4">
        <f>N10</f>
        <v/>
      </c>
      <c r="N28" s="4">
        <f>SQRT($L$19*INDEX($Q$4:$T$7,1,1))</f>
        <v/>
      </c>
      <c r="O28" s="6">
        <f>IF(N28=0,0,M28/N28)</f>
        <v/>
      </c>
      <c r="P28" s="4">
        <f>TDIST(ABS(O28),$L$23,2)</f>
        <v/>
      </c>
    </row>
    <row r="29">
      <c r="A29" s="2">
        <f>Data!A19</f>
        <v/>
      </c>
      <c r="B29" s="6">
        <f>(Data!B19-B$6)/B$7</f>
        <v/>
      </c>
      <c r="C29" s="6">
        <f>(Data!C19-C$6)/C$7</f>
        <v/>
      </c>
      <c r="D29" s="6">
        <f>(Data!D19-D$6)/D$7</f>
        <v/>
      </c>
      <c r="E29" s="6">
        <f>(Data!E19-E$6)/E$7</f>
        <v/>
      </c>
      <c r="F29" s="6">
        <f>$N$10+$N$11*B29+$N$12*C29+$N$13*D29</f>
        <v/>
      </c>
      <c r="G29" s="6">
        <f>F29*$E$7+$E$6</f>
        <v/>
      </c>
      <c r="H29" s="6">
        <f>Data!E19</f>
        <v/>
      </c>
      <c r="I29" s="6">
        <f>E29-F29</f>
        <v/>
      </c>
      <c r="J29" s="4">
        <f>I29^2</f>
        <v/>
      </c>
      <c r="L29" s="2" t="inlineStr">
        <is>
          <t>beta_1 (SLP)</t>
        </is>
      </c>
      <c r="M29" s="4">
        <f>N11</f>
        <v/>
      </c>
      <c r="N29" s="4">
        <f>SQRT($L$19*INDEX($Q$4:$T$7,2,2))</f>
        <v/>
      </c>
      <c r="O29" s="6">
        <f>IF(N29=0,0,M29/N29)</f>
        <v/>
      </c>
      <c r="P29" s="4">
        <f>TDIST(ABS(O29),$L$23,2)</f>
        <v/>
      </c>
    </row>
    <row r="30">
      <c r="A30" s="2">
        <f>Data!A20</f>
        <v/>
      </c>
      <c r="B30" s="6">
        <f>(Data!B20-B$6)/B$7</f>
        <v/>
      </c>
      <c r="C30" s="6">
        <f>(Data!C20-C$6)/C$7</f>
        <v/>
      </c>
      <c r="D30" s="6">
        <f>(Data!D20-D$6)/D$7</f>
        <v/>
      </c>
      <c r="E30" s="6">
        <f>(Data!E20-E$6)/E$7</f>
        <v/>
      </c>
      <c r="F30" s="6">
        <f>$N$10+$N$11*B30+$N$12*C30+$N$13*D30</f>
        <v/>
      </c>
      <c r="G30" s="6">
        <f>F30*$E$7+$E$6</f>
        <v/>
      </c>
      <c r="H30" s="6">
        <f>Data!E20</f>
        <v/>
      </c>
      <c r="I30" s="6">
        <f>E30-F30</f>
        <v/>
      </c>
      <c r="J30" s="4">
        <f>I30^2</f>
        <v/>
      </c>
      <c r="L30" s="2" t="inlineStr">
        <is>
          <t>beta_2 (q)</t>
        </is>
      </c>
      <c r="M30" s="4">
        <f>N12</f>
        <v/>
      </c>
      <c r="N30" s="4">
        <f>SQRT($L$19*INDEX($Q$4:$T$7,3,3))</f>
        <v/>
      </c>
      <c r="O30" s="6">
        <f>IF(N30=0,0,M30/N30)</f>
        <v/>
      </c>
      <c r="P30" s="4">
        <f>TDIST(ABS(O30),$L$23,2)</f>
        <v/>
      </c>
    </row>
    <row r="31">
      <c r="A31" s="2">
        <f>Data!A21</f>
        <v/>
      </c>
      <c r="B31" s="6">
        <f>(Data!B21-B$6)/B$7</f>
        <v/>
      </c>
      <c r="C31" s="6">
        <f>(Data!C21-C$6)/C$7</f>
        <v/>
      </c>
      <c r="D31" s="6">
        <f>(Data!D21-D$6)/D$7</f>
        <v/>
      </c>
      <c r="E31" s="6">
        <f>(Data!E21-E$6)/E$7</f>
        <v/>
      </c>
      <c r="F31" s="6">
        <f>$N$10+$N$11*B31+$N$12*C31+$N$13*D31</f>
        <v/>
      </c>
      <c r="G31" s="6">
        <f>F31*$E$7+$E$6</f>
        <v/>
      </c>
      <c r="H31" s="6">
        <f>Data!E21</f>
        <v/>
      </c>
      <c r="I31" s="6">
        <f>E31-F31</f>
        <v/>
      </c>
      <c r="J31" s="4">
        <f>I31^2</f>
        <v/>
      </c>
      <c r="L31" s="2" t="inlineStr">
        <is>
          <t>beta_3 (T_air)</t>
        </is>
      </c>
      <c r="M31" s="4">
        <f>N13</f>
        <v/>
      </c>
      <c r="N31" s="4">
        <f>SQRT($L$19*INDEX($Q$4:$T$7,4,4))</f>
        <v/>
      </c>
      <c r="O31" s="6">
        <f>IF(N31=0,0,M31/N31)</f>
        <v/>
      </c>
      <c r="P31" s="4">
        <f>TDIST(ABS(O31),$L$23,2)</f>
        <v/>
      </c>
    </row>
    <row r="32">
      <c r="A32" s="2">
        <f>Data!A22</f>
        <v/>
      </c>
      <c r="B32" s="6">
        <f>(Data!B22-B$6)/B$7</f>
        <v/>
      </c>
      <c r="C32" s="6">
        <f>(Data!C22-C$6)/C$7</f>
        <v/>
      </c>
      <c r="D32" s="6">
        <f>(Data!D22-D$6)/D$7</f>
        <v/>
      </c>
      <c r="E32" s="6">
        <f>(Data!E22-E$6)/E$7</f>
        <v/>
      </c>
      <c r="F32" s="6">
        <f>$N$10+$N$11*B32+$N$12*C32+$N$13*D32</f>
        <v/>
      </c>
      <c r="G32" s="6">
        <f>F32*$E$7+$E$6</f>
        <v/>
      </c>
      <c r="H32" s="6">
        <f>Data!E22</f>
        <v/>
      </c>
      <c r="I32" s="6">
        <f>E32-F32</f>
        <v/>
      </c>
      <c r="J32" s="4">
        <f>I32^2</f>
        <v/>
      </c>
    </row>
    <row r="33">
      <c r="A33" s="2">
        <f>Data!A23</f>
        <v/>
      </c>
      <c r="B33" s="6">
        <f>(Data!B23-B$6)/B$7</f>
        <v/>
      </c>
      <c r="C33" s="6">
        <f>(Data!C23-C$6)/C$7</f>
        <v/>
      </c>
      <c r="D33" s="6">
        <f>(Data!D23-D$6)/D$7</f>
        <v/>
      </c>
      <c r="E33" s="6">
        <f>(Data!E23-E$6)/E$7</f>
        <v/>
      </c>
      <c r="F33" s="6">
        <f>$N$10+$N$11*B33+$N$12*C33+$N$13*D33</f>
        <v/>
      </c>
      <c r="G33" s="6">
        <f>F33*$E$7+$E$6</f>
        <v/>
      </c>
      <c r="H33" s="6">
        <f>Data!E23</f>
        <v/>
      </c>
      <c r="I33" s="6">
        <f>E33-F33</f>
        <v/>
      </c>
      <c r="J33" s="4">
        <f>I33^2</f>
        <v/>
      </c>
    </row>
    <row r="34">
      <c r="A34" s="2">
        <f>Data!A24</f>
        <v/>
      </c>
      <c r="B34" s="6">
        <f>(Data!B24-B$6)/B$7</f>
        <v/>
      </c>
      <c r="C34" s="6">
        <f>(Data!C24-C$6)/C$7</f>
        <v/>
      </c>
      <c r="D34" s="6">
        <f>(Data!D24-D$6)/D$7</f>
        <v/>
      </c>
      <c r="E34" s="6">
        <f>(Data!E24-E$6)/E$7</f>
        <v/>
      </c>
      <c r="F34" s="6">
        <f>$N$10+$N$11*B34+$N$12*C34+$N$13*D34</f>
        <v/>
      </c>
      <c r="G34" s="6">
        <f>F34*$E$7+$E$6</f>
        <v/>
      </c>
      <c r="H34" s="6">
        <f>Data!E24</f>
        <v/>
      </c>
      <c r="I34" s="6">
        <f>E34-F34</f>
        <v/>
      </c>
      <c r="J34" s="4">
        <f>I34^2</f>
        <v/>
      </c>
    </row>
    <row r="35">
      <c r="A35" s="2">
        <f>Data!A25</f>
        <v/>
      </c>
      <c r="B35" s="6">
        <f>(Data!B25-B$6)/B$7</f>
        <v/>
      </c>
      <c r="C35" s="6">
        <f>(Data!C25-C$6)/C$7</f>
        <v/>
      </c>
      <c r="D35" s="6">
        <f>(Data!D25-D$6)/D$7</f>
        <v/>
      </c>
      <c r="E35" s="6">
        <f>(Data!E25-E$6)/E$7</f>
        <v/>
      </c>
      <c r="F35" s="6">
        <f>$N$10+$N$11*B35+$N$12*C35+$N$13*D35</f>
        <v/>
      </c>
      <c r="G35" s="6">
        <f>F35*$E$7+$E$6</f>
        <v/>
      </c>
      <c r="H35" s="6">
        <f>Data!E25</f>
        <v/>
      </c>
      <c r="I35" s="6">
        <f>E35-F35</f>
        <v/>
      </c>
      <c r="J35" s="4">
        <f>I35^2</f>
        <v/>
      </c>
    </row>
    <row r="36">
      <c r="A36" s="2">
        <f>Data!A26</f>
        <v/>
      </c>
      <c r="B36" s="6">
        <f>(Data!B26-B$6)/B$7</f>
        <v/>
      </c>
      <c r="C36" s="6">
        <f>(Data!C26-C$6)/C$7</f>
        <v/>
      </c>
      <c r="D36" s="6">
        <f>(Data!D26-D$6)/D$7</f>
        <v/>
      </c>
      <c r="E36" s="6">
        <f>(Data!E26-E$6)/E$7</f>
        <v/>
      </c>
      <c r="F36" s="6">
        <f>$N$10+$N$11*B36+$N$12*C36+$N$13*D36</f>
        <v/>
      </c>
      <c r="G36" s="6">
        <f>F36*$E$7+$E$6</f>
        <v/>
      </c>
      <c r="H36" s="6">
        <f>Data!E26</f>
        <v/>
      </c>
      <c r="I36" s="6">
        <f>E36-F36</f>
        <v/>
      </c>
      <c r="J36" s="4">
        <f>I36^2</f>
        <v/>
      </c>
    </row>
    <row r="37">
      <c r="A37" s="2">
        <f>Data!A27</f>
        <v/>
      </c>
      <c r="B37" s="6">
        <f>(Data!B27-B$6)/B$7</f>
        <v/>
      </c>
      <c r="C37" s="6">
        <f>(Data!C27-C$6)/C$7</f>
        <v/>
      </c>
      <c r="D37" s="6">
        <f>(Data!D27-D$6)/D$7</f>
        <v/>
      </c>
      <c r="E37" s="6">
        <f>(Data!E27-E$6)/E$7</f>
        <v/>
      </c>
      <c r="F37" s="6">
        <f>$N$10+$N$11*B37+$N$12*C37+$N$13*D37</f>
        <v/>
      </c>
      <c r="G37" s="6">
        <f>F37*$E$7+$E$6</f>
        <v/>
      </c>
      <c r="H37" s="6">
        <f>Data!E27</f>
        <v/>
      </c>
      <c r="I37" s="6">
        <f>E37-F37</f>
        <v/>
      </c>
      <c r="J37" s="4">
        <f>I37^2</f>
        <v/>
      </c>
    </row>
    <row r="38">
      <c r="A38" s="2">
        <f>Data!A28</f>
        <v/>
      </c>
      <c r="B38" s="6">
        <f>(Data!B28-B$6)/B$7</f>
        <v/>
      </c>
      <c r="C38" s="6">
        <f>(Data!C28-C$6)/C$7</f>
        <v/>
      </c>
      <c r="D38" s="6">
        <f>(Data!D28-D$6)/D$7</f>
        <v/>
      </c>
      <c r="E38" s="6">
        <f>(Data!E28-E$6)/E$7</f>
        <v/>
      </c>
      <c r="F38" s="6">
        <f>$N$10+$N$11*B38+$N$12*C38+$N$13*D38</f>
        <v/>
      </c>
      <c r="G38" s="6">
        <f>F38*$E$7+$E$6</f>
        <v/>
      </c>
      <c r="H38" s="6">
        <f>Data!E28</f>
        <v/>
      </c>
      <c r="I38" s="6">
        <f>E38-F38</f>
        <v/>
      </c>
      <c r="J38" s="4">
        <f>I38^2</f>
        <v/>
      </c>
    </row>
    <row r="39">
      <c r="A39" s="2">
        <f>Data!A29</f>
        <v/>
      </c>
      <c r="B39" s="6">
        <f>(Data!B29-B$6)/B$7</f>
        <v/>
      </c>
      <c r="C39" s="6">
        <f>(Data!C29-C$6)/C$7</f>
        <v/>
      </c>
      <c r="D39" s="6">
        <f>(Data!D29-D$6)/D$7</f>
        <v/>
      </c>
      <c r="E39" s="6">
        <f>(Data!E29-E$6)/E$7</f>
        <v/>
      </c>
      <c r="F39" s="6">
        <f>$N$10+$N$11*B39+$N$12*C39+$N$13*D39</f>
        <v/>
      </c>
      <c r="G39" s="6">
        <f>F39*$E$7+$E$6</f>
        <v/>
      </c>
      <c r="H39" s="6">
        <f>Data!E29</f>
        <v/>
      </c>
      <c r="I39" s="6">
        <f>E39-F39</f>
        <v/>
      </c>
      <c r="J39" s="4">
        <f>I39^2</f>
        <v/>
      </c>
    </row>
    <row r="40">
      <c r="A40" s="2">
        <f>Data!A30</f>
        <v/>
      </c>
      <c r="B40" s="6">
        <f>(Data!B30-B$6)/B$7</f>
        <v/>
      </c>
      <c r="C40" s="6">
        <f>(Data!C30-C$6)/C$7</f>
        <v/>
      </c>
      <c r="D40" s="6">
        <f>(Data!D30-D$6)/D$7</f>
        <v/>
      </c>
      <c r="E40" s="6">
        <f>(Data!E30-E$6)/E$7</f>
        <v/>
      </c>
      <c r="F40" s="6">
        <f>$N$10+$N$11*B40+$N$12*C40+$N$13*D40</f>
        <v/>
      </c>
      <c r="G40" s="6">
        <f>F40*$E$7+$E$6</f>
        <v/>
      </c>
      <c r="H40" s="6">
        <f>Data!E30</f>
        <v/>
      </c>
      <c r="I40" s="6">
        <f>E40-F40</f>
        <v/>
      </c>
      <c r="J40" s="4">
        <f>I40^2</f>
        <v/>
      </c>
    </row>
    <row r="41">
      <c r="A41" s="2">
        <f>Data!A31</f>
        <v/>
      </c>
      <c r="B41" s="6">
        <f>(Data!B31-B$6)/B$7</f>
        <v/>
      </c>
      <c r="C41" s="6">
        <f>(Data!C31-C$6)/C$7</f>
        <v/>
      </c>
      <c r="D41" s="6">
        <f>(Data!D31-D$6)/D$7</f>
        <v/>
      </c>
      <c r="E41" s="6">
        <f>(Data!E31-E$6)/E$7</f>
        <v/>
      </c>
      <c r="F41" s="6">
        <f>$N$10+$N$11*B41+$N$12*C41+$N$13*D41</f>
        <v/>
      </c>
      <c r="G41" s="6">
        <f>F41*$E$7+$E$6</f>
        <v/>
      </c>
      <c r="H41" s="6">
        <f>Data!E31</f>
        <v/>
      </c>
      <c r="I41" s="6">
        <f>E41-F41</f>
        <v/>
      </c>
      <c r="J41" s="4">
        <f>I41^2</f>
        <v/>
      </c>
    </row>
    <row r="42">
      <c r="A42" s="2">
        <f>Data!A32</f>
        <v/>
      </c>
      <c r="B42" s="6">
        <f>(Data!B32-B$6)/B$7</f>
        <v/>
      </c>
      <c r="C42" s="6">
        <f>(Data!C32-C$6)/C$7</f>
        <v/>
      </c>
      <c r="D42" s="6">
        <f>(Data!D32-D$6)/D$7</f>
        <v/>
      </c>
      <c r="E42" s="6">
        <f>(Data!E32-E$6)/E$7</f>
        <v/>
      </c>
      <c r="F42" s="6">
        <f>$N$10+$N$11*B42+$N$12*C42+$N$13*D42</f>
        <v/>
      </c>
      <c r="G42" s="6">
        <f>F42*$E$7+$E$6</f>
        <v/>
      </c>
      <c r="H42" s="6">
        <f>Data!E32</f>
        <v/>
      </c>
      <c r="I42" s="6">
        <f>E42-F42</f>
        <v/>
      </c>
      <c r="J42" s="4">
        <f>I42^2</f>
        <v/>
      </c>
    </row>
    <row r="43">
      <c r="A43" s="2">
        <f>Data!A33</f>
        <v/>
      </c>
      <c r="B43" s="6">
        <f>(Data!B33-B$6)/B$7</f>
        <v/>
      </c>
      <c r="C43" s="6">
        <f>(Data!C33-C$6)/C$7</f>
        <v/>
      </c>
      <c r="D43" s="6">
        <f>(Data!D33-D$6)/D$7</f>
        <v/>
      </c>
      <c r="E43" s="6">
        <f>(Data!E33-E$6)/E$7</f>
        <v/>
      </c>
      <c r="F43" s="6">
        <f>$N$10+$N$11*B43+$N$12*C43+$N$13*D43</f>
        <v/>
      </c>
      <c r="G43" s="6">
        <f>F43*$E$7+$E$6</f>
        <v/>
      </c>
      <c r="H43" s="6">
        <f>Data!E33</f>
        <v/>
      </c>
      <c r="I43" s="6">
        <f>E43-F43</f>
        <v/>
      </c>
      <c r="J43" s="4">
        <f>I43^2</f>
        <v/>
      </c>
    </row>
    <row r="44">
      <c r="A44" s="2">
        <f>Data!A34</f>
        <v/>
      </c>
      <c r="B44" s="6">
        <f>(Data!B34-B$6)/B$7</f>
        <v/>
      </c>
      <c r="C44" s="6">
        <f>(Data!C34-C$6)/C$7</f>
        <v/>
      </c>
      <c r="D44" s="6">
        <f>(Data!D34-D$6)/D$7</f>
        <v/>
      </c>
      <c r="E44" s="6">
        <f>(Data!E34-E$6)/E$7</f>
        <v/>
      </c>
      <c r="F44" s="6">
        <f>$N$10+$N$11*B44+$N$12*C44+$N$13*D44</f>
        <v/>
      </c>
      <c r="G44" s="6">
        <f>F44*$E$7+$E$6</f>
        <v/>
      </c>
      <c r="H44" s="6">
        <f>Data!E34</f>
        <v/>
      </c>
      <c r="I44" s="6">
        <f>E44-F44</f>
        <v/>
      </c>
      <c r="J44" s="4">
        <f>I44^2</f>
        <v/>
      </c>
    </row>
    <row r="45">
      <c r="A45" s="2">
        <f>Data!A35</f>
        <v/>
      </c>
      <c r="B45" s="6">
        <f>(Data!B35-B$6)/B$7</f>
        <v/>
      </c>
      <c r="C45" s="6">
        <f>(Data!C35-C$6)/C$7</f>
        <v/>
      </c>
      <c r="D45" s="6">
        <f>(Data!D35-D$6)/D$7</f>
        <v/>
      </c>
      <c r="E45" s="6">
        <f>(Data!E35-E$6)/E$7</f>
        <v/>
      </c>
      <c r="F45" s="6">
        <f>$N$10+$N$11*B45+$N$12*C45+$N$13*D45</f>
        <v/>
      </c>
      <c r="G45" s="6">
        <f>F45*$E$7+$E$6</f>
        <v/>
      </c>
      <c r="H45" s="6">
        <f>Data!E35</f>
        <v/>
      </c>
      <c r="I45" s="6">
        <f>E45-F45</f>
        <v/>
      </c>
      <c r="J45" s="4">
        <f>I45^2</f>
        <v/>
      </c>
    </row>
    <row r="46">
      <c r="A46" s="2">
        <f>Data!A36</f>
        <v/>
      </c>
      <c r="B46" s="6">
        <f>(Data!B36-B$6)/B$7</f>
        <v/>
      </c>
      <c r="C46" s="6">
        <f>(Data!C36-C$6)/C$7</f>
        <v/>
      </c>
      <c r="D46" s="6">
        <f>(Data!D36-D$6)/D$7</f>
        <v/>
      </c>
      <c r="E46" s="6">
        <f>(Data!E36-E$6)/E$7</f>
        <v/>
      </c>
      <c r="F46" s="6">
        <f>$N$10+$N$11*B46+$N$12*C46+$N$13*D46</f>
        <v/>
      </c>
      <c r="G46" s="6">
        <f>F46*$E$7+$E$6</f>
        <v/>
      </c>
      <c r="H46" s="6">
        <f>Data!E36</f>
        <v/>
      </c>
      <c r="I46" s="6">
        <f>E46-F46</f>
        <v/>
      </c>
      <c r="J46" s="4">
        <f>I46^2</f>
        <v/>
      </c>
    </row>
    <row r="47">
      <c r="A47" s="2">
        <f>Data!A37</f>
        <v/>
      </c>
      <c r="B47" s="6">
        <f>(Data!B37-B$6)/B$7</f>
        <v/>
      </c>
      <c r="C47" s="6">
        <f>(Data!C37-C$6)/C$7</f>
        <v/>
      </c>
      <c r="D47" s="6">
        <f>(Data!D37-D$6)/D$7</f>
        <v/>
      </c>
      <c r="E47" s="6">
        <f>(Data!E37-E$6)/E$7</f>
        <v/>
      </c>
      <c r="F47" s="6">
        <f>$N$10+$N$11*B47+$N$12*C47+$N$13*D47</f>
        <v/>
      </c>
      <c r="G47" s="6">
        <f>F47*$E$7+$E$6</f>
        <v/>
      </c>
      <c r="H47" s="6">
        <f>Data!E37</f>
        <v/>
      </c>
      <c r="I47" s="6">
        <f>E47-F47</f>
        <v/>
      </c>
      <c r="J47" s="4">
        <f>I47^2</f>
        <v/>
      </c>
    </row>
    <row r="48">
      <c r="A48" s="2">
        <f>Data!A38</f>
        <v/>
      </c>
      <c r="B48" s="6">
        <f>(Data!B38-B$6)/B$7</f>
        <v/>
      </c>
      <c r="C48" s="6">
        <f>(Data!C38-C$6)/C$7</f>
        <v/>
      </c>
      <c r="D48" s="6">
        <f>(Data!D38-D$6)/D$7</f>
        <v/>
      </c>
      <c r="E48" s="6">
        <f>(Data!E38-E$6)/E$7</f>
        <v/>
      </c>
      <c r="F48" s="6">
        <f>$N$10+$N$11*B48+$N$12*C48+$N$13*D48</f>
        <v/>
      </c>
      <c r="G48" s="6">
        <f>F48*$E$7+$E$6</f>
        <v/>
      </c>
      <c r="H48" s="6">
        <f>Data!E38</f>
        <v/>
      </c>
      <c r="I48" s="6">
        <f>E48-F48</f>
        <v/>
      </c>
      <c r="J48" s="4">
        <f>I48^2</f>
        <v/>
      </c>
    </row>
    <row r="49">
      <c r="A49" s="2">
        <f>Data!A39</f>
        <v/>
      </c>
      <c r="B49" s="6">
        <f>(Data!B39-B$6)/B$7</f>
        <v/>
      </c>
      <c r="C49" s="6">
        <f>(Data!C39-C$6)/C$7</f>
        <v/>
      </c>
      <c r="D49" s="6">
        <f>(Data!D39-D$6)/D$7</f>
        <v/>
      </c>
      <c r="E49" s="6">
        <f>(Data!E39-E$6)/E$7</f>
        <v/>
      </c>
      <c r="F49" s="6">
        <f>$N$10+$N$11*B49+$N$12*C49+$N$13*D49</f>
        <v/>
      </c>
      <c r="G49" s="6">
        <f>F49*$E$7+$E$6</f>
        <v/>
      </c>
      <c r="H49" s="6">
        <f>Data!E39</f>
        <v/>
      </c>
      <c r="I49" s="6">
        <f>E49-F49</f>
        <v/>
      </c>
      <c r="J49" s="4">
        <f>I49^2</f>
        <v/>
      </c>
    </row>
    <row r="50">
      <c r="A50" s="2">
        <f>Data!A40</f>
        <v/>
      </c>
      <c r="B50" s="6">
        <f>(Data!B40-B$6)/B$7</f>
        <v/>
      </c>
      <c r="C50" s="6">
        <f>(Data!C40-C$6)/C$7</f>
        <v/>
      </c>
      <c r="D50" s="6">
        <f>(Data!D40-D$6)/D$7</f>
        <v/>
      </c>
      <c r="E50" s="6">
        <f>(Data!E40-E$6)/E$7</f>
        <v/>
      </c>
      <c r="F50" s="6">
        <f>$N$10+$N$11*B50+$N$12*C50+$N$13*D50</f>
        <v/>
      </c>
      <c r="G50" s="6">
        <f>F50*$E$7+$E$6</f>
        <v/>
      </c>
      <c r="H50" s="6">
        <f>Data!E40</f>
        <v/>
      </c>
      <c r="I50" s="6">
        <f>E50-F50</f>
        <v/>
      </c>
      <c r="J50" s="4">
        <f>I50^2</f>
        <v/>
      </c>
    </row>
    <row r="51">
      <c r="A51" s="2">
        <f>Data!A41</f>
        <v/>
      </c>
      <c r="B51" s="6">
        <f>(Data!B41-B$6)/B$7</f>
        <v/>
      </c>
      <c r="C51" s="6">
        <f>(Data!C41-C$6)/C$7</f>
        <v/>
      </c>
      <c r="D51" s="6">
        <f>(Data!D41-D$6)/D$7</f>
        <v/>
      </c>
      <c r="E51" s="6">
        <f>(Data!E41-E$6)/E$7</f>
        <v/>
      </c>
      <c r="F51" s="6">
        <f>$N$10+$N$11*B51+$N$12*C51+$N$13*D51</f>
        <v/>
      </c>
      <c r="G51" s="6">
        <f>F51*$E$7+$E$6</f>
        <v/>
      </c>
      <c r="H51" s="6">
        <f>Data!E41</f>
        <v/>
      </c>
      <c r="I51" s="6">
        <f>E51-F51</f>
        <v/>
      </c>
      <c r="J51" s="4">
        <f>I51^2</f>
        <v/>
      </c>
    </row>
    <row r="52">
      <c r="A52" s="2">
        <f>Data!A42</f>
        <v/>
      </c>
      <c r="B52" s="6">
        <f>(Data!B42-B$6)/B$7</f>
        <v/>
      </c>
      <c r="C52" s="6">
        <f>(Data!C42-C$6)/C$7</f>
        <v/>
      </c>
      <c r="D52" s="6">
        <f>(Data!D42-D$6)/D$7</f>
        <v/>
      </c>
      <c r="E52" s="6">
        <f>(Data!E42-E$6)/E$7</f>
        <v/>
      </c>
      <c r="F52" s="6">
        <f>$N$10+$N$11*B52+$N$12*C52+$N$13*D52</f>
        <v/>
      </c>
      <c r="G52" s="6">
        <f>F52*$E$7+$E$6</f>
        <v/>
      </c>
      <c r="H52" s="6">
        <f>Data!E42</f>
        <v/>
      </c>
      <c r="I52" s="6">
        <f>E52-F52</f>
        <v/>
      </c>
      <c r="J52" s="4">
        <f>I52^2</f>
        <v/>
      </c>
    </row>
    <row r="53">
      <c r="A53" s="2">
        <f>Data!A43</f>
        <v/>
      </c>
      <c r="B53" s="6">
        <f>(Data!B43-B$6)/B$7</f>
        <v/>
      </c>
      <c r="C53" s="6">
        <f>(Data!C43-C$6)/C$7</f>
        <v/>
      </c>
      <c r="D53" s="6">
        <f>(Data!D43-D$6)/D$7</f>
        <v/>
      </c>
      <c r="E53" s="6">
        <f>(Data!E43-E$6)/E$7</f>
        <v/>
      </c>
      <c r="F53" s="6">
        <f>$N$10+$N$11*B53+$N$12*C53+$N$13*D53</f>
        <v/>
      </c>
      <c r="G53" s="6">
        <f>F53*$E$7+$E$6</f>
        <v/>
      </c>
      <c r="H53" s="6">
        <f>Data!E43</f>
        <v/>
      </c>
      <c r="I53" s="6">
        <f>E53-F53</f>
        <v/>
      </c>
      <c r="J53" s="4">
        <f>I53^2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2026-10-23T07:14:12Z</dcterms:created>
  <dcterms:modified xmlns:dcterms="http://purl.org/dc/terms/" xmlns:xsi="http://www.w3.org/2001/XMLSchema-instance" xsi:type="dcterms:W3CDTF">2026-10-23T07:14:12Z</dcterms:modified>
</cp:coreProperties>
</file>