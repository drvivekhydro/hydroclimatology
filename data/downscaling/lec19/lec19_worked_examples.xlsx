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SimpleReg" sheetId="3" state="visible" r:id="rId3"/>
    <sheet xmlns:r="http://schemas.openxmlformats.org/officeDocument/2006/relationships" name="MultiReg" sheetId="4" state="visible" r:id="rId4"/>
    <sheet xmlns:r="http://schemas.openxmlformats.org/officeDocument/2006/relationships" name="Collinearity" sheetId="5" state="visible" r:id="rId5"/>
    <sheet xmlns:r="http://schemas.openxmlformats.org/officeDocument/2006/relationships" name="CalVal" sheetId="6" state="visible" r:id="rId6"/>
    <sheet xmlns:r="http://schemas.openxmlformats.org/officeDocument/2006/relationships" name="VarInfl" sheetId="7" state="visible" r:id="rId7"/>
  </sheets>
  <definedNames/>
  <calcPr calcId="124519" fullCalcOnLoad="1"/>
</workbook>
</file>

<file path=xl/styles.xml><?xml version="1.0" encoding="utf-8"?>
<styleSheet xmlns="http://schemas.openxmlformats.org/spreadsheetml/2006/main">
  <numFmts count="5">
    <numFmt numFmtId="164" formatCode="0.000"/>
    <numFmt numFmtId="165" formatCode="0.0"/>
    <numFmt numFmtId="166" formatCode="0.0000"/>
    <numFmt numFmtId="167" formatCode="0.00000"/>
    <numFmt numFmtId="168" formatCode="0.0E+00"/>
  </numFmts>
  <fonts count="4">
    <font>
      <name val="Calibri"/>
      <family val="2"/>
      <color theme="1"/>
      <sz val="11"/>
      <scheme val="minor"/>
    </font>
    <font>
      <b val="1"/>
      <sz val="14"/>
    </font>
    <font>
      <b val="1"/>
    </font>
    <font>
      <color rgb="000000FF"/>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0"/>
    <xf numFmtId="164" fontId="3" fillId="0" borderId="0" pivotButton="0" quotePrefix="0" xfId="0"/>
    <xf numFmtId="165" fontId="3" fillId="0" borderId="0" pivotButton="0" quotePrefix="0" xfId="0"/>
    <xf numFmtId="0" fontId="1" fillId="0" borderId="0" pivotButton="0" quotePrefix="0" xfId="0"/>
    <xf numFmtId="0" fontId="2" fillId="0" borderId="0" pivotButton="0" quotePrefix="0" xfId="0"/>
    <xf numFmtId="2" fontId="3" fillId="0" borderId="0" pivotButton="0" quotePrefix="0" xfId="0"/>
    <xf numFmtId="166" fontId="0" fillId="0" borderId="0" pivotButton="0" quotePrefix="0" xfId="0"/>
    <xf numFmtId="1" fontId="0" fillId="0" borderId="0" pivotButton="0" quotePrefix="0" xfId="0"/>
    <xf numFmtId="166" fontId="0" fillId="3" borderId="0" pivotButton="0" quotePrefix="0" xfId="0"/>
    <xf numFmtId="164" fontId="0" fillId="3" borderId="0" pivotButton="0" quotePrefix="0" xfId="0"/>
    <xf numFmtId="164" fontId="0" fillId="0" borderId="0" pivotButton="0" quotePrefix="0" xfId="0"/>
    <xf numFmtId="2" fontId="0" fillId="0" borderId="0" pivotButton="0" quotePrefix="0" xfId="0"/>
    <xf numFmtId="167" fontId="0" fillId="0" borderId="0" pivotButton="0" quotePrefix="0" xfId="0"/>
    <xf numFmtId="168" fontId="0" fillId="0" borderId="0" pivotButton="0" quotePrefix="0" xfId="0"/>
    <xf numFmtId="2" fontId="0" fillId="3"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Tmax anomaly versus humidity anomaly (synthetic)</a:t>
            </a:r>
          </a:p>
        </rich>
      </tx>
    </title>
    <plotArea>
      <scatterChart>
        <ser>
          <idx val="0"/>
          <order val="0"/>
          <tx>
            <v>observed</v>
          </tx>
          <spPr>
            <a:ln xmlns:a="http://schemas.openxmlformats.org/drawingml/2006/main">
              <a:noFill/>
              <a:prstDash val="solid"/>
            </a:ln>
          </spPr>
          <marker>
            <symbol val="circle"/>
            <spPr>
              <a:ln xmlns:a="http://schemas.openxmlformats.org/drawingml/2006/main">
                <a:prstDash val="solid"/>
              </a:ln>
            </spPr>
          </marker>
          <xVal>
            <numRef>
              <f>'SimpleReg'!$B$4:$B$18</f>
            </numRef>
          </xVal>
          <yVal>
            <numRef>
              <f>'SimpleReg'!$C$4:$C$18</f>
            </numRef>
          </yVal>
        </ser>
        <ser>
          <idx val="1"/>
          <order val="1"/>
          <tx>
            <v>fitted line</v>
          </tx>
          <spPr>
            <a:ln xmlns:a="http://schemas.openxmlformats.org/drawingml/2006/main">
              <a:prstDash val="solid"/>
            </a:ln>
          </spPr>
          <marker>
            <symbol val="none"/>
            <spPr>
              <a:ln xmlns:a="http://schemas.openxmlformats.org/drawingml/2006/main">
                <a:prstDash val="solid"/>
              </a:ln>
            </spPr>
          </marker>
          <xVal>
            <numRef>
              <f>'SimpleReg'!$B$4:$B$18</f>
            </numRef>
          </xVal>
          <yVal>
            <numRef>
              <f>'SimpleReg'!$H$4:$H$18</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a:pPr>
                <a:r>
                  <a:t>x: specific humidity anomaly [g/kg]</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a:pPr>
                <a:r>
                  <a:t>Tmax anomaly [C]</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Validation: downscaled versus observed Tmax</a:t>
            </a:r>
          </a:p>
        </rich>
      </tx>
    </title>
    <plotArea>
      <scatterChart>
        <ser>
          <idx val="0"/>
          <order val="0"/>
          <tx>
            <v>validation months</v>
          </tx>
          <spPr>
            <a:ln xmlns:a="http://schemas.openxmlformats.org/drawingml/2006/main">
              <a:noFill/>
              <a:prstDash val="solid"/>
            </a:ln>
          </spPr>
          <marker>
            <symbol val="circle"/>
            <spPr>
              <a:ln xmlns:a="http://schemas.openxmlformats.org/drawingml/2006/main">
                <a:prstDash val="solid"/>
              </a:ln>
            </spPr>
          </marker>
          <xVal>
            <numRef>
              <f>'CalVal'!$C$165:$C$284</f>
            </numRef>
          </xVal>
          <yVal>
            <numRef>
              <f>'CalVal'!$D$165:$D$284</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a:pPr>
                <a:r>
                  <a:t>observed [C]</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a:pPr>
                <a:r>
                  <a:t>downscaled [C]</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Rainfall percentiles in validation months [mm]</a:t>
            </a:r>
          </a:p>
        </rich>
      </tx>
    </title>
    <plotArea>
      <barChart>
        <barDir val="col"/>
        <grouping val="clustered"/>
        <ser>
          <idx val="0"/>
          <order val="0"/>
          <tx>
            <v>observed</v>
          </tx>
          <spPr>
            <a:ln xmlns:a="http://schemas.openxmlformats.org/drawingml/2006/main">
              <a:prstDash val="solid"/>
            </a:ln>
          </spPr>
          <cat>
            <numRef>
              <f>'VarInfl'!$L$23:$L$25</f>
            </numRef>
          </cat>
          <val>
            <numRef>
              <f>'VarInfl'!$M$23:$M$25</f>
            </numRef>
          </val>
        </ser>
        <ser>
          <idx val="1"/>
          <order val="1"/>
          <tx>
            <v>deterministic fit</v>
          </tx>
          <spPr>
            <a:ln xmlns:a="http://schemas.openxmlformats.org/drawingml/2006/main">
              <a:prstDash val="solid"/>
            </a:ln>
          </spPr>
          <cat>
            <numRef>
              <f>'VarInfl'!$L$23:$L$25</f>
            </numRef>
          </cat>
          <val>
            <numRef>
              <f>'VarInfl'!$N$23:$N$25</f>
            </numRef>
          </val>
        </ser>
        <ser>
          <idx val="2"/>
          <order val="2"/>
          <tx>
            <v>fit + noise</v>
          </tx>
          <spPr>
            <a:ln xmlns:a="http://schemas.openxmlformats.org/drawingml/2006/main">
              <a:prstDash val="solid"/>
            </a:ln>
          </spPr>
          <cat>
            <numRef>
              <f>'VarInfl'!$L$23:$L$25</f>
            </numRef>
          </cat>
          <val>
            <numRef>
              <f>'VarInfl'!$O$23:$O$25</f>
            </numRef>
          </val>
        </ser>
        <ser>
          <idx val="3"/>
          <order val="3"/>
          <tx>
            <v>variance inflated</v>
          </tx>
          <spPr>
            <a:ln xmlns:a="http://schemas.openxmlformats.org/drawingml/2006/main">
              <a:prstDash val="solid"/>
            </a:ln>
          </spPr>
          <cat>
            <numRef>
              <f>'VarInfl'!$L$23:$L$25</f>
            </numRef>
          </cat>
          <val>
            <numRef>
              <f>'VarInfl'!$P$23:$P$25</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mm</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Lec19</author>
  </authors>
  <commentList>
    <comment ref="C1" authorId="0" shapeId="0">
      <text>
        <t>Sea-level pressure anomaly [hPa], large-scale predictor (synthetic reanalysis)</t>
      </text>
    </comment>
    <comment ref="D1" authorId="0" shapeId="0">
      <text>
        <t>Specific humidity anomaly [g/kg]</t>
      </text>
    </comment>
    <comment ref="E1" authorId="0" shapeId="0">
      <text>
        <t>850 hPa temperature anomaly [deg C]</t>
      </text>
    </comment>
    <comment ref="F1" authorId="0" shapeId="0">
      <text>
        <t>2 m temperature anomaly [deg C]; almost a copy of t850 (collinearity demo)</t>
      </text>
    </comment>
    <comment ref="G1" authorId="0" shapeId="0">
      <text>
        <t>Station Tmax anomaly [deg C], predictand</t>
      </text>
    </comment>
    <comment ref="H1" authorId="0" shapeId="0">
      <text>
        <t>Station monthly rainfall [mm], predictand</t>
      </text>
    </comment>
    <comment ref="I1" authorId="0" shapeId="0">
      <text>
        <t>Fixed standard-normal random numbers (so the sheet does not change on recalculation)</t>
      </text>
    </comment>
    <comment ref="J1" authorId="0" shapeId="0">
      <text>
        <t>cal if year &lt;= M1, else val</t>
      </text>
    </comment>
  </commentList>
</comments>
</file>

<file path=xl/comments/comment2.xml><?xml version="1.0" encoding="utf-8"?>
<comments xmlns="http://schemas.openxmlformats.org/spreadsheetml/2006/main">
  <authors>
    <author>Lec19</author>
  </authors>
  <commentList>
    <comment ref="D3" authorId="0" shapeId="0">
      <text>
        <t>Deviation of x from its mean</t>
      </text>
    </comment>
    <comment ref="F3" authorId="0" shapeId="0">
      <text>
        <t>Product of deviations; its sum is Sxy</t>
      </text>
    </comment>
    <comment ref="H3" authorId="0" shapeId="0">
      <text>
        <t>fitted y = b0 + b1 x</t>
      </text>
    </comment>
  </commentList>
</comments>
</file>

<file path=xl/comments/comment3.xml><?xml version="1.0" encoding="utf-8"?>
<comments xmlns="http://schemas.openxmlformats.org/spreadsheetml/2006/main">
  <authors>
    <author>Lec19</author>
  </authors>
  <commentList>
    <comment ref="K23" authorId="0" shapeId="0">
      <text>
        <t>beta = (X'X)^-1 X'y, derived by setting d SSE / d beta = 0</t>
      </text>
    </comment>
    <comment ref="L23" authorId="0" shapeId="0">
      <text>
        <t>LINEST lists coefficients in REVERSE order (last predictor first); INDEX picks them in the right order</t>
      </text>
    </comment>
    <comment ref="N23" authorId="0" shapeId="0">
      <text>
        <t>SE(beta_j) = sqrt(s_e^2 [(X'X)^-1]_jj)</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0</col>
      <colOff>0</colOff>
      <row>23</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24</row>
      <rowOff>0</rowOff>
    </from>
    <ext cx="46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34</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30" customWidth="1" min="1" max="1"/>
  </cols>
  <sheetData>
    <row r="1" ht="16" customHeight="1">
      <c r="A1" s="1" t="inlineStr">
        <is>
          <t>Lecture 19: regression downscaling, worked examples (CE524 Applied Hydroclimatology, IIT Mandi)</t>
        </is>
      </c>
    </row>
    <row r="2" ht="16" customHeight="1">
      <c r="A2" s="2" t="inlineStr"/>
    </row>
    <row r="3" ht="16" customHeight="1">
      <c r="A3" s="3" t="inlineStr">
        <is>
          <t>Purpose</t>
        </is>
      </c>
    </row>
    <row r="4" ht="32" customHeight="1">
      <c r="A4" s="2" t="inlineStr">
        <is>
          <t>Companion to the notebook lecture-19-regression-downscaling.ipynb. Every number is a live formula, so you can see each step of simple and multiple regression, validation, collinearity and variance inflation.</t>
        </is>
      </c>
    </row>
    <row r="5" ht="16" customHeight="1">
      <c r="A5" s="2" t="inlineStr"/>
    </row>
    <row r="6" ht="16" customHeight="1">
      <c r="A6" s="3" t="inlineStr">
        <is>
          <t>Colour code</t>
        </is>
      </c>
    </row>
    <row r="7" ht="16" customHeight="1">
      <c r="A7" s="2" t="inlineStr">
        <is>
          <t>Blue font = input (data or a choice you may change).  Black font = formula.  Yellow fill = key result.</t>
        </is>
      </c>
    </row>
    <row r="8" ht="16" customHeight="1">
      <c r="A8" s="2" t="inlineStr"/>
    </row>
    <row r="9" ht="16" customHeight="1">
      <c r="A9" s="3" t="inlineStr">
        <is>
          <t>All data are SYNTHETIC</t>
        </is>
      </c>
    </row>
    <row r="10" ht="80" customHeight="1">
      <c r="A10" s="2" t="inlineStr">
        <is>
          <t>The numbers were generated by a small random-number program (see the notebook) to mimic monsoon-season (June-September) monthly values at a station: a large-scale 'reanalysis' predictor set (sea-level pressure, specific humidity, 850 hPa temperature, 2 m temperature) and a local predictand (Tmax anomaly, monthly rainfall). They are not observations. To use real data replace the blue columns, for example station or IMD gridded rainfall and temperature for the predictand and ERA5 or NCEP/NCAR for the predictors; keep the same layout and row counts, or edit the ranges.</t>
        </is>
      </c>
    </row>
    <row r="11" ht="16" customHeight="1">
      <c r="A11" s="2" t="inlineStr"/>
    </row>
    <row r="12" ht="16" customHeight="1">
      <c r="A12" s="3" t="inlineStr">
        <is>
          <t>Sheets</t>
        </is>
      </c>
    </row>
    <row r="13" ht="48" customHeight="1">
      <c r="A13" s="2" t="inlineStr">
        <is>
          <t>Data: the monthly synthetic series (70 years x 4 months = 280 rows). Rows 2-161 (1951-1990) are the calibration period, rows 162-281 (1991-2020) the validation period. The ranges in the other sheets are fixed to these rows; the 'cal'/'val' label in column J only follows cell M1.</t>
        </is>
      </c>
    </row>
    <row r="14" ht="32" customHeight="1">
      <c r="A14" s="2" t="inlineStr">
        <is>
          <t>SimpleReg: simple regression by hand (n = 15): slope = Sxy/Sxx, intercept, R2, standard errors, t-test, F-test, confidence and prediction intervals, with SLOPE, INTERCEPT, RSQ as checks.</t>
        </is>
      </c>
    </row>
    <row r="15" ht="32" customHeight="1">
      <c r="A15" s="2" t="inlineStr">
        <is>
          <t>MultiReg: multiple regression on the calibration months. beta = (X'X)^-1 X'y with MMULT and MINVERSE, compared with LINEST; R2, adjusted R2, F, t-tests.</t>
        </is>
      </c>
    </row>
    <row r="16" ht="32" customHeight="1">
      <c r="A16" s="2" t="inlineStr">
        <is>
          <t>Collinearity: variance inflation factors from the inverse correlation matrix, and coefficient instability when two predictors are almost the same variable.</t>
        </is>
      </c>
    </row>
    <row r="17" ht="32" customHeight="1">
      <c r="A17" s="2" t="inlineStr">
        <is>
          <t>CalVal: calibrate on 1951-1990, validate on 1991-2020, with bias, RMSE, correlation, R2 and the ratio of standard deviations; standardised coefficients.</t>
        </is>
      </c>
    </row>
    <row r="18" ht="32" customHeight="1">
      <c r="A18" s="2" t="inlineStr">
        <is>
          <t>VarInfl: variance decomposition Var(y) = R2 Var(y) + residual variance, and the effect on rainfall percentiles of the deterministic fit, of adding fixed random noise, and of variance inflation.</t>
        </is>
      </c>
    </row>
    <row r="19" ht="16" customHeight="1">
      <c r="A19" s="2" t="inlineStr"/>
    </row>
    <row r="20" ht="16" customHeight="1">
      <c r="A20" s="3" t="inlineStr">
        <is>
          <t>How to use</t>
        </is>
      </c>
    </row>
    <row r="21" ht="48" customHeight="1">
      <c r="A21" s="2" t="inlineStr">
        <is>
          <t>Read the sheets in the order above. Header cells carry notes explaining the formulas. Change a blue cell (for example x0 or alpha on SimpleReg) and watch the results update. The random numbers in Data column I are fixed values, so results do not change on recalculation.</t>
        </is>
      </c>
    </row>
    <row r="22" ht="16" customHeight="1">
      <c r="A22" s="2" t="inlineStr"/>
    </row>
    <row r="23" ht="16" customHeight="1">
      <c r="A23" s="3" t="inlineStr">
        <is>
          <t>Compatibility</t>
        </is>
      </c>
    </row>
    <row r="24" ht="64" customHeight="1">
      <c r="A24" s="2" t="inlineStr">
        <is>
          <t>Only widely supported functions are used (AVERAGE, STDEV.S, SLOPE, INTERCEPT, RSQ, CORREL, LINEST, MMULT, MINVERSE, TRANSPOSE, SUMPRODUCT, T.INV.2T, T.DIST.2T, F.DIST.RT, PERCENTILE.INC, PERCENTRANK.INC, AVERAGEIFS, COUNTIF, LN, EXP). Matrix blocks are legacy array formulas (shown in braces in Excel) and work in Excel and Google Sheets. Values appear once the file is opened and calculated in Excel or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0" customWidth="1" min="3" max="3"/>
    <col width="10" customWidth="1" min="4" max="4"/>
    <col width="10" customWidth="1" min="5" max="5"/>
    <col width="10" customWidth="1" min="6" max="6"/>
    <col width="10" customWidth="1" min="7" max="7"/>
    <col width="10" customWidth="1" min="8" max="8"/>
    <col width="10" customWidth="1" min="9" max="9"/>
    <col width="8" customWidth="1" min="10" max="10"/>
    <col width="24" customWidth="1" min="12" max="12"/>
    <col width="8" customWidth="1" min="13" max="13"/>
  </cols>
  <sheetData>
    <row r="1">
      <c r="A1" s="4" t="inlineStr">
        <is>
          <t>year</t>
        </is>
      </c>
      <c r="B1" s="4" t="inlineStr">
        <is>
          <t>month (JJAS)</t>
        </is>
      </c>
      <c r="C1" s="4" t="inlineStr">
        <is>
          <t>slp_hPa</t>
        </is>
      </c>
      <c r="D1" s="4" t="inlineStr">
        <is>
          <t>q_gkg</t>
        </is>
      </c>
      <c r="E1" s="4" t="inlineStr">
        <is>
          <t>t850_C</t>
        </is>
      </c>
      <c r="F1" s="4" t="inlineStr">
        <is>
          <t>t2m_C</t>
        </is>
      </c>
      <c r="G1" s="4" t="inlineStr">
        <is>
          <t>tmax_C</t>
        </is>
      </c>
      <c r="H1" s="4" t="inlineStr">
        <is>
          <t>rain_mm</t>
        </is>
      </c>
      <c r="I1" s="4" t="inlineStr">
        <is>
          <t>z_noise</t>
        </is>
      </c>
      <c r="J1" s="4" t="inlineStr">
        <is>
          <t>period</t>
        </is>
      </c>
      <c r="L1" t="inlineStr">
        <is>
          <t>Calibration ends (year)</t>
        </is>
      </c>
      <c r="M1" s="5" t="n">
        <v>1990</v>
      </c>
    </row>
    <row r="2">
      <c r="A2" s="5" t="n">
        <v>1951</v>
      </c>
      <c r="B2" s="5" t="n">
        <v>6</v>
      </c>
      <c r="C2" s="6" t="n">
        <v>0.416</v>
      </c>
      <c r="D2" s="6" t="n">
        <v>-0.445</v>
      </c>
      <c r="E2" s="6" t="n">
        <v>-0.5590000000000001</v>
      </c>
      <c r="F2" s="6" t="n">
        <v>-0.342</v>
      </c>
      <c r="G2" s="6" t="n">
        <v>-1.22</v>
      </c>
      <c r="H2" s="7" t="n">
        <v>74.40000000000001</v>
      </c>
      <c r="I2" s="6" t="n">
        <v>-0.803</v>
      </c>
      <c r="J2">
        <f>IF(A2&lt;=$M$1,"cal","val")</f>
        <v/>
      </c>
      <c r="L2" t="inlineStr">
        <is>
          <t>n calibration rows</t>
        </is>
      </c>
      <c r="M2">
        <f>COUNTIF(J2:J281,"cal")</f>
        <v/>
      </c>
    </row>
    <row r="3">
      <c r="A3" s="5" t="n">
        <v>1951</v>
      </c>
      <c r="B3" s="5" t="n">
        <v>7</v>
      </c>
      <c r="C3" s="6" t="n">
        <v>-0.752</v>
      </c>
      <c r="D3" s="6" t="n">
        <v>0.805</v>
      </c>
      <c r="E3" s="6" t="n">
        <v>-0.131</v>
      </c>
      <c r="F3" s="6" t="n">
        <v>-0.486</v>
      </c>
      <c r="G3" s="6" t="n">
        <v>0.89</v>
      </c>
      <c r="H3" s="7" t="n">
        <v>46.7</v>
      </c>
      <c r="I3" s="6" t="n">
        <v>0.243</v>
      </c>
      <c r="J3">
        <f>IF(A3&lt;=$M$1,"cal","val")</f>
        <v/>
      </c>
      <c r="L3" t="inlineStr">
        <is>
          <t>n validation rows</t>
        </is>
      </c>
      <c r="M3">
        <f>COUNTIF(J2:J281,"val")</f>
        <v/>
      </c>
    </row>
    <row r="4">
      <c r="A4" s="5" t="n">
        <v>1951</v>
      </c>
      <c r="B4" s="5" t="n">
        <v>8</v>
      </c>
      <c r="C4" s="6" t="n">
        <v>1.047</v>
      </c>
      <c r="D4" s="6" t="n">
        <v>-0.84</v>
      </c>
      <c r="E4" s="6" t="n">
        <v>-1.851</v>
      </c>
      <c r="F4" s="6" t="n">
        <v>-2.031</v>
      </c>
      <c r="G4" s="6" t="n">
        <v>-2.953</v>
      </c>
      <c r="H4" s="7" t="n">
        <v>70.5</v>
      </c>
      <c r="I4" s="6" t="n">
        <v>-1.656</v>
      </c>
      <c r="J4">
        <f>IF(A4&lt;=$M$1,"cal","val")</f>
        <v/>
      </c>
      <c r="L4" t="inlineStr">
        <is>
          <t>Other sheets use rows 2-161 (cal) and 162-281 (val); M2 should read 160.</t>
        </is>
      </c>
    </row>
    <row r="5">
      <c r="A5" s="5" t="n">
        <v>1951</v>
      </c>
      <c r="B5" s="5" t="n">
        <v>9</v>
      </c>
      <c r="C5" s="6" t="n">
        <v>-0.8149999999999999</v>
      </c>
      <c r="D5" s="6" t="n">
        <v>-0.404</v>
      </c>
      <c r="E5" s="6" t="n">
        <v>-0.707</v>
      </c>
      <c r="F5" s="6" t="n">
        <v>-0.954</v>
      </c>
      <c r="G5" s="6" t="n">
        <v>0.517</v>
      </c>
      <c r="H5" s="7" t="n">
        <v>39</v>
      </c>
      <c r="I5" s="6" t="n">
        <v>0.656</v>
      </c>
      <c r="J5">
        <f>IF(A5&lt;=$M$1,"cal","val")</f>
        <v/>
      </c>
    </row>
    <row r="6">
      <c r="A6" s="5" t="n">
        <v>1952</v>
      </c>
      <c r="B6" s="5" t="n">
        <v>6</v>
      </c>
      <c r="C6" s="6" t="n">
        <v>2.222</v>
      </c>
      <c r="D6" s="6" t="n">
        <v>0.496</v>
      </c>
      <c r="E6" s="6" t="n">
        <v>0.272</v>
      </c>
      <c r="F6" s="6" t="n">
        <v>0.623</v>
      </c>
      <c r="G6" s="6" t="n">
        <v>-0.376</v>
      </c>
      <c r="H6" s="7" t="n">
        <v>45.6</v>
      </c>
      <c r="I6" s="6" t="n">
        <v>1.143</v>
      </c>
      <c r="J6">
        <f>IF(A6&lt;=$M$1,"cal","val")</f>
        <v/>
      </c>
    </row>
    <row r="7">
      <c r="A7" s="5" t="n">
        <v>1952</v>
      </c>
      <c r="B7" s="5" t="n">
        <v>7</v>
      </c>
      <c r="C7" s="6" t="n">
        <v>1.671</v>
      </c>
      <c r="D7" s="6" t="n">
        <v>0.404</v>
      </c>
      <c r="E7" s="6" t="n">
        <v>2.493</v>
      </c>
      <c r="F7" s="6" t="n">
        <v>2.123</v>
      </c>
      <c r="G7" s="6" t="n">
        <v>1.677</v>
      </c>
      <c r="H7" s="7" t="n">
        <v>25.6</v>
      </c>
      <c r="I7" s="6" t="n">
        <v>-0.453</v>
      </c>
      <c r="J7">
        <f>IF(A7&lt;=$M$1,"cal","val")</f>
        <v/>
      </c>
    </row>
    <row r="8">
      <c r="A8" s="5" t="n">
        <v>1952</v>
      </c>
      <c r="B8" s="5" t="n">
        <v>8</v>
      </c>
      <c r="C8" s="6" t="n">
        <v>0.409</v>
      </c>
      <c r="D8" s="6" t="n">
        <v>0.642</v>
      </c>
      <c r="E8" s="6" t="n">
        <v>1.022</v>
      </c>
      <c r="F8" s="6" t="n">
        <v>0.976</v>
      </c>
      <c r="G8" s="6" t="n">
        <v>0.769</v>
      </c>
      <c r="H8" s="7" t="n">
        <v>55.3</v>
      </c>
      <c r="I8" s="6" t="n">
        <v>0.43</v>
      </c>
      <c r="J8">
        <f>IF(A8&lt;=$M$1,"cal","val")</f>
        <v/>
      </c>
    </row>
    <row r="9">
      <c r="A9" s="5" t="n">
        <v>1952</v>
      </c>
      <c r="B9" s="5" t="n">
        <v>9</v>
      </c>
      <c r="C9" s="6" t="n">
        <v>0.061</v>
      </c>
      <c r="D9" s="6" t="n">
        <v>0.6870000000000001</v>
      </c>
      <c r="E9" s="6" t="n">
        <v>-0.328</v>
      </c>
      <c r="F9" s="6" t="n">
        <v>-0.332</v>
      </c>
      <c r="G9" s="6" t="n">
        <v>-0.179</v>
      </c>
      <c r="H9" s="7" t="n">
        <v>50</v>
      </c>
      <c r="I9" s="6" t="n">
        <v>0.251</v>
      </c>
      <c r="J9">
        <f>IF(A9&lt;=$M$1,"cal","val")</f>
        <v/>
      </c>
    </row>
    <row r="10">
      <c r="A10" s="5" t="n">
        <v>1953</v>
      </c>
      <c r="B10" s="5" t="n">
        <v>6</v>
      </c>
      <c r="C10" s="6" t="n">
        <v>-0.89</v>
      </c>
      <c r="D10" s="6" t="n">
        <v>0.539</v>
      </c>
      <c r="E10" s="6" t="n">
        <v>0.8120000000000001</v>
      </c>
      <c r="F10" s="6" t="n">
        <v>0.787</v>
      </c>
      <c r="G10" s="6" t="n">
        <v>-0.573</v>
      </c>
      <c r="H10" s="7" t="n">
        <v>103.5</v>
      </c>
      <c r="I10" s="6" t="n">
        <v>-0.394</v>
      </c>
      <c r="J10">
        <f>IF(A10&lt;=$M$1,"cal","val")</f>
        <v/>
      </c>
    </row>
    <row r="11">
      <c r="A11" s="5" t="n">
        <v>1953</v>
      </c>
      <c r="B11" s="5" t="n">
        <v>7</v>
      </c>
      <c r="C11" s="6" t="n">
        <v>0.139</v>
      </c>
      <c r="D11" s="6" t="n">
        <v>0.719</v>
      </c>
      <c r="E11" s="6" t="n">
        <v>0.454</v>
      </c>
      <c r="F11" s="6" t="n">
        <v>0.291</v>
      </c>
      <c r="G11" s="6" t="n">
        <v>0.791</v>
      </c>
      <c r="H11" s="7" t="n">
        <v>43.5</v>
      </c>
      <c r="I11" s="6" t="n">
        <v>-0.862</v>
      </c>
      <c r="J11">
        <f>IF(A11&lt;=$M$1,"cal","val")</f>
        <v/>
      </c>
    </row>
    <row r="12">
      <c r="A12" s="5" t="n">
        <v>1953</v>
      </c>
      <c r="B12" s="5" t="n">
        <v>8</v>
      </c>
      <c r="C12" s="6" t="n">
        <v>2.294</v>
      </c>
      <c r="D12" s="6" t="n">
        <v>-0.544</v>
      </c>
      <c r="E12" s="6" t="n">
        <v>-0.569</v>
      </c>
      <c r="F12" s="6" t="n">
        <v>-0.472</v>
      </c>
      <c r="G12" s="6" t="n">
        <v>-0.117</v>
      </c>
      <c r="H12" s="7" t="n">
        <v>22.2</v>
      </c>
      <c r="I12" s="6" t="n">
        <v>-2.033</v>
      </c>
      <c r="J12">
        <f>IF(A12&lt;=$M$1,"cal","val")</f>
        <v/>
      </c>
    </row>
    <row r="13">
      <c r="A13" s="5" t="n">
        <v>1953</v>
      </c>
      <c r="B13" s="5" t="n">
        <v>9</v>
      </c>
      <c r="C13" s="6" t="n">
        <v>0.449</v>
      </c>
      <c r="D13" s="6" t="n">
        <v>0.043</v>
      </c>
      <c r="E13" s="6" t="n">
        <v>-0.331</v>
      </c>
      <c r="F13" s="6" t="n">
        <v>-0.399</v>
      </c>
      <c r="G13" s="6" t="n">
        <v>-0.049</v>
      </c>
      <c r="H13" s="7" t="n">
        <v>51.1</v>
      </c>
      <c r="I13" s="6" t="n">
        <v>1.41</v>
      </c>
      <c r="J13">
        <f>IF(A13&lt;=$M$1,"cal","val")</f>
        <v/>
      </c>
    </row>
    <row r="14">
      <c r="A14" s="5" t="n">
        <v>1954</v>
      </c>
      <c r="B14" s="5" t="n">
        <v>6</v>
      </c>
      <c r="C14" s="6" t="n">
        <v>0.354</v>
      </c>
      <c r="D14" s="6" t="n">
        <v>0.019</v>
      </c>
      <c r="E14" s="6" t="n">
        <v>-0.87</v>
      </c>
      <c r="F14" s="6" t="n">
        <v>-0.884</v>
      </c>
      <c r="G14" s="6" t="n">
        <v>0.075</v>
      </c>
      <c r="H14" s="7" t="n">
        <v>63.6</v>
      </c>
      <c r="I14" s="6" t="n">
        <v>-0.048</v>
      </c>
      <c r="J14">
        <f>IF(A14&lt;=$M$1,"cal","val")</f>
        <v/>
      </c>
    </row>
    <row r="15">
      <c r="A15" s="5" t="n">
        <v>1954</v>
      </c>
      <c r="B15" s="5" t="n">
        <v>7</v>
      </c>
      <c r="C15" s="6" t="n">
        <v>0.6899999999999999</v>
      </c>
      <c r="D15" s="6" t="n">
        <v>0.166</v>
      </c>
      <c r="E15" s="6" t="n">
        <v>2.313</v>
      </c>
      <c r="F15" s="6" t="n">
        <v>2.152</v>
      </c>
      <c r="G15" s="6" t="n">
        <v>1.284</v>
      </c>
      <c r="H15" s="7" t="n">
        <v>49.7</v>
      </c>
      <c r="I15" s="6" t="n">
        <v>2.522</v>
      </c>
      <c r="J15">
        <f>IF(A15&lt;=$M$1,"cal","val")</f>
        <v/>
      </c>
    </row>
    <row r="16">
      <c r="A16" s="5" t="n">
        <v>1954</v>
      </c>
      <c r="B16" s="5" t="n">
        <v>8</v>
      </c>
      <c r="C16" s="6" t="n">
        <v>-0.415</v>
      </c>
      <c r="D16" s="6" t="n">
        <v>-0.228</v>
      </c>
      <c r="E16" s="6" t="n">
        <v>-0.705</v>
      </c>
      <c r="F16" s="6" t="n">
        <v>-0.352</v>
      </c>
      <c r="G16" s="6" t="n">
        <v>-1.988</v>
      </c>
      <c r="H16" s="7" t="n">
        <v>175.3</v>
      </c>
      <c r="I16" s="6" t="n">
        <v>0.826</v>
      </c>
      <c r="J16">
        <f>IF(A16&lt;=$M$1,"cal","val")</f>
        <v/>
      </c>
    </row>
    <row r="17">
      <c r="A17" s="5" t="n">
        <v>1954</v>
      </c>
      <c r="B17" s="5" t="n">
        <v>9</v>
      </c>
      <c r="C17" s="6" t="n">
        <v>0.219</v>
      </c>
      <c r="D17" s="6" t="n">
        <v>1.238</v>
      </c>
      <c r="E17" s="6" t="n">
        <v>2.065</v>
      </c>
      <c r="F17" s="6" t="n">
        <v>1.738</v>
      </c>
      <c r="G17" s="6" t="n">
        <v>1.939</v>
      </c>
      <c r="H17" s="7" t="n">
        <v>114.5</v>
      </c>
      <c r="I17" s="6" t="n">
        <v>0.278</v>
      </c>
      <c r="J17">
        <f>IF(A17&lt;=$M$1,"cal","val")</f>
        <v/>
      </c>
    </row>
    <row r="18">
      <c r="A18" s="5" t="n">
        <v>1955</v>
      </c>
      <c r="B18" s="5" t="n">
        <v>6</v>
      </c>
      <c r="C18" s="6" t="n">
        <v>-0.656</v>
      </c>
      <c r="D18" s="6" t="n">
        <v>0.388</v>
      </c>
      <c r="E18" s="6" t="n">
        <v>-0.724</v>
      </c>
      <c r="F18" s="6" t="n">
        <v>-0.624</v>
      </c>
      <c r="G18" s="6" t="n">
        <v>-0.028</v>
      </c>
      <c r="H18" s="7" t="n">
        <v>36</v>
      </c>
      <c r="I18" s="6" t="n">
        <v>-0.657</v>
      </c>
      <c r="J18">
        <f>IF(A18&lt;=$M$1,"cal","val")</f>
        <v/>
      </c>
    </row>
    <row r="19">
      <c r="A19" s="5" t="n">
        <v>1955</v>
      </c>
      <c r="B19" s="5" t="n">
        <v>7</v>
      </c>
      <c r="C19" s="6" t="n">
        <v>-3.594</v>
      </c>
      <c r="D19" s="6" t="n">
        <v>0.194</v>
      </c>
      <c r="E19" s="6" t="n">
        <v>-0.335</v>
      </c>
      <c r="F19" s="6" t="n">
        <v>-0.228</v>
      </c>
      <c r="G19" s="6" t="n">
        <v>0.572</v>
      </c>
      <c r="H19" s="7" t="n">
        <v>81.8</v>
      </c>
      <c r="I19" s="6" t="n">
        <v>1.392</v>
      </c>
      <c r="J19">
        <f>IF(A19&lt;=$M$1,"cal","val")</f>
        <v/>
      </c>
    </row>
    <row r="20">
      <c r="A20" s="5" t="n">
        <v>1955</v>
      </c>
      <c r="B20" s="5" t="n">
        <v>8</v>
      </c>
      <c r="C20" s="6" t="n">
        <v>0.712</v>
      </c>
      <c r="D20" s="6" t="n">
        <v>0.997</v>
      </c>
      <c r="E20" s="6" t="n">
        <v>0.326</v>
      </c>
      <c r="F20" s="6" t="n">
        <v>0.8120000000000001</v>
      </c>
      <c r="G20" s="6" t="n">
        <v>1.605</v>
      </c>
      <c r="H20" s="7" t="n">
        <v>210.6</v>
      </c>
      <c r="I20" s="6" t="n">
        <v>-0.506</v>
      </c>
      <c r="J20">
        <f>IF(A20&lt;=$M$1,"cal","val")</f>
        <v/>
      </c>
    </row>
    <row r="21">
      <c r="A21" s="5" t="n">
        <v>1955</v>
      </c>
      <c r="B21" s="5" t="n">
        <v>9</v>
      </c>
      <c r="C21" s="6" t="n">
        <v>-2.513</v>
      </c>
      <c r="D21" s="6" t="n">
        <v>-0.389</v>
      </c>
      <c r="E21" s="6" t="n">
        <v>-3.519</v>
      </c>
      <c r="F21" s="6" t="n">
        <v>-3.344</v>
      </c>
      <c r="G21" s="6" t="n">
        <v>-2.454</v>
      </c>
      <c r="H21" s="7" t="n">
        <v>41.2</v>
      </c>
      <c r="I21" s="6" t="n">
        <v>1.57</v>
      </c>
      <c r="J21">
        <f>IF(A21&lt;=$M$1,"cal","val")</f>
        <v/>
      </c>
    </row>
    <row r="22">
      <c r="A22" s="5" t="n">
        <v>1956</v>
      </c>
      <c r="B22" s="5" t="n">
        <v>6</v>
      </c>
      <c r="C22" s="6" t="n">
        <v>-1.124</v>
      </c>
      <c r="D22" s="6" t="n">
        <v>-0.185</v>
      </c>
      <c r="E22" s="6" t="n">
        <v>0.763</v>
      </c>
      <c r="F22" s="6" t="n">
        <v>0.315</v>
      </c>
      <c r="G22" s="6" t="n">
        <v>-0.671</v>
      </c>
      <c r="H22" s="7" t="n">
        <v>39.5</v>
      </c>
      <c r="I22" s="6" t="n">
        <v>-0.398</v>
      </c>
      <c r="J22">
        <f>IF(A22&lt;=$M$1,"cal","val")</f>
        <v/>
      </c>
    </row>
    <row r="23">
      <c r="A23" s="5" t="n">
        <v>1956</v>
      </c>
      <c r="B23" s="5" t="n">
        <v>7</v>
      </c>
      <c r="C23" s="6" t="n">
        <v>-1.421</v>
      </c>
      <c r="D23" s="6" t="n">
        <v>-0.948</v>
      </c>
      <c r="E23" s="6" t="n">
        <v>-0.8</v>
      </c>
      <c r="F23" s="6" t="n">
        <v>-0.596</v>
      </c>
      <c r="G23" s="6" t="n">
        <v>-0.64</v>
      </c>
      <c r="H23" s="7" t="n">
        <v>12.1</v>
      </c>
      <c r="I23" s="6" t="n">
        <v>0.186</v>
      </c>
      <c r="J23">
        <f>IF(A23&lt;=$M$1,"cal","val")</f>
        <v/>
      </c>
    </row>
    <row r="24">
      <c r="A24" s="5" t="n">
        <v>1956</v>
      </c>
      <c r="B24" s="5" t="n">
        <v>8</v>
      </c>
      <c r="C24" s="6" t="n">
        <v>-0.638</v>
      </c>
      <c r="D24" s="6" t="n">
        <v>1.677</v>
      </c>
      <c r="E24" s="6" t="n">
        <v>0.412</v>
      </c>
      <c r="F24" s="6" t="n">
        <v>0.23</v>
      </c>
      <c r="G24" s="6" t="n">
        <v>-1.339</v>
      </c>
      <c r="H24" s="7" t="n">
        <v>39.2</v>
      </c>
      <c r="I24" s="6" t="n">
        <v>-1.523</v>
      </c>
      <c r="J24">
        <f>IF(A24&lt;=$M$1,"cal","val")</f>
        <v/>
      </c>
    </row>
    <row r="25">
      <c r="A25" s="5" t="n">
        <v>1956</v>
      </c>
      <c r="B25" s="5" t="n">
        <v>9</v>
      </c>
      <c r="C25" s="6" t="n">
        <v>0.162</v>
      </c>
      <c r="D25" s="6" t="n">
        <v>0.264</v>
      </c>
      <c r="E25" s="6" t="n">
        <v>0.101</v>
      </c>
      <c r="F25" s="6" t="n">
        <v>-0.243</v>
      </c>
      <c r="G25" s="6" t="n">
        <v>-0.582</v>
      </c>
      <c r="H25" s="7" t="n">
        <v>116.7</v>
      </c>
      <c r="I25" s="6" t="n">
        <v>2.343</v>
      </c>
      <c r="J25">
        <f>IF(A25&lt;=$M$1,"cal","val")</f>
        <v/>
      </c>
    </row>
    <row r="26">
      <c r="A26" s="5" t="n">
        <v>1957</v>
      </c>
      <c r="B26" s="5" t="n">
        <v>6</v>
      </c>
      <c r="C26" s="6" t="n">
        <v>0.903</v>
      </c>
      <c r="D26" s="6" t="n">
        <v>-0</v>
      </c>
      <c r="E26" s="6" t="n">
        <v>-0.235</v>
      </c>
      <c r="F26" s="6" t="n">
        <v>-0.178</v>
      </c>
      <c r="G26" s="6" t="n">
        <v>-0.006</v>
      </c>
      <c r="H26" s="7" t="n">
        <v>45.2</v>
      </c>
      <c r="I26" s="6" t="n">
        <v>-0.094</v>
      </c>
      <c r="J26">
        <f>IF(A26&lt;=$M$1,"cal","val")</f>
        <v/>
      </c>
    </row>
    <row r="27">
      <c r="A27" s="5" t="n">
        <v>1957</v>
      </c>
      <c r="B27" s="5" t="n">
        <v>7</v>
      </c>
      <c r="C27" s="6" t="n">
        <v>0.5659999999999999</v>
      </c>
      <c r="D27" s="6" t="n">
        <v>-0.799</v>
      </c>
      <c r="E27" s="6" t="n">
        <v>-1.863</v>
      </c>
      <c r="F27" s="6" t="n">
        <v>-1.649</v>
      </c>
      <c r="G27" s="6" t="n">
        <v>-1.946</v>
      </c>
      <c r="H27" s="7" t="n">
        <v>71.2</v>
      </c>
      <c r="I27" s="6" t="n">
        <v>-0.385</v>
      </c>
      <c r="J27">
        <f>IF(A27&lt;=$M$1,"cal","val")</f>
        <v/>
      </c>
    </row>
    <row r="28">
      <c r="A28" s="5" t="n">
        <v>1957</v>
      </c>
      <c r="B28" s="5" t="n">
        <v>8</v>
      </c>
      <c r="C28" s="6" t="n">
        <v>3.873</v>
      </c>
      <c r="D28" s="6" t="n">
        <v>-0.5580000000000001</v>
      </c>
      <c r="E28" s="6" t="n">
        <v>0.159</v>
      </c>
      <c r="F28" s="6" t="n">
        <v>0.334</v>
      </c>
      <c r="G28" s="6" t="n">
        <v>1.496</v>
      </c>
      <c r="H28" s="7" t="n">
        <v>16.8</v>
      </c>
      <c r="I28" s="6" t="n">
        <v>0.8110000000000001</v>
      </c>
      <c r="J28">
        <f>IF(A28&lt;=$M$1,"cal","val")</f>
        <v/>
      </c>
    </row>
    <row r="29">
      <c r="A29" s="5" t="n">
        <v>1957</v>
      </c>
      <c r="B29" s="5" t="n">
        <v>9</v>
      </c>
      <c r="C29" s="6" t="n">
        <v>-1.572</v>
      </c>
      <c r="D29" s="6" t="n">
        <v>0.225</v>
      </c>
      <c r="E29" s="6" t="n">
        <v>-0.518</v>
      </c>
      <c r="F29" s="6" t="n">
        <v>-0.573</v>
      </c>
      <c r="G29" s="6" t="n">
        <v>1.421</v>
      </c>
      <c r="H29" s="7" t="n">
        <v>92.59999999999999</v>
      </c>
      <c r="I29" s="6" t="n">
        <v>-0.891</v>
      </c>
      <c r="J29">
        <f>IF(A29&lt;=$M$1,"cal","val")</f>
        <v/>
      </c>
    </row>
    <row r="30">
      <c r="A30" s="5" t="n">
        <v>1958</v>
      </c>
      <c r="B30" s="5" t="n">
        <v>6</v>
      </c>
      <c r="C30" s="6" t="n">
        <v>-2.885</v>
      </c>
      <c r="D30" s="6" t="n">
        <v>1.083</v>
      </c>
      <c r="E30" s="6" t="n">
        <v>0.345</v>
      </c>
      <c r="F30" s="6" t="n">
        <v>0.783</v>
      </c>
      <c r="G30" s="6" t="n">
        <v>0.377</v>
      </c>
      <c r="H30" s="7" t="n">
        <v>251.5</v>
      </c>
      <c r="I30" s="6" t="n">
        <v>0.768</v>
      </c>
      <c r="J30">
        <f>IF(A30&lt;=$M$1,"cal","val")</f>
        <v/>
      </c>
    </row>
    <row r="31">
      <c r="A31" s="5" t="n">
        <v>1958</v>
      </c>
      <c r="B31" s="5" t="n">
        <v>7</v>
      </c>
      <c r="C31" s="6" t="n">
        <v>2.661</v>
      </c>
      <c r="D31" s="6" t="n">
        <v>-2.173</v>
      </c>
      <c r="E31" s="6" t="n">
        <v>-0.537</v>
      </c>
      <c r="F31" s="6" t="n">
        <v>0.065</v>
      </c>
      <c r="G31" s="6" t="n">
        <v>-3.3</v>
      </c>
      <c r="H31" s="7" t="n">
        <v>24.7</v>
      </c>
      <c r="I31" s="6" t="n">
        <v>-1.171</v>
      </c>
      <c r="J31">
        <f>IF(A31&lt;=$M$1,"cal","val")</f>
        <v/>
      </c>
    </row>
    <row r="32">
      <c r="A32" s="5" t="n">
        <v>1958</v>
      </c>
      <c r="B32" s="5" t="n">
        <v>8</v>
      </c>
      <c r="C32" s="6" t="n">
        <v>-1.663</v>
      </c>
      <c r="D32" s="6" t="n">
        <v>1.442</v>
      </c>
      <c r="E32" s="6" t="n">
        <v>2.066</v>
      </c>
      <c r="F32" s="6" t="n">
        <v>1.696</v>
      </c>
      <c r="G32" s="6" t="n">
        <v>3.108</v>
      </c>
      <c r="H32" s="7" t="n">
        <v>10.2</v>
      </c>
      <c r="I32" s="6" t="n">
        <v>0.545</v>
      </c>
      <c r="J32">
        <f>IF(A32&lt;=$M$1,"cal","val")</f>
        <v/>
      </c>
    </row>
    <row r="33">
      <c r="A33" s="5" t="n">
        <v>1958</v>
      </c>
      <c r="B33" s="5" t="n">
        <v>9</v>
      </c>
      <c r="C33" s="6" t="n">
        <v>2.97</v>
      </c>
      <c r="D33" s="6" t="n">
        <v>-0.179</v>
      </c>
      <c r="E33" s="6" t="n">
        <v>1.228</v>
      </c>
      <c r="F33" s="6" t="n">
        <v>1.474</v>
      </c>
      <c r="G33" s="6" t="n">
        <v>2.124</v>
      </c>
      <c r="H33" s="7" t="n">
        <v>40.2</v>
      </c>
      <c r="I33" s="6" t="n">
        <v>-1.044</v>
      </c>
      <c r="J33">
        <f>IF(A33&lt;=$M$1,"cal","val")</f>
        <v/>
      </c>
    </row>
    <row r="34">
      <c r="A34" s="5" t="n">
        <v>1959</v>
      </c>
      <c r="B34" s="5" t="n">
        <v>6</v>
      </c>
      <c r="C34" s="6" t="n">
        <v>-1.718</v>
      </c>
      <c r="D34" s="6" t="n">
        <v>0.878</v>
      </c>
      <c r="E34" s="6" t="n">
        <v>0.128</v>
      </c>
      <c r="F34" s="6" t="n">
        <v>0.468</v>
      </c>
      <c r="G34" s="6" t="n">
        <v>1.167</v>
      </c>
      <c r="H34" s="7" t="n">
        <v>57.4</v>
      </c>
      <c r="I34" s="6" t="n">
        <v>-1.837</v>
      </c>
      <c r="J34">
        <f>IF(A34&lt;=$M$1,"cal","val")</f>
        <v/>
      </c>
    </row>
    <row r="35">
      <c r="A35" s="5" t="n">
        <v>1959</v>
      </c>
      <c r="B35" s="5" t="n">
        <v>7</v>
      </c>
      <c r="C35" s="6" t="n">
        <v>1.965</v>
      </c>
      <c r="D35" s="6" t="n">
        <v>-0.5639999999999999</v>
      </c>
      <c r="E35" s="6" t="n">
        <v>-1.801</v>
      </c>
      <c r="F35" s="6" t="n">
        <v>-1.706</v>
      </c>
      <c r="G35" s="6" t="n">
        <v>-1.81</v>
      </c>
      <c r="H35" s="7" t="n">
        <v>29.7</v>
      </c>
      <c r="I35" s="6" t="n">
        <v>-0.594</v>
      </c>
      <c r="J35">
        <f>IF(A35&lt;=$M$1,"cal","val")</f>
        <v/>
      </c>
    </row>
    <row r="36">
      <c r="A36" s="5" t="n">
        <v>1959</v>
      </c>
      <c r="B36" s="5" t="n">
        <v>8</v>
      </c>
      <c r="C36" s="6" t="n">
        <v>0.703</v>
      </c>
      <c r="D36" s="6" t="n">
        <v>-1.694</v>
      </c>
      <c r="E36" s="6" t="n">
        <v>-1.124</v>
      </c>
      <c r="F36" s="6" t="n">
        <v>-1.349</v>
      </c>
      <c r="G36" s="6" t="n">
        <v>-1.776</v>
      </c>
      <c r="H36" s="7" t="n">
        <v>43.4</v>
      </c>
      <c r="I36" s="6" t="n">
        <v>-1.464</v>
      </c>
      <c r="J36">
        <f>IF(A36&lt;=$M$1,"cal","val")</f>
        <v/>
      </c>
    </row>
    <row r="37">
      <c r="A37" s="5" t="n">
        <v>1959</v>
      </c>
      <c r="B37" s="5" t="n">
        <v>9</v>
      </c>
      <c r="C37" s="6" t="n">
        <v>-2.465</v>
      </c>
      <c r="D37" s="6" t="n">
        <v>-0.304</v>
      </c>
      <c r="E37" s="6" t="n">
        <v>-0.37</v>
      </c>
      <c r="F37" s="6" t="n">
        <v>-0.275</v>
      </c>
      <c r="G37" s="6" t="n">
        <v>-2.41</v>
      </c>
      <c r="H37" s="7" t="n">
        <v>62.6</v>
      </c>
      <c r="I37" s="6" t="n">
        <v>0.553</v>
      </c>
      <c r="J37">
        <f>IF(A37&lt;=$M$1,"cal","val")</f>
        <v/>
      </c>
    </row>
    <row r="38">
      <c r="A38" s="5" t="n">
        <v>1960</v>
      </c>
      <c r="B38" s="5" t="n">
        <v>6</v>
      </c>
      <c r="C38" s="6" t="n">
        <v>0.423</v>
      </c>
      <c r="D38" s="6" t="n">
        <v>0.163</v>
      </c>
      <c r="E38" s="6" t="n">
        <v>0.505</v>
      </c>
      <c r="F38" s="6" t="n">
        <v>0.663</v>
      </c>
      <c r="G38" s="6" t="n">
        <v>0.109</v>
      </c>
      <c r="H38" s="7" t="n">
        <v>79.7</v>
      </c>
      <c r="I38" s="6" t="n">
        <v>0.022</v>
      </c>
      <c r="J38">
        <f>IF(A38&lt;=$M$1,"cal","val")</f>
        <v/>
      </c>
    </row>
    <row r="39">
      <c r="A39" s="5" t="n">
        <v>1960</v>
      </c>
      <c r="B39" s="5" t="n">
        <v>7</v>
      </c>
      <c r="C39" s="6" t="n">
        <v>-3.108</v>
      </c>
      <c r="D39" s="6" t="n">
        <v>-1.01</v>
      </c>
      <c r="E39" s="6" t="n">
        <v>-2.072</v>
      </c>
      <c r="F39" s="6" t="n">
        <v>-1.83</v>
      </c>
      <c r="G39" s="6" t="n">
        <v>-0.741</v>
      </c>
      <c r="H39" s="7" t="n">
        <v>30</v>
      </c>
      <c r="I39" s="6" t="n">
        <v>0.509</v>
      </c>
      <c r="J39">
        <f>IF(A39&lt;=$M$1,"cal","val")</f>
        <v/>
      </c>
    </row>
    <row r="40">
      <c r="A40" s="5" t="n">
        <v>1960</v>
      </c>
      <c r="B40" s="5" t="n">
        <v>8</v>
      </c>
      <c r="C40" s="6" t="n">
        <v>1.854</v>
      </c>
      <c r="D40" s="6" t="n">
        <v>-0.129</v>
      </c>
      <c r="E40" s="6" t="n">
        <v>-0.313</v>
      </c>
      <c r="F40" s="6" t="n">
        <v>-0.746</v>
      </c>
      <c r="G40" s="6" t="n">
        <v>-0.12</v>
      </c>
      <c r="H40" s="7" t="n">
        <v>26.7</v>
      </c>
      <c r="I40" s="6" t="n">
        <v>0.091</v>
      </c>
      <c r="J40">
        <f>IF(A40&lt;=$M$1,"cal","val")</f>
        <v/>
      </c>
    </row>
    <row r="41">
      <c r="A41" s="5" t="n">
        <v>1960</v>
      </c>
      <c r="B41" s="5" t="n">
        <v>9</v>
      </c>
      <c r="C41" s="6" t="n">
        <v>-3.259</v>
      </c>
      <c r="D41" s="6" t="n">
        <v>0.032</v>
      </c>
      <c r="E41" s="6" t="n">
        <v>1.183</v>
      </c>
      <c r="F41" s="6" t="n">
        <v>1.118</v>
      </c>
      <c r="G41" s="6" t="n">
        <v>1.307</v>
      </c>
      <c r="H41" s="7" t="n">
        <v>58.4</v>
      </c>
      <c r="I41" s="6" t="n">
        <v>-0.354</v>
      </c>
      <c r="J41">
        <f>IF(A41&lt;=$M$1,"cal","val")</f>
        <v/>
      </c>
    </row>
    <row r="42">
      <c r="A42" s="5" t="n">
        <v>1961</v>
      </c>
      <c r="B42" s="5" t="n">
        <v>6</v>
      </c>
      <c r="C42" s="6" t="n">
        <v>0.879</v>
      </c>
      <c r="D42" s="6" t="n">
        <v>-0.146</v>
      </c>
      <c r="E42" s="6" t="n">
        <v>0.843</v>
      </c>
      <c r="F42" s="6" t="n">
        <v>1.073</v>
      </c>
      <c r="G42" s="6" t="n">
        <v>0.493</v>
      </c>
      <c r="H42" s="7" t="n">
        <v>107.8</v>
      </c>
      <c r="I42" s="6" t="n">
        <v>0.028</v>
      </c>
      <c r="J42">
        <f>IF(A42&lt;=$M$1,"cal","val")</f>
        <v/>
      </c>
    </row>
    <row r="43">
      <c r="A43" s="5" t="n">
        <v>1961</v>
      </c>
      <c r="B43" s="5" t="n">
        <v>7</v>
      </c>
      <c r="C43" s="6" t="n">
        <v>0.01</v>
      </c>
      <c r="D43" s="6" t="n">
        <v>1.073</v>
      </c>
      <c r="E43" s="6" t="n">
        <v>0.993</v>
      </c>
      <c r="F43" s="6" t="n">
        <v>1.288</v>
      </c>
      <c r="G43" s="6" t="n">
        <v>2.14</v>
      </c>
      <c r="H43" s="7" t="n">
        <v>38.9</v>
      </c>
      <c r="I43" s="6" t="n">
        <v>1.052</v>
      </c>
      <c r="J43">
        <f>IF(A43&lt;=$M$1,"cal","val")</f>
        <v/>
      </c>
    </row>
    <row r="44">
      <c r="A44" s="5" t="n">
        <v>1961</v>
      </c>
      <c r="B44" s="5" t="n">
        <v>8</v>
      </c>
      <c r="C44" s="6" t="n">
        <v>-0.199</v>
      </c>
      <c r="D44" s="6" t="n">
        <v>-0.097</v>
      </c>
      <c r="E44" s="6" t="n">
        <v>0.669</v>
      </c>
      <c r="F44" s="6" t="n">
        <v>0.669</v>
      </c>
      <c r="G44" s="6" t="n">
        <v>0.836</v>
      </c>
      <c r="H44" s="7" t="n">
        <v>35.4</v>
      </c>
      <c r="I44" s="6" t="n">
        <v>-0.183</v>
      </c>
      <c r="J44">
        <f>IF(A44&lt;=$M$1,"cal","val")</f>
        <v/>
      </c>
    </row>
    <row r="45">
      <c r="A45" s="5" t="n">
        <v>1961</v>
      </c>
      <c r="B45" s="5" t="n">
        <v>9</v>
      </c>
      <c r="C45" s="6" t="n">
        <v>-0.313</v>
      </c>
      <c r="D45" s="6" t="n">
        <v>0.142</v>
      </c>
      <c r="E45" s="6" t="n">
        <v>-0.038</v>
      </c>
      <c r="F45" s="6" t="n">
        <v>0.055</v>
      </c>
      <c r="G45" s="6" t="n">
        <v>-0.331</v>
      </c>
      <c r="H45" s="7" t="n">
        <v>68.3</v>
      </c>
      <c r="I45" s="6" t="n">
        <v>-0.762</v>
      </c>
      <c r="J45">
        <f>IF(A45&lt;=$M$1,"cal","val")</f>
        <v/>
      </c>
    </row>
    <row r="46">
      <c r="A46" s="5" t="n">
        <v>1962</v>
      </c>
      <c r="B46" s="5" t="n">
        <v>6</v>
      </c>
      <c r="C46" s="6" t="n">
        <v>0.326</v>
      </c>
      <c r="D46" s="6" t="n">
        <v>0.84</v>
      </c>
      <c r="E46" s="6" t="n">
        <v>0.343</v>
      </c>
      <c r="F46" s="6" t="n">
        <v>0.316</v>
      </c>
      <c r="G46" s="6" t="n">
        <v>1.544</v>
      </c>
      <c r="H46" s="7" t="n">
        <v>150.6</v>
      </c>
      <c r="I46" s="6" t="n">
        <v>-0.97</v>
      </c>
      <c r="J46">
        <f>IF(A46&lt;=$M$1,"cal","val")</f>
        <v/>
      </c>
    </row>
    <row r="47">
      <c r="A47" s="5" t="n">
        <v>1962</v>
      </c>
      <c r="B47" s="5" t="n">
        <v>7</v>
      </c>
      <c r="C47" s="6" t="n">
        <v>1.565</v>
      </c>
      <c r="D47" s="6" t="n">
        <v>0.197</v>
      </c>
      <c r="E47" s="6" t="n">
        <v>1.616</v>
      </c>
      <c r="F47" s="6" t="n">
        <v>1.177</v>
      </c>
      <c r="G47" s="6" t="n">
        <v>-0.12</v>
      </c>
      <c r="H47" s="7" t="n">
        <v>89.5</v>
      </c>
      <c r="I47" s="6" t="n">
        <v>-0.222</v>
      </c>
      <c r="J47">
        <f>IF(A47&lt;=$M$1,"cal","val")</f>
        <v/>
      </c>
    </row>
    <row r="48">
      <c r="A48" s="5" t="n">
        <v>1962</v>
      </c>
      <c r="B48" s="5" t="n">
        <v>8</v>
      </c>
      <c r="C48" s="6" t="n">
        <v>2.908</v>
      </c>
      <c r="D48" s="6" t="n">
        <v>0.257</v>
      </c>
      <c r="E48" s="6" t="n">
        <v>2.937</v>
      </c>
      <c r="F48" s="6" t="n">
        <v>2.93</v>
      </c>
      <c r="G48" s="6" t="n">
        <v>0.783</v>
      </c>
      <c r="H48" s="7" t="n">
        <v>24.8</v>
      </c>
      <c r="I48" s="6" t="n">
        <v>-0.75</v>
      </c>
      <c r="J48">
        <f>IF(A48&lt;=$M$1,"cal","val")</f>
        <v/>
      </c>
    </row>
    <row r="49">
      <c r="A49" s="5" t="n">
        <v>1962</v>
      </c>
      <c r="B49" s="5" t="n">
        <v>9</v>
      </c>
      <c r="C49" s="6" t="n">
        <v>-2.147</v>
      </c>
      <c r="D49" s="6" t="n">
        <v>0.754</v>
      </c>
      <c r="E49" s="6" t="n">
        <v>-0.96</v>
      </c>
      <c r="F49" s="6" t="n">
        <v>-0.984</v>
      </c>
      <c r="G49" s="6" t="n">
        <v>1.371</v>
      </c>
      <c r="H49" s="7" t="n">
        <v>179.9</v>
      </c>
      <c r="I49" s="6" t="n">
        <v>1.881</v>
      </c>
      <c r="J49">
        <f>IF(A49&lt;=$M$1,"cal","val")</f>
        <v/>
      </c>
    </row>
    <row r="50">
      <c r="A50" s="5" t="n">
        <v>1963</v>
      </c>
      <c r="B50" s="5" t="n">
        <v>6</v>
      </c>
      <c r="C50" s="6" t="n">
        <v>1.034</v>
      </c>
      <c r="D50" s="6" t="n">
        <v>-0.522</v>
      </c>
      <c r="E50" s="6" t="n">
        <v>1.98</v>
      </c>
      <c r="F50" s="6" t="n">
        <v>1.696</v>
      </c>
      <c r="G50" s="6" t="n">
        <v>2.711</v>
      </c>
      <c r="H50" s="7" t="n">
        <v>63.1</v>
      </c>
      <c r="I50" s="6" t="n">
        <v>-1.179</v>
      </c>
      <c r="J50">
        <f>IF(A50&lt;=$M$1,"cal","val")</f>
        <v/>
      </c>
    </row>
    <row r="51">
      <c r="A51" s="5" t="n">
        <v>1963</v>
      </c>
      <c r="B51" s="5" t="n">
        <v>7</v>
      </c>
      <c r="C51" s="6" t="n">
        <v>-1.529</v>
      </c>
      <c r="D51" s="6" t="n">
        <v>0.339</v>
      </c>
      <c r="E51" s="6" t="n">
        <v>0.655</v>
      </c>
      <c r="F51" s="6" t="n">
        <v>0.214</v>
      </c>
      <c r="G51" s="6" t="n">
        <v>1.766</v>
      </c>
      <c r="H51" s="7" t="n">
        <v>108.8</v>
      </c>
      <c r="I51" s="6" t="n">
        <v>-1.082</v>
      </c>
      <c r="J51">
        <f>IF(A51&lt;=$M$1,"cal","val")</f>
        <v/>
      </c>
    </row>
    <row r="52">
      <c r="A52" s="5" t="n">
        <v>1963</v>
      </c>
      <c r="B52" s="5" t="n">
        <v>8</v>
      </c>
      <c r="C52" s="6" t="n">
        <v>-2.174</v>
      </c>
      <c r="D52" s="6" t="n">
        <v>0.5</v>
      </c>
      <c r="E52" s="6" t="n">
        <v>-1.375</v>
      </c>
      <c r="F52" s="6" t="n">
        <v>-1.507</v>
      </c>
      <c r="G52" s="6" t="n">
        <v>-0.84</v>
      </c>
      <c r="H52" s="7" t="n">
        <v>319.5</v>
      </c>
      <c r="I52" s="6" t="n">
        <v>-0.306</v>
      </c>
      <c r="J52">
        <f>IF(A52&lt;=$M$1,"cal","val")</f>
        <v/>
      </c>
    </row>
    <row r="53">
      <c r="A53" s="5" t="n">
        <v>1963</v>
      </c>
      <c r="B53" s="5" t="n">
        <v>9</v>
      </c>
      <c r="C53" s="6" t="n">
        <v>-1.873</v>
      </c>
      <c r="D53" s="6" t="n">
        <v>-0.372</v>
      </c>
      <c r="E53" s="6" t="n">
        <v>-1.137</v>
      </c>
      <c r="F53" s="6" t="n">
        <v>-1.327</v>
      </c>
      <c r="G53" s="6" t="n">
        <v>1.598</v>
      </c>
      <c r="H53" s="7" t="n">
        <v>23.4</v>
      </c>
      <c r="I53" s="6" t="n">
        <v>0.65</v>
      </c>
      <c r="J53">
        <f>IF(A53&lt;=$M$1,"cal","val")</f>
        <v/>
      </c>
    </row>
    <row r="54">
      <c r="A54" s="5" t="n">
        <v>1964</v>
      </c>
      <c r="B54" s="5" t="n">
        <v>6</v>
      </c>
      <c r="C54" s="6" t="n">
        <v>-1.281</v>
      </c>
      <c r="D54" s="6" t="n">
        <v>0.429</v>
      </c>
      <c r="E54" s="6" t="n">
        <v>1.716</v>
      </c>
      <c r="F54" s="6" t="n">
        <v>1.311</v>
      </c>
      <c r="G54" s="6" t="n">
        <v>1.233</v>
      </c>
      <c r="H54" s="7" t="n">
        <v>186.8</v>
      </c>
      <c r="I54" s="6" t="n">
        <v>-0.268</v>
      </c>
      <c r="J54">
        <f>IF(A54&lt;=$M$1,"cal","val")</f>
        <v/>
      </c>
    </row>
    <row r="55">
      <c r="A55" s="5" t="n">
        <v>1964</v>
      </c>
      <c r="B55" s="5" t="n">
        <v>7</v>
      </c>
      <c r="C55" s="6" t="n">
        <v>-0.48</v>
      </c>
      <c r="D55" s="6" t="n">
        <v>-0.591</v>
      </c>
      <c r="E55" s="6" t="n">
        <v>-1.039</v>
      </c>
      <c r="F55" s="6" t="n">
        <v>-1.355</v>
      </c>
      <c r="G55" s="6" t="n">
        <v>-1.905</v>
      </c>
      <c r="H55" s="7" t="n">
        <v>47.3</v>
      </c>
      <c r="I55" s="6" t="n">
        <v>-0.958</v>
      </c>
      <c r="J55">
        <f>IF(A55&lt;=$M$1,"cal","val")</f>
        <v/>
      </c>
    </row>
    <row r="56">
      <c r="A56" s="5" t="n">
        <v>1964</v>
      </c>
      <c r="B56" s="5" t="n">
        <v>8</v>
      </c>
      <c r="C56" s="6" t="n">
        <v>-0.638</v>
      </c>
      <c r="D56" s="6" t="n">
        <v>0.739</v>
      </c>
      <c r="E56" s="6" t="n">
        <v>-0.268</v>
      </c>
      <c r="F56" s="6" t="n">
        <v>-0.215</v>
      </c>
      <c r="G56" s="6" t="n">
        <v>0.881</v>
      </c>
      <c r="H56" s="7" t="n">
        <v>46.4</v>
      </c>
      <c r="I56" s="6" t="n">
        <v>-0.8070000000000001</v>
      </c>
      <c r="J56">
        <f>IF(A56&lt;=$M$1,"cal","val")</f>
        <v/>
      </c>
    </row>
    <row r="57">
      <c r="A57" s="5" t="n">
        <v>1964</v>
      </c>
      <c r="B57" s="5" t="n">
        <v>9</v>
      </c>
      <c r="C57" s="6" t="n">
        <v>0.953</v>
      </c>
      <c r="D57" s="6" t="n">
        <v>0.244</v>
      </c>
      <c r="E57" s="6" t="n">
        <v>0.059</v>
      </c>
      <c r="F57" s="6" t="n">
        <v>0.254</v>
      </c>
      <c r="G57" s="6" t="n">
        <v>1.853</v>
      </c>
      <c r="H57" s="7" t="n">
        <v>40.8</v>
      </c>
      <c r="I57" s="6" t="n">
        <v>-0.351</v>
      </c>
      <c r="J57">
        <f>IF(A57&lt;=$M$1,"cal","val")</f>
        <v/>
      </c>
    </row>
    <row r="58">
      <c r="A58" s="5" t="n">
        <v>1965</v>
      </c>
      <c r="B58" s="5" t="n">
        <v>6</v>
      </c>
      <c r="C58" s="6" t="n">
        <v>-1.121</v>
      </c>
      <c r="D58" s="6" t="n">
        <v>1.988</v>
      </c>
      <c r="E58" s="6" t="n">
        <v>1.266</v>
      </c>
      <c r="F58" s="6" t="n">
        <v>1.614</v>
      </c>
      <c r="G58" s="6" t="n">
        <v>2.134</v>
      </c>
      <c r="H58" s="7" t="n">
        <v>154.3</v>
      </c>
      <c r="I58" s="6" t="n">
        <v>0.973</v>
      </c>
      <c r="J58">
        <f>IF(A58&lt;=$M$1,"cal","val")</f>
        <v/>
      </c>
    </row>
    <row r="59">
      <c r="A59" s="5" t="n">
        <v>1965</v>
      </c>
      <c r="B59" s="5" t="n">
        <v>7</v>
      </c>
      <c r="C59" s="6" t="n">
        <v>2.282</v>
      </c>
      <c r="D59" s="6" t="n">
        <v>0.283</v>
      </c>
      <c r="E59" s="6" t="n">
        <v>1.251</v>
      </c>
      <c r="F59" s="6" t="n">
        <v>1.477</v>
      </c>
      <c r="G59" s="6" t="n">
        <v>-0.261</v>
      </c>
      <c r="H59" s="7" t="n">
        <v>19.1</v>
      </c>
      <c r="I59" s="6" t="n">
        <v>-0.978</v>
      </c>
      <c r="J59">
        <f>IF(A59&lt;=$M$1,"cal","val")</f>
        <v/>
      </c>
    </row>
    <row r="60">
      <c r="A60" s="5" t="n">
        <v>1965</v>
      </c>
      <c r="B60" s="5" t="n">
        <v>8</v>
      </c>
      <c r="C60" s="6" t="n">
        <v>-0.292</v>
      </c>
      <c r="D60" s="6" t="n">
        <v>-1.06</v>
      </c>
      <c r="E60" s="6" t="n">
        <v>-0.844</v>
      </c>
      <c r="F60" s="6" t="n">
        <v>-1.051</v>
      </c>
      <c r="G60" s="6" t="n">
        <v>0.516</v>
      </c>
      <c r="H60" s="7" t="n">
        <v>43.3</v>
      </c>
      <c r="I60" s="6" t="n">
        <v>-0.091</v>
      </c>
      <c r="J60">
        <f>IF(A60&lt;=$M$1,"cal","val")</f>
        <v/>
      </c>
    </row>
    <row r="61">
      <c r="A61" s="5" t="n">
        <v>1965</v>
      </c>
      <c r="B61" s="5" t="n">
        <v>9</v>
      </c>
      <c r="C61" s="6" t="n">
        <v>1.991</v>
      </c>
      <c r="D61" s="6" t="n">
        <v>-0.5679999999999999</v>
      </c>
      <c r="E61" s="6" t="n">
        <v>-0.9379999999999999</v>
      </c>
      <c r="F61" s="6" t="n">
        <v>-0.947</v>
      </c>
      <c r="G61" s="6" t="n">
        <v>-1.358</v>
      </c>
      <c r="H61" s="7" t="n">
        <v>56.4</v>
      </c>
      <c r="I61" s="6" t="n">
        <v>-0.613</v>
      </c>
      <c r="J61">
        <f>IF(A61&lt;=$M$1,"cal","val")</f>
        <v/>
      </c>
    </row>
    <row r="62">
      <c r="A62" s="5" t="n">
        <v>1966</v>
      </c>
      <c r="B62" s="5" t="n">
        <v>6</v>
      </c>
      <c r="C62" s="6" t="n">
        <v>2.54</v>
      </c>
      <c r="D62" s="6" t="n">
        <v>0.236</v>
      </c>
      <c r="E62" s="6" t="n">
        <v>1.086</v>
      </c>
      <c r="F62" s="6" t="n">
        <v>1.177</v>
      </c>
      <c r="G62" s="6" t="n">
        <v>-1.035</v>
      </c>
      <c r="H62" s="7" t="n">
        <v>59.9</v>
      </c>
      <c r="I62" s="6" t="n">
        <v>0.325</v>
      </c>
      <c r="J62">
        <f>IF(A62&lt;=$M$1,"cal","val")</f>
        <v/>
      </c>
    </row>
    <row r="63">
      <c r="A63" s="5" t="n">
        <v>1966</v>
      </c>
      <c r="B63" s="5" t="n">
        <v>7</v>
      </c>
      <c r="C63" s="6" t="n">
        <v>-0.284</v>
      </c>
      <c r="D63" s="6" t="n">
        <v>0.185</v>
      </c>
      <c r="E63" s="6" t="n">
        <v>-0.417</v>
      </c>
      <c r="F63" s="6" t="n">
        <v>-0.6919999999999999</v>
      </c>
      <c r="G63" s="6" t="n">
        <v>-1.008</v>
      </c>
      <c r="H63" s="7" t="n">
        <v>105.6</v>
      </c>
      <c r="I63" s="6" t="n">
        <v>0.397</v>
      </c>
      <c r="J63">
        <f>IF(A63&lt;=$M$1,"cal","val")</f>
        <v/>
      </c>
    </row>
    <row r="64">
      <c r="A64" s="5" t="n">
        <v>1966</v>
      </c>
      <c r="B64" s="5" t="n">
        <v>8</v>
      </c>
      <c r="C64" s="6" t="n">
        <v>0.651</v>
      </c>
      <c r="D64" s="6" t="n">
        <v>0.456</v>
      </c>
      <c r="E64" s="6" t="n">
        <v>0.681</v>
      </c>
      <c r="F64" s="6" t="n">
        <v>0.313</v>
      </c>
      <c r="G64" s="6" t="n">
        <v>1.759</v>
      </c>
      <c r="H64" s="7" t="n">
        <v>21.2</v>
      </c>
      <c r="I64" s="6" t="n">
        <v>-1.465</v>
      </c>
      <c r="J64">
        <f>IF(A64&lt;=$M$1,"cal","val")</f>
        <v/>
      </c>
    </row>
    <row r="65">
      <c r="A65" s="5" t="n">
        <v>1966</v>
      </c>
      <c r="B65" s="5" t="n">
        <v>9</v>
      </c>
      <c r="C65" s="6" t="n">
        <v>-1.412</v>
      </c>
      <c r="D65" s="6" t="n">
        <v>-0.111</v>
      </c>
      <c r="E65" s="6" t="n">
        <v>1.212</v>
      </c>
      <c r="F65" s="6" t="n">
        <v>1.095</v>
      </c>
      <c r="G65" s="6" t="n">
        <v>0.357</v>
      </c>
      <c r="H65" s="7" t="n">
        <v>45</v>
      </c>
      <c r="I65" s="6" t="n">
        <v>2.387</v>
      </c>
      <c r="J65">
        <f>IF(A65&lt;=$M$1,"cal","val")</f>
        <v/>
      </c>
    </row>
    <row r="66">
      <c r="A66" s="5" t="n">
        <v>1967</v>
      </c>
      <c r="B66" s="5" t="n">
        <v>6</v>
      </c>
      <c r="C66" s="6" t="n">
        <v>-1.113</v>
      </c>
      <c r="D66" s="6" t="n">
        <v>0.67</v>
      </c>
      <c r="E66" s="6" t="n">
        <v>1.833</v>
      </c>
      <c r="F66" s="6" t="n">
        <v>1.519</v>
      </c>
      <c r="G66" s="6" t="n">
        <v>2.11</v>
      </c>
      <c r="H66" s="7" t="n">
        <v>85.5</v>
      </c>
      <c r="I66" s="6" t="n">
        <v>0.19</v>
      </c>
      <c r="J66">
        <f>IF(A66&lt;=$M$1,"cal","val")</f>
        <v/>
      </c>
    </row>
    <row r="67">
      <c r="A67" s="5" t="n">
        <v>1967</v>
      </c>
      <c r="B67" s="5" t="n">
        <v>7</v>
      </c>
      <c r="C67" s="6" t="n">
        <v>-3.123</v>
      </c>
      <c r="D67" s="6" t="n">
        <v>-0.35</v>
      </c>
      <c r="E67" s="6" t="n">
        <v>-2.919</v>
      </c>
      <c r="F67" s="6" t="n">
        <v>-2.883</v>
      </c>
      <c r="G67" s="6" t="n">
        <v>-0.869</v>
      </c>
      <c r="H67" s="7" t="n">
        <v>45.2</v>
      </c>
      <c r="I67" s="6" t="n">
        <v>-0.509</v>
      </c>
      <c r="J67">
        <f>IF(A67&lt;=$M$1,"cal","val")</f>
        <v/>
      </c>
    </row>
    <row r="68">
      <c r="A68" s="5" t="n">
        <v>1967</v>
      </c>
      <c r="B68" s="5" t="n">
        <v>8</v>
      </c>
      <c r="C68" s="6" t="n">
        <v>-3.283</v>
      </c>
      <c r="D68" s="6" t="n">
        <v>1.143</v>
      </c>
      <c r="E68" s="6" t="n">
        <v>1.747</v>
      </c>
      <c r="F68" s="6" t="n">
        <v>2.044</v>
      </c>
      <c r="G68" s="6" t="n">
        <v>2.103</v>
      </c>
      <c r="H68" s="7" t="n">
        <v>128.9</v>
      </c>
      <c r="I68" s="6" t="n">
        <v>-0.894</v>
      </c>
      <c r="J68">
        <f>IF(A68&lt;=$M$1,"cal","val")</f>
        <v/>
      </c>
    </row>
    <row r="69">
      <c r="A69" s="5" t="n">
        <v>1967</v>
      </c>
      <c r="B69" s="5" t="n">
        <v>9</v>
      </c>
      <c r="C69" s="6" t="n">
        <v>4.6</v>
      </c>
      <c r="D69" s="6" t="n">
        <v>-0.194</v>
      </c>
      <c r="E69" s="6" t="n">
        <v>0.663</v>
      </c>
      <c r="F69" s="6" t="n">
        <v>0.848</v>
      </c>
      <c r="G69" s="6" t="n">
        <v>-1.586</v>
      </c>
      <c r="H69" s="7" t="n">
        <v>23.1</v>
      </c>
      <c r="I69" s="6" t="n">
        <v>-0.26</v>
      </c>
      <c r="J69">
        <f>IF(A69&lt;=$M$1,"cal","val")</f>
        <v/>
      </c>
    </row>
    <row r="70">
      <c r="A70" s="5" t="n">
        <v>1968</v>
      </c>
      <c r="B70" s="5" t="n">
        <v>6</v>
      </c>
      <c r="C70" s="6" t="n">
        <v>0.554</v>
      </c>
      <c r="D70" s="6" t="n">
        <v>-1.418</v>
      </c>
      <c r="E70" s="6" t="n">
        <v>-0.796</v>
      </c>
      <c r="F70" s="6" t="n">
        <v>-0.681</v>
      </c>
      <c r="G70" s="6" t="n">
        <v>-0.103</v>
      </c>
      <c r="H70" s="7" t="n">
        <v>16.5</v>
      </c>
      <c r="I70" s="6" t="n">
        <v>0.032</v>
      </c>
      <c r="J70">
        <f>IF(A70&lt;=$M$1,"cal","val")</f>
        <v/>
      </c>
    </row>
    <row r="71">
      <c r="A71" s="5" t="n">
        <v>1968</v>
      </c>
      <c r="B71" s="5" t="n">
        <v>7</v>
      </c>
      <c r="C71" s="6" t="n">
        <v>0.539</v>
      </c>
      <c r="D71" s="6" t="n">
        <v>0.926</v>
      </c>
      <c r="E71" s="6" t="n">
        <v>0.305</v>
      </c>
      <c r="F71" s="6" t="n">
        <v>0.462</v>
      </c>
      <c r="G71" s="6" t="n">
        <v>1.016</v>
      </c>
      <c r="H71" s="7" t="n">
        <v>70.5</v>
      </c>
      <c r="I71" s="6" t="n">
        <v>0.595</v>
      </c>
      <c r="J71">
        <f>IF(A71&lt;=$M$1,"cal","val")</f>
        <v/>
      </c>
    </row>
    <row r="72">
      <c r="A72" s="5" t="n">
        <v>1968</v>
      </c>
      <c r="B72" s="5" t="n">
        <v>8</v>
      </c>
      <c r="C72" s="6" t="n">
        <v>-0.497</v>
      </c>
      <c r="D72" s="6" t="n">
        <v>0.115</v>
      </c>
      <c r="E72" s="6" t="n">
        <v>-1.058</v>
      </c>
      <c r="F72" s="6" t="n">
        <v>-1.195</v>
      </c>
      <c r="G72" s="6" t="n">
        <v>-1.355</v>
      </c>
      <c r="H72" s="7" t="n">
        <v>98.59999999999999</v>
      </c>
      <c r="I72" s="6" t="n">
        <v>0.006</v>
      </c>
      <c r="J72">
        <f>IF(A72&lt;=$M$1,"cal","val")</f>
        <v/>
      </c>
    </row>
    <row r="73">
      <c r="A73" s="5" t="n">
        <v>1968</v>
      </c>
      <c r="B73" s="5" t="n">
        <v>9</v>
      </c>
      <c r="C73" s="6" t="n">
        <v>2.003</v>
      </c>
      <c r="D73" s="6" t="n">
        <v>0.285</v>
      </c>
      <c r="E73" s="6" t="n">
        <v>0.236</v>
      </c>
      <c r="F73" s="6" t="n">
        <v>0.169</v>
      </c>
      <c r="G73" s="6" t="n">
        <v>-0.952</v>
      </c>
      <c r="H73" s="7" t="n">
        <v>56.9</v>
      </c>
      <c r="I73" s="6" t="n">
        <v>0.484</v>
      </c>
      <c r="J73">
        <f>IF(A73&lt;=$M$1,"cal","val")</f>
        <v/>
      </c>
    </row>
    <row r="74">
      <c r="A74" s="5" t="n">
        <v>1969</v>
      </c>
      <c r="B74" s="5" t="n">
        <v>6</v>
      </c>
      <c r="C74" s="6" t="n">
        <v>0.871</v>
      </c>
      <c r="D74" s="6" t="n">
        <v>0.648</v>
      </c>
      <c r="E74" s="6" t="n">
        <v>0.356</v>
      </c>
      <c r="F74" s="6" t="n">
        <v>0.619</v>
      </c>
      <c r="G74" s="6" t="n">
        <v>1.067</v>
      </c>
      <c r="H74" s="7" t="n">
        <v>26.7</v>
      </c>
      <c r="I74" s="6" t="n">
        <v>-1.61</v>
      </c>
      <c r="J74">
        <f>IF(A74&lt;=$M$1,"cal","val")</f>
        <v/>
      </c>
    </row>
    <row r="75">
      <c r="A75" s="5" t="n">
        <v>1969</v>
      </c>
      <c r="B75" s="5" t="n">
        <v>7</v>
      </c>
      <c r="C75" s="6" t="n">
        <v>3.031</v>
      </c>
      <c r="D75" s="6" t="n">
        <v>-1.228</v>
      </c>
      <c r="E75" s="6" t="n">
        <v>-0.403</v>
      </c>
      <c r="F75" s="6" t="n">
        <v>-0.403</v>
      </c>
      <c r="G75" s="6" t="n">
        <v>-1.688</v>
      </c>
      <c r="H75" s="7" t="n">
        <v>22.5</v>
      </c>
      <c r="I75" s="6" t="n">
        <v>-0.752</v>
      </c>
      <c r="J75">
        <f>IF(A75&lt;=$M$1,"cal","val")</f>
        <v/>
      </c>
    </row>
    <row r="76">
      <c r="A76" s="5" t="n">
        <v>1969</v>
      </c>
      <c r="B76" s="5" t="n">
        <v>8</v>
      </c>
      <c r="C76" s="6" t="n">
        <v>3.025</v>
      </c>
      <c r="D76" s="6" t="n">
        <v>-0.011</v>
      </c>
      <c r="E76" s="6" t="n">
        <v>-0.254</v>
      </c>
      <c r="F76" s="6" t="n">
        <v>-0.534</v>
      </c>
      <c r="G76" s="6" t="n">
        <v>-2.029</v>
      </c>
      <c r="H76" s="7" t="n">
        <v>70.5</v>
      </c>
      <c r="I76" s="6" t="n">
        <v>-1.007</v>
      </c>
      <c r="J76">
        <f>IF(A76&lt;=$M$1,"cal","val")</f>
        <v/>
      </c>
    </row>
    <row r="77">
      <c r="A77" s="5" t="n">
        <v>1969</v>
      </c>
      <c r="B77" s="5" t="n">
        <v>9</v>
      </c>
      <c r="C77" s="6" t="n">
        <v>2.108</v>
      </c>
      <c r="D77" s="6" t="n">
        <v>-0.956</v>
      </c>
      <c r="E77" s="6" t="n">
        <v>-3.161</v>
      </c>
      <c r="F77" s="6" t="n">
        <v>-3.295</v>
      </c>
      <c r="G77" s="6" t="n">
        <v>-1.815</v>
      </c>
      <c r="H77" s="7" t="n">
        <v>22.8</v>
      </c>
      <c r="I77" s="6" t="n">
        <v>0.165</v>
      </c>
      <c r="J77">
        <f>IF(A77&lt;=$M$1,"cal","val")</f>
        <v/>
      </c>
    </row>
    <row r="78">
      <c r="A78" s="5" t="n">
        <v>1970</v>
      </c>
      <c r="B78" s="5" t="n">
        <v>6</v>
      </c>
      <c r="C78" s="6" t="n">
        <v>0.705</v>
      </c>
      <c r="D78" s="6" t="n">
        <v>-0.713</v>
      </c>
      <c r="E78" s="6" t="n">
        <v>-0.919</v>
      </c>
      <c r="F78" s="6" t="n">
        <v>-0.832</v>
      </c>
      <c r="G78" s="6" t="n">
        <v>-2.091</v>
      </c>
      <c r="H78" s="7" t="n">
        <v>37.2</v>
      </c>
      <c r="I78" s="6" t="n">
        <v>0.458</v>
      </c>
      <c r="J78">
        <f>IF(A78&lt;=$M$1,"cal","val")</f>
        <v/>
      </c>
    </row>
    <row r="79">
      <c r="A79" s="5" t="n">
        <v>1970</v>
      </c>
      <c r="B79" s="5" t="n">
        <v>7</v>
      </c>
      <c r="C79" s="6" t="n">
        <v>-2.48</v>
      </c>
      <c r="D79" s="6" t="n">
        <v>-0.25</v>
      </c>
      <c r="E79" s="6" t="n">
        <v>-1.357</v>
      </c>
      <c r="F79" s="6" t="n">
        <v>-0.957</v>
      </c>
      <c r="G79" s="6" t="n">
        <v>-1.482</v>
      </c>
      <c r="H79" s="7" t="n">
        <v>39.3</v>
      </c>
      <c r="I79" s="6" t="n">
        <v>-1.466</v>
      </c>
      <c r="J79">
        <f>IF(A79&lt;=$M$1,"cal","val")</f>
        <v/>
      </c>
    </row>
    <row r="80">
      <c r="A80" s="5" t="n">
        <v>1970</v>
      </c>
      <c r="B80" s="5" t="n">
        <v>8</v>
      </c>
      <c r="C80" s="6" t="n">
        <v>0.036</v>
      </c>
      <c r="D80" s="6" t="n">
        <v>-0.9399999999999999</v>
      </c>
      <c r="E80" s="6" t="n">
        <v>-0.784</v>
      </c>
      <c r="F80" s="6" t="n">
        <v>-0.916</v>
      </c>
      <c r="G80" s="6" t="n">
        <v>-3.006</v>
      </c>
      <c r="H80" s="7" t="n">
        <v>21</v>
      </c>
      <c r="I80" s="6" t="n">
        <v>-0.168</v>
      </c>
      <c r="J80">
        <f>IF(A80&lt;=$M$1,"cal","val")</f>
        <v/>
      </c>
    </row>
    <row r="81">
      <c r="A81" s="5" t="n">
        <v>1970</v>
      </c>
      <c r="B81" s="5" t="n">
        <v>9</v>
      </c>
      <c r="C81" s="6" t="n">
        <v>-0.646</v>
      </c>
      <c r="D81" s="6" t="n">
        <v>0.511</v>
      </c>
      <c r="E81" s="6" t="n">
        <v>0.162</v>
      </c>
      <c r="F81" s="6" t="n">
        <v>0.502</v>
      </c>
      <c r="G81" s="6" t="n">
        <v>0.291</v>
      </c>
      <c r="H81" s="7" t="n">
        <v>52.9</v>
      </c>
      <c r="I81" s="6" t="n">
        <v>0.725</v>
      </c>
      <c r="J81">
        <f>IF(A81&lt;=$M$1,"cal","val")</f>
        <v/>
      </c>
    </row>
    <row r="82">
      <c r="A82" s="5" t="n">
        <v>1971</v>
      </c>
      <c r="B82" s="5" t="n">
        <v>6</v>
      </c>
      <c r="C82" s="6" t="n">
        <v>-1.054</v>
      </c>
      <c r="D82" s="6" t="n">
        <v>-0.579</v>
      </c>
      <c r="E82" s="6" t="n">
        <v>-0.928</v>
      </c>
      <c r="F82" s="6" t="n">
        <v>-0.828</v>
      </c>
      <c r="G82" s="6" t="n">
        <v>0.077</v>
      </c>
      <c r="H82" s="7" t="n">
        <v>53.6</v>
      </c>
      <c r="I82" s="6" t="n">
        <v>0.915</v>
      </c>
      <c r="J82">
        <f>IF(A82&lt;=$M$1,"cal","val")</f>
        <v/>
      </c>
    </row>
    <row r="83">
      <c r="A83" s="5" t="n">
        <v>1971</v>
      </c>
      <c r="B83" s="5" t="n">
        <v>7</v>
      </c>
      <c r="C83" s="6" t="n">
        <v>-3.452</v>
      </c>
      <c r="D83" s="6" t="n">
        <v>0.797</v>
      </c>
      <c r="E83" s="6" t="n">
        <v>-0.51</v>
      </c>
      <c r="F83" s="6" t="n">
        <v>-0.679</v>
      </c>
      <c r="G83" s="6" t="n">
        <v>1.009</v>
      </c>
      <c r="H83" s="7" t="n">
        <v>45.4</v>
      </c>
      <c r="I83" s="6" t="n">
        <v>-1.115</v>
      </c>
      <c r="J83">
        <f>IF(A83&lt;=$M$1,"cal","val")</f>
        <v/>
      </c>
    </row>
    <row r="84">
      <c r="A84" s="5" t="n">
        <v>1971</v>
      </c>
      <c r="B84" s="5" t="n">
        <v>8</v>
      </c>
      <c r="C84" s="6" t="n">
        <v>-2.414</v>
      </c>
      <c r="D84" s="6" t="n">
        <v>-1.102</v>
      </c>
      <c r="E84" s="6" t="n">
        <v>-2.62</v>
      </c>
      <c r="F84" s="6" t="n">
        <v>-1.971</v>
      </c>
      <c r="G84" s="6" t="n">
        <v>-0.955</v>
      </c>
      <c r="H84" s="7" t="n">
        <v>122.4</v>
      </c>
      <c r="I84" s="6" t="n">
        <v>0.5629999999999999</v>
      </c>
      <c r="J84">
        <f>IF(A84&lt;=$M$1,"cal","val")</f>
        <v/>
      </c>
    </row>
    <row r="85">
      <c r="A85" s="5" t="n">
        <v>1971</v>
      </c>
      <c r="B85" s="5" t="n">
        <v>9</v>
      </c>
      <c r="C85" s="6" t="n">
        <v>4.336</v>
      </c>
      <c r="D85" s="6" t="n">
        <v>-0.754</v>
      </c>
      <c r="E85" s="6" t="n">
        <v>-0.006</v>
      </c>
      <c r="F85" s="6" t="n">
        <v>0.277</v>
      </c>
      <c r="G85" s="6" t="n">
        <v>-2.012</v>
      </c>
      <c r="H85" s="7" t="n">
        <v>24.7</v>
      </c>
      <c r="I85" s="6" t="n">
        <v>0.338</v>
      </c>
      <c r="J85">
        <f>IF(A85&lt;=$M$1,"cal","val")</f>
        <v/>
      </c>
    </row>
    <row r="86">
      <c r="A86" s="5" t="n">
        <v>1972</v>
      </c>
      <c r="B86" s="5" t="n">
        <v>6</v>
      </c>
      <c r="C86" s="6" t="n">
        <v>0.981</v>
      </c>
      <c r="D86" s="6" t="n">
        <v>-0.44</v>
      </c>
      <c r="E86" s="6" t="n">
        <v>1.121</v>
      </c>
      <c r="F86" s="6" t="n">
        <v>1.056</v>
      </c>
      <c r="G86" s="6" t="n">
        <v>-0.013</v>
      </c>
      <c r="H86" s="7" t="n">
        <v>53.5</v>
      </c>
      <c r="I86" s="6" t="n">
        <v>-0.436</v>
      </c>
      <c r="J86">
        <f>IF(A86&lt;=$M$1,"cal","val")</f>
        <v/>
      </c>
    </row>
    <row r="87">
      <c r="A87" s="5" t="n">
        <v>1972</v>
      </c>
      <c r="B87" s="5" t="n">
        <v>7</v>
      </c>
      <c r="C87" s="6" t="n">
        <v>-1.171</v>
      </c>
      <c r="D87" s="6" t="n">
        <v>-0.589</v>
      </c>
      <c r="E87" s="6" t="n">
        <v>-1.311</v>
      </c>
      <c r="F87" s="6" t="n">
        <v>-0.744</v>
      </c>
      <c r="G87" s="6" t="n">
        <v>-0.985</v>
      </c>
      <c r="H87" s="7" t="n">
        <v>82.7</v>
      </c>
      <c r="I87" s="6" t="n">
        <v>1.963</v>
      </c>
      <c r="J87">
        <f>IF(A87&lt;=$M$1,"cal","val")</f>
        <v/>
      </c>
    </row>
    <row r="88">
      <c r="A88" s="5" t="n">
        <v>1972</v>
      </c>
      <c r="B88" s="5" t="n">
        <v>8</v>
      </c>
      <c r="C88" s="6" t="n">
        <v>2.124</v>
      </c>
      <c r="D88" s="6" t="n">
        <v>-0.722</v>
      </c>
      <c r="E88" s="6" t="n">
        <v>1.616</v>
      </c>
      <c r="F88" s="6" t="n">
        <v>2.126</v>
      </c>
      <c r="G88" s="6" t="n">
        <v>-0.167</v>
      </c>
      <c r="H88" s="7" t="n">
        <v>11.1</v>
      </c>
      <c r="I88" s="6" t="n">
        <v>-1.119</v>
      </c>
      <c r="J88">
        <f>IF(A88&lt;=$M$1,"cal","val")</f>
        <v/>
      </c>
    </row>
    <row r="89">
      <c r="A89" s="5" t="n">
        <v>1972</v>
      </c>
      <c r="B89" s="5" t="n">
        <v>9</v>
      </c>
      <c r="C89" s="6" t="n">
        <v>0.002</v>
      </c>
      <c r="D89" s="6" t="n">
        <v>-1.939</v>
      </c>
      <c r="E89" s="6" t="n">
        <v>-0.879</v>
      </c>
      <c r="F89" s="6" t="n">
        <v>-1.202</v>
      </c>
      <c r="G89" s="6" t="n">
        <v>-0.5659999999999999</v>
      </c>
      <c r="H89" s="7" t="n">
        <v>38.6</v>
      </c>
      <c r="I89" s="6" t="n">
        <v>-0.277</v>
      </c>
      <c r="J89">
        <f>IF(A89&lt;=$M$1,"cal","val")</f>
        <v/>
      </c>
    </row>
    <row r="90">
      <c r="A90" s="5" t="n">
        <v>1973</v>
      </c>
      <c r="B90" s="5" t="n">
        <v>6</v>
      </c>
      <c r="C90" s="6" t="n">
        <v>1.545</v>
      </c>
      <c r="D90" s="6" t="n">
        <v>0.038</v>
      </c>
      <c r="E90" s="6" t="n">
        <v>-0.86</v>
      </c>
      <c r="F90" s="6" t="n">
        <v>-0.713</v>
      </c>
      <c r="G90" s="6" t="n">
        <v>-1.288</v>
      </c>
      <c r="H90" s="7" t="n">
        <v>31.7</v>
      </c>
      <c r="I90" s="6" t="n">
        <v>0.455</v>
      </c>
      <c r="J90">
        <f>IF(A90&lt;=$M$1,"cal","val")</f>
        <v/>
      </c>
    </row>
    <row r="91">
      <c r="A91" s="5" t="n">
        <v>1973</v>
      </c>
      <c r="B91" s="5" t="n">
        <v>7</v>
      </c>
      <c r="C91" s="6" t="n">
        <v>0.284</v>
      </c>
      <c r="D91" s="6" t="n">
        <v>-0.357</v>
      </c>
      <c r="E91" s="6" t="n">
        <v>0.718</v>
      </c>
      <c r="F91" s="6" t="n">
        <v>0.638</v>
      </c>
      <c r="G91" s="6" t="n">
        <v>1.263</v>
      </c>
      <c r="H91" s="7" t="n">
        <v>83.90000000000001</v>
      </c>
      <c r="I91" s="6" t="n">
        <v>0.243</v>
      </c>
      <c r="J91">
        <f>IF(A91&lt;=$M$1,"cal","val")</f>
        <v/>
      </c>
    </row>
    <row r="92">
      <c r="A92" s="5" t="n">
        <v>1973</v>
      </c>
      <c r="B92" s="5" t="n">
        <v>8</v>
      </c>
      <c r="C92" s="6" t="n">
        <v>3.583</v>
      </c>
      <c r="D92" s="6" t="n">
        <v>-0.431</v>
      </c>
      <c r="E92" s="6" t="n">
        <v>2.966</v>
      </c>
      <c r="F92" s="6" t="n">
        <v>2.743</v>
      </c>
      <c r="G92" s="6" t="n">
        <v>1.2</v>
      </c>
      <c r="H92" s="7" t="n">
        <v>50</v>
      </c>
      <c r="I92" s="6" t="n">
        <v>-0.171</v>
      </c>
      <c r="J92">
        <f>IF(A92&lt;=$M$1,"cal","val")</f>
        <v/>
      </c>
    </row>
    <row r="93">
      <c r="A93" s="5" t="n">
        <v>1973</v>
      </c>
      <c r="B93" s="5" t="n">
        <v>9</v>
      </c>
      <c r="C93" s="6" t="n">
        <v>-0.346</v>
      </c>
      <c r="D93" s="6" t="n">
        <v>-0.97</v>
      </c>
      <c r="E93" s="6" t="n">
        <v>0.5570000000000001</v>
      </c>
      <c r="F93" s="6" t="n">
        <v>0.314</v>
      </c>
      <c r="G93" s="6" t="n">
        <v>-1.063</v>
      </c>
      <c r="H93" s="7" t="n">
        <v>14.8</v>
      </c>
      <c r="I93" s="6" t="n">
        <v>1.377</v>
      </c>
      <c r="J93">
        <f>IF(A93&lt;=$M$1,"cal","val")</f>
        <v/>
      </c>
    </row>
    <row r="94">
      <c r="A94" s="5" t="n">
        <v>1974</v>
      </c>
      <c r="B94" s="5" t="n">
        <v>6</v>
      </c>
      <c r="C94" s="6" t="n">
        <v>0.026</v>
      </c>
      <c r="D94" s="6" t="n">
        <v>-0.047</v>
      </c>
      <c r="E94" s="6" t="n">
        <v>0.9409999999999999</v>
      </c>
      <c r="F94" s="6" t="n">
        <v>0.734</v>
      </c>
      <c r="G94" s="6" t="n">
        <v>3.141</v>
      </c>
      <c r="H94" s="7" t="n">
        <v>61.2</v>
      </c>
      <c r="I94" s="6" t="n">
        <v>1.445</v>
      </c>
      <c r="J94">
        <f>IF(A94&lt;=$M$1,"cal","val")</f>
        <v/>
      </c>
    </row>
    <row r="95">
      <c r="A95" s="5" t="n">
        <v>1974</v>
      </c>
      <c r="B95" s="5" t="n">
        <v>7</v>
      </c>
      <c r="C95" s="6" t="n">
        <v>0.348</v>
      </c>
      <c r="D95" s="6" t="n">
        <v>0.36</v>
      </c>
      <c r="E95" s="6" t="n">
        <v>0</v>
      </c>
      <c r="F95" s="6" t="n">
        <v>0.095</v>
      </c>
      <c r="G95" s="6" t="n">
        <v>-1.168</v>
      </c>
      <c r="H95" s="7" t="n">
        <v>90.7</v>
      </c>
      <c r="I95" s="6" t="n">
        <v>0.913</v>
      </c>
      <c r="J95">
        <f>IF(A95&lt;=$M$1,"cal","val")</f>
        <v/>
      </c>
    </row>
    <row r="96">
      <c r="A96" s="5" t="n">
        <v>1974</v>
      </c>
      <c r="B96" s="5" t="n">
        <v>8</v>
      </c>
      <c r="C96" s="6" t="n">
        <v>-2.664</v>
      </c>
      <c r="D96" s="6" t="n">
        <v>0.397</v>
      </c>
      <c r="E96" s="6" t="n">
        <v>-1.252</v>
      </c>
      <c r="F96" s="6" t="n">
        <v>-0.76</v>
      </c>
      <c r="G96" s="6" t="n">
        <v>0.398</v>
      </c>
      <c r="H96" s="7" t="n">
        <v>109.1</v>
      </c>
      <c r="I96" s="6" t="n">
        <v>1.002</v>
      </c>
      <c r="J96">
        <f>IF(A96&lt;=$M$1,"cal","val")</f>
        <v/>
      </c>
    </row>
    <row r="97">
      <c r="A97" s="5" t="n">
        <v>1974</v>
      </c>
      <c r="B97" s="5" t="n">
        <v>9</v>
      </c>
      <c r="C97" s="6" t="n">
        <v>0.024</v>
      </c>
      <c r="D97" s="6" t="n">
        <v>0.86</v>
      </c>
      <c r="E97" s="6" t="n">
        <v>0.749</v>
      </c>
      <c r="F97" s="6" t="n">
        <v>0.583</v>
      </c>
      <c r="G97" s="6" t="n">
        <v>0.738</v>
      </c>
      <c r="H97" s="7" t="n">
        <v>61.1</v>
      </c>
      <c r="I97" s="6" t="n">
        <v>-0.055</v>
      </c>
      <c r="J97">
        <f>IF(A97&lt;=$M$1,"cal","val")</f>
        <v/>
      </c>
    </row>
    <row r="98">
      <c r="A98" s="5" t="n">
        <v>1975</v>
      </c>
      <c r="B98" s="5" t="n">
        <v>6</v>
      </c>
      <c r="C98" s="6" t="n">
        <v>0.267</v>
      </c>
      <c r="D98" s="6" t="n">
        <v>0.056</v>
      </c>
      <c r="E98" s="6" t="n">
        <v>0.421</v>
      </c>
      <c r="F98" s="6" t="n">
        <v>0.651</v>
      </c>
      <c r="G98" s="6" t="n">
        <v>-1.045</v>
      </c>
      <c r="H98" s="7" t="n">
        <v>34.8</v>
      </c>
      <c r="I98" s="6" t="n">
        <v>-1.165</v>
      </c>
      <c r="J98">
        <f>IF(A98&lt;=$M$1,"cal","val")</f>
        <v/>
      </c>
    </row>
    <row r="99">
      <c r="A99" s="5" t="n">
        <v>1975</v>
      </c>
      <c r="B99" s="5" t="n">
        <v>7</v>
      </c>
      <c r="C99" s="6" t="n">
        <v>-0.624</v>
      </c>
      <c r="D99" s="6" t="n">
        <v>1.013</v>
      </c>
      <c r="E99" s="6" t="n">
        <v>2.015</v>
      </c>
      <c r="F99" s="6" t="n">
        <v>1.734</v>
      </c>
      <c r="G99" s="6" t="n">
        <v>1.602</v>
      </c>
      <c r="H99" s="7" t="n">
        <v>54.8</v>
      </c>
      <c r="I99" s="6" t="n">
        <v>2.188</v>
      </c>
      <c r="J99">
        <f>IF(A99&lt;=$M$1,"cal","val")</f>
        <v/>
      </c>
    </row>
    <row r="100">
      <c r="A100" s="5" t="n">
        <v>1975</v>
      </c>
      <c r="B100" s="5" t="n">
        <v>8</v>
      </c>
      <c r="C100" s="6" t="n">
        <v>0.222</v>
      </c>
      <c r="D100" s="6" t="n">
        <v>-0.829</v>
      </c>
      <c r="E100" s="6" t="n">
        <v>-0.573</v>
      </c>
      <c r="F100" s="6" t="n">
        <v>-0.633</v>
      </c>
      <c r="G100" s="6" t="n">
        <v>-1.409</v>
      </c>
      <c r="H100" s="7" t="n">
        <v>24.6</v>
      </c>
      <c r="I100" s="6" t="n">
        <v>-0.958</v>
      </c>
      <c r="J100">
        <f>IF(A100&lt;=$M$1,"cal","val")</f>
        <v/>
      </c>
    </row>
    <row r="101">
      <c r="A101" s="5" t="n">
        <v>1975</v>
      </c>
      <c r="B101" s="5" t="n">
        <v>9</v>
      </c>
      <c r="C101" s="6" t="n">
        <v>-3.885</v>
      </c>
      <c r="D101" s="6" t="n">
        <v>0.418</v>
      </c>
      <c r="E101" s="6" t="n">
        <v>0.579</v>
      </c>
      <c r="F101" s="6" t="n">
        <v>0.727</v>
      </c>
      <c r="G101" s="6" t="n">
        <v>1.163</v>
      </c>
      <c r="H101" s="7" t="n">
        <v>76.7</v>
      </c>
      <c r="I101" s="6" t="n">
        <v>2.229</v>
      </c>
      <c r="J101">
        <f>IF(A101&lt;=$M$1,"cal","val")</f>
        <v/>
      </c>
    </row>
    <row r="102">
      <c r="A102" s="5" t="n">
        <v>1976</v>
      </c>
      <c r="B102" s="5" t="n">
        <v>6</v>
      </c>
      <c r="C102" s="6" t="n">
        <v>-0.16</v>
      </c>
      <c r="D102" s="6" t="n">
        <v>0.543</v>
      </c>
      <c r="E102" s="6" t="n">
        <v>-0.698</v>
      </c>
      <c r="F102" s="6" t="n">
        <v>-0.285</v>
      </c>
      <c r="G102" s="6" t="n">
        <v>-0.983</v>
      </c>
      <c r="H102" s="7" t="n">
        <v>106.5</v>
      </c>
      <c r="I102" s="6" t="n">
        <v>-0.127</v>
      </c>
      <c r="J102">
        <f>IF(A102&lt;=$M$1,"cal","val")</f>
        <v/>
      </c>
    </row>
    <row r="103">
      <c r="A103" s="5" t="n">
        <v>1976</v>
      </c>
      <c r="B103" s="5" t="n">
        <v>7</v>
      </c>
      <c r="C103" s="6" t="n">
        <v>0.264</v>
      </c>
      <c r="D103" s="6" t="n">
        <v>-0.074</v>
      </c>
      <c r="E103" s="6" t="n">
        <v>0.282</v>
      </c>
      <c r="F103" s="6" t="n">
        <v>0.096</v>
      </c>
      <c r="G103" s="6" t="n">
        <v>-1.355</v>
      </c>
      <c r="H103" s="7" t="n">
        <v>50.3</v>
      </c>
      <c r="I103" s="6" t="n">
        <v>0.232</v>
      </c>
      <c r="J103">
        <f>IF(A103&lt;=$M$1,"cal","val")</f>
        <v/>
      </c>
    </row>
    <row r="104">
      <c r="A104" s="5" t="n">
        <v>1976</v>
      </c>
      <c r="B104" s="5" t="n">
        <v>8</v>
      </c>
      <c r="C104" s="6" t="n">
        <v>-4.389</v>
      </c>
      <c r="D104" s="6" t="n">
        <v>0.2</v>
      </c>
      <c r="E104" s="6" t="n">
        <v>0.49</v>
      </c>
      <c r="F104" s="6" t="n">
        <v>0.453</v>
      </c>
      <c r="G104" s="6" t="n">
        <v>-0.103</v>
      </c>
      <c r="H104" s="7" t="n">
        <v>63.2</v>
      </c>
      <c r="I104" s="6" t="n">
        <v>-0.169</v>
      </c>
      <c r="J104">
        <f>IF(A104&lt;=$M$1,"cal","val")</f>
        <v/>
      </c>
    </row>
    <row r="105">
      <c r="A105" s="5" t="n">
        <v>1976</v>
      </c>
      <c r="B105" s="5" t="n">
        <v>9</v>
      </c>
      <c r="C105" s="6" t="n">
        <v>-1.178</v>
      </c>
      <c r="D105" s="6" t="n">
        <v>-0.058</v>
      </c>
      <c r="E105" s="6" t="n">
        <v>0.373</v>
      </c>
      <c r="F105" s="6" t="n">
        <v>-0.032</v>
      </c>
      <c r="G105" s="6" t="n">
        <v>0.871</v>
      </c>
      <c r="H105" s="7" t="n">
        <v>102.2</v>
      </c>
      <c r="I105" s="6" t="n">
        <v>0.958</v>
      </c>
      <c r="J105">
        <f>IF(A105&lt;=$M$1,"cal","val")</f>
        <v/>
      </c>
    </row>
    <row r="106">
      <c r="A106" s="5" t="n">
        <v>1977</v>
      </c>
      <c r="B106" s="5" t="n">
        <v>6</v>
      </c>
      <c r="C106" s="6" t="n">
        <v>-1.357</v>
      </c>
      <c r="D106" s="6" t="n">
        <v>0.362</v>
      </c>
      <c r="E106" s="6" t="n">
        <v>0.838</v>
      </c>
      <c r="F106" s="6" t="n">
        <v>0.611</v>
      </c>
      <c r="G106" s="6" t="n">
        <v>0.333</v>
      </c>
      <c r="H106" s="7" t="n">
        <v>101.6</v>
      </c>
      <c r="I106" s="6" t="n">
        <v>-0.508</v>
      </c>
      <c r="J106">
        <f>IF(A106&lt;=$M$1,"cal","val")</f>
        <v/>
      </c>
    </row>
    <row r="107">
      <c r="A107" s="5" t="n">
        <v>1977</v>
      </c>
      <c r="B107" s="5" t="n">
        <v>7</v>
      </c>
      <c r="C107" s="6" t="n">
        <v>1.873</v>
      </c>
      <c r="D107" s="6" t="n">
        <v>-0.901</v>
      </c>
      <c r="E107" s="6" t="n">
        <v>-0.016</v>
      </c>
      <c r="F107" s="6" t="n">
        <v>-0.248</v>
      </c>
      <c r="G107" s="6" t="n">
        <v>-0.595</v>
      </c>
      <c r="H107" s="7" t="n">
        <v>22</v>
      </c>
      <c r="I107" s="6" t="n">
        <v>1.843</v>
      </c>
      <c r="J107">
        <f>IF(A107&lt;=$M$1,"cal","val")</f>
        <v/>
      </c>
    </row>
    <row r="108">
      <c r="A108" s="5" t="n">
        <v>1977</v>
      </c>
      <c r="B108" s="5" t="n">
        <v>8</v>
      </c>
      <c r="C108" s="6" t="n">
        <v>0.486</v>
      </c>
      <c r="D108" s="6" t="n">
        <v>-0.358</v>
      </c>
      <c r="E108" s="6" t="n">
        <v>0.074</v>
      </c>
      <c r="F108" s="6" t="n">
        <v>-0.138</v>
      </c>
      <c r="G108" s="6" t="n">
        <v>-1.215</v>
      </c>
      <c r="H108" s="7" t="n">
        <v>69.8</v>
      </c>
      <c r="I108" s="6" t="n">
        <v>0.535</v>
      </c>
      <c r="J108">
        <f>IF(A108&lt;=$M$1,"cal","val")</f>
        <v/>
      </c>
    </row>
    <row r="109">
      <c r="A109" s="5" t="n">
        <v>1977</v>
      </c>
      <c r="B109" s="5" t="n">
        <v>9</v>
      </c>
      <c r="C109" s="6" t="n">
        <v>1.137</v>
      </c>
      <c r="D109" s="6" t="n">
        <v>0.067</v>
      </c>
      <c r="E109" s="6" t="n">
        <v>0.9389999999999999</v>
      </c>
      <c r="F109" s="6" t="n">
        <v>1.103</v>
      </c>
      <c r="G109" s="6" t="n">
        <v>0.602</v>
      </c>
      <c r="H109" s="7" t="n">
        <v>39.6</v>
      </c>
      <c r="I109" s="6" t="n">
        <v>0.175</v>
      </c>
      <c r="J109">
        <f>IF(A109&lt;=$M$1,"cal","val")</f>
        <v/>
      </c>
    </row>
    <row r="110">
      <c r="A110" s="5" t="n">
        <v>1978</v>
      </c>
      <c r="B110" s="5" t="n">
        <v>6</v>
      </c>
      <c r="C110" s="6" t="n">
        <v>-0.194</v>
      </c>
      <c r="D110" s="6" t="n">
        <v>-0.126</v>
      </c>
      <c r="E110" s="6" t="n">
        <v>0.723</v>
      </c>
      <c r="F110" s="6" t="n">
        <v>0.769</v>
      </c>
      <c r="G110" s="6" t="n">
        <v>-0.351</v>
      </c>
      <c r="H110" s="7" t="n">
        <v>35.9</v>
      </c>
      <c r="I110" s="6" t="n">
        <v>-0.57</v>
      </c>
      <c r="J110">
        <f>IF(A110&lt;=$M$1,"cal","val")</f>
        <v/>
      </c>
    </row>
    <row r="111">
      <c r="A111" s="5" t="n">
        <v>1978</v>
      </c>
      <c r="B111" s="5" t="n">
        <v>7</v>
      </c>
      <c r="C111" s="6" t="n">
        <v>-0.145</v>
      </c>
      <c r="D111" s="6" t="n">
        <v>-0.678</v>
      </c>
      <c r="E111" s="6" t="n">
        <v>0.1</v>
      </c>
      <c r="F111" s="6" t="n">
        <v>0.243</v>
      </c>
      <c r="G111" s="6" t="n">
        <v>0.595</v>
      </c>
      <c r="H111" s="7" t="n">
        <v>28.9</v>
      </c>
      <c r="I111" s="6" t="n">
        <v>0.281</v>
      </c>
      <c r="J111">
        <f>IF(A111&lt;=$M$1,"cal","val")</f>
        <v/>
      </c>
    </row>
    <row r="112">
      <c r="A112" s="5" t="n">
        <v>1978</v>
      </c>
      <c r="B112" s="5" t="n">
        <v>8</v>
      </c>
      <c r="C112" s="6" t="n">
        <v>4.2</v>
      </c>
      <c r="D112" s="6" t="n">
        <v>0.91</v>
      </c>
      <c r="E112" s="6" t="n">
        <v>1.483</v>
      </c>
      <c r="F112" s="6" t="n">
        <v>1.584</v>
      </c>
      <c r="G112" s="6" t="n">
        <v>1.669</v>
      </c>
      <c r="H112" s="7" t="n">
        <v>54.3</v>
      </c>
      <c r="I112" s="6" t="n">
        <v>-0.003</v>
      </c>
      <c r="J112">
        <f>IF(A112&lt;=$M$1,"cal","val")</f>
        <v/>
      </c>
    </row>
    <row r="113">
      <c r="A113" s="5" t="n">
        <v>1978</v>
      </c>
      <c r="B113" s="5" t="n">
        <v>9</v>
      </c>
      <c r="C113" s="6" t="n">
        <v>-0.202</v>
      </c>
      <c r="D113" s="6" t="n">
        <v>-0.09</v>
      </c>
      <c r="E113" s="6" t="n">
        <v>-0.885</v>
      </c>
      <c r="F113" s="6" t="n">
        <v>-0.991</v>
      </c>
      <c r="G113" s="6" t="n">
        <v>0.062</v>
      </c>
      <c r="H113" s="7" t="n">
        <v>101.1</v>
      </c>
      <c r="I113" s="6" t="n">
        <v>1.9</v>
      </c>
      <c r="J113">
        <f>IF(A113&lt;=$M$1,"cal","val")</f>
        <v/>
      </c>
    </row>
    <row r="114">
      <c r="A114" s="5" t="n">
        <v>1979</v>
      </c>
      <c r="B114" s="5" t="n">
        <v>6</v>
      </c>
      <c r="C114" s="6" t="n">
        <v>-0.411</v>
      </c>
      <c r="D114" s="6" t="n">
        <v>0.141</v>
      </c>
      <c r="E114" s="6" t="n">
        <v>-0.663</v>
      </c>
      <c r="F114" s="6" t="n">
        <v>-0.618</v>
      </c>
      <c r="G114" s="6" t="n">
        <v>-0.186</v>
      </c>
      <c r="H114" s="7" t="n">
        <v>61.6</v>
      </c>
      <c r="I114" s="6" t="n">
        <v>0.9360000000000001</v>
      </c>
      <c r="J114">
        <f>IF(A114&lt;=$M$1,"cal","val")</f>
        <v/>
      </c>
    </row>
    <row r="115">
      <c r="A115" s="5" t="n">
        <v>1979</v>
      </c>
      <c r="B115" s="5" t="n">
        <v>7</v>
      </c>
      <c r="C115" s="6" t="n">
        <v>-1.669</v>
      </c>
      <c r="D115" s="6" t="n">
        <v>1.455</v>
      </c>
      <c r="E115" s="6" t="n">
        <v>0.98</v>
      </c>
      <c r="F115" s="6" t="n">
        <v>0.985</v>
      </c>
      <c r="G115" s="6" t="n">
        <v>1.802</v>
      </c>
      <c r="H115" s="7" t="n">
        <v>154.9</v>
      </c>
      <c r="I115" s="6" t="n">
        <v>-1.56</v>
      </c>
      <c r="J115">
        <f>IF(A115&lt;=$M$1,"cal","val")</f>
        <v/>
      </c>
    </row>
    <row r="116">
      <c r="A116" s="5" t="n">
        <v>1979</v>
      </c>
      <c r="B116" s="5" t="n">
        <v>8</v>
      </c>
      <c r="C116" s="6" t="n">
        <v>-0.153</v>
      </c>
      <c r="D116" s="6" t="n">
        <v>-0.118</v>
      </c>
      <c r="E116" s="6" t="n">
        <v>-0.258</v>
      </c>
      <c r="F116" s="6" t="n">
        <v>-0.199</v>
      </c>
      <c r="G116" s="6" t="n">
        <v>-0.314</v>
      </c>
      <c r="H116" s="7" t="n">
        <v>33.9</v>
      </c>
      <c r="I116" s="6" t="n">
        <v>1.529</v>
      </c>
      <c r="J116">
        <f>IF(A116&lt;=$M$1,"cal","val")</f>
        <v/>
      </c>
    </row>
    <row r="117">
      <c r="A117" s="5" t="n">
        <v>1979</v>
      </c>
      <c r="B117" s="5" t="n">
        <v>9</v>
      </c>
      <c r="C117" s="6" t="n">
        <v>-3.015</v>
      </c>
      <c r="D117" s="6" t="n">
        <v>0.502</v>
      </c>
      <c r="E117" s="6" t="n">
        <v>0.369</v>
      </c>
      <c r="F117" s="6" t="n">
        <v>0.118</v>
      </c>
      <c r="G117" s="6" t="n">
        <v>0.378</v>
      </c>
      <c r="H117" s="7" t="n">
        <v>19.3</v>
      </c>
      <c r="I117" s="6" t="n">
        <v>-2.373</v>
      </c>
      <c r="J117">
        <f>IF(A117&lt;=$M$1,"cal","val")</f>
        <v/>
      </c>
    </row>
    <row r="118">
      <c r="A118" s="5" t="n">
        <v>1980</v>
      </c>
      <c r="B118" s="5" t="n">
        <v>6</v>
      </c>
      <c r="C118" s="6" t="n">
        <v>2.963</v>
      </c>
      <c r="D118" s="6" t="n">
        <v>-0.987</v>
      </c>
      <c r="E118" s="6" t="n">
        <v>0.367</v>
      </c>
      <c r="F118" s="6" t="n">
        <v>0.488</v>
      </c>
      <c r="G118" s="6" t="n">
        <v>0.401</v>
      </c>
      <c r="H118" s="7" t="n">
        <v>18.9</v>
      </c>
      <c r="I118" s="6" t="n">
        <v>1.541</v>
      </c>
      <c r="J118">
        <f>IF(A118&lt;=$M$1,"cal","val")</f>
        <v/>
      </c>
    </row>
    <row r="119">
      <c r="A119" s="5" t="n">
        <v>1980</v>
      </c>
      <c r="B119" s="5" t="n">
        <v>7</v>
      </c>
      <c r="C119" s="6" t="n">
        <v>2.455</v>
      </c>
      <c r="D119" s="6" t="n">
        <v>-0.263</v>
      </c>
      <c r="E119" s="6" t="n">
        <v>1.631</v>
      </c>
      <c r="F119" s="6" t="n">
        <v>1.186</v>
      </c>
      <c r="G119" s="6" t="n">
        <v>0.412</v>
      </c>
      <c r="H119" s="7" t="n">
        <v>39.1</v>
      </c>
      <c r="I119" s="6" t="n">
        <v>-1.886</v>
      </c>
      <c r="J119">
        <f>IF(A119&lt;=$M$1,"cal","val")</f>
        <v/>
      </c>
    </row>
    <row r="120">
      <c r="A120" s="5" t="n">
        <v>1980</v>
      </c>
      <c r="B120" s="5" t="n">
        <v>8</v>
      </c>
      <c r="C120" s="6" t="n">
        <v>0.344</v>
      </c>
      <c r="D120" s="6" t="n">
        <v>0.012</v>
      </c>
      <c r="E120" s="6" t="n">
        <v>0.378</v>
      </c>
      <c r="F120" s="6" t="n">
        <v>0.411</v>
      </c>
      <c r="G120" s="6" t="n">
        <v>1.065</v>
      </c>
      <c r="H120" s="7" t="n">
        <v>44.1</v>
      </c>
      <c r="I120" s="6" t="n">
        <v>0.001</v>
      </c>
      <c r="J120">
        <f>IF(A120&lt;=$M$1,"cal","val")</f>
        <v/>
      </c>
    </row>
    <row r="121">
      <c r="A121" s="5" t="n">
        <v>1980</v>
      </c>
      <c r="B121" s="5" t="n">
        <v>9</v>
      </c>
      <c r="C121" s="6" t="n">
        <v>-1.263</v>
      </c>
      <c r="D121" s="6" t="n">
        <v>-0.286</v>
      </c>
      <c r="E121" s="6" t="n">
        <v>1.154</v>
      </c>
      <c r="F121" s="6" t="n">
        <v>1.234</v>
      </c>
      <c r="G121" s="6" t="n">
        <v>1.097</v>
      </c>
      <c r="H121" s="7" t="n">
        <v>65.3</v>
      </c>
      <c r="I121" s="6" t="n">
        <v>0.8120000000000001</v>
      </c>
      <c r="J121">
        <f>IF(A121&lt;=$M$1,"cal","val")</f>
        <v/>
      </c>
    </row>
    <row r="122">
      <c r="A122" s="5" t="n">
        <v>1981</v>
      </c>
      <c r="B122" s="5" t="n">
        <v>6</v>
      </c>
      <c r="C122" s="6" t="n">
        <v>1.84</v>
      </c>
      <c r="D122" s="6" t="n">
        <v>0.6909999999999999</v>
      </c>
      <c r="E122" s="6" t="n">
        <v>1.662</v>
      </c>
      <c r="F122" s="6" t="n">
        <v>0.877</v>
      </c>
      <c r="G122" s="6" t="n">
        <v>0.35</v>
      </c>
      <c r="H122" s="7" t="n">
        <v>82.3</v>
      </c>
      <c r="I122" s="6" t="n">
        <v>-0.008</v>
      </c>
      <c r="J122">
        <f>IF(A122&lt;=$M$1,"cal","val")</f>
        <v/>
      </c>
    </row>
    <row r="123">
      <c r="A123" s="5" t="n">
        <v>1981</v>
      </c>
      <c r="B123" s="5" t="n">
        <v>7</v>
      </c>
      <c r="C123" s="6" t="n">
        <v>3.901</v>
      </c>
      <c r="D123" s="6" t="n">
        <v>-0.01</v>
      </c>
      <c r="E123" s="6" t="n">
        <v>-0.34</v>
      </c>
      <c r="F123" s="6" t="n">
        <v>-0.07199999999999999</v>
      </c>
      <c r="G123" s="6" t="n">
        <v>-1.323</v>
      </c>
      <c r="H123" s="7" t="n">
        <v>19.4</v>
      </c>
      <c r="I123" s="6" t="n">
        <v>-1.098</v>
      </c>
      <c r="J123">
        <f>IF(A123&lt;=$M$1,"cal","val")</f>
        <v/>
      </c>
    </row>
    <row r="124">
      <c r="A124" s="5" t="n">
        <v>1981</v>
      </c>
      <c r="B124" s="5" t="n">
        <v>8</v>
      </c>
      <c r="C124" s="6" t="n">
        <v>-1.612</v>
      </c>
      <c r="D124" s="6" t="n">
        <v>0.661</v>
      </c>
      <c r="E124" s="6" t="n">
        <v>2.356</v>
      </c>
      <c r="F124" s="6" t="n">
        <v>2.617</v>
      </c>
      <c r="G124" s="6" t="n">
        <v>1.161</v>
      </c>
      <c r="H124" s="7" t="n">
        <v>66.5</v>
      </c>
      <c r="I124" s="6" t="n">
        <v>1.233</v>
      </c>
      <c r="J124">
        <f>IF(A124&lt;=$M$1,"cal","val")</f>
        <v/>
      </c>
    </row>
    <row r="125">
      <c r="A125" s="5" t="n">
        <v>1981</v>
      </c>
      <c r="B125" s="5" t="n">
        <v>9</v>
      </c>
      <c r="C125" s="6" t="n">
        <v>0.772</v>
      </c>
      <c r="D125" s="6" t="n">
        <v>-0.433</v>
      </c>
      <c r="E125" s="6" t="n">
        <v>-0.66</v>
      </c>
      <c r="F125" s="6" t="n">
        <v>-0.859</v>
      </c>
      <c r="G125" s="6" t="n">
        <v>0.513</v>
      </c>
      <c r="H125" s="7" t="n">
        <v>65.40000000000001</v>
      </c>
      <c r="I125" s="6" t="n">
        <v>-1.78</v>
      </c>
      <c r="J125">
        <f>IF(A125&lt;=$M$1,"cal","val")</f>
        <v/>
      </c>
    </row>
    <row r="126">
      <c r="A126" s="5" t="n">
        <v>1982</v>
      </c>
      <c r="B126" s="5" t="n">
        <v>6</v>
      </c>
      <c r="C126" s="6" t="n">
        <v>-0.752</v>
      </c>
      <c r="D126" s="6" t="n">
        <v>0.367</v>
      </c>
      <c r="E126" s="6" t="n">
        <v>0.967</v>
      </c>
      <c r="F126" s="6" t="n">
        <v>1.168</v>
      </c>
      <c r="G126" s="6" t="n">
        <v>2.487</v>
      </c>
      <c r="H126" s="7" t="n">
        <v>65.3</v>
      </c>
      <c r="I126" s="6" t="n">
        <v>-1.46</v>
      </c>
      <c r="J126">
        <f>IF(A126&lt;=$M$1,"cal","val")</f>
        <v/>
      </c>
    </row>
    <row r="127">
      <c r="A127" s="5" t="n">
        <v>1982</v>
      </c>
      <c r="B127" s="5" t="n">
        <v>7</v>
      </c>
      <c r="C127" s="6" t="n">
        <v>-0.6840000000000001</v>
      </c>
      <c r="D127" s="6" t="n">
        <v>-0.405</v>
      </c>
      <c r="E127" s="6" t="n">
        <v>0.057</v>
      </c>
      <c r="F127" s="6" t="n">
        <v>-0.151</v>
      </c>
      <c r="G127" s="6" t="n">
        <v>-2.204</v>
      </c>
      <c r="H127" s="7" t="n">
        <v>90.7</v>
      </c>
      <c r="I127" s="6" t="n">
        <v>1.384</v>
      </c>
      <c r="J127">
        <f>IF(A127&lt;=$M$1,"cal","val")</f>
        <v/>
      </c>
    </row>
    <row r="128">
      <c r="A128" s="5" t="n">
        <v>1982</v>
      </c>
      <c r="B128" s="5" t="n">
        <v>8</v>
      </c>
      <c r="C128" s="6" t="n">
        <v>-1.336</v>
      </c>
      <c r="D128" s="6" t="n">
        <v>0.145</v>
      </c>
      <c r="E128" s="6" t="n">
        <v>0.874</v>
      </c>
      <c r="F128" s="6" t="n">
        <v>1.489</v>
      </c>
      <c r="G128" s="6" t="n">
        <v>1.184</v>
      </c>
      <c r="H128" s="7" t="n">
        <v>50.6</v>
      </c>
      <c r="I128" s="6" t="n">
        <v>-0.865</v>
      </c>
      <c r="J128">
        <f>IF(A128&lt;=$M$1,"cal","val")</f>
        <v/>
      </c>
    </row>
    <row r="129">
      <c r="A129" s="5" t="n">
        <v>1982</v>
      </c>
      <c r="B129" s="5" t="n">
        <v>9</v>
      </c>
      <c r="C129" s="6" t="n">
        <v>0.539</v>
      </c>
      <c r="D129" s="6" t="n">
        <v>0.525</v>
      </c>
      <c r="E129" s="6" t="n">
        <v>1.958</v>
      </c>
      <c r="F129" s="6" t="n">
        <v>1.81</v>
      </c>
      <c r="G129" s="6" t="n">
        <v>1.569</v>
      </c>
      <c r="H129" s="7" t="n">
        <v>84.2</v>
      </c>
      <c r="I129" s="6" t="n">
        <v>0.247</v>
      </c>
      <c r="J129">
        <f>IF(A129&lt;=$M$1,"cal","val")</f>
        <v/>
      </c>
    </row>
    <row r="130">
      <c r="A130" s="5" t="n">
        <v>1983</v>
      </c>
      <c r="B130" s="5" t="n">
        <v>6</v>
      </c>
      <c r="C130" s="6" t="n">
        <v>-0.135</v>
      </c>
      <c r="D130" s="6" t="n">
        <v>0.104</v>
      </c>
      <c r="E130" s="6" t="n">
        <v>-0.504</v>
      </c>
      <c r="F130" s="6" t="n">
        <v>-0.6899999999999999</v>
      </c>
      <c r="G130" s="6" t="n">
        <v>1.094</v>
      </c>
      <c r="H130" s="7" t="n">
        <v>36.8</v>
      </c>
      <c r="I130" s="6" t="n">
        <v>0.8100000000000001</v>
      </c>
      <c r="J130">
        <f>IF(A130&lt;=$M$1,"cal","val")</f>
        <v/>
      </c>
    </row>
    <row r="131">
      <c r="A131" s="5" t="n">
        <v>1983</v>
      </c>
      <c r="B131" s="5" t="n">
        <v>7</v>
      </c>
      <c r="C131" s="6" t="n">
        <v>2.22</v>
      </c>
      <c r="D131" s="6" t="n">
        <v>-0.261</v>
      </c>
      <c r="E131" s="6" t="n">
        <v>1.767</v>
      </c>
      <c r="F131" s="6" t="n">
        <v>1.891</v>
      </c>
      <c r="G131" s="6" t="n">
        <v>1.65</v>
      </c>
      <c r="H131" s="7" t="n">
        <v>31.3</v>
      </c>
      <c r="I131" s="6" t="n">
        <v>-0.106</v>
      </c>
      <c r="J131">
        <f>IF(A131&lt;=$M$1,"cal","val")</f>
        <v/>
      </c>
    </row>
    <row r="132">
      <c r="A132" s="5" t="n">
        <v>1983</v>
      </c>
      <c r="B132" s="5" t="n">
        <v>8</v>
      </c>
      <c r="C132" s="6" t="n">
        <v>1.603</v>
      </c>
      <c r="D132" s="6" t="n">
        <v>-0.802</v>
      </c>
      <c r="E132" s="6" t="n">
        <v>0.997</v>
      </c>
      <c r="F132" s="6" t="n">
        <v>1.39</v>
      </c>
      <c r="G132" s="6" t="n">
        <v>2.14</v>
      </c>
      <c r="H132" s="7" t="n">
        <v>19.1</v>
      </c>
      <c r="I132" s="6" t="n">
        <v>0.276</v>
      </c>
      <c r="J132">
        <f>IF(A132&lt;=$M$1,"cal","val")</f>
        <v/>
      </c>
    </row>
    <row r="133">
      <c r="A133" s="5" t="n">
        <v>1983</v>
      </c>
      <c r="B133" s="5" t="n">
        <v>9</v>
      </c>
      <c r="C133" s="6" t="n">
        <v>0.714</v>
      </c>
      <c r="D133" s="6" t="n">
        <v>-0.877</v>
      </c>
      <c r="E133" s="6" t="n">
        <v>-0.062</v>
      </c>
      <c r="F133" s="6" t="n">
        <v>0.114</v>
      </c>
      <c r="G133" s="6" t="n">
        <v>-0.039</v>
      </c>
      <c r="H133" s="7" t="n">
        <v>33.9</v>
      </c>
      <c r="I133" s="6" t="n">
        <v>0.121</v>
      </c>
      <c r="J133">
        <f>IF(A133&lt;=$M$1,"cal","val")</f>
        <v/>
      </c>
    </row>
    <row r="134">
      <c r="A134" s="5" t="n">
        <v>1984</v>
      </c>
      <c r="B134" s="5" t="n">
        <v>6</v>
      </c>
      <c r="C134" s="6" t="n">
        <v>-2.251</v>
      </c>
      <c r="D134" s="6" t="n">
        <v>-0.214</v>
      </c>
      <c r="E134" s="6" t="n">
        <v>-1.903</v>
      </c>
      <c r="F134" s="6" t="n">
        <v>-1.592</v>
      </c>
      <c r="G134" s="6" t="n">
        <v>-0.825</v>
      </c>
      <c r="H134" s="7" t="n">
        <v>79</v>
      </c>
      <c r="I134" s="6" t="n">
        <v>0.214</v>
      </c>
      <c r="J134">
        <f>IF(A134&lt;=$M$1,"cal","val")</f>
        <v/>
      </c>
    </row>
    <row r="135">
      <c r="A135" s="5" t="n">
        <v>1984</v>
      </c>
      <c r="B135" s="5" t="n">
        <v>7</v>
      </c>
      <c r="C135" s="6" t="n">
        <v>-4.305</v>
      </c>
      <c r="D135" s="6" t="n">
        <v>0.885</v>
      </c>
      <c r="E135" s="6" t="n">
        <v>1.345</v>
      </c>
      <c r="F135" s="6" t="n">
        <v>1.234</v>
      </c>
      <c r="G135" s="6" t="n">
        <v>1.356</v>
      </c>
      <c r="H135" s="7" t="n">
        <v>122.5</v>
      </c>
      <c r="I135" s="6" t="n">
        <v>1.187</v>
      </c>
      <c r="J135">
        <f>IF(A135&lt;=$M$1,"cal","val")</f>
        <v/>
      </c>
    </row>
    <row r="136">
      <c r="A136" s="5" t="n">
        <v>1984</v>
      </c>
      <c r="B136" s="5" t="n">
        <v>8</v>
      </c>
      <c r="C136" s="6" t="n">
        <v>0.458</v>
      </c>
      <c r="D136" s="6" t="n">
        <v>-0.21</v>
      </c>
      <c r="E136" s="6" t="n">
        <v>2.383</v>
      </c>
      <c r="F136" s="6" t="n">
        <v>1.988</v>
      </c>
      <c r="G136" s="6" t="n">
        <v>0.504</v>
      </c>
      <c r="H136" s="7" t="n">
        <v>53.7</v>
      </c>
      <c r="I136" s="6" t="n">
        <v>0.9340000000000001</v>
      </c>
      <c r="J136">
        <f>IF(A136&lt;=$M$1,"cal","val")</f>
        <v/>
      </c>
    </row>
    <row r="137">
      <c r="A137" s="5" t="n">
        <v>1984</v>
      </c>
      <c r="B137" s="5" t="n">
        <v>9</v>
      </c>
      <c r="C137" s="6" t="n">
        <v>-0.055</v>
      </c>
      <c r="D137" s="6" t="n">
        <v>-1.171</v>
      </c>
      <c r="E137" s="6" t="n">
        <v>-0.785</v>
      </c>
      <c r="F137" s="6" t="n">
        <v>-1.083</v>
      </c>
      <c r="G137" s="6" t="n">
        <v>-1.5</v>
      </c>
      <c r="H137" s="7" t="n">
        <v>45.3</v>
      </c>
      <c r="I137" s="6" t="n">
        <v>0.323</v>
      </c>
      <c r="J137">
        <f>IF(A137&lt;=$M$1,"cal","val")</f>
        <v/>
      </c>
    </row>
    <row r="138">
      <c r="A138" s="5" t="n">
        <v>1985</v>
      </c>
      <c r="B138" s="5" t="n">
        <v>6</v>
      </c>
      <c r="C138" s="6" t="n">
        <v>-0.477</v>
      </c>
      <c r="D138" s="6" t="n">
        <v>0.284</v>
      </c>
      <c r="E138" s="6" t="n">
        <v>0.618</v>
      </c>
      <c r="F138" s="6" t="n">
        <v>0.647</v>
      </c>
      <c r="G138" s="6" t="n">
        <v>0.074</v>
      </c>
      <c r="H138" s="7" t="n">
        <v>60.1</v>
      </c>
      <c r="I138" s="6" t="n">
        <v>0.917</v>
      </c>
      <c r="J138">
        <f>IF(A138&lt;=$M$1,"cal","val")</f>
        <v/>
      </c>
    </row>
    <row r="139">
      <c r="A139" s="5" t="n">
        <v>1985</v>
      </c>
      <c r="B139" s="5" t="n">
        <v>7</v>
      </c>
      <c r="C139" s="6" t="n">
        <v>0.043</v>
      </c>
      <c r="D139" s="6" t="n">
        <v>0.972</v>
      </c>
      <c r="E139" s="6" t="n">
        <v>1.31</v>
      </c>
      <c r="F139" s="6" t="n">
        <v>1.126</v>
      </c>
      <c r="G139" s="6" t="n">
        <v>2.421</v>
      </c>
      <c r="H139" s="7" t="n">
        <v>125.2</v>
      </c>
      <c r="I139" s="6" t="n">
        <v>-0.542</v>
      </c>
      <c r="J139">
        <f>IF(A139&lt;=$M$1,"cal","val")</f>
        <v/>
      </c>
    </row>
    <row r="140">
      <c r="A140" s="5" t="n">
        <v>1985</v>
      </c>
      <c r="B140" s="5" t="n">
        <v>8</v>
      </c>
      <c r="C140" s="6" t="n">
        <v>0.676</v>
      </c>
      <c r="D140" s="6" t="n">
        <v>0.493</v>
      </c>
      <c r="E140" s="6" t="n">
        <v>1.824</v>
      </c>
      <c r="F140" s="6" t="n">
        <v>1.594</v>
      </c>
      <c r="G140" s="6" t="n">
        <v>1.635</v>
      </c>
      <c r="H140" s="7" t="n">
        <v>115.3</v>
      </c>
      <c r="I140" s="6" t="n">
        <v>-0.764</v>
      </c>
      <c r="J140">
        <f>IF(A140&lt;=$M$1,"cal","val")</f>
        <v/>
      </c>
    </row>
    <row r="141">
      <c r="A141" s="5" t="n">
        <v>1985</v>
      </c>
      <c r="B141" s="5" t="n">
        <v>9</v>
      </c>
      <c r="C141" s="6" t="n">
        <v>0.215</v>
      </c>
      <c r="D141" s="6" t="n">
        <v>-0.725</v>
      </c>
      <c r="E141" s="6" t="n">
        <v>-0.266</v>
      </c>
      <c r="F141" s="6" t="n">
        <v>-0.285</v>
      </c>
      <c r="G141" s="6" t="n">
        <v>0.626</v>
      </c>
      <c r="H141" s="7" t="n">
        <v>28</v>
      </c>
      <c r="I141" s="6" t="n">
        <v>-1.002</v>
      </c>
      <c r="J141">
        <f>IF(A141&lt;=$M$1,"cal","val")</f>
        <v/>
      </c>
    </row>
    <row r="142">
      <c r="A142" s="5" t="n">
        <v>1986</v>
      </c>
      <c r="B142" s="5" t="n">
        <v>6</v>
      </c>
      <c r="C142" s="6" t="n">
        <v>0.259</v>
      </c>
      <c r="D142" s="6" t="n">
        <v>0.276</v>
      </c>
      <c r="E142" s="6" t="n">
        <v>1.507</v>
      </c>
      <c r="F142" s="6" t="n">
        <v>1.456</v>
      </c>
      <c r="G142" s="6" t="n">
        <v>0.863</v>
      </c>
      <c r="H142" s="7" t="n">
        <v>153</v>
      </c>
      <c r="I142" s="6" t="n">
        <v>0.784</v>
      </c>
      <c r="J142">
        <f>IF(A142&lt;=$M$1,"cal","val")</f>
        <v/>
      </c>
    </row>
    <row r="143">
      <c r="A143" s="5" t="n">
        <v>1986</v>
      </c>
      <c r="B143" s="5" t="n">
        <v>7</v>
      </c>
      <c r="C143" s="6" t="n">
        <v>-1.171</v>
      </c>
      <c r="D143" s="6" t="n">
        <v>-0.036</v>
      </c>
      <c r="E143" s="6" t="n">
        <v>-0.865</v>
      </c>
      <c r="F143" s="6" t="n">
        <v>-0.944</v>
      </c>
      <c r="G143" s="6" t="n">
        <v>-0.789</v>
      </c>
      <c r="H143" s="7" t="n">
        <v>102</v>
      </c>
      <c r="I143" s="6" t="n">
        <v>1.625</v>
      </c>
      <c r="J143">
        <f>IF(A143&lt;=$M$1,"cal","val")</f>
        <v/>
      </c>
    </row>
    <row r="144">
      <c r="A144" s="5" t="n">
        <v>1986</v>
      </c>
      <c r="B144" s="5" t="n">
        <v>8</v>
      </c>
      <c r="C144" s="6" t="n">
        <v>0.746</v>
      </c>
      <c r="D144" s="6" t="n">
        <v>0.489</v>
      </c>
      <c r="E144" s="6" t="n">
        <v>0.763</v>
      </c>
      <c r="F144" s="6" t="n">
        <v>0.797</v>
      </c>
      <c r="G144" s="6" t="n">
        <v>0.253</v>
      </c>
      <c r="H144" s="7" t="n">
        <v>74.2</v>
      </c>
      <c r="I144" s="6" t="n">
        <v>0.08500000000000001</v>
      </c>
      <c r="J144">
        <f>IF(A144&lt;=$M$1,"cal","val")</f>
        <v/>
      </c>
    </row>
    <row r="145">
      <c r="A145" s="5" t="n">
        <v>1986</v>
      </c>
      <c r="B145" s="5" t="n">
        <v>9</v>
      </c>
      <c r="C145" s="6" t="n">
        <v>-0.192</v>
      </c>
      <c r="D145" s="6" t="n">
        <v>0.964</v>
      </c>
      <c r="E145" s="6" t="n">
        <v>2.81</v>
      </c>
      <c r="F145" s="6" t="n">
        <v>2.748</v>
      </c>
      <c r="G145" s="6" t="n">
        <v>2.601</v>
      </c>
      <c r="H145" s="7" t="n">
        <v>66.09999999999999</v>
      </c>
      <c r="I145" s="6" t="n">
        <v>-1.979</v>
      </c>
      <c r="J145">
        <f>IF(A145&lt;=$M$1,"cal","val")</f>
        <v/>
      </c>
    </row>
    <row r="146">
      <c r="A146" s="5" t="n">
        <v>1987</v>
      </c>
      <c r="B146" s="5" t="n">
        <v>6</v>
      </c>
      <c r="C146" s="6" t="n">
        <v>-0.819</v>
      </c>
      <c r="D146" s="6" t="n">
        <v>-0.238</v>
      </c>
      <c r="E146" s="6" t="n">
        <v>1.053</v>
      </c>
      <c r="F146" s="6" t="n">
        <v>1.358</v>
      </c>
      <c r="G146" s="6" t="n">
        <v>0.173</v>
      </c>
      <c r="H146" s="7" t="n">
        <v>82.59999999999999</v>
      </c>
      <c r="I146" s="6" t="n">
        <v>-0.509</v>
      </c>
      <c r="J146">
        <f>IF(A146&lt;=$M$1,"cal","val")</f>
        <v/>
      </c>
    </row>
    <row r="147">
      <c r="A147" s="5" t="n">
        <v>1987</v>
      </c>
      <c r="B147" s="5" t="n">
        <v>7</v>
      </c>
      <c r="C147" s="6" t="n">
        <v>-1.439</v>
      </c>
      <c r="D147" s="6" t="n">
        <v>0.125</v>
      </c>
      <c r="E147" s="6" t="n">
        <v>0.744</v>
      </c>
      <c r="F147" s="6" t="n">
        <v>0.706</v>
      </c>
      <c r="G147" s="6" t="n">
        <v>2.357</v>
      </c>
      <c r="H147" s="7" t="n">
        <v>134.3</v>
      </c>
      <c r="I147" s="6" t="n">
        <v>0.468</v>
      </c>
      <c r="J147">
        <f>IF(A147&lt;=$M$1,"cal","val")</f>
        <v/>
      </c>
    </row>
    <row r="148">
      <c r="A148" s="5" t="n">
        <v>1987</v>
      </c>
      <c r="B148" s="5" t="n">
        <v>8</v>
      </c>
      <c r="C148" s="6" t="n">
        <v>0.734</v>
      </c>
      <c r="D148" s="6" t="n">
        <v>0.438</v>
      </c>
      <c r="E148" s="6" t="n">
        <v>-0.029</v>
      </c>
      <c r="F148" s="6" t="n">
        <v>-0.278</v>
      </c>
      <c r="G148" s="6" t="n">
        <v>0.49</v>
      </c>
      <c r="H148" s="7" t="n">
        <v>37.1</v>
      </c>
      <c r="I148" s="6" t="n">
        <v>0.297</v>
      </c>
      <c r="J148">
        <f>IF(A148&lt;=$M$1,"cal","val")</f>
        <v/>
      </c>
    </row>
    <row r="149">
      <c r="A149" s="5" t="n">
        <v>1987</v>
      </c>
      <c r="B149" s="5" t="n">
        <v>9</v>
      </c>
      <c r="C149" s="6" t="n">
        <v>1.035</v>
      </c>
      <c r="D149" s="6" t="n">
        <v>0.639</v>
      </c>
      <c r="E149" s="6" t="n">
        <v>1.508</v>
      </c>
      <c r="F149" s="6" t="n">
        <v>1.235</v>
      </c>
      <c r="G149" s="6" t="n">
        <v>2.998</v>
      </c>
      <c r="H149" s="7" t="n">
        <v>76</v>
      </c>
      <c r="I149" s="6" t="n">
        <v>0.094</v>
      </c>
      <c r="J149">
        <f>IF(A149&lt;=$M$1,"cal","val")</f>
        <v/>
      </c>
    </row>
    <row r="150">
      <c r="A150" s="5" t="n">
        <v>1988</v>
      </c>
      <c r="B150" s="5" t="n">
        <v>6</v>
      </c>
      <c r="C150" s="6" t="n">
        <v>1.006</v>
      </c>
      <c r="D150" s="6" t="n">
        <v>-0.238</v>
      </c>
      <c r="E150" s="6" t="n">
        <v>-1.261</v>
      </c>
      <c r="F150" s="6" t="n">
        <v>-1.235</v>
      </c>
      <c r="G150" s="6" t="n">
        <v>-1.44</v>
      </c>
      <c r="H150" s="7" t="n">
        <v>43</v>
      </c>
      <c r="I150" s="6" t="n">
        <v>0.989</v>
      </c>
      <c r="J150">
        <f>IF(A150&lt;=$M$1,"cal","val")</f>
        <v/>
      </c>
    </row>
    <row r="151">
      <c r="A151" s="5" t="n">
        <v>1988</v>
      </c>
      <c r="B151" s="5" t="n">
        <v>7</v>
      </c>
      <c r="C151" s="6" t="n">
        <v>-2.562</v>
      </c>
      <c r="D151" s="6" t="n">
        <v>0.246</v>
      </c>
      <c r="E151" s="6" t="n">
        <v>0.291</v>
      </c>
      <c r="F151" s="6" t="n">
        <v>0.307</v>
      </c>
      <c r="G151" s="6" t="n">
        <v>-0.656</v>
      </c>
      <c r="H151" s="7" t="n">
        <v>105.9</v>
      </c>
      <c r="I151" s="6" t="n">
        <v>0.927</v>
      </c>
      <c r="J151">
        <f>IF(A151&lt;=$M$1,"cal","val")</f>
        <v/>
      </c>
    </row>
    <row r="152">
      <c r="A152" s="5" t="n">
        <v>1988</v>
      </c>
      <c r="B152" s="5" t="n">
        <v>8</v>
      </c>
      <c r="C152" s="6" t="n">
        <v>0.276</v>
      </c>
      <c r="D152" s="6" t="n">
        <v>0.175</v>
      </c>
      <c r="E152" s="6" t="n">
        <v>2.991</v>
      </c>
      <c r="F152" s="6" t="n">
        <v>3.118</v>
      </c>
      <c r="G152" s="6" t="n">
        <v>2.063</v>
      </c>
      <c r="H152" s="7" t="n">
        <v>72</v>
      </c>
      <c r="I152" s="6" t="n">
        <v>-1.341</v>
      </c>
      <c r="J152">
        <f>IF(A152&lt;=$M$1,"cal","val")</f>
        <v/>
      </c>
    </row>
    <row r="153">
      <c r="A153" s="5" t="n">
        <v>1988</v>
      </c>
      <c r="B153" s="5" t="n">
        <v>9</v>
      </c>
      <c r="C153" s="6" t="n">
        <v>-0.821</v>
      </c>
      <c r="D153" s="6" t="n">
        <v>1.139</v>
      </c>
      <c r="E153" s="6" t="n">
        <v>1.55</v>
      </c>
      <c r="F153" s="6" t="n">
        <v>1.458</v>
      </c>
      <c r="G153" s="6" t="n">
        <v>1.367</v>
      </c>
      <c r="H153" s="7" t="n">
        <v>228.9</v>
      </c>
      <c r="I153" s="6" t="n">
        <v>0.435</v>
      </c>
      <c r="J153">
        <f>IF(A153&lt;=$M$1,"cal","val")</f>
        <v/>
      </c>
    </row>
    <row r="154">
      <c r="A154" s="5" t="n">
        <v>1989</v>
      </c>
      <c r="B154" s="5" t="n">
        <v>6</v>
      </c>
      <c r="C154" s="6" t="n">
        <v>1.756</v>
      </c>
      <c r="D154" s="6" t="n">
        <v>-0.5</v>
      </c>
      <c r="E154" s="6" t="n">
        <v>-0.38</v>
      </c>
      <c r="F154" s="6" t="n">
        <v>0.031</v>
      </c>
      <c r="G154" s="6" t="n">
        <v>-1.312</v>
      </c>
      <c r="H154" s="7" t="n">
        <v>35.8</v>
      </c>
      <c r="I154" s="6" t="n">
        <v>-0.74</v>
      </c>
      <c r="J154">
        <f>IF(A154&lt;=$M$1,"cal","val")</f>
        <v/>
      </c>
    </row>
    <row r="155">
      <c r="A155" s="5" t="n">
        <v>1989</v>
      </c>
      <c r="B155" s="5" t="n">
        <v>7</v>
      </c>
      <c r="C155" s="6" t="n">
        <v>2.683</v>
      </c>
      <c r="D155" s="6" t="n">
        <v>0.159</v>
      </c>
      <c r="E155" s="6" t="n">
        <v>1.278</v>
      </c>
      <c r="F155" s="6" t="n">
        <v>0.914</v>
      </c>
      <c r="G155" s="6" t="n">
        <v>0.9340000000000001</v>
      </c>
      <c r="H155" s="7" t="n">
        <v>19.7</v>
      </c>
      <c r="I155" s="6" t="n">
        <v>0.233</v>
      </c>
      <c r="J155">
        <f>IF(A155&lt;=$M$1,"cal","val")</f>
        <v/>
      </c>
    </row>
    <row r="156">
      <c r="A156" s="5" t="n">
        <v>1989</v>
      </c>
      <c r="B156" s="5" t="n">
        <v>8</v>
      </c>
      <c r="C156" s="6" t="n">
        <v>-0.18</v>
      </c>
      <c r="D156" s="6" t="n">
        <v>-0.722</v>
      </c>
      <c r="E156" s="6" t="n">
        <v>-0.374</v>
      </c>
      <c r="F156" s="6" t="n">
        <v>-0.248</v>
      </c>
      <c r="G156" s="6" t="n">
        <v>0.37</v>
      </c>
      <c r="H156" s="7" t="n">
        <v>38.9</v>
      </c>
      <c r="I156" s="6" t="n">
        <v>1.244</v>
      </c>
      <c r="J156">
        <f>IF(A156&lt;=$M$1,"cal","val")</f>
        <v/>
      </c>
    </row>
    <row r="157">
      <c r="A157" s="5" t="n">
        <v>1989</v>
      </c>
      <c r="B157" s="5" t="n">
        <v>9</v>
      </c>
      <c r="C157" s="6" t="n">
        <v>-0.42</v>
      </c>
      <c r="D157" s="6" t="n">
        <v>0.736</v>
      </c>
      <c r="E157" s="6" t="n">
        <v>0.856</v>
      </c>
      <c r="F157" s="6" t="n">
        <v>1.082</v>
      </c>
      <c r="G157" s="6" t="n">
        <v>0.756</v>
      </c>
      <c r="H157" s="7" t="n">
        <v>75.40000000000001</v>
      </c>
      <c r="I157" s="6" t="n">
        <v>1.831</v>
      </c>
      <c r="J157">
        <f>IF(A157&lt;=$M$1,"cal","val")</f>
        <v/>
      </c>
    </row>
    <row r="158">
      <c r="A158" s="5" t="n">
        <v>1990</v>
      </c>
      <c r="B158" s="5" t="n">
        <v>6</v>
      </c>
      <c r="C158" s="6" t="n">
        <v>-2.815</v>
      </c>
      <c r="D158" s="6" t="n">
        <v>0.518</v>
      </c>
      <c r="E158" s="6" t="n">
        <v>0.093</v>
      </c>
      <c r="F158" s="6" t="n">
        <v>-0.259</v>
      </c>
      <c r="G158" s="6" t="n">
        <v>-0.102</v>
      </c>
      <c r="H158" s="7" t="n">
        <v>110.2</v>
      </c>
      <c r="I158" s="6" t="n">
        <v>0.7</v>
      </c>
      <c r="J158">
        <f>IF(A158&lt;=$M$1,"cal","val")</f>
        <v/>
      </c>
    </row>
    <row r="159">
      <c r="A159" s="5" t="n">
        <v>1990</v>
      </c>
      <c r="B159" s="5" t="n">
        <v>7</v>
      </c>
      <c r="C159" s="6" t="n">
        <v>-0.9330000000000001</v>
      </c>
      <c r="D159" s="6" t="n">
        <v>0.398</v>
      </c>
      <c r="E159" s="6" t="n">
        <v>1.101</v>
      </c>
      <c r="F159" s="6" t="n">
        <v>1.137</v>
      </c>
      <c r="G159" s="6" t="n">
        <v>1.85</v>
      </c>
      <c r="H159" s="7" t="n">
        <v>73.09999999999999</v>
      </c>
      <c r="I159" s="6" t="n">
        <v>-0.506</v>
      </c>
      <c r="J159">
        <f>IF(A159&lt;=$M$1,"cal","val")</f>
        <v/>
      </c>
    </row>
    <row r="160">
      <c r="A160" s="5" t="n">
        <v>1990</v>
      </c>
      <c r="B160" s="5" t="n">
        <v>8</v>
      </c>
      <c r="C160" s="6" t="n">
        <v>2.916</v>
      </c>
      <c r="D160" s="6" t="n">
        <v>-0.519</v>
      </c>
      <c r="E160" s="6" t="n">
        <v>0.838</v>
      </c>
      <c r="F160" s="6" t="n">
        <v>0.768</v>
      </c>
      <c r="G160" s="6" t="n">
        <v>-0.289</v>
      </c>
      <c r="H160" s="7" t="n">
        <v>20.5</v>
      </c>
      <c r="I160" s="6" t="n">
        <v>-0.351</v>
      </c>
      <c r="J160">
        <f>IF(A160&lt;=$M$1,"cal","val")</f>
        <v/>
      </c>
    </row>
    <row r="161">
      <c r="A161" s="5" t="n">
        <v>1990</v>
      </c>
      <c r="B161" s="5" t="n">
        <v>9</v>
      </c>
      <c r="C161" s="6" t="n">
        <v>0.903</v>
      </c>
      <c r="D161" s="6" t="n">
        <v>0.963</v>
      </c>
      <c r="E161" s="6" t="n">
        <v>1.265</v>
      </c>
      <c r="F161" s="6" t="n">
        <v>1.542</v>
      </c>
      <c r="G161" s="6" t="n">
        <v>0.007</v>
      </c>
      <c r="H161" s="7" t="n">
        <v>75.40000000000001</v>
      </c>
      <c r="I161" s="6" t="n">
        <v>0.533</v>
      </c>
      <c r="J161">
        <f>IF(A161&lt;=$M$1,"cal","val")</f>
        <v/>
      </c>
    </row>
    <row r="162">
      <c r="A162" s="5" t="n">
        <v>1991</v>
      </c>
      <c r="B162" s="5" t="n">
        <v>6</v>
      </c>
      <c r="C162" s="6" t="n">
        <v>-0.621</v>
      </c>
      <c r="D162" s="6" t="n">
        <v>0.186</v>
      </c>
      <c r="E162" s="6" t="n">
        <v>-0.983</v>
      </c>
      <c r="F162" s="6" t="n">
        <v>-0.923</v>
      </c>
      <c r="G162" s="6" t="n">
        <v>-1.401</v>
      </c>
      <c r="H162" s="7" t="n">
        <v>38.1</v>
      </c>
      <c r="I162" s="6" t="n">
        <v>-0.988</v>
      </c>
      <c r="J162">
        <f>IF(A162&lt;=$M$1,"cal","val")</f>
        <v/>
      </c>
    </row>
    <row r="163">
      <c r="A163" s="5" t="n">
        <v>1991</v>
      </c>
      <c r="B163" s="5" t="n">
        <v>7</v>
      </c>
      <c r="C163" s="6" t="n">
        <v>-4.386</v>
      </c>
      <c r="D163" s="6" t="n">
        <v>0.716</v>
      </c>
      <c r="E163" s="6" t="n">
        <v>3.994</v>
      </c>
      <c r="F163" s="6" t="n">
        <v>3.98</v>
      </c>
      <c r="G163" s="6" t="n">
        <v>4.196</v>
      </c>
      <c r="H163" s="7" t="n">
        <v>76.59999999999999</v>
      </c>
      <c r="I163" s="6" t="n">
        <v>-0.068</v>
      </c>
      <c r="J163">
        <f>IF(A163&lt;=$M$1,"cal","val")</f>
        <v/>
      </c>
    </row>
    <row r="164">
      <c r="A164" s="5" t="n">
        <v>1991</v>
      </c>
      <c r="B164" s="5" t="n">
        <v>8</v>
      </c>
      <c r="C164" s="6" t="n">
        <v>-0.267</v>
      </c>
      <c r="D164" s="6" t="n">
        <v>-0.8179999999999999</v>
      </c>
      <c r="E164" s="6" t="n">
        <v>-0.231</v>
      </c>
      <c r="F164" s="6" t="n">
        <v>-0.376</v>
      </c>
      <c r="G164" s="6" t="n">
        <v>-0.64</v>
      </c>
      <c r="H164" s="7" t="n">
        <v>17.3</v>
      </c>
      <c r="I164" s="6" t="n">
        <v>0.605</v>
      </c>
      <c r="J164">
        <f>IF(A164&lt;=$M$1,"cal","val")</f>
        <v/>
      </c>
    </row>
    <row r="165">
      <c r="A165" s="5" t="n">
        <v>1991</v>
      </c>
      <c r="B165" s="5" t="n">
        <v>9</v>
      </c>
      <c r="C165" s="6" t="n">
        <v>2.712</v>
      </c>
      <c r="D165" s="6" t="n">
        <v>1.198</v>
      </c>
      <c r="E165" s="6" t="n">
        <v>1.121</v>
      </c>
      <c r="F165" s="6" t="n">
        <v>1.083</v>
      </c>
      <c r="G165" s="6" t="n">
        <v>2.077</v>
      </c>
      <c r="H165" s="7" t="n">
        <v>66.7</v>
      </c>
      <c r="I165" s="6" t="n">
        <v>0.918</v>
      </c>
      <c r="J165">
        <f>IF(A165&lt;=$M$1,"cal","val")</f>
        <v/>
      </c>
    </row>
    <row r="166">
      <c r="A166" s="5" t="n">
        <v>1992</v>
      </c>
      <c r="B166" s="5" t="n">
        <v>6</v>
      </c>
      <c r="C166" s="6" t="n">
        <v>2.527</v>
      </c>
      <c r="D166" s="6" t="n">
        <v>0.463</v>
      </c>
      <c r="E166" s="6" t="n">
        <v>-0.081</v>
      </c>
      <c r="F166" s="6" t="n">
        <v>0.532</v>
      </c>
      <c r="G166" s="6" t="n">
        <v>-1.615</v>
      </c>
      <c r="H166" s="7" t="n">
        <v>42</v>
      </c>
      <c r="I166" s="6" t="n">
        <v>-0.297</v>
      </c>
      <c r="J166">
        <f>IF(A166&lt;=$M$1,"cal","val")</f>
        <v/>
      </c>
    </row>
    <row r="167">
      <c r="A167" s="5" t="n">
        <v>1992</v>
      </c>
      <c r="B167" s="5" t="n">
        <v>7</v>
      </c>
      <c r="C167" s="6" t="n">
        <v>-0.5649999999999999</v>
      </c>
      <c r="D167" s="6" t="n">
        <v>0.364</v>
      </c>
      <c r="E167" s="6" t="n">
        <v>1.457</v>
      </c>
      <c r="F167" s="6" t="n">
        <v>0.878</v>
      </c>
      <c r="G167" s="6" t="n">
        <v>1.841</v>
      </c>
      <c r="H167" s="7" t="n">
        <v>63.2</v>
      </c>
      <c r="I167" s="6" t="n">
        <v>0.37</v>
      </c>
      <c r="J167">
        <f>IF(A167&lt;=$M$1,"cal","val")</f>
        <v/>
      </c>
    </row>
    <row r="168">
      <c r="A168" s="5" t="n">
        <v>1992</v>
      </c>
      <c r="B168" s="5" t="n">
        <v>8</v>
      </c>
      <c r="C168" s="6" t="n">
        <v>-0.9399999999999999</v>
      </c>
      <c r="D168" s="6" t="n">
        <v>0.325</v>
      </c>
      <c r="E168" s="6" t="n">
        <v>-0.707</v>
      </c>
      <c r="F168" s="6" t="n">
        <v>-0.921</v>
      </c>
      <c r="G168" s="6" t="n">
        <v>-0.737</v>
      </c>
      <c r="H168" s="7" t="n">
        <v>125.5</v>
      </c>
      <c r="I168" s="6" t="n">
        <v>1.363</v>
      </c>
      <c r="J168">
        <f>IF(A168&lt;=$M$1,"cal","val")</f>
        <v/>
      </c>
    </row>
    <row r="169">
      <c r="A169" s="5" t="n">
        <v>1992</v>
      </c>
      <c r="B169" s="5" t="n">
        <v>9</v>
      </c>
      <c r="C169" s="6" t="n">
        <v>0.061</v>
      </c>
      <c r="D169" s="6" t="n">
        <v>0.589</v>
      </c>
      <c r="E169" s="6" t="n">
        <v>0.5590000000000001</v>
      </c>
      <c r="F169" s="6" t="n">
        <v>0.295</v>
      </c>
      <c r="G169" s="6" t="n">
        <v>0.192</v>
      </c>
      <c r="H169" s="7" t="n">
        <v>144</v>
      </c>
      <c r="I169" s="6" t="n">
        <v>0.305</v>
      </c>
      <c r="J169">
        <f>IF(A169&lt;=$M$1,"cal","val")</f>
        <v/>
      </c>
    </row>
    <row r="170">
      <c r="A170" s="5" t="n">
        <v>1993</v>
      </c>
      <c r="B170" s="5" t="n">
        <v>6</v>
      </c>
      <c r="C170" s="6" t="n">
        <v>0.444</v>
      </c>
      <c r="D170" s="6" t="n">
        <v>0.177</v>
      </c>
      <c r="E170" s="6" t="n">
        <v>0.9320000000000001</v>
      </c>
      <c r="F170" s="6" t="n">
        <v>0.775</v>
      </c>
      <c r="G170" s="6" t="n">
        <v>0.758</v>
      </c>
      <c r="H170" s="7" t="n">
        <v>13.7</v>
      </c>
      <c r="I170" s="6" t="n">
        <v>-1.716</v>
      </c>
      <c r="J170">
        <f>IF(A170&lt;=$M$1,"cal","val")</f>
        <v/>
      </c>
    </row>
    <row r="171">
      <c r="A171" s="5" t="n">
        <v>1993</v>
      </c>
      <c r="B171" s="5" t="n">
        <v>7</v>
      </c>
      <c r="C171" s="6" t="n">
        <v>0.017</v>
      </c>
      <c r="D171" s="6" t="n">
        <v>0.439</v>
      </c>
      <c r="E171" s="6" t="n">
        <v>0.279</v>
      </c>
      <c r="F171" s="6" t="n">
        <v>0.34</v>
      </c>
      <c r="G171" s="6" t="n">
        <v>0.699</v>
      </c>
      <c r="H171" s="7" t="n">
        <v>206.3</v>
      </c>
      <c r="I171" s="6" t="n">
        <v>0.214</v>
      </c>
      <c r="J171">
        <f>IF(A171&lt;=$M$1,"cal","val")</f>
        <v/>
      </c>
    </row>
    <row r="172">
      <c r="A172" s="5" t="n">
        <v>1993</v>
      </c>
      <c r="B172" s="5" t="n">
        <v>8</v>
      </c>
      <c r="C172" s="6" t="n">
        <v>0.9419999999999999</v>
      </c>
      <c r="D172" s="6" t="n">
        <v>0.708</v>
      </c>
      <c r="E172" s="6" t="n">
        <v>2.216</v>
      </c>
      <c r="F172" s="6" t="n">
        <v>2.161</v>
      </c>
      <c r="G172" s="6" t="n">
        <v>0.451</v>
      </c>
      <c r="H172" s="7" t="n">
        <v>43.3</v>
      </c>
      <c r="I172" s="6" t="n">
        <v>0.251</v>
      </c>
      <c r="J172">
        <f>IF(A172&lt;=$M$1,"cal","val")</f>
        <v/>
      </c>
    </row>
    <row r="173">
      <c r="A173" s="5" t="n">
        <v>1993</v>
      </c>
      <c r="B173" s="5" t="n">
        <v>9</v>
      </c>
      <c r="C173" s="6" t="n">
        <v>1.293</v>
      </c>
      <c r="D173" s="6" t="n">
        <v>0.467</v>
      </c>
      <c r="E173" s="6" t="n">
        <v>0.512</v>
      </c>
      <c r="F173" s="6" t="n">
        <v>0.359</v>
      </c>
      <c r="G173" s="6" t="n">
        <v>0.243</v>
      </c>
      <c r="H173" s="7" t="n">
        <v>29.2</v>
      </c>
      <c r="I173" s="6" t="n">
        <v>-0.421</v>
      </c>
      <c r="J173">
        <f>IF(A173&lt;=$M$1,"cal","val")</f>
        <v/>
      </c>
    </row>
    <row r="174">
      <c r="A174" s="5" t="n">
        <v>1994</v>
      </c>
      <c r="B174" s="5" t="n">
        <v>6</v>
      </c>
      <c r="C174" s="6" t="n">
        <v>3.301</v>
      </c>
      <c r="D174" s="6" t="n">
        <v>-0.016</v>
      </c>
      <c r="E174" s="6" t="n">
        <v>2.645</v>
      </c>
      <c r="F174" s="6" t="n">
        <v>2.578</v>
      </c>
      <c r="G174" s="6" t="n">
        <v>1.9</v>
      </c>
      <c r="H174" s="7" t="n">
        <v>75.5</v>
      </c>
      <c r="I174" s="6" t="n">
        <v>0.043</v>
      </c>
      <c r="J174">
        <f>IF(A174&lt;=$M$1,"cal","val")</f>
        <v/>
      </c>
    </row>
    <row r="175">
      <c r="A175" s="5" t="n">
        <v>1994</v>
      </c>
      <c r="B175" s="5" t="n">
        <v>7</v>
      </c>
      <c r="C175" s="6" t="n">
        <v>-2.33</v>
      </c>
      <c r="D175" s="6" t="n">
        <v>-0.09</v>
      </c>
      <c r="E175" s="6" t="n">
        <v>0.865</v>
      </c>
      <c r="F175" s="6" t="n">
        <v>0.373</v>
      </c>
      <c r="G175" s="6" t="n">
        <v>1.269</v>
      </c>
      <c r="H175" s="7" t="n">
        <v>122.9</v>
      </c>
      <c r="I175" s="6" t="n">
        <v>-1.476</v>
      </c>
      <c r="J175">
        <f>IF(A175&lt;=$M$1,"cal","val")</f>
        <v/>
      </c>
    </row>
    <row r="176">
      <c r="A176" s="5" t="n">
        <v>1994</v>
      </c>
      <c r="B176" s="5" t="n">
        <v>8</v>
      </c>
      <c r="C176" s="6" t="n">
        <v>0.848</v>
      </c>
      <c r="D176" s="6" t="n">
        <v>-0.289</v>
      </c>
      <c r="E176" s="6" t="n">
        <v>0.172</v>
      </c>
      <c r="F176" s="6" t="n">
        <v>0.258</v>
      </c>
      <c r="G176" s="6" t="n">
        <v>-0.739</v>
      </c>
      <c r="H176" s="7" t="n">
        <v>51.7</v>
      </c>
      <c r="I176" s="6" t="n">
        <v>1.246</v>
      </c>
      <c r="J176">
        <f>IF(A176&lt;=$M$1,"cal","val")</f>
        <v/>
      </c>
    </row>
    <row r="177">
      <c r="A177" s="5" t="n">
        <v>1994</v>
      </c>
      <c r="B177" s="5" t="n">
        <v>9</v>
      </c>
      <c r="C177" s="6" t="n">
        <v>-0.856</v>
      </c>
      <c r="D177" s="6" t="n">
        <v>0.786</v>
      </c>
      <c r="E177" s="6" t="n">
        <v>0.915</v>
      </c>
      <c r="F177" s="6" t="n">
        <v>1.127</v>
      </c>
      <c r="G177" s="6" t="n">
        <v>-0.278</v>
      </c>
      <c r="H177" s="7" t="n">
        <v>48.2</v>
      </c>
      <c r="I177" s="6" t="n">
        <v>0.422</v>
      </c>
      <c r="J177">
        <f>IF(A177&lt;=$M$1,"cal","val")</f>
        <v/>
      </c>
    </row>
    <row r="178">
      <c r="A178" s="5" t="n">
        <v>1995</v>
      </c>
      <c r="B178" s="5" t="n">
        <v>6</v>
      </c>
      <c r="C178" s="6" t="n">
        <v>1.938</v>
      </c>
      <c r="D178" s="6" t="n">
        <v>0.802</v>
      </c>
      <c r="E178" s="6" t="n">
        <v>1.047</v>
      </c>
      <c r="F178" s="6" t="n">
        <v>0.908</v>
      </c>
      <c r="G178" s="6" t="n">
        <v>1.486</v>
      </c>
      <c r="H178" s="7" t="n">
        <v>143.4</v>
      </c>
      <c r="I178" s="6" t="n">
        <v>-0.544</v>
      </c>
      <c r="J178">
        <f>IF(A178&lt;=$M$1,"cal","val")</f>
        <v/>
      </c>
    </row>
    <row r="179">
      <c r="A179" s="5" t="n">
        <v>1995</v>
      </c>
      <c r="B179" s="5" t="n">
        <v>7</v>
      </c>
      <c r="C179" s="6" t="n">
        <v>1.945</v>
      </c>
      <c r="D179" s="6" t="n">
        <v>-0.042</v>
      </c>
      <c r="E179" s="6" t="n">
        <v>3.206</v>
      </c>
      <c r="F179" s="6" t="n">
        <v>3.044</v>
      </c>
      <c r="G179" s="6" t="n">
        <v>2.003</v>
      </c>
      <c r="H179" s="7" t="n">
        <v>38</v>
      </c>
      <c r="I179" s="6" t="n">
        <v>0.236</v>
      </c>
      <c r="J179">
        <f>IF(A179&lt;=$M$1,"cal","val")</f>
        <v/>
      </c>
    </row>
    <row r="180">
      <c r="A180" s="5" t="n">
        <v>1995</v>
      </c>
      <c r="B180" s="5" t="n">
        <v>8</v>
      </c>
      <c r="C180" s="6" t="n">
        <v>0.5570000000000001</v>
      </c>
      <c r="D180" s="6" t="n">
        <v>-0.61</v>
      </c>
      <c r="E180" s="6" t="n">
        <v>-0.176</v>
      </c>
      <c r="F180" s="6" t="n">
        <v>0.218</v>
      </c>
      <c r="G180" s="6" t="n">
        <v>-0.396</v>
      </c>
      <c r="H180" s="7" t="n">
        <v>108.8</v>
      </c>
      <c r="I180" s="6" t="n">
        <v>0.132</v>
      </c>
      <c r="J180">
        <f>IF(A180&lt;=$M$1,"cal","val")</f>
        <v/>
      </c>
    </row>
    <row r="181">
      <c r="A181" s="5" t="n">
        <v>1995</v>
      </c>
      <c r="B181" s="5" t="n">
        <v>9</v>
      </c>
      <c r="C181" s="6" t="n">
        <v>0.858</v>
      </c>
      <c r="D181" s="6" t="n">
        <v>0.063</v>
      </c>
      <c r="E181" s="6" t="n">
        <v>0.204</v>
      </c>
      <c r="F181" s="6" t="n">
        <v>0.607</v>
      </c>
      <c r="G181" s="6" t="n">
        <v>0.239</v>
      </c>
      <c r="H181" s="7" t="n">
        <v>40.7</v>
      </c>
      <c r="I181" s="6" t="n">
        <v>-0.864</v>
      </c>
      <c r="J181">
        <f>IF(A181&lt;=$M$1,"cal","val")</f>
        <v/>
      </c>
    </row>
    <row r="182">
      <c r="A182" s="5" t="n">
        <v>1996</v>
      </c>
      <c r="B182" s="5" t="n">
        <v>6</v>
      </c>
      <c r="C182" s="6" t="n">
        <v>-0.092</v>
      </c>
      <c r="D182" s="6" t="n">
        <v>0.406</v>
      </c>
      <c r="E182" s="6" t="n">
        <v>1.628</v>
      </c>
      <c r="F182" s="6" t="n">
        <v>1.39</v>
      </c>
      <c r="G182" s="6" t="n">
        <v>1.186</v>
      </c>
      <c r="H182" s="7" t="n">
        <v>224.6</v>
      </c>
      <c r="I182" s="6" t="n">
        <v>-2.667</v>
      </c>
      <c r="J182">
        <f>IF(A182&lt;=$M$1,"cal","val")</f>
        <v/>
      </c>
    </row>
    <row r="183">
      <c r="A183" s="5" t="n">
        <v>1996</v>
      </c>
      <c r="B183" s="5" t="n">
        <v>7</v>
      </c>
      <c r="C183" s="6" t="n">
        <v>0.774</v>
      </c>
      <c r="D183" s="6" t="n">
        <v>-1.587</v>
      </c>
      <c r="E183" s="6" t="n">
        <v>-1.76</v>
      </c>
      <c r="F183" s="6" t="n">
        <v>-1.555</v>
      </c>
      <c r="G183" s="6" t="n">
        <v>-2.366</v>
      </c>
      <c r="H183" s="7" t="n">
        <v>26.5</v>
      </c>
      <c r="I183" s="6" t="n">
        <v>-2.847</v>
      </c>
      <c r="J183">
        <f>IF(A183&lt;=$M$1,"cal","val")</f>
        <v/>
      </c>
    </row>
    <row r="184">
      <c r="A184" s="5" t="n">
        <v>1996</v>
      </c>
      <c r="B184" s="5" t="n">
        <v>8</v>
      </c>
      <c r="C184" s="6" t="n">
        <v>-3.236</v>
      </c>
      <c r="D184" s="6" t="n">
        <v>-0.076</v>
      </c>
      <c r="E184" s="6" t="n">
        <v>-0.79</v>
      </c>
      <c r="F184" s="6" t="n">
        <v>-0.96</v>
      </c>
      <c r="G184" s="6" t="n">
        <v>2.682</v>
      </c>
      <c r="H184" s="7" t="n">
        <v>139.2</v>
      </c>
      <c r="I184" s="6" t="n">
        <v>2.022</v>
      </c>
      <c r="J184">
        <f>IF(A184&lt;=$M$1,"cal","val")</f>
        <v/>
      </c>
    </row>
    <row r="185">
      <c r="A185" s="5" t="n">
        <v>1996</v>
      </c>
      <c r="B185" s="5" t="n">
        <v>9</v>
      </c>
      <c r="C185" s="6" t="n">
        <v>-0.646</v>
      </c>
      <c r="D185" s="6" t="n">
        <v>-1.168</v>
      </c>
      <c r="E185" s="6" t="n">
        <v>-1.053</v>
      </c>
      <c r="F185" s="6" t="n">
        <v>-1.091</v>
      </c>
      <c r="G185" s="6" t="n">
        <v>-2.116</v>
      </c>
      <c r="H185" s="7" t="n">
        <v>50.3</v>
      </c>
      <c r="I185" s="6" t="n">
        <v>-1.119</v>
      </c>
      <c r="J185">
        <f>IF(A185&lt;=$M$1,"cal","val")</f>
        <v/>
      </c>
    </row>
    <row r="186">
      <c r="A186" s="5" t="n">
        <v>1997</v>
      </c>
      <c r="B186" s="5" t="n">
        <v>6</v>
      </c>
      <c r="C186" s="6" t="n">
        <v>1.106</v>
      </c>
      <c r="D186" s="6" t="n">
        <v>-1.509</v>
      </c>
      <c r="E186" s="6" t="n">
        <v>-0.207</v>
      </c>
      <c r="F186" s="6" t="n">
        <v>-0.229</v>
      </c>
      <c r="G186" s="6" t="n">
        <v>-1.215</v>
      </c>
      <c r="H186" s="7" t="n">
        <v>6.4</v>
      </c>
      <c r="I186" s="6" t="n">
        <v>-0.294</v>
      </c>
      <c r="J186">
        <f>IF(A186&lt;=$M$1,"cal","val")</f>
        <v/>
      </c>
    </row>
    <row r="187">
      <c r="A187" s="5" t="n">
        <v>1997</v>
      </c>
      <c r="B187" s="5" t="n">
        <v>7</v>
      </c>
      <c r="C187" s="6" t="n">
        <v>4.903</v>
      </c>
      <c r="D187" s="6" t="n">
        <v>0.47</v>
      </c>
      <c r="E187" s="6" t="n">
        <v>0.851</v>
      </c>
      <c r="F187" s="6" t="n">
        <v>1.097</v>
      </c>
      <c r="G187" s="6" t="n">
        <v>-0.842</v>
      </c>
      <c r="H187" s="7" t="n">
        <v>55.3</v>
      </c>
      <c r="I187" s="6" t="n">
        <v>0.572</v>
      </c>
      <c r="J187">
        <f>IF(A187&lt;=$M$1,"cal","val")</f>
        <v/>
      </c>
    </row>
    <row r="188">
      <c r="A188" s="5" t="n">
        <v>1997</v>
      </c>
      <c r="B188" s="5" t="n">
        <v>8</v>
      </c>
      <c r="C188" s="6" t="n">
        <v>-2.994</v>
      </c>
      <c r="D188" s="6" t="n">
        <v>2.201</v>
      </c>
      <c r="E188" s="6" t="n">
        <v>1.634</v>
      </c>
      <c r="F188" s="6" t="n">
        <v>1.375</v>
      </c>
      <c r="G188" s="6" t="n">
        <v>5.134</v>
      </c>
      <c r="H188" s="7" t="n">
        <v>139.3</v>
      </c>
      <c r="I188" s="6" t="n">
        <v>-0.362</v>
      </c>
      <c r="J188">
        <f>IF(A188&lt;=$M$1,"cal","val")</f>
        <v/>
      </c>
    </row>
    <row r="189">
      <c r="A189" s="5" t="n">
        <v>1997</v>
      </c>
      <c r="B189" s="5" t="n">
        <v>9</v>
      </c>
      <c r="C189" s="6" t="n">
        <v>2.42</v>
      </c>
      <c r="D189" s="6" t="n">
        <v>-0.702</v>
      </c>
      <c r="E189" s="6" t="n">
        <v>0.296</v>
      </c>
      <c r="F189" s="6" t="n">
        <v>-0.116</v>
      </c>
      <c r="G189" s="6" t="n">
        <v>1.278</v>
      </c>
      <c r="H189" s="7" t="n">
        <v>66.09999999999999</v>
      </c>
      <c r="I189" s="6" t="n">
        <v>1.192</v>
      </c>
      <c r="J189">
        <f>IF(A189&lt;=$M$1,"cal","val")</f>
        <v/>
      </c>
    </row>
    <row r="190">
      <c r="A190" s="5" t="n">
        <v>1998</v>
      </c>
      <c r="B190" s="5" t="n">
        <v>6</v>
      </c>
      <c r="C190" s="6" t="n">
        <v>0.792</v>
      </c>
      <c r="D190" s="6" t="n">
        <v>-0.201</v>
      </c>
      <c r="E190" s="6" t="n">
        <v>0.832</v>
      </c>
      <c r="F190" s="6" t="n">
        <v>0.766</v>
      </c>
      <c r="G190" s="6" t="n">
        <v>-0.907</v>
      </c>
      <c r="H190" s="7" t="n">
        <v>52.1</v>
      </c>
      <c r="I190" s="6" t="n">
        <v>-0.949</v>
      </c>
      <c r="J190">
        <f>IF(A190&lt;=$M$1,"cal","val")</f>
        <v/>
      </c>
    </row>
    <row r="191">
      <c r="A191" s="5" t="n">
        <v>1998</v>
      </c>
      <c r="B191" s="5" t="n">
        <v>7</v>
      </c>
      <c r="C191" s="6" t="n">
        <v>-3.05</v>
      </c>
      <c r="D191" s="6" t="n">
        <v>0.892</v>
      </c>
      <c r="E191" s="6" t="n">
        <v>0.9389999999999999</v>
      </c>
      <c r="F191" s="6" t="n">
        <v>0.89</v>
      </c>
      <c r="G191" s="6" t="n">
        <v>1.309</v>
      </c>
      <c r="H191" s="7" t="n">
        <v>117</v>
      </c>
      <c r="I191" s="6" t="n">
        <v>0.5629999999999999</v>
      </c>
      <c r="J191">
        <f>IF(A191&lt;=$M$1,"cal","val")</f>
        <v/>
      </c>
    </row>
    <row r="192">
      <c r="A192" s="5" t="n">
        <v>1998</v>
      </c>
      <c r="B192" s="5" t="n">
        <v>8</v>
      </c>
      <c r="C192" s="6" t="n">
        <v>1.406</v>
      </c>
      <c r="D192" s="6" t="n">
        <v>0.495</v>
      </c>
      <c r="E192" s="6" t="n">
        <v>0.403</v>
      </c>
      <c r="F192" s="6" t="n">
        <v>0.366</v>
      </c>
      <c r="G192" s="6" t="n">
        <v>0.32</v>
      </c>
      <c r="H192" s="7" t="n">
        <v>119.3</v>
      </c>
      <c r="I192" s="6" t="n">
        <v>-2.087</v>
      </c>
      <c r="J192">
        <f>IF(A192&lt;=$M$1,"cal","val")</f>
        <v/>
      </c>
    </row>
    <row r="193">
      <c r="A193" s="5" t="n">
        <v>1998</v>
      </c>
      <c r="B193" s="5" t="n">
        <v>9</v>
      </c>
      <c r="C193" s="6" t="n">
        <v>3.993</v>
      </c>
      <c r="D193" s="6" t="n">
        <v>0.208</v>
      </c>
      <c r="E193" s="6" t="n">
        <v>1.962</v>
      </c>
      <c r="F193" s="6" t="n">
        <v>2.035</v>
      </c>
      <c r="G193" s="6" t="n">
        <v>1.882</v>
      </c>
      <c r="H193" s="7" t="n">
        <v>19.5</v>
      </c>
      <c r="I193" s="6" t="n">
        <v>0.715</v>
      </c>
      <c r="J193">
        <f>IF(A193&lt;=$M$1,"cal","val")</f>
        <v/>
      </c>
    </row>
    <row r="194">
      <c r="A194" s="5" t="n">
        <v>1999</v>
      </c>
      <c r="B194" s="5" t="n">
        <v>6</v>
      </c>
      <c r="C194" s="6" t="n">
        <v>-1.836</v>
      </c>
      <c r="D194" s="6" t="n">
        <v>0.965</v>
      </c>
      <c r="E194" s="6" t="n">
        <v>1.944</v>
      </c>
      <c r="F194" s="6" t="n">
        <v>2.044</v>
      </c>
      <c r="G194" s="6" t="n">
        <v>2.653</v>
      </c>
      <c r="H194" s="7" t="n">
        <v>40.7</v>
      </c>
      <c r="I194" s="6" t="n">
        <v>0.6879999999999999</v>
      </c>
      <c r="J194">
        <f>IF(A194&lt;=$M$1,"cal","val")</f>
        <v/>
      </c>
    </row>
    <row r="195">
      <c r="A195" s="5" t="n">
        <v>1999</v>
      </c>
      <c r="B195" s="5" t="n">
        <v>7</v>
      </c>
      <c r="C195" s="6" t="n">
        <v>-1.331</v>
      </c>
      <c r="D195" s="6" t="n">
        <v>0.973</v>
      </c>
      <c r="E195" s="6" t="n">
        <v>1.153</v>
      </c>
      <c r="F195" s="6" t="n">
        <v>1.158</v>
      </c>
      <c r="G195" s="6" t="n">
        <v>-0.08699999999999999</v>
      </c>
      <c r="H195" s="7" t="n">
        <v>148.4</v>
      </c>
      <c r="I195" s="6" t="n">
        <v>0.367</v>
      </c>
      <c r="J195">
        <f>IF(A195&lt;=$M$1,"cal","val")</f>
        <v/>
      </c>
    </row>
    <row r="196">
      <c r="A196" s="5" t="n">
        <v>1999</v>
      </c>
      <c r="B196" s="5" t="n">
        <v>8</v>
      </c>
      <c r="C196" s="6" t="n">
        <v>1.68</v>
      </c>
      <c r="D196" s="6" t="n">
        <v>0.002</v>
      </c>
      <c r="E196" s="6" t="n">
        <v>1.944</v>
      </c>
      <c r="F196" s="6" t="n">
        <v>1.657</v>
      </c>
      <c r="G196" s="6" t="n">
        <v>0.638</v>
      </c>
      <c r="H196" s="7" t="n">
        <v>16.6</v>
      </c>
      <c r="I196" s="6" t="n">
        <v>0.301</v>
      </c>
      <c r="J196">
        <f>IF(A196&lt;=$M$1,"cal","val")</f>
        <v/>
      </c>
    </row>
    <row r="197">
      <c r="A197" s="5" t="n">
        <v>1999</v>
      </c>
      <c r="B197" s="5" t="n">
        <v>9</v>
      </c>
      <c r="C197" s="6" t="n">
        <v>1.211</v>
      </c>
      <c r="D197" s="6" t="n">
        <v>1.927</v>
      </c>
      <c r="E197" s="6" t="n">
        <v>1.01</v>
      </c>
      <c r="F197" s="6" t="n">
        <v>1.174</v>
      </c>
      <c r="G197" s="6" t="n">
        <v>1.445</v>
      </c>
      <c r="H197" s="7" t="n">
        <v>139.4</v>
      </c>
      <c r="I197" s="6" t="n">
        <v>0.268</v>
      </c>
      <c r="J197">
        <f>IF(A197&lt;=$M$1,"cal","val")</f>
        <v/>
      </c>
    </row>
    <row r="198">
      <c r="A198" s="5" t="n">
        <v>2000</v>
      </c>
      <c r="B198" s="5" t="n">
        <v>6</v>
      </c>
      <c r="C198" s="6" t="n">
        <v>-3.006</v>
      </c>
      <c r="D198" s="6" t="n">
        <v>0.796</v>
      </c>
      <c r="E198" s="6" t="n">
        <v>1.858</v>
      </c>
      <c r="F198" s="6" t="n">
        <v>1.562</v>
      </c>
      <c r="G198" s="6" t="n">
        <v>1.441</v>
      </c>
      <c r="H198" s="7" t="n">
        <v>61.8</v>
      </c>
      <c r="I198" s="6" t="n">
        <v>0.864</v>
      </c>
      <c r="J198">
        <f>IF(A198&lt;=$M$1,"cal","val")</f>
        <v/>
      </c>
    </row>
    <row r="199">
      <c r="A199" s="5" t="n">
        <v>2000</v>
      </c>
      <c r="B199" s="5" t="n">
        <v>7</v>
      </c>
      <c r="C199" s="6" t="n">
        <v>-0.08799999999999999</v>
      </c>
      <c r="D199" s="6" t="n">
        <v>0.359</v>
      </c>
      <c r="E199" s="6" t="n">
        <v>1.688</v>
      </c>
      <c r="F199" s="6" t="n">
        <v>1.108</v>
      </c>
      <c r="G199" s="6" t="n">
        <v>2.216</v>
      </c>
      <c r="H199" s="7" t="n">
        <v>38.2</v>
      </c>
      <c r="I199" s="6" t="n">
        <v>0.962</v>
      </c>
      <c r="J199">
        <f>IF(A199&lt;=$M$1,"cal","val")</f>
        <v/>
      </c>
    </row>
    <row r="200">
      <c r="A200" s="5" t="n">
        <v>2000</v>
      </c>
      <c r="B200" s="5" t="n">
        <v>8</v>
      </c>
      <c r="C200" s="6" t="n">
        <v>-5.993</v>
      </c>
      <c r="D200" s="6" t="n">
        <v>0.473</v>
      </c>
      <c r="E200" s="6" t="n">
        <v>1.315</v>
      </c>
      <c r="F200" s="6" t="n">
        <v>1.547</v>
      </c>
      <c r="G200" s="6" t="n">
        <v>2.279</v>
      </c>
      <c r="H200" s="7" t="n">
        <v>144.9</v>
      </c>
      <c r="I200" s="6" t="n">
        <v>-0.944</v>
      </c>
      <c r="J200">
        <f>IF(A200&lt;=$M$1,"cal","val")</f>
        <v/>
      </c>
    </row>
    <row r="201">
      <c r="A201" s="5" t="n">
        <v>2000</v>
      </c>
      <c r="B201" s="5" t="n">
        <v>9</v>
      </c>
      <c r="C201" s="6" t="n">
        <v>-0.034</v>
      </c>
      <c r="D201" s="6" t="n">
        <v>0.743</v>
      </c>
      <c r="E201" s="6" t="n">
        <v>0.959</v>
      </c>
      <c r="F201" s="6" t="n">
        <v>1.526</v>
      </c>
      <c r="G201" s="6" t="n">
        <v>0.251</v>
      </c>
      <c r="H201" s="7" t="n">
        <v>91.90000000000001</v>
      </c>
      <c r="I201" s="6" t="n">
        <v>1.057</v>
      </c>
      <c r="J201">
        <f>IF(A201&lt;=$M$1,"cal","val")</f>
        <v/>
      </c>
    </row>
    <row r="202">
      <c r="A202" s="5" t="n">
        <v>2001</v>
      </c>
      <c r="B202" s="5" t="n">
        <v>6</v>
      </c>
      <c r="C202" s="6" t="n">
        <v>4.161</v>
      </c>
      <c r="D202" s="6" t="n">
        <v>-1.198</v>
      </c>
      <c r="E202" s="6" t="n">
        <v>-0.212</v>
      </c>
      <c r="F202" s="6" t="n">
        <v>-0.518</v>
      </c>
      <c r="G202" s="6" t="n">
        <v>-2.013</v>
      </c>
      <c r="H202" s="7" t="n">
        <v>30</v>
      </c>
      <c r="I202" s="6" t="n">
        <v>-0.948</v>
      </c>
      <c r="J202">
        <f>IF(A202&lt;=$M$1,"cal","val")</f>
        <v/>
      </c>
    </row>
    <row r="203">
      <c r="A203" s="5" t="n">
        <v>2001</v>
      </c>
      <c r="B203" s="5" t="n">
        <v>7</v>
      </c>
      <c r="C203" s="6" t="n">
        <v>2.29</v>
      </c>
      <c r="D203" s="6" t="n">
        <v>0.175</v>
      </c>
      <c r="E203" s="6" t="n">
        <v>0.437</v>
      </c>
      <c r="F203" s="6" t="n">
        <v>0.392</v>
      </c>
      <c r="G203" s="6" t="n">
        <v>-0.137</v>
      </c>
      <c r="H203" s="7" t="n">
        <v>63.5</v>
      </c>
      <c r="I203" s="6" t="n">
        <v>0.165</v>
      </c>
      <c r="J203">
        <f>IF(A203&lt;=$M$1,"cal","val")</f>
        <v/>
      </c>
    </row>
    <row r="204">
      <c r="A204" s="5" t="n">
        <v>2001</v>
      </c>
      <c r="B204" s="5" t="n">
        <v>8</v>
      </c>
      <c r="C204" s="6" t="n">
        <v>1.156</v>
      </c>
      <c r="D204" s="6" t="n">
        <v>-0.155</v>
      </c>
      <c r="E204" s="6" t="n">
        <v>-0.384</v>
      </c>
      <c r="F204" s="6" t="n">
        <v>-0.518</v>
      </c>
      <c r="G204" s="6" t="n">
        <v>-2.345</v>
      </c>
      <c r="H204" s="7" t="n">
        <v>9.6</v>
      </c>
      <c r="I204" s="6" t="n">
        <v>-0.253</v>
      </c>
      <c r="J204">
        <f>IF(A204&lt;=$M$1,"cal","val")</f>
        <v/>
      </c>
    </row>
    <row r="205">
      <c r="A205" s="5" t="n">
        <v>2001</v>
      </c>
      <c r="B205" s="5" t="n">
        <v>9</v>
      </c>
      <c r="C205" s="6" t="n">
        <v>1.267</v>
      </c>
      <c r="D205" s="6" t="n">
        <v>-0.54</v>
      </c>
      <c r="E205" s="6" t="n">
        <v>-0.529</v>
      </c>
      <c r="F205" s="6" t="n">
        <v>-0.785</v>
      </c>
      <c r="G205" s="6" t="n">
        <v>-0.843</v>
      </c>
      <c r="H205" s="7" t="n">
        <v>65.09999999999999</v>
      </c>
      <c r="I205" s="6" t="n">
        <v>0.481</v>
      </c>
      <c r="J205">
        <f>IF(A205&lt;=$M$1,"cal","val")</f>
        <v/>
      </c>
    </row>
    <row r="206">
      <c r="A206" s="5" t="n">
        <v>2002</v>
      </c>
      <c r="B206" s="5" t="n">
        <v>6</v>
      </c>
      <c r="C206" s="6" t="n">
        <v>3.191</v>
      </c>
      <c r="D206" s="6" t="n">
        <v>-0.551</v>
      </c>
      <c r="E206" s="6" t="n">
        <v>0.309</v>
      </c>
      <c r="F206" s="6" t="n">
        <v>0.101</v>
      </c>
      <c r="G206" s="6" t="n">
        <v>0.117</v>
      </c>
      <c r="H206" s="7" t="n">
        <v>21.9</v>
      </c>
      <c r="I206" s="6" t="n">
        <v>-0.332</v>
      </c>
      <c r="J206">
        <f>IF(A206&lt;=$M$1,"cal","val")</f>
        <v/>
      </c>
    </row>
    <row r="207">
      <c r="A207" s="5" t="n">
        <v>2002</v>
      </c>
      <c r="B207" s="5" t="n">
        <v>7</v>
      </c>
      <c r="C207" s="6" t="n">
        <v>-2.225</v>
      </c>
      <c r="D207" s="6" t="n">
        <v>0.145</v>
      </c>
      <c r="E207" s="6" t="n">
        <v>-0.789</v>
      </c>
      <c r="F207" s="6" t="n">
        <v>-0.597</v>
      </c>
      <c r="G207" s="6" t="n">
        <v>-0.704</v>
      </c>
      <c r="H207" s="7" t="n">
        <v>41.9</v>
      </c>
      <c r="I207" s="6" t="n">
        <v>0.405</v>
      </c>
      <c r="J207">
        <f>IF(A207&lt;=$M$1,"cal","val")</f>
        <v/>
      </c>
    </row>
    <row r="208">
      <c r="A208" s="5" t="n">
        <v>2002</v>
      </c>
      <c r="B208" s="5" t="n">
        <v>8</v>
      </c>
      <c r="C208" s="6" t="n">
        <v>3.02</v>
      </c>
      <c r="D208" s="6" t="n">
        <v>-0.954</v>
      </c>
      <c r="E208" s="6" t="n">
        <v>0.062</v>
      </c>
      <c r="F208" s="6" t="n">
        <v>0.059</v>
      </c>
      <c r="G208" s="6" t="n">
        <v>-1.032</v>
      </c>
      <c r="H208" s="7" t="n">
        <v>29.2</v>
      </c>
      <c r="I208" s="6" t="n">
        <v>-0.479</v>
      </c>
      <c r="J208">
        <f>IF(A208&lt;=$M$1,"cal","val")</f>
        <v/>
      </c>
    </row>
    <row r="209">
      <c r="A209" s="5" t="n">
        <v>2002</v>
      </c>
      <c r="B209" s="5" t="n">
        <v>9</v>
      </c>
      <c r="C209" s="6" t="n">
        <v>1.095</v>
      </c>
      <c r="D209" s="6" t="n">
        <v>0.302</v>
      </c>
      <c r="E209" s="6" t="n">
        <v>1.706</v>
      </c>
      <c r="F209" s="6" t="n">
        <v>1.745</v>
      </c>
      <c r="G209" s="6" t="n">
        <v>1.271</v>
      </c>
      <c r="H209" s="7" t="n">
        <v>59.8</v>
      </c>
      <c r="I209" s="6" t="n">
        <v>-0.959</v>
      </c>
      <c r="J209">
        <f>IF(A209&lt;=$M$1,"cal","val")</f>
        <v/>
      </c>
    </row>
    <row r="210">
      <c r="A210" s="5" t="n">
        <v>2003</v>
      </c>
      <c r="B210" s="5" t="n">
        <v>6</v>
      </c>
      <c r="C210" s="6" t="n">
        <v>1.954</v>
      </c>
      <c r="D210" s="6" t="n">
        <v>-1.193</v>
      </c>
      <c r="E210" s="6" t="n">
        <v>-0.954</v>
      </c>
      <c r="F210" s="6" t="n">
        <v>-0.782</v>
      </c>
      <c r="G210" s="6" t="n">
        <v>-3.315</v>
      </c>
      <c r="H210" s="7" t="n">
        <v>42</v>
      </c>
      <c r="I210" s="6" t="n">
        <v>1.068</v>
      </c>
      <c r="J210">
        <f>IF(A210&lt;=$M$1,"cal","val")</f>
        <v/>
      </c>
    </row>
    <row r="211">
      <c r="A211" s="5" t="n">
        <v>2003</v>
      </c>
      <c r="B211" s="5" t="n">
        <v>7</v>
      </c>
      <c r="C211" s="6" t="n">
        <v>0.346</v>
      </c>
      <c r="D211" s="6" t="n">
        <v>-1.447</v>
      </c>
      <c r="E211" s="6" t="n">
        <v>0.345</v>
      </c>
      <c r="F211" s="6" t="n">
        <v>0.629</v>
      </c>
      <c r="G211" s="6" t="n">
        <v>-1.44</v>
      </c>
      <c r="H211" s="7" t="n">
        <v>116.6</v>
      </c>
      <c r="I211" s="6" t="n">
        <v>0.573</v>
      </c>
      <c r="J211">
        <f>IF(A211&lt;=$M$1,"cal","val")</f>
        <v/>
      </c>
    </row>
    <row r="212">
      <c r="A212" s="5" t="n">
        <v>2003</v>
      </c>
      <c r="B212" s="5" t="n">
        <v>8</v>
      </c>
      <c r="C212" s="6" t="n">
        <v>1.939</v>
      </c>
      <c r="D212" s="6" t="n">
        <v>-0.911</v>
      </c>
      <c r="E212" s="6" t="n">
        <v>-0.674</v>
      </c>
      <c r="F212" s="6" t="n">
        <v>-0.748</v>
      </c>
      <c r="G212" s="6" t="n">
        <v>1.156</v>
      </c>
      <c r="H212" s="7" t="n">
        <v>58.5</v>
      </c>
      <c r="I212" s="6" t="n">
        <v>0.514</v>
      </c>
      <c r="J212">
        <f>IF(A212&lt;=$M$1,"cal","val")</f>
        <v/>
      </c>
    </row>
    <row r="213">
      <c r="A213" s="5" t="n">
        <v>2003</v>
      </c>
      <c r="B213" s="5" t="n">
        <v>9</v>
      </c>
      <c r="C213" s="6" t="n">
        <v>2.382</v>
      </c>
      <c r="D213" s="6" t="n">
        <v>-0.491</v>
      </c>
      <c r="E213" s="6" t="n">
        <v>-0.378</v>
      </c>
      <c r="F213" s="6" t="n">
        <v>-0.608</v>
      </c>
      <c r="G213" s="6" t="n">
        <v>-0.225</v>
      </c>
      <c r="H213" s="7" t="n">
        <v>59.4</v>
      </c>
      <c r="I213" s="6" t="n">
        <v>0.957</v>
      </c>
      <c r="J213">
        <f>IF(A213&lt;=$M$1,"cal","val")</f>
        <v/>
      </c>
    </row>
    <row r="214">
      <c r="A214" s="5" t="n">
        <v>2004</v>
      </c>
      <c r="B214" s="5" t="n">
        <v>6</v>
      </c>
      <c r="C214" s="6" t="n">
        <v>0.352</v>
      </c>
      <c r="D214" s="6" t="n">
        <v>0.5639999999999999</v>
      </c>
      <c r="E214" s="6" t="n">
        <v>2.543</v>
      </c>
      <c r="F214" s="6" t="n">
        <v>2.448</v>
      </c>
      <c r="G214" s="6" t="n">
        <v>1.749</v>
      </c>
      <c r="H214" s="7" t="n">
        <v>179.8</v>
      </c>
      <c r="I214" s="6" t="n">
        <v>-1.06</v>
      </c>
      <c r="J214">
        <f>IF(A214&lt;=$M$1,"cal","val")</f>
        <v/>
      </c>
    </row>
    <row r="215">
      <c r="A215" s="5" t="n">
        <v>2004</v>
      </c>
      <c r="B215" s="5" t="n">
        <v>7</v>
      </c>
      <c r="C215" s="6" t="n">
        <v>2.014</v>
      </c>
      <c r="D215" s="6" t="n">
        <v>-1.117</v>
      </c>
      <c r="E215" s="6" t="n">
        <v>-0.311</v>
      </c>
      <c r="F215" s="6" t="n">
        <v>0.055</v>
      </c>
      <c r="G215" s="6" t="n">
        <v>-0.354</v>
      </c>
      <c r="H215" s="7" t="n">
        <v>10.4</v>
      </c>
      <c r="I215" s="6" t="n">
        <v>0.914</v>
      </c>
      <c r="J215">
        <f>IF(A215&lt;=$M$1,"cal","val")</f>
        <v/>
      </c>
    </row>
    <row r="216">
      <c r="A216" s="5" t="n">
        <v>2004</v>
      </c>
      <c r="B216" s="5" t="n">
        <v>8</v>
      </c>
      <c r="C216" s="6" t="n">
        <v>3.803</v>
      </c>
      <c r="D216" s="6" t="n">
        <v>0.405</v>
      </c>
      <c r="E216" s="6" t="n">
        <v>0.137</v>
      </c>
      <c r="F216" s="6" t="n">
        <v>-0.03</v>
      </c>
      <c r="G216" s="6" t="n">
        <v>0.231</v>
      </c>
      <c r="H216" s="7" t="n">
        <v>24.4</v>
      </c>
      <c r="I216" s="6" t="n">
        <v>-1.057</v>
      </c>
      <c r="J216">
        <f>IF(A216&lt;=$M$1,"cal","val")</f>
        <v/>
      </c>
    </row>
    <row r="217">
      <c r="A217" s="5" t="n">
        <v>2004</v>
      </c>
      <c r="B217" s="5" t="n">
        <v>9</v>
      </c>
      <c r="C217" s="6" t="n">
        <v>-2.818</v>
      </c>
      <c r="D217" s="6" t="n">
        <v>1.375</v>
      </c>
      <c r="E217" s="6" t="n">
        <v>1.73</v>
      </c>
      <c r="F217" s="6" t="n">
        <v>1.695</v>
      </c>
      <c r="G217" s="6" t="n">
        <v>3.15</v>
      </c>
      <c r="H217" s="7" t="n">
        <v>113.3</v>
      </c>
      <c r="I217" s="6" t="n">
        <v>0.381</v>
      </c>
      <c r="J217">
        <f>IF(A217&lt;=$M$1,"cal","val")</f>
        <v/>
      </c>
    </row>
    <row r="218">
      <c r="A218" s="5" t="n">
        <v>2005</v>
      </c>
      <c r="B218" s="5" t="n">
        <v>6</v>
      </c>
      <c r="C218" s="6" t="n">
        <v>0.831</v>
      </c>
      <c r="D218" s="6" t="n">
        <v>1.331</v>
      </c>
      <c r="E218" s="6" t="n">
        <v>1.495</v>
      </c>
      <c r="F218" s="6" t="n">
        <v>1.538</v>
      </c>
      <c r="G218" s="6" t="n">
        <v>1.249</v>
      </c>
      <c r="H218" s="7" t="n">
        <v>101.1</v>
      </c>
      <c r="I218" s="6" t="n">
        <v>-0.179</v>
      </c>
      <c r="J218">
        <f>IF(A218&lt;=$M$1,"cal","val")</f>
        <v/>
      </c>
    </row>
    <row r="219">
      <c r="A219" s="5" t="n">
        <v>2005</v>
      </c>
      <c r="B219" s="5" t="n">
        <v>7</v>
      </c>
      <c r="C219" s="6" t="n">
        <v>0.339</v>
      </c>
      <c r="D219" s="6" t="n">
        <v>0.393</v>
      </c>
      <c r="E219" s="6" t="n">
        <v>0.911</v>
      </c>
      <c r="F219" s="6" t="n">
        <v>1.164</v>
      </c>
      <c r="G219" s="6" t="n">
        <v>0.04</v>
      </c>
      <c r="H219" s="7" t="n">
        <v>67.5</v>
      </c>
      <c r="I219" s="6" t="n">
        <v>0.272</v>
      </c>
      <c r="J219">
        <f>IF(A219&lt;=$M$1,"cal","val")</f>
        <v/>
      </c>
    </row>
    <row r="220">
      <c r="A220" s="5" t="n">
        <v>2005</v>
      </c>
      <c r="B220" s="5" t="n">
        <v>8</v>
      </c>
      <c r="C220" s="6" t="n">
        <v>-0.871</v>
      </c>
      <c r="D220" s="6" t="n">
        <v>-0.189</v>
      </c>
      <c r="E220" s="6" t="n">
        <v>1.628</v>
      </c>
      <c r="F220" s="6" t="n">
        <v>1.165</v>
      </c>
      <c r="G220" s="6" t="n">
        <v>1.36</v>
      </c>
      <c r="H220" s="7" t="n">
        <v>50.6</v>
      </c>
      <c r="I220" s="6" t="n">
        <v>0.697</v>
      </c>
      <c r="J220">
        <f>IF(A220&lt;=$M$1,"cal","val")</f>
        <v/>
      </c>
    </row>
    <row r="221">
      <c r="A221" s="5" t="n">
        <v>2005</v>
      </c>
      <c r="B221" s="5" t="n">
        <v>9</v>
      </c>
      <c r="C221" s="6" t="n">
        <v>1.347</v>
      </c>
      <c r="D221" s="6" t="n">
        <v>0.018</v>
      </c>
      <c r="E221" s="6" t="n">
        <v>0.487</v>
      </c>
      <c r="F221" s="6" t="n">
        <v>0.974</v>
      </c>
      <c r="G221" s="6" t="n">
        <v>0.058</v>
      </c>
      <c r="H221" s="7" t="n">
        <v>36.9</v>
      </c>
      <c r="I221" s="6" t="n">
        <v>0.021</v>
      </c>
      <c r="J221">
        <f>IF(A221&lt;=$M$1,"cal","val")</f>
        <v/>
      </c>
    </row>
    <row r="222">
      <c r="A222" s="5" t="n">
        <v>2006</v>
      </c>
      <c r="B222" s="5" t="n">
        <v>6</v>
      </c>
      <c r="C222" s="6" t="n">
        <v>-2.071</v>
      </c>
      <c r="D222" s="6" t="n">
        <v>0.005</v>
      </c>
      <c r="E222" s="6" t="n">
        <v>1.119</v>
      </c>
      <c r="F222" s="6" t="n">
        <v>1</v>
      </c>
      <c r="G222" s="6" t="n">
        <v>3.199</v>
      </c>
      <c r="H222" s="7" t="n">
        <v>33.2</v>
      </c>
      <c r="I222" s="6" t="n">
        <v>-0.921</v>
      </c>
      <c r="J222">
        <f>IF(A222&lt;=$M$1,"cal","val")</f>
        <v/>
      </c>
    </row>
    <row r="223">
      <c r="A223" s="5" t="n">
        <v>2006</v>
      </c>
      <c r="B223" s="5" t="n">
        <v>7</v>
      </c>
      <c r="C223" s="6" t="n">
        <v>0.885</v>
      </c>
      <c r="D223" s="6" t="n">
        <v>-2.225</v>
      </c>
      <c r="E223" s="6" t="n">
        <v>0.289</v>
      </c>
      <c r="F223" s="6" t="n">
        <v>0.271</v>
      </c>
      <c r="G223" s="6" t="n">
        <v>-0.8129999999999999</v>
      </c>
      <c r="H223" s="7" t="n">
        <v>22.1</v>
      </c>
      <c r="I223" s="6" t="n">
        <v>0.93</v>
      </c>
      <c r="J223">
        <f>IF(A223&lt;=$M$1,"cal","val")</f>
        <v/>
      </c>
    </row>
    <row r="224">
      <c r="A224" s="5" t="n">
        <v>2006</v>
      </c>
      <c r="B224" s="5" t="n">
        <v>8</v>
      </c>
      <c r="C224" s="6" t="n">
        <v>1.057</v>
      </c>
      <c r="D224" s="6" t="n">
        <v>-1.226</v>
      </c>
      <c r="E224" s="6" t="n">
        <v>-0.846</v>
      </c>
      <c r="F224" s="6" t="n">
        <v>-0.585</v>
      </c>
      <c r="G224" s="6" t="n">
        <v>-2.492</v>
      </c>
      <c r="H224" s="7" t="n">
        <v>30.6</v>
      </c>
      <c r="I224" s="6" t="n">
        <v>1.177</v>
      </c>
      <c r="J224">
        <f>IF(A224&lt;=$M$1,"cal","val")</f>
        <v/>
      </c>
    </row>
    <row r="225">
      <c r="A225" s="5" t="n">
        <v>2006</v>
      </c>
      <c r="B225" s="5" t="n">
        <v>9</v>
      </c>
      <c r="C225" s="6" t="n">
        <v>1.406</v>
      </c>
      <c r="D225" s="6" t="n">
        <v>1.59</v>
      </c>
      <c r="E225" s="6" t="n">
        <v>2.727</v>
      </c>
      <c r="F225" s="6" t="n">
        <v>2.334</v>
      </c>
      <c r="G225" s="6" t="n">
        <v>2.67</v>
      </c>
      <c r="H225" s="7" t="n">
        <v>105.5</v>
      </c>
      <c r="I225" s="6" t="n">
        <v>0.6850000000000001</v>
      </c>
      <c r="J225">
        <f>IF(A225&lt;=$M$1,"cal","val")</f>
        <v/>
      </c>
    </row>
    <row r="226">
      <c r="A226" s="5" t="n">
        <v>2007</v>
      </c>
      <c r="B226" s="5" t="n">
        <v>6</v>
      </c>
      <c r="C226" s="6" t="n">
        <v>0.199</v>
      </c>
      <c r="D226" s="6" t="n">
        <v>-1.252</v>
      </c>
      <c r="E226" s="6" t="n">
        <v>-0.432</v>
      </c>
      <c r="F226" s="6" t="n">
        <v>-0.331</v>
      </c>
      <c r="G226" s="6" t="n">
        <v>-1.361</v>
      </c>
      <c r="H226" s="7" t="n">
        <v>53.3</v>
      </c>
      <c r="I226" s="6" t="n">
        <v>1.037</v>
      </c>
      <c r="J226">
        <f>IF(A226&lt;=$M$1,"cal","val")</f>
        <v/>
      </c>
    </row>
    <row r="227">
      <c r="A227" s="5" t="n">
        <v>2007</v>
      </c>
      <c r="B227" s="5" t="n">
        <v>7</v>
      </c>
      <c r="C227" s="6" t="n">
        <v>-3.289</v>
      </c>
      <c r="D227" s="6" t="n">
        <v>0.704</v>
      </c>
      <c r="E227" s="6" t="n">
        <v>1.12</v>
      </c>
      <c r="F227" s="6" t="n">
        <v>1.294</v>
      </c>
      <c r="G227" s="6" t="n">
        <v>1.002</v>
      </c>
      <c r="H227" s="7" t="n">
        <v>81</v>
      </c>
      <c r="I227" s="6" t="n">
        <v>-1.763</v>
      </c>
      <c r="J227">
        <f>IF(A227&lt;=$M$1,"cal","val")</f>
        <v/>
      </c>
    </row>
    <row r="228">
      <c r="A228" s="5" t="n">
        <v>2007</v>
      </c>
      <c r="B228" s="5" t="n">
        <v>8</v>
      </c>
      <c r="C228" s="6" t="n">
        <v>-0.26</v>
      </c>
      <c r="D228" s="6" t="n">
        <v>-0.449</v>
      </c>
      <c r="E228" s="6" t="n">
        <v>-0.481</v>
      </c>
      <c r="F228" s="6" t="n">
        <v>-0.659</v>
      </c>
      <c r="G228" s="6" t="n">
        <v>-0.876</v>
      </c>
      <c r="H228" s="7" t="n">
        <v>23</v>
      </c>
      <c r="I228" s="6" t="n">
        <v>0.07199999999999999</v>
      </c>
      <c r="J228">
        <f>IF(A228&lt;=$M$1,"cal","val")</f>
        <v/>
      </c>
    </row>
    <row r="229">
      <c r="A229" s="5" t="n">
        <v>2007</v>
      </c>
      <c r="B229" s="5" t="n">
        <v>9</v>
      </c>
      <c r="C229" s="6" t="n">
        <v>-2.36</v>
      </c>
      <c r="D229" s="6" t="n">
        <v>2.336</v>
      </c>
      <c r="E229" s="6" t="n">
        <v>1.463</v>
      </c>
      <c r="F229" s="6" t="n">
        <v>1.368</v>
      </c>
      <c r="G229" s="6" t="n">
        <v>3.42</v>
      </c>
      <c r="H229" s="7" t="n">
        <v>220.1</v>
      </c>
      <c r="I229" s="6" t="n">
        <v>-0.114</v>
      </c>
      <c r="J229">
        <f>IF(A229&lt;=$M$1,"cal","val")</f>
        <v/>
      </c>
    </row>
    <row r="230">
      <c r="A230" s="5" t="n">
        <v>2008</v>
      </c>
      <c r="B230" s="5" t="n">
        <v>6</v>
      </c>
      <c r="C230" s="6" t="n">
        <v>-0.392</v>
      </c>
      <c r="D230" s="6" t="n">
        <v>-0.164</v>
      </c>
      <c r="E230" s="6" t="n">
        <v>1.798</v>
      </c>
      <c r="F230" s="6" t="n">
        <v>1.88</v>
      </c>
      <c r="G230" s="6" t="n">
        <v>0.508</v>
      </c>
      <c r="H230" s="7" t="n">
        <v>37.7</v>
      </c>
      <c r="I230" s="6" t="n">
        <v>-1.954</v>
      </c>
      <c r="J230">
        <f>IF(A230&lt;=$M$1,"cal","val")</f>
        <v/>
      </c>
    </row>
    <row r="231">
      <c r="A231" s="5" t="n">
        <v>2008</v>
      </c>
      <c r="B231" s="5" t="n">
        <v>7</v>
      </c>
      <c r="C231" s="6" t="n">
        <v>-2.376</v>
      </c>
      <c r="D231" s="6" t="n">
        <v>0.5669999999999999</v>
      </c>
      <c r="E231" s="6" t="n">
        <v>0.375</v>
      </c>
      <c r="F231" s="6" t="n">
        <v>0.488</v>
      </c>
      <c r="G231" s="6" t="n">
        <v>0.824</v>
      </c>
      <c r="H231" s="7" t="n">
        <v>95.5</v>
      </c>
      <c r="I231" s="6" t="n">
        <v>0.109</v>
      </c>
      <c r="J231">
        <f>IF(A231&lt;=$M$1,"cal","val")</f>
        <v/>
      </c>
    </row>
    <row r="232">
      <c r="A232" s="5" t="n">
        <v>2008</v>
      </c>
      <c r="B232" s="5" t="n">
        <v>8</v>
      </c>
      <c r="C232" s="6" t="n">
        <v>0.028</v>
      </c>
      <c r="D232" s="6" t="n">
        <v>-0.488</v>
      </c>
      <c r="E232" s="6" t="n">
        <v>-0.031</v>
      </c>
      <c r="F232" s="6" t="n">
        <v>-0.261</v>
      </c>
      <c r="G232" s="6" t="n">
        <v>-1.945</v>
      </c>
      <c r="H232" s="7" t="n">
        <v>47.2</v>
      </c>
      <c r="I232" s="6" t="n">
        <v>0.003</v>
      </c>
      <c r="J232">
        <f>IF(A232&lt;=$M$1,"cal","val")</f>
        <v/>
      </c>
    </row>
    <row r="233">
      <c r="A233" s="5" t="n">
        <v>2008</v>
      </c>
      <c r="B233" s="5" t="n">
        <v>9</v>
      </c>
      <c r="C233" s="6" t="n">
        <v>-3.694</v>
      </c>
      <c r="D233" s="6" t="n">
        <v>1.72</v>
      </c>
      <c r="E233" s="6" t="n">
        <v>2.883</v>
      </c>
      <c r="F233" s="6" t="n">
        <v>3.195</v>
      </c>
      <c r="G233" s="6" t="n">
        <v>3.761</v>
      </c>
      <c r="H233" s="7" t="n">
        <v>59.5</v>
      </c>
      <c r="I233" s="6" t="n">
        <v>-1.506</v>
      </c>
      <c r="J233">
        <f>IF(A233&lt;=$M$1,"cal","val")</f>
        <v/>
      </c>
    </row>
    <row r="234">
      <c r="A234" s="5" t="n">
        <v>2009</v>
      </c>
      <c r="B234" s="5" t="n">
        <v>6</v>
      </c>
      <c r="C234" s="6" t="n">
        <v>-0.632</v>
      </c>
      <c r="D234" s="6" t="n">
        <v>0.181</v>
      </c>
      <c r="E234" s="6" t="n">
        <v>-1.277</v>
      </c>
      <c r="F234" s="6" t="n">
        <v>-0.708</v>
      </c>
      <c r="G234" s="6" t="n">
        <v>-0.963</v>
      </c>
      <c r="H234" s="7" t="n">
        <v>32.6</v>
      </c>
      <c r="I234" s="6" t="n">
        <v>-0.84</v>
      </c>
      <c r="J234">
        <f>IF(A234&lt;=$M$1,"cal","val")</f>
        <v/>
      </c>
    </row>
    <row r="235">
      <c r="A235" s="5" t="n">
        <v>2009</v>
      </c>
      <c r="B235" s="5" t="n">
        <v>7</v>
      </c>
      <c r="C235" s="6" t="n">
        <v>1.835</v>
      </c>
      <c r="D235" s="6" t="n">
        <v>0.452</v>
      </c>
      <c r="E235" s="6" t="n">
        <v>1.64</v>
      </c>
      <c r="F235" s="6" t="n">
        <v>1.382</v>
      </c>
      <c r="G235" s="6" t="n">
        <v>2.784</v>
      </c>
      <c r="H235" s="7" t="n">
        <v>38.7</v>
      </c>
      <c r="I235" s="6" t="n">
        <v>0.08500000000000001</v>
      </c>
      <c r="J235">
        <f>IF(A235&lt;=$M$1,"cal","val")</f>
        <v/>
      </c>
    </row>
    <row r="236">
      <c r="A236" s="5" t="n">
        <v>2009</v>
      </c>
      <c r="B236" s="5" t="n">
        <v>8</v>
      </c>
      <c r="C236" s="6" t="n">
        <v>-0.083</v>
      </c>
      <c r="D236" s="6" t="n">
        <v>0.323</v>
      </c>
      <c r="E236" s="6" t="n">
        <v>0.784</v>
      </c>
      <c r="F236" s="6" t="n">
        <v>0.954</v>
      </c>
      <c r="G236" s="6" t="n">
        <v>0.616</v>
      </c>
      <c r="H236" s="7" t="n">
        <v>71.90000000000001</v>
      </c>
      <c r="I236" s="6" t="n">
        <v>0.602</v>
      </c>
      <c r="J236">
        <f>IF(A236&lt;=$M$1,"cal","val")</f>
        <v/>
      </c>
    </row>
    <row r="237">
      <c r="A237" s="5" t="n">
        <v>2009</v>
      </c>
      <c r="B237" s="5" t="n">
        <v>9</v>
      </c>
      <c r="C237" s="6" t="n">
        <v>-1.373</v>
      </c>
      <c r="D237" s="6" t="n">
        <v>0.803</v>
      </c>
      <c r="E237" s="6" t="n">
        <v>0.316</v>
      </c>
      <c r="F237" s="6" t="n">
        <v>0.146</v>
      </c>
      <c r="G237" s="6" t="n">
        <v>0.5580000000000001</v>
      </c>
      <c r="H237" s="7" t="n">
        <v>82.59999999999999</v>
      </c>
      <c r="I237" s="6" t="n">
        <v>0.708</v>
      </c>
      <c r="J237">
        <f>IF(A237&lt;=$M$1,"cal","val")</f>
        <v/>
      </c>
    </row>
    <row r="238">
      <c r="A238" s="5" t="n">
        <v>2010</v>
      </c>
      <c r="B238" s="5" t="n">
        <v>6</v>
      </c>
      <c r="C238" s="6" t="n">
        <v>0.102</v>
      </c>
      <c r="D238" s="6" t="n">
        <v>0.141</v>
      </c>
      <c r="E238" s="6" t="n">
        <v>1.403</v>
      </c>
      <c r="F238" s="6" t="n">
        <v>1.219</v>
      </c>
      <c r="G238" s="6" t="n">
        <v>0.837</v>
      </c>
      <c r="H238" s="7" t="n">
        <v>41.8</v>
      </c>
      <c r="I238" s="6" t="n">
        <v>-1.105</v>
      </c>
      <c r="J238">
        <f>IF(A238&lt;=$M$1,"cal","val")</f>
        <v/>
      </c>
    </row>
    <row r="239">
      <c r="A239" s="5" t="n">
        <v>2010</v>
      </c>
      <c r="B239" s="5" t="n">
        <v>7</v>
      </c>
      <c r="C239" s="6" t="n">
        <v>1.02</v>
      </c>
      <c r="D239" s="6" t="n">
        <v>-0.265</v>
      </c>
      <c r="E239" s="6" t="n">
        <v>1.407</v>
      </c>
      <c r="F239" s="6" t="n">
        <v>1.183</v>
      </c>
      <c r="G239" s="6" t="n">
        <v>1.283</v>
      </c>
      <c r="H239" s="7" t="n">
        <v>65</v>
      </c>
      <c r="I239" s="6" t="n">
        <v>-1.077</v>
      </c>
      <c r="J239">
        <f>IF(A239&lt;=$M$1,"cal","val")</f>
        <v/>
      </c>
    </row>
    <row r="240">
      <c r="A240" s="5" t="n">
        <v>2010</v>
      </c>
      <c r="B240" s="5" t="n">
        <v>8</v>
      </c>
      <c r="C240" s="6" t="n">
        <v>1.739</v>
      </c>
      <c r="D240" s="6" t="n">
        <v>-0.193</v>
      </c>
      <c r="E240" s="6" t="n">
        <v>2.911</v>
      </c>
      <c r="F240" s="6" t="n">
        <v>2.676</v>
      </c>
      <c r="G240" s="6" t="n">
        <v>1.316</v>
      </c>
      <c r="H240" s="7" t="n">
        <v>81.5</v>
      </c>
      <c r="I240" s="6" t="n">
        <v>-0.505</v>
      </c>
      <c r="J240">
        <f>IF(A240&lt;=$M$1,"cal","val")</f>
        <v/>
      </c>
    </row>
    <row r="241">
      <c r="A241" s="5" t="n">
        <v>2010</v>
      </c>
      <c r="B241" s="5" t="n">
        <v>9</v>
      </c>
      <c r="C241" s="6" t="n">
        <v>2.091</v>
      </c>
      <c r="D241" s="6" t="n">
        <v>-0.033</v>
      </c>
      <c r="E241" s="6" t="n">
        <v>1.864</v>
      </c>
      <c r="F241" s="6" t="n">
        <v>1.631</v>
      </c>
      <c r="G241" s="6" t="n">
        <v>0.773</v>
      </c>
      <c r="H241" s="7" t="n">
        <v>18.2</v>
      </c>
      <c r="I241" s="6" t="n">
        <v>-0.05</v>
      </c>
      <c r="J241">
        <f>IF(A241&lt;=$M$1,"cal","val")</f>
        <v/>
      </c>
    </row>
    <row r="242">
      <c r="A242" s="5" t="n">
        <v>2011</v>
      </c>
      <c r="B242" s="5" t="n">
        <v>6</v>
      </c>
      <c r="C242" s="6" t="n">
        <v>2.312</v>
      </c>
      <c r="D242" s="6" t="n">
        <v>-0.261</v>
      </c>
      <c r="E242" s="6" t="n">
        <v>2.11</v>
      </c>
      <c r="F242" s="6" t="n">
        <v>2.293</v>
      </c>
      <c r="G242" s="6" t="n">
        <v>0.925</v>
      </c>
      <c r="H242" s="7" t="n">
        <v>23.2</v>
      </c>
      <c r="I242" s="6" t="n">
        <v>-0.575</v>
      </c>
      <c r="J242">
        <f>IF(A242&lt;=$M$1,"cal","val")</f>
        <v/>
      </c>
    </row>
    <row r="243">
      <c r="A243" s="5" t="n">
        <v>2011</v>
      </c>
      <c r="B243" s="5" t="n">
        <v>7</v>
      </c>
      <c r="C243" s="6" t="n">
        <v>-0.107</v>
      </c>
      <c r="D243" s="6" t="n">
        <v>0.358</v>
      </c>
      <c r="E243" s="6" t="n">
        <v>3.864</v>
      </c>
      <c r="F243" s="6" t="n">
        <v>3.8</v>
      </c>
      <c r="G243" s="6" t="n">
        <v>3.247</v>
      </c>
      <c r="H243" s="7" t="n">
        <v>119.4</v>
      </c>
      <c r="I243" s="6" t="n">
        <v>-0.192</v>
      </c>
      <c r="J243">
        <f>IF(A243&lt;=$M$1,"cal","val")</f>
        <v/>
      </c>
    </row>
    <row r="244">
      <c r="A244" s="5" t="n">
        <v>2011</v>
      </c>
      <c r="B244" s="5" t="n">
        <v>8</v>
      </c>
      <c r="C244" s="6" t="n">
        <v>-0.079</v>
      </c>
      <c r="D244" s="6" t="n">
        <v>0.6879999999999999</v>
      </c>
      <c r="E244" s="6" t="n">
        <v>2.875</v>
      </c>
      <c r="F244" s="6" t="n">
        <v>2.433</v>
      </c>
      <c r="G244" s="6" t="n">
        <v>2.661</v>
      </c>
      <c r="H244" s="7" t="n">
        <v>39.1</v>
      </c>
      <c r="I244" s="6" t="n">
        <v>0.71</v>
      </c>
      <c r="J244">
        <f>IF(A244&lt;=$M$1,"cal","val")</f>
        <v/>
      </c>
    </row>
    <row r="245">
      <c r="A245" s="5" t="n">
        <v>2011</v>
      </c>
      <c r="B245" s="5" t="n">
        <v>9</v>
      </c>
      <c r="C245" s="6" t="n">
        <v>-0.029</v>
      </c>
      <c r="D245" s="6" t="n">
        <v>-0.433</v>
      </c>
      <c r="E245" s="6" t="n">
        <v>0.718</v>
      </c>
      <c r="F245" s="6" t="n">
        <v>1.068</v>
      </c>
      <c r="G245" s="6" t="n">
        <v>1.428</v>
      </c>
      <c r="H245" s="7" t="n">
        <v>45.3</v>
      </c>
      <c r="I245" s="6" t="n">
        <v>0.6840000000000001</v>
      </c>
      <c r="J245">
        <f>IF(A245&lt;=$M$1,"cal","val")</f>
        <v/>
      </c>
    </row>
    <row r="246">
      <c r="A246" s="5" t="n">
        <v>2012</v>
      </c>
      <c r="B246" s="5" t="n">
        <v>6</v>
      </c>
      <c r="C246" s="6" t="n">
        <v>-2.401</v>
      </c>
      <c r="D246" s="6" t="n">
        <v>0.327</v>
      </c>
      <c r="E246" s="6" t="n">
        <v>0.79</v>
      </c>
      <c r="F246" s="6" t="n">
        <v>1.199</v>
      </c>
      <c r="G246" s="6" t="n">
        <v>2.143</v>
      </c>
      <c r="H246" s="7" t="n">
        <v>125.5</v>
      </c>
      <c r="I246" s="6" t="n">
        <v>0.138</v>
      </c>
      <c r="J246">
        <f>IF(A246&lt;=$M$1,"cal","val")</f>
        <v/>
      </c>
    </row>
    <row r="247">
      <c r="A247" s="5" t="n">
        <v>2012</v>
      </c>
      <c r="B247" s="5" t="n">
        <v>7</v>
      </c>
      <c r="C247" s="6" t="n">
        <v>-0.774</v>
      </c>
      <c r="D247" s="6" t="n">
        <v>0.794</v>
      </c>
      <c r="E247" s="6" t="n">
        <v>1.634</v>
      </c>
      <c r="F247" s="6" t="n">
        <v>1.767</v>
      </c>
      <c r="G247" s="6" t="n">
        <v>-0.159</v>
      </c>
      <c r="H247" s="7" t="n">
        <v>106.7</v>
      </c>
      <c r="I247" s="6" t="n">
        <v>-1.141</v>
      </c>
      <c r="J247">
        <f>IF(A247&lt;=$M$1,"cal","val")</f>
        <v/>
      </c>
    </row>
    <row r="248">
      <c r="A248" s="5" t="n">
        <v>2012</v>
      </c>
      <c r="B248" s="5" t="n">
        <v>8</v>
      </c>
      <c r="C248" s="6" t="n">
        <v>0.282</v>
      </c>
      <c r="D248" s="6" t="n">
        <v>-0.154</v>
      </c>
      <c r="E248" s="6" t="n">
        <v>1.364</v>
      </c>
      <c r="F248" s="6" t="n">
        <v>1.473</v>
      </c>
      <c r="G248" s="6" t="n">
        <v>1.455</v>
      </c>
      <c r="H248" s="7" t="n">
        <v>42.3</v>
      </c>
      <c r="I248" s="6" t="n">
        <v>-0.491</v>
      </c>
      <c r="J248">
        <f>IF(A248&lt;=$M$1,"cal","val")</f>
        <v/>
      </c>
    </row>
    <row r="249">
      <c r="A249" s="5" t="n">
        <v>2012</v>
      </c>
      <c r="B249" s="5" t="n">
        <v>9</v>
      </c>
      <c r="C249" s="6" t="n">
        <v>-1.504</v>
      </c>
      <c r="D249" s="6" t="n">
        <v>0.719</v>
      </c>
      <c r="E249" s="6" t="n">
        <v>0.447</v>
      </c>
      <c r="F249" s="6" t="n">
        <v>0.347</v>
      </c>
      <c r="G249" s="6" t="n">
        <v>-0.339</v>
      </c>
      <c r="H249" s="7" t="n">
        <v>169.5</v>
      </c>
      <c r="I249" s="6" t="n">
        <v>0.5639999999999999</v>
      </c>
      <c r="J249">
        <f>IF(A249&lt;=$M$1,"cal","val")</f>
        <v/>
      </c>
    </row>
    <row r="250">
      <c r="A250" s="5" t="n">
        <v>2013</v>
      </c>
      <c r="B250" s="5" t="n">
        <v>6</v>
      </c>
      <c r="C250" s="6" t="n">
        <v>1.375</v>
      </c>
      <c r="D250" s="6" t="n">
        <v>-1.066</v>
      </c>
      <c r="E250" s="6" t="n">
        <v>1.595</v>
      </c>
      <c r="F250" s="6" t="n">
        <v>1.665</v>
      </c>
      <c r="G250" s="6" t="n">
        <v>-0.781</v>
      </c>
      <c r="H250" s="7" t="n">
        <v>35.9</v>
      </c>
      <c r="I250" s="6" t="n">
        <v>0.87</v>
      </c>
      <c r="J250">
        <f>IF(A250&lt;=$M$1,"cal","val")</f>
        <v/>
      </c>
    </row>
    <row r="251">
      <c r="A251" s="5" t="n">
        <v>2013</v>
      </c>
      <c r="B251" s="5" t="n">
        <v>7</v>
      </c>
      <c r="C251" s="6" t="n">
        <v>1.882</v>
      </c>
      <c r="D251" s="6" t="n">
        <v>-0.888</v>
      </c>
      <c r="E251" s="6" t="n">
        <v>-0.593</v>
      </c>
      <c r="F251" s="6" t="n">
        <v>-0.789</v>
      </c>
      <c r="G251" s="6" t="n">
        <v>-2.297</v>
      </c>
      <c r="H251" s="7" t="n">
        <v>67.8</v>
      </c>
      <c r="I251" s="6" t="n">
        <v>1.062</v>
      </c>
      <c r="J251">
        <f>IF(A251&lt;=$M$1,"cal","val")</f>
        <v/>
      </c>
    </row>
    <row r="252">
      <c r="A252" s="5" t="n">
        <v>2013</v>
      </c>
      <c r="B252" s="5" t="n">
        <v>8</v>
      </c>
      <c r="C252" s="6" t="n">
        <v>-0.753</v>
      </c>
      <c r="D252" s="6" t="n">
        <v>-1.634</v>
      </c>
      <c r="E252" s="6" t="n">
        <v>-1.311</v>
      </c>
      <c r="F252" s="6" t="n">
        <v>-1.207</v>
      </c>
      <c r="G252" s="6" t="n">
        <v>-0.388</v>
      </c>
      <c r="H252" s="7" t="n">
        <v>26.9</v>
      </c>
      <c r="I252" s="6" t="n">
        <v>-1.061</v>
      </c>
      <c r="J252">
        <f>IF(A252&lt;=$M$1,"cal","val")</f>
        <v/>
      </c>
    </row>
    <row r="253">
      <c r="A253" s="5" t="n">
        <v>2013</v>
      </c>
      <c r="B253" s="5" t="n">
        <v>9</v>
      </c>
      <c r="C253" s="6" t="n">
        <v>2.555</v>
      </c>
      <c r="D253" s="6" t="n">
        <v>1.692</v>
      </c>
      <c r="E253" s="6" t="n">
        <v>0.726</v>
      </c>
      <c r="F253" s="6" t="n">
        <v>0.259</v>
      </c>
      <c r="G253" s="6" t="n">
        <v>-0.145</v>
      </c>
      <c r="H253" s="7" t="n">
        <v>139.8</v>
      </c>
      <c r="I253" s="6" t="n">
        <v>-0.464</v>
      </c>
      <c r="J253">
        <f>IF(A253&lt;=$M$1,"cal","val")</f>
        <v/>
      </c>
    </row>
    <row r="254">
      <c r="A254" s="5" t="n">
        <v>2014</v>
      </c>
      <c r="B254" s="5" t="n">
        <v>6</v>
      </c>
      <c r="C254" s="6" t="n">
        <v>0.142</v>
      </c>
      <c r="D254" s="6" t="n">
        <v>0.741</v>
      </c>
      <c r="E254" s="6" t="n">
        <v>3.593</v>
      </c>
      <c r="F254" s="6" t="n">
        <v>3.153</v>
      </c>
      <c r="G254" s="6" t="n">
        <v>2.872</v>
      </c>
      <c r="H254" s="7" t="n">
        <v>135.8</v>
      </c>
      <c r="I254" s="6" t="n">
        <v>-1.21</v>
      </c>
      <c r="J254">
        <f>IF(A254&lt;=$M$1,"cal","val")</f>
        <v/>
      </c>
    </row>
    <row r="255">
      <c r="A255" s="5" t="n">
        <v>2014</v>
      </c>
      <c r="B255" s="5" t="n">
        <v>7</v>
      </c>
      <c r="C255" s="6" t="n">
        <v>1.243</v>
      </c>
      <c r="D255" s="6" t="n">
        <v>0.521</v>
      </c>
      <c r="E255" s="6" t="n">
        <v>1.485</v>
      </c>
      <c r="F255" s="6" t="n">
        <v>1.347</v>
      </c>
      <c r="G255" s="6" t="n">
        <v>2.325</v>
      </c>
      <c r="H255" s="7" t="n">
        <v>130.7</v>
      </c>
      <c r="I255" s="6" t="n">
        <v>-2.941</v>
      </c>
      <c r="J255">
        <f>IF(A255&lt;=$M$1,"cal","val")</f>
        <v/>
      </c>
    </row>
    <row r="256">
      <c r="A256" s="5" t="n">
        <v>2014</v>
      </c>
      <c r="B256" s="5" t="n">
        <v>8</v>
      </c>
      <c r="C256" s="6" t="n">
        <v>1.548</v>
      </c>
      <c r="D256" s="6" t="n">
        <v>-0.263</v>
      </c>
      <c r="E256" s="6" t="n">
        <v>-0.508</v>
      </c>
      <c r="F256" s="6" t="n">
        <v>-0.724</v>
      </c>
      <c r="G256" s="6" t="n">
        <v>-0.658</v>
      </c>
      <c r="H256" s="7" t="n">
        <v>30.6</v>
      </c>
      <c r="I256" s="6" t="n">
        <v>-1.092</v>
      </c>
      <c r="J256">
        <f>IF(A256&lt;=$M$1,"cal","val")</f>
        <v/>
      </c>
    </row>
    <row r="257">
      <c r="A257" s="5" t="n">
        <v>2014</v>
      </c>
      <c r="B257" s="5" t="n">
        <v>9</v>
      </c>
      <c r="C257" s="6" t="n">
        <v>2.743</v>
      </c>
      <c r="D257" s="6" t="n">
        <v>-1.176</v>
      </c>
      <c r="E257" s="6" t="n">
        <v>-0.708</v>
      </c>
      <c r="F257" s="6" t="n">
        <v>-0.696</v>
      </c>
      <c r="G257" s="6" t="n">
        <v>-1.573</v>
      </c>
      <c r="H257" s="7" t="n">
        <v>38.7</v>
      </c>
      <c r="I257" s="6" t="n">
        <v>-1.771</v>
      </c>
      <c r="J257">
        <f>IF(A257&lt;=$M$1,"cal","val")</f>
        <v/>
      </c>
    </row>
    <row r="258">
      <c r="A258" s="5" t="n">
        <v>2015</v>
      </c>
      <c r="B258" s="5" t="n">
        <v>6</v>
      </c>
      <c r="C258" s="6" t="n">
        <v>-3.245</v>
      </c>
      <c r="D258" s="6" t="n">
        <v>1.777</v>
      </c>
      <c r="E258" s="6" t="n">
        <v>0.583</v>
      </c>
      <c r="F258" s="6" t="n">
        <v>0.378</v>
      </c>
      <c r="G258" s="6" t="n">
        <v>1.594</v>
      </c>
      <c r="H258" s="7" t="n">
        <v>48.3</v>
      </c>
      <c r="I258" s="6" t="n">
        <v>1.394</v>
      </c>
      <c r="J258">
        <f>IF(A258&lt;=$M$1,"cal","val")</f>
        <v/>
      </c>
    </row>
    <row r="259">
      <c r="A259" s="5" t="n">
        <v>2015</v>
      </c>
      <c r="B259" s="5" t="n">
        <v>7</v>
      </c>
      <c r="C259" s="6" t="n">
        <v>-2.443</v>
      </c>
      <c r="D259" s="6" t="n">
        <v>-0.639</v>
      </c>
      <c r="E259" s="6" t="n">
        <v>-2.545</v>
      </c>
      <c r="F259" s="6" t="n">
        <v>-2.742</v>
      </c>
      <c r="G259" s="6" t="n">
        <v>-1.426</v>
      </c>
      <c r="H259" s="7" t="n">
        <v>22.5</v>
      </c>
      <c r="I259" s="6" t="n">
        <v>0.474</v>
      </c>
      <c r="J259">
        <f>IF(A259&lt;=$M$1,"cal","val")</f>
        <v/>
      </c>
    </row>
    <row r="260">
      <c r="A260" s="5" t="n">
        <v>2015</v>
      </c>
      <c r="B260" s="5" t="n">
        <v>8</v>
      </c>
      <c r="C260" s="6" t="n">
        <v>-1.48</v>
      </c>
      <c r="D260" s="6" t="n">
        <v>0.601</v>
      </c>
      <c r="E260" s="6" t="n">
        <v>1.554</v>
      </c>
      <c r="F260" s="6" t="n">
        <v>1.348</v>
      </c>
      <c r="G260" s="6" t="n">
        <v>2.098</v>
      </c>
      <c r="H260" s="7" t="n">
        <v>111.4</v>
      </c>
      <c r="I260" s="6" t="n">
        <v>-0.641</v>
      </c>
      <c r="J260">
        <f>IF(A260&lt;=$M$1,"cal","val")</f>
        <v/>
      </c>
    </row>
    <row r="261">
      <c r="A261" s="5" t="n">
        <v>2015</v>
      </c>
      <c r="B261" s="5" t="n">
        <v>9</v>
      </c>
      <c r="C261" s="6" t="n">
        <v>0.23</v>
      </c>
      <c r="D261" s="6" t="n">
        <v>-0.288</v>
      </c>
      <c r="E261" s="6" t="n">
        <v>-2.015</v>
      </c>
      <c r="F261" s="6" t="n">
        <v>-2.028</v>
      </c>
      <c r="G261" s="6" t="n">
        <v>-1.301</v>
      </c>
      <c r="H261" s="7" t="n">
        <v>50.5</v>
      </c>
      <c r="I261" s="6" t="n">
        <v>0.068</v>
      </c>
      <c r="J261">
        <f>IF(A261&lt;=$M$1,"cal","val")</f>
        <v/>
      </c>
    </row>
    <row r="262">
      <c r="A262" s="5" t="n">
        <v>2016</v>
      </c>
      <c r="B262" s="5" t="n">
        <v>6</v>
      </c>
      <c r="C262" s="6" t="n">
        <v>-3.837</v>
      </c>
      <c r="D262" s="6" t="n">
        <v>1.307</v>
      </c>
      <c r="E262" s="6" t="n">
        <v>0.6830000000000001</v>
      </c>
      <c r="F262" s="6" t="n">
        <v>0.512</v>
      </c>
      <c r="G262" s="6" t="n">
        <v>2.759</v>
      </c>
      <c r="H262" s="7" t="n">
        <v>56</v>
      </c>
      <c r="I262" s="6" t="n">
        <v>0.416</v>
      </c>
      <c r="J262">
        <f>IF(A262&lt;=$M$1,"cal","val")</f>
        <v/>
      </c>
    </row>
    <row r="263">
      <c r="A263" s="5" t="n">
        <v>2016</v>
      </c>
      <c r="B263" s="5" t="n">
        <v>7</v>
      </c>
      <c r="C263" s="6" t="n">
        <v>0.466</v>
      </c>
      <c r="D263" s="6" t="n">
        <v>0.5659999999999999</v>
      </c>
      <c r="E263" s="6" t="n">
        <v>1.756</v>
      </c>
      <c r="F263" s="6" t="n">
        <v>2.15</v>
      </c>
      <c r="G263" s="6" t="n">
        <v>1.232</v>
      </c>
      <c r="H263" s="7" t="n">
        <v>49.8</v>
      </c>
      <c r="I263" s="6" t="n">
        <v>1.752</v>
      </c>
      <c r="J263">
        <f>IF(A263&lt;=$M$1,"cal","val")</f>
        <v/>
      </c>
    </row>
    <row r="264">
      <c r="A264" s="5" t="n">
        <v>2016</v>
      </c>
      <c r="B264" s="5" t="n">
        <v>8</v>
      </c>
      <c r="C264" s="6" t="n">
        <v>1.9</v>
      </c>
      <c r="D264" s="6" t="n">
        <v>0.458</v>
      </c>
      <c r="E264" s="6" t="n">
        <v>1.307</v>
      </c>
      <c r="F264" s="6" t="n">
        <v>1.215</v>
      </c>
      <c r="G264" s="6" t="n">
        <v>0.273</v>
      </c>
      <c r="H264" s="7" t="n">
        <v>133.7</v>
      </c>
      <c r="I264" s="6" t="n">
        <v>0.778</v>
      </c>
      <c r="J264">
        <f>IF(A264&lt;=$M$1,"cal","val")</f>
        <v/>
      </c>
    </row>
    <row r="265">
      <c r="A265" s="5" t="n">
        <v>2016</v>
      </c>
      <c r="B265" s="5" t="n">
        <v>9</v>
      </c>
      <c r="C265" s="6" t="n">
        <v>-0.177</v>
      </c>
      <c r="D265" s="6" t="n">
        <v>-0.847</v>
      </c>
      <c r="E265" s="6" t="n">
        <v>1.875</v>
      </c>
      <c r="F265" s="6" t="n">
        <v>1.516</v>
      </c>
      <c r="G265" s="6" t="n">
        <v>0.878</v>
      </c>
      <c r="H265" s="7" t="n">
        <v>17.7</v>
      </c>
      <c r="I265" s="6" t="n">
        <v>1.528</v>
      </c>
      <c r="J265">
        <f>IF(A265&lt;=$M$1,"cal","val")</f>
        <v/>
      </c>
    </row>
    <row r="266">
      <c r="A266" s="5" t="n">
        <v>2017</v>
      </c>
      <c r="B266" s="5" t="n">
        <v>6</v>
      </c>
      <c r="C266" s="6" t="n">
        <v>1.137</v>
      </c>
      <c r="D266" s="6" t="n">
        <v>0.626</v>
      </c>
      <c r="E266" s="6" t="n">
        <v>0.724</v>
      </c>
      <c r="F266" s="6" t="n">
        <v>0.629</v>
      </c>
      <c r="G266" s="6" t="n">
        <v>0.447</v>
      </c>
      <c r="H266" s="7" t="n">
        <v>50.5</v>
      </c>
      <c r="I266" s="6" t="n">
        <v>0.489</v>
      </c>
      <c r="J266">
        <f>IF(A266&lt;=$M$1,"cal","val")</f>
        <v/>
      </c>
    </row>
    <row r="267">
      <c r="A267" s="5" t="n">
        <v>2017</v>
      </c>
      <c r="B267" s="5" t="n">
        <v>7</v>
      </c>
      <c r="C267" s="6" t="n">
        <v>0.19</v>
      </c>
      <c r="D267" s="6" t="n">
        <v>0.61</v>
      </c>
      <c r="E267" s="6" t="n">
        <v>0.206</v>
      </c>
      <c r="F267" s="6" t="n">
        <v>0.326</v>
      </c>
      <c r="G267" s="6" t="n">
        <v>0.743</v>
      </c>
      <c r="H267" s="7" t="n">
        <v>84.7</v>
      </c>
      <c r="I267" s="6" t="n">
        <v>1.306</v>
      </c>
      <c r="J267">
        <f>IF(A267&lt;=$M$1,"cal","val")</f>
        <v/>
      </c>
    </row>
    <row r="268">
      <c r="A268" s="5" t="n">
        <v>2017</v>
      </c>
      <c r="B268" s="5" t="n">
        <v>8</v>
      </c>
      <c r="C268" s="6" t="n">
        <v>-2.023</v>
      </c>
      <c r="D268" s="6" t="n">
        <v>-0.162</v>
      </c>
      <c r="E268" s="6" t="n">
        <v>-0.525</v>
      </c>
      <c r="F268" s="6" t="n">
        <v>-0.388</v>
      </c>
      <c r="G268" s="6" t="n">
        <v>0.253</v>
      </c>
      <c r="H268" s="7" t="n">
        <v>101.6</v>
      </c>
      <c r="I268" s="6" t="n">
        <v>1.448</v>
      </c>
      <c r="J268">
        <f>IF(A268&lt;=$M$1,"cal","val")</f>
        <v/>
      </c>
    </row>
    <row r="269">
      <c r="A269" s="5" t="n">
        <v>2017</v>
      </c>
      <c r="B269" s="5" t="n">
        <v>9</v>
      </c>
      <c r="C269" s="6" t="n">
        <v>2.549</v>
      </c>
      <c r="D269" s="6" t="n">
        <v>-0.994</v>
      </c>
      <c r="E269" s="6" t="n">
        <v>-0.175</v>
      </c>
      <c r="F269" s="6" t="n">
        <v>0.368</v>
      </c>
      <c r="G269" s="6" t="n">
        <v>-1.957</v>
      </c>
      <c r="H269" s="7" t="n">
        <v>29.6</v>
      </c>
      <c r="I269" s="6" t="n">
        <v>0.9360000000000001</v>
      </c>
      <c r="J269">
        <f>IF(A269&lt;=$M$1,"cal","val")</f>
        <v/>
      </c>
    </row>
    <row r="270">
      <c r="A270" s="5" t="n">
        <v>2018</v>
      </c>
      <c r="B270" s="5" t="n">
        <v>6</v>
      </c>
      <c r="C270" s="6" t="n">
        <v>0.001</v>
      </c>
      <c r="D270" s="6" t="n">
        <v>0.367</v>
      </c>
      <c r="E270" s="6" t="n">
        <v>0.786</v>
      </c>
      <c r="F270" s="6" t="n">
        <v>0.838</v>
      </c>
      <c r="G270" s="6" t="n">
        <v>0.658</v>
      </c>
      <c r="H270" s="7" t="n">
        <v>105</v>
      </c>
      <c r="I270" s="6" t="n">
        <v>0.038</v>
      </c>
      <c r="J270">
        <f>IF(A270&lt;=$M$1,"cal","val")</f>
        <v/>
      </c>
    </row>
    <row r="271">
      <c r="A271" s="5" t="n">
        <v>2018</v>
      </c>
      <c r="B271" s="5" t="n">
        <v>7</v>
      </c>
      <c r="C271" s="6" t="n">
        <v>0.723</v>
      </c>
      <c r="D271" s="6" t="n">
        <v>-1.576</v>
      </c>
      <c r="E271" s="6" t="n">
        <v>-0.037</v>
      </c>
      <c r="F271" s="6" t="n">
        <v>-0.171</v>
      </c>
      <c r="G271" s="6" t="n">
        <v>-1.232</v>
      </c>
      <c r="H271" s="7" t="n">
        <v>14.5</v>
      </c>
      <c r="I271" s="6" t="n">
        <v>1.101</v>
      </c>
      <c r="J271">
        <f>IF(A271&lt;=$M$1,"cal","val")</f>
        <v/>
      </c>
    </row>
    <row r="272">
      <c r="A272" s="5" t="n">
        <v>2018</v>
      </c>
      <c r="B272" s="5" t="n">
        <v>8</v>
      </c>
      <c r="C272" s="6" t="n">
        <v>1.356</v>
      </c>
      <c r="D272" s="6" t="n">
        <v>-1.345</v>
      </c>
      <c r="E272" s="6" t="n">
        <v>0.227</v>
      </c>
      <c r="F272" s="6" t="n">
        <v>0.39</v>
      </c>
      <c r="G272" s="6" t="n">
        <v>-1.502</v>
      </c>
      <c r="H272" s="7" t="n">
        <v>15.4</v>
      </c>
      <c r="I272" s="6" t="n">
        <v>-0.387</v>
      </c>
      <c r="J272">
        <f>IF(A272&lt;=$M$1,"cal","val")</f>
        <v/>
      </c>
    </row>
    <row r="273">
      <c r="A273" s="5" t="n">
        <v>2018</v>
      </c>
      <c r="B273" s="5" t="n">
        <v>9</v>
      </c>
      <c r="C273" s="6" t="n">
        <v>2.227</v>
      </c>
      <c r="D273" s="6" t="n">
        <v>-0.348</v>
      </c>
      <c r="E273" s="6" t="n">
        <v>0.154</v>
      </c>
      <c r="F273" s="6" t="n">
        <v>0.116</v>
      </c>
      <c r="G273" s="6" t="n">
        <v>0.479</v>
      </c>
      <c r="H273" s="7" t="n">
        <v>43</v>
      </c>
      <c r="I273" s="6" t="n">
        <v>1.434</v>
      </c>
      <c r="J273">
        <f>IF(A273&lt;=$M$1,"cal","val")</f>
        <v/>
      </c>
    </row>
    <row r="274">
      <c r="A274" s="5" t="n">
        <v>2019</v>
      </c>
      <c r="B274" s="5" t="n">
        <v>6</v>
      </c>
      <c r="C274" s="6" t="n">
        <v>-2.759</v>
      </c>
      <c r="D274" s="6" t="n">
        <v>0.909</v>
      </c>
      <c r="E274" s="6" t="n">
        <v>1.647</v>
      </c>
      <c r="F274" s="6" t="n">
        <v>1.787</v>
      </c>
      <c r="G274" s="6" t="n">
        <v>1.607</v>
      </c>
      <c r="H274" s="7" t="n">
        <v>211.8</v>
      </c>
      <c r="I274" s="6" t="n">
        <v>-0.267</v>
      </c>
      <c r="J274">
        <f>IF(A274&lt;=$M$1,"cal","val")</f>
        <v/>
      </c>
    </row>
    <row r="275">
      <c r="A275" s="5" t="n">
        <v>2019</v>
      </c>
      <c r="B275" s="5" t="n">
        <v>7</v>
      </c>
      <c r="C275" s="6" t="n">
        <v>-1.247</v>
      </c>
      <c r="D275" s="6" t="n">
        <v>0.174</v>
      </c>
      <c r="E275" s="6" t="n">
        <v>1.854</v>
      </c>
      <c r="F275" s="6" t="n">
        <v>1.518</v>
      </c>
      <c r="G275" s="6" t="n">
        <v>2.544</v>
      </c>
      <c r="H275" s="7" t="n">
        <v>36.1</v>
      </c>
      <c r="I275" s="6" t="n">
        <v>-0.674</v>
      </c>
      <c r="J275">
        <f>IF(A275&lt;=$M$1,"cal","val")</f>
        <v/>
      </c>
    </row>
    <row r="276">
      <c r="A276" s="5" t="n">
        <v>2019</v>
      </c>
      <c r="B276" s="5" t="n">
        <v>8</v>
      </c>
      <c r="C276" s="6" t="n">
        <v>-1.023</v>
      </c>
      <c r="D276" s="6" t="n">
        <v>0.168</v>
      </c>
      <c r="E276" s="6" t="n">
        <v>1.942</v>
      </c>
      <c r="F276" s="6" t="n">
        <v>1.409</v>
      </c>
      <c r="G276" s="6" t="n">
        <v>3.756</v>
      </c>
      <c r="H276" s="7" t="n">
        <v>64.7</v>
      </c>
      <c r="I276" s="6" t="n">
        <v>1.891</v>
      </c>
      <c r="J276">
        <f>IF(A276&lt;=$M$1,"cal","val")</f>
        <v/>
      </c>
    </row>
    <row r="277">
      <c r="A277" s="5" t="n">
        <v>2019</v>
      </c>
      <c r="B277" s="5" t="n">
        <v>9</v>
      </c>
      <c r="C277" s="6" t="n">
        <v>2.847</v>
      </c>
      <c r="D277" s="6" t="n">
        <v>-0.905</v>
      </c>
      <c r="E277" s="6" t="n">
        <v>-0.708</v>
      </c>
      <c r="F277" s="6" t="n">
        <v>-0.743</v>
      </c>
      <c r="G277" s="6" t="n">
        <v>-0.901</v>
      </c>
      <c r="H277" s="7" t="n">
        <v>38.7</v>
      </c>
      <c r="I277" s="6" t="n">
        <v>-0.404</v>
      </c>
      <c r="J277">
        <f>IF(A277&lt;=$M$1,"cal","val")</f>
        <v/>
      </c>
    </row>
    <row r="278">
      <c r="A278" s="5" t="n">
        <v>2020</v>
      </c>
      <c r="B278" s="5" t="n">
        <v>6</v>
      </c>
      <c r="C278" s="6" t="n">
        <v>-0.949</v>
      </c>
      <c r="D278" s="6" t="n">
        <v>0.002</v>
      </c>
      <c r="E278" s="6" t="n">
        <v>2.145</v>
      </c>
      <c r="F278" s="6" t="n">
        <v>2.363</v>
      </c>
      <c r="G278" s="6" t="n">
        <v>2.201</v>
      </c>
      <c r="H278" s="7" t="n">
        <v>130</v>
      </c>
      <c r="I278" s="6" t="n">
        <v>0.17</v>
      </c>
      <c r="J278">
        <f>IF(A278&lt;=$M$1,"cal","val")</f>
        <v/>
      </c>
    </row>
    <row r="279">
      <c r="A279" s="5" t="n">
        <v>2020</v>
      </c>
      <c r="B279" s="5" t="n">
        <v>7</v>
      </c>
      <c r="C279" s="6" t="n">
        <v>-0.866</v>
      </c>
      <c r="D279" s="6" t="n">
        <v>-0.332</v>
      </c>
      <c r="E279" s="6" t="n">
        <v>0.496</v>
      </c>
      <c r="F279" s="6" t="n">
        <v>0.492</v>
      </c>
      <c r="G279" s="6" t="n">
        <v>2.111</v>
      </c>
      <c r="H279" s="7" t="n">
        <v>75.90000000000001</v>
      </c>
      <c r="I279" s="6" t="n">
        <v>-1.056</v>
      </c>
      <c r="J279">
        <f>IF(A279&lt;=$M$1,"cal","val")</f>
        <v/>
      </c>
    </row>
    <row r="280">
      <c r="A280" s="5" t="n">
        <v>2020</v>
      </c>
      <c r="B280" s="5" t="n">
        <v>8</v>
      </c>
      <c r="C280" s="6" t="n">
        <v>-1.202</v>
      </c>
      <c r="D280" s="6" t="n">
        <v>0.378</v>
      </c>
      <c r="E280" s="6" t="n">
        <v>0.663</v>
      </c>
      <c r="F280" s="6" t="n">
        <v>0.527</v>
      </c>
      <c r="G280" s="6" t="n">
        <v>1.467</v>
      </c>
      <c r="H280" s="7" t="n">
        <v>46.7</v>
      </c>
      <c r="I280" s="6" t="n">
        <v>-0.6919999999999999</v>
      </c>
      <c r="J280">
        <f>IF(A280&lt;=$M$1,"cal","val")</f>
        <v/>
      </c>
    </row>
    <row r="281">
      <c r="A281" s="5" t="n">
        <v>2020</v>
      </c>
      <c r="B281" s="5" t="n">
        <v>9</v>
      </c>
      <c r="C281" s="6" t="n">
        <v>-0.191</v>
      </c>
      <c r="D281" s="6" t="n">
        <v>-0.455</v>
      </c>
      <c r="E281" s="6" t="n">
        <v>1.232</v>
      </c>
      <c r="F281" s="6" t="n">
        <v>1.267</v>
      </c>
      <c r="G281" s="6" t="n">
        <v>-1.611</v>
      </c>
      <c r="H281" s="7" t="n">
        <v>31.2</v>
      </c>
      <c r="I281" s="6" t="n">
        <v>-0.332</v>
      </c>
      <c r="J281">
        <f>IF(A281&lt;=$M$1,"cal","val")</f>
        <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N39"/>
  <sheetViews>
    <sheetView workbookViewId="0">
      <pane ySplit="3" topLeftCell="A4" activePane="bottomLeft" state="frozen"/>
      <selection pane="bottomLeft" activeCell="A1" sqref="A1"/>
    </sheetView>
  </sheetViews>
  <sheetFormatPr baseColWidth="8" defaultRowHeight="15"/>
  <cols>
    <col width="8" customWidth="1" min="1" max="1"/>
    <col width="11" customWidth="1" min="2" max="2"/>
    <col width="11" customWidth="1" min="3" max="3"/>
    <col width="10" customWidth="1" min="4" max="4"/>
    <col width="10" customWidth="1" min="5" max="5"/>
    <col width="14" customWidth="1" min="6" max="6"/>
    <col width="11" customWidth="1" min="7" max="7"/>
    <col width="10" customWidth="1" min="8" max="8"/>
    <col width="14" customWidth="1" min="9" max="9"/>
    <col width="10" customWidth="1" min="10" max="10"/>
    <col width="3" customWidth="1" min="11" max="11"/>
    <col width="38" customWidth="1" min="12" max="12"/>
    <col width="12" customWidth="1" min="13" max="13"/>
    <col width="60" customWidth="1" min="14" max="14"/>
  </cols>
  <sheetData>
    <row r="1">
      <c r="A1" s="8" t="inlineStr">
        <is>
          <t>Simple linear regression by hand: Tmax anomaly (y) on humidity anomaly (x), n = 15 annual values (synthetic)</t>
        </is>
      </c>
    </row>
    <row r="2">
      <c r="L2" s="9" t="inlineStr">
        <is>
          <t>Step-by-step results (labels in L, values in M, notes in N)</t>
        </is>
      </c>
    </row>
    <row r="3">
      <c r="A3" s="4" t="inlineStr">
        <is>
          <t>year</t>
        </is>
      </c>
      <c r="B3" s="4" t="inlineStr">
        <is>
          <t>x: q [g/kg]</t>
        </is>
      </c>
      <c r="C3" s="4" t="inlineStr">
        <is>
          <t>y: Tmax [C]</t>
        </is>
      </c>
      <c r="D3" s="4" t="inlineStr">
        <is>
          <t>x - xbar</t>
        </is>
      </c>
      <c r="E3" s="4" t="inlineStr">
        <is>
          <t>y - ybar</t>
        </is>
      </c>
      <c r="F3" s="4" t="inlineStr">
        <is>
          <t>(x-xbar)(y-ybar)</t>
        </is>
      </c>
      <c r="G3" s="4" t="inlineStr">
        <is>
          <t>(x-xbar)^2</t>
        </is>
      </c>
      <c r="H3" s="4" t="inlineStr">
        <is>
          <t>fitted y</t>
        </is>
      </c>
      <c r="I3" s="4" t="inlineStr">
        <is>
          <t>residual e = y - fitted</t>
        </is>
      </c>
      <c r="J3" s="4" t="inlineStr">
        <is>
          <t>e^2</t>
        </is>
      </c>
      <c r="L3" t="inlineStr">
        <is>
          <t>alpha (two-sided)</t>
        </is>
      </c>
      <c r="M3" s="10" t="n">
        <v>0.05</v>
      </c>
      <c r="N3" t="inlineStr">
        <is>
          <t>Significance level; blue = you may change</t>
        </is>
      </c>
    </row>
    <row r="4">
      <c r="A4" s="5" t="n">
        <v>2006</v>
      </c>
      <c r="B4" s="5" t="n">
        <v>0</v>
      </c>
      <c r="C4" s="5" t="n">
        <v>0.52</v>
      </c>
      <c r="D4" s="11">
        <f>B4-$M$6</f>
        <v/>
      </c>
      <c r="E4" s="11">
        <f>C4-$M$7</f>
        <v/>
      </c>
      <c r="F4" s="11">
        <f>D4*E4</f>
        <v/>
      </c>
      <c r="G4" s="11">
        <f>D4^2</f>
        <v/>
      </c>
      <c r="H4" s="11">
        <f>$M$11+$M$10*B4</f>
        <v/>
      </c>
      <c r="I4" s="11">
        <f>C4-H4</f>
        <v/>
      </c>
      <c r="J4" s="11">
        <f>I4^2</f>
        <v/>
      </c>
      <c r="L4" t="inlineStr">
        <is>
          <t>x0: new predictor value</t>
        </is>
      </c>
      <c r="M4" s="10" t="n">
        <v>0.5</v>
      </c>
      <c r="N4" t="inlineStr">
        <is>
          <t>A GCM humidity anomaly to downscale [g/kg]</t>
        </is>
      </c>
    </row>
    <row r="5">
      <c r="A5" s="5" t="n">
        <v>2007</v>
      </c>
      <c r="B5" s="5" t="n">
        <v>0.18</v>
      </c>
      <c r="C5" s="5" t="n">
        <v>-0.44</v>
      </c>
      <c r="D5" s="11">
        <f>B5-$M$6</f>
        <v/>
      </c>
      <c r="E5" s="11">
        <f>C5-$M$7</f>
        <v/>
      </c>
      <c r="F5" s="11">
        <f>D5*E5</f>
        <v/>
      </c>
      <c r="G5" s="11">
        <f>D5^2</f>
        <v/>
      </c>
      <c r="H5" s="11">
        <f>$M$11+$M$10*B5</f>
        <v/>
      </c>
      <c r="I5" s="11">
        <f>C5-H5</f>
        <v/>
      </c>
      <c r="J5" s="11">
        <f>I5^2</f>
        <v/>
      </c>
      <c r="L5" t="inlineStr">
        <is>
          <t>n</t>
        </is>
      </c>
      <c r="M5" s="12">
        <f>COUNT($B$4:$B$18)</f>
        <v/>
      </c>
    </row>
    <row r="6">
      <c r="A6" s="5" t="n">
        <v>2008</v>
      </c>
      <c r="B6" s="5" t="n">
        <v>-0.16</v>
      </c>
      <c r="C6" s="5" t="n">
        <v>-0.41</v>
      </c>
      <c r="D6" s="11">
        <f>B6-$M$6</f>
        <v/>
      </c>
      <c r="E6" s="11">
        <f>C6-$M$7</f>
        <v/>
      </c>
      <c r="F6" s="11">
        <f>D6*E6</f>
        <v/>
      </c>
      <c r="G6" s="11">
        <f>D6^2</f>
        <v/>
      </c>
      <c r="H6" s="11">
        <f>$M$11+$M$10*B6</f>
        <v/>
      </c>
      <c r="I6" s="11">
        <f>C6-H6</f>
        <v/>
      </c>
      <c r="J6" s="11">
        <f>I6^2</f>
        <v/>
      </c>
      <c r="L6" t="inlineStr">
        <is>
          <t>mean of x</t>
        </is>
      </c>
      <c r="M6" s="11">
        <f>AVERAGE($B$4:$B$18)</f>
        <v/>
      </c>
    </row>
    <row r="7">
      <c r="A7" s="5" t="n">
        <v>2009</v>
      </c>
      <c r="B7" s="5" t="n">
        <v>-0.53</v>
      </c>
      <c r="C7" s="5" t="n">
        <v>-1.84</v>
      </c>
      <c r="D7" s="11">
        <f>B7-$M$6</f>
        <v/>
      </c>
      <c r="E7" s="11">
        <f>C7-$M$7</f>
        <v/>
      </c>
      <c r="F7" s="11">
        <f>D7*E7</f>
        <v/>
      </c>
      <c r="G7" s="11">
        <f>D7^2</f>
        <v/>
      </c>
      <c r="H7" s="11">
        <f>$M$11+$M$10*B7</f>
        <v/>
      </c>
      <c r="I7" s="11">
        <f>C7-H7</f>
        <v/>
      </c>
      <c r="J7" s="11">
        <f>I7^2</f>
        <v/>
      </c>
      <c r="L7" t="inlineStr">
        <is>
          <t>mean of y</t>
        </is>
      </c>
      <c r="M7" s="11">
        <f>AVERAGE($C$4:$C$18)</f>
        <v/>
      </c>
    </row>
    <row r="8">
      <c r="A8" s="5" t="n">
        <v>2010</v>
      </c>
      <c r="B8" s="5" t="n">
        <v>-0.27</v>
      </c>
      <c r="C8" s="5" t="n">
        <v>-1.08</v>
      </c>
      <c r="D8" s="11">
        <f>B8-$M$6</f>
        <v/>
      </c>
      <c r="E8" s="11">
        <f>C8-$M$7</f>
        <v/>
      </c>
      <c r="F8" s="11">
        <f>D8*E8</f>
        <v/>
      </c>
      <c r="G8" s="11">
        <f>D8^2</f>
        <v/>
      </c>
      <c r="H8" s="11">
        <f>$M$11+$M$10*B8</f>
        <v/>
      </c>
      <c r="I8" s="11">
        <f>C8-H8</f>
        <v/>
      </c>
      <c r="J8" s="11">
        <f>I8^2</f>
        <v/>
      </c>
      <c r="L8" t="inlineStr">
        <is>
          <t>Sxy = sum (x-xbar)(y-ybar)</t>
        </is>
      </c>
      <c r="M8" s="11">
        <f>SUM(F4:F18)</f>
        <v/>
      </c>
      <c r="N8" t="inlineStr">
        <is>
          <t>numerator of the slope</t>
        </is>
      </c>
    </row>
    <row r="9">
      <c r="A9" s="5" t="n">
        <v>2011</v>
      </c>
      <c r="B9" s="5" t="n">
        <v>-0.59</v>
      </c>
      <c r="C9" s="5" t="n">
        <v>-1.89</v>
      </c>
      <c r="D9" s="11">
        <f>B9-$M$6</f>
        <v/>
      </c>
      <c r="E9" s="11">
        <f>C9-$M$7</f>
        <v/>
      </c>
      <c r="F9" s="11">
        <f>D9*E9</f>
        <v/>
      </c>
      <c r="G9" s="11">
        <f>D9^2</f>
        <v/>
      </c>
      <c r="H9" s="11">
        <f>$M$11+$M$10*B9</f>
        <v/>
      </c>
      <c r="I9" s="11">
        <f>C9-H9</f>
        <v/>
      </c>
      <c r="J9" s="11">
        <f>I9^2</f>
        <v/>
      </c>
      <c r="L9" t="inlineStr">
        <is>
          <t>Sxx = sum (x-xbar)^2</t>
        </is>
      </c>
      <c r="M9" s="11">
        <f>SUM(G4:G18)</f>
        <v/>
      </c>
      <c r="N9" t="inlineStr">
        <is>
          <t>denominator of the slope</t>
        </is>
      </c>
    </row>
    <row r="10">
      <c r="A10" s="5" t="n">
        <v>2012</v>
      </c>
      <c r="B10" s="5" t="n">
        <v>0.04</v>
      </c>
      <c r="C10" s="5" t="n">
        <v>0.02</v>
      </c>
      <c r="D10" s="11">
        <f>B10-$M$6</f>
        <v/>
      </c>
      <c r="E10" s="11">
        <f>C10-$M$7</f>
        <v/>
      </c>
      <c r="F10" s="11">
        <f>D10*E10</f>
        <v/>
      </c>
      <c r="G10" s="11">
        <f>D10^2</f>
        <v/>
      </c>
      <c r="H10" s="11">
        <f>$M$11+$M$10*B10</f>
        <v/>
      </c>
      <c r="I10" s="11">
        <f>C10-H10</f>
        <v/>
      </c>
      <c r="J10" s="11">
        <f>I10^2</f>
        <v/>
      </c>
      <c r="L10" t="inlineStr">
        <is>
          <t>slope b1 = Sxy/Sxx</t>
        </is>
      </c>
      <c r="M10" s="13">
        <f>$M$8/$M$9</f>
        <v/>
      </c>
      <c r="N10" t="inlineStr">
        <is>
          <t>normal equation 2 solved: cov(x,y)/var(x)</t>
        </is>
      </c>
    </row>
    <row r="11">
      <c r="A11" s="5" t="n">
        <v>2013</v>
      </c>
      <c r="B11" s="5" t="n">
        <v>0.8</v>
      </c>
      <c r="C11" s="5" t="n">
        <v>0.54</v>
      </c>
      <c r="D11" s="11">
        <f>B11-$M$6</f>
        <v/>
      </c>
      <c r="E11" s="11">
        <f>C11-$M$7</f>
        <v/>
      </c>
      <c r="F11" s="11">
        <f>D11*E11</f>
        <v/>
      </c>
      <c r="G11" s="11">
        <f>D11^2</f>
        <v/>
      </c>
      <c r="H11" s="11">
        <f>$M$11+$M$10*B11</f>
        <v/>
      </c>
      <c r="I11" s="11">
        <f>C11-H11</f>
        <v/>
      </c>
      <c r="J11" s="11">
        <f>I11^2</f>
        <v/>
      </c>
      <c r="L11" t="inlineStr">
        <is>
          <t>intercept b0 = ybar - b1 xbar</t>
        </is>
      </c>
      <c r="M11" s="13">
        <f>$M$7-$M$10*$M$6</f>
        <v/>
      </c>
      <c r="N11" t="inlineStr">
        <is>
          <t>normal equation 1: the line passes through (xbar, ybar)</t>
        </is>
      </c>
    </row>
    <row r="12">
      <c r="A12" s="5" t="n">
        <v>2014</v>
      </c>
      <c r="B12" s="5" t="n">
        <v>-0.3</v>
      </c>
      <c r="C12" s="5" t="n">
        <v>-0.19</v>
      </c>
      <c r="D12" s="11">
        <f>B12-$M$6</f>
        <v/>
      </c>
      <c r="E12" s="11">
        <f>C12-$M$7</f>
        <v/>
      </c>
      <c r="F12" s="11">
        <f>D12*E12</f>
        <v/>
      </c>
      <c r="G12" s="11">
        <f>D12^2</f>
        <v/>
      </c>
      <c r="H12" s="11">
        <f>$M$11+$M$10*B12</f>
        <v/>
      </c>
      <c r="I12" s="11">
        <f>C12-H12</f>
        <v/>
      </c>
      <c r="J12" s="11">
        <f>I12^2</f>
        <v/>
      </c>
      <c r="L12" t="inlineStr">
        <is>
          <t>check: SLOPE()</t>
        </is>
      </c>
      <c r="M12" s="11">
        <f>SLOPE($C$4:$C$18,$B$4:$B$18)</f>
        <v/>
      </c>
      <c r="N12" t="inlineStr">
        <is>
          <t>built-in function, must equal b1</t>
        </is>
      </c>
    </row>
    <row r="13">
      <c r="A13" s="5" t="n">
        <v>2015</v>
      </c>
      <c r="B13" s="5" t="n">
        <v>-0.37</v>
      </c>
      <c r="C13" s="5" t="n">
        <v>-0.36</v>
      </c>
      <c r="D13" s="11">
        <f>B13-$M$6</f>
        <v/>
      </c>
      <c r="E13" s="11">
        <f>C13-$M$7</f>
        <v/>
      </c>
      <c r="F13" s="11">
        <f>D13*E13</f>
        <v/>
      </c>
      <c r="G13" s="11">
        <f>D13^2</f>
        <v/>
      </c>
      <c r="H13" s="11">
        <f>$M$11+$M$10*B13</f>
        <v/>
      </c>
      <c r="I13" s="11">
        <f>C13-H13</f>
        <v/>
      </c>
      <c r="J13" s="11">
        <f>I13^2</f>
        <v/>
      </c>
      <c r="L13" t="inlineStr">
        <is>
          <t>check: INTERCEPT()</t>
        </is>
      </c>
      <c r="M13" s="11">
        <f>INTERCEPT($C$4:$C$18,$B$4:$B$18)</f>
        <v/>
      </c>
      <c r="N13" t="inlineStr">
        <is>
          <t>must equal b0</t>
        </is>
      </c>
    </row>
    <row r="14">
      <c r="A14" s="5" t="n">
        <v>2016</v>
      </c>
      <c r="B14" s="5" t="n">
        <v>0.29</v>
      </c>
      <c r="C14" s="5" t="n">
        <v>0.42</v>
      </c>
      <c r="D14" s="11">
        <f>B14-$M$6</f>
        <v/>
      </c>
      <c r="E14" s="11">
        <f>C14-$M$7</f>
        <v/>
      </c>
      <c r="F14" s="11">
        <f>D14*E14</f>
        <v/>
      </c>
      <c r="G14" s="11">
        <f>D14^2</f>
        <v/>
      </c>
      <c r="H14" s="11">
        <f>$M$11+$M$10*B14</f>
        <v/>
      </c>
      <c r="I14" s="11">
        <f>C14-H14</f>
        <v/>
      </c>
      <c r="J14" s="11">
        <f>I14^2</f>
        <v/>
      </c>
      <c r="L14" t="inlineStr">
        <is>
          <t>SSE = sum e^2</t>
        </is>
      </c>
      <c r="M14" s="11">
        <f>SUM(J4:J18)</f>
        <v/>
      </c>
      <c r="N14" t="inlineStr">
        <is>
          <t>unexplained sum of squares</t>
        </is>
      </c>
    </row>
    <row r="15">
      <c r="A15" s="5" t="n">
        <v>2017</v>
      </c>
      <c r="B15" s="5" t="n">
        <v>0.21</v>
      </c>
      <c r="C15" s="5" t="n">
        <v>-1.1</v>
      </c>
      <c r="D15" s="11">
        <f>B15-$M$6</f>
        <v/>
      </c>
      <c r="E15" s="11">
        <f>C15-$M$7</f>
        <v/>
      </c>
      <c r="F15" s="11">
        <f>D15*E15</f>
        <v/>
      </c>
      <c r="G15" s="11">
        <f>D15^2</f>
        <v/>
      </c>
      <c r="H15" s="11">
        <f>$M$11+$M$10*B15</f>
        <v/>
      </c>
      <c r="I15" s="11">
        <f>C15-H15</f>
        <v/>
      </c>
      <c r="J15" s="11">
        <f>I15^2</f>
        <v/>
      </c>
      <c r="L15" t="inlineStr">
        <is>
          <t>SST = sum (y-ybar)^2</t>
        </is>
      </c>
      <c r="M15" s="11">
        <f>SUMPRODUCT(E4:E18,E4:E18)</f>
        <v/>
      </c>
      <c r="N15" t="inlineStr">
        <is>
          <t>total sum of squares</t>
        </is>
      </c>
    </row>
    <row r="16">
      <c r="A16" s="5" t="n">
        <v>2018</v>
      </c>
      <c r="B16" s="5" t="n">
        <v>0.06</v>
      </c>
      <c r="C16" s="5" t="n">
        <v>-0.13</v>
      </c>
      <c r="D16" s="11">
        <f>B16-$M$6</f>
        <v/>
      </c>
      <c r="E16" s="11">
        <f>C16-$M$7</f>
        <v/>
      </c>
      <c r="F16" s="11">
        <f>D16*E16</f>
        <v/>
      </c>
      <c r="G16" s="11">
        <f>D16^2</f>
        <v/>
      </c>
      <c r="H16" s="11">
        <f>$M$11+$M$10*B16</f>
        <v/>
      </c>
      <c r="I16" s="11">
        <f>C16-H16</f>
        <v/>
      </c>
      <c r="J16" s="11">
        <f>I16^2</f>
        <v/>
      </c>
      <c r="L16" t="inlineStr">
        <is>
          <t>SSR = SST - SSE</t>
        </is>
      </c>
      <c r="M16" s="11">
        <f>$M$15-$M$14</f>
        <v/>
      </c>
      <c r="N16" t="inlineStr">
        <is>
          <t>explained sum of squares</t>
        </is>
      </c>
    </row>
    <row r="17">
      <c r="A17" s="5" t="n">
        <v>2019</v>
      </c>
      <c r="B17" s="5" t="n">
        <v>-0.5600000000000001</v>
      </c>
      <c r="C17" s="5" t="n">
        <v>-0.77</v>
      </c>
      <c r="D17" s="11">
        <f>B17-$M$6</f>
        <v/>
      </c>
      <c r="E17" s="11">
        <f>C17-$M$7</f>
        <v/>
      </c>
      <c r="F17" s="11">
        <f>D17*E17</f>
        <v/>
      </c>
      <c r="G17" s="11">
        <f>D17^2</f>
        <v/>
      </c>
      <c r="H17" s="11">
        <f>$M$11+$M$10*B17</f>
        <v/>
      </c>
      <c r="I17" s="11">
        <f>C17-H17</f>
        <v/>
      </c>
      <c r="J17" s="11">
        <f>I17^2</f>
        <v/>
      </c>
      <c r="L17" t="inlineStr">
        <is>
          <t>R2 = SSR/SST</t>
        </is>
      </c>
      <c r="M17" s="13">
        <f>$M$16/$M$15</f>
        <v/>
      </c>
      <c r="N17" t="inlineStr">
        <is>
          <t>fraction of the variance of y explained by x</t>
        </is>
      </c>
    </row>
    <row r="18">
      <c r="A18" s="5" t="n">
        <v>2020</v>
      </c>
      <c r="B18" s="5" t="n">
        <v>-0.02</v>
      </c>
      <c r="C18" s="5" t="n">
        <v>0.14</v>
      </c>
      <c r="D18" s="11">
        <f>B18-$M$6</f>
        <v/>
      </c>
      <c r="E18" s="11">
        <f>C18-$M$7</f>
        <v/>
      </c>
      <c r="F18" s="11">
        <f>D18*E18</f>
        <v/>
      </c>
      <c r="G18" s="11">
        <f>D18^2</f>
        <v/>
      </c>
      <c r="H18" s="11">
        <f>$M$11+$M$10*B18</f>
        <v/>
      </c>
      <c r="I18" s="11">
        <f>C18-H18</f>
        <v/>
      </c>
      <c r="J18" s="11">
        <f>I18^2</f>
        <v/>
      </c>
      <c r="L18" t="inlineStr">
        <is>
          <t>check: RSQ()</t>
        </is>
      </c>
      <c r="M18" s="11">
        <f>RSQ($C$4:$C$18,$B$4:$B$18)</f>
        <v/>
      </c>
      <c r="N18" t="inlineStr">
        <is>
          <t>must equal R2</t>
        </is>
      </c>
    </row>
    <row r="19">
      <c r="A19" s="9" t="inlineStr">
        <is>
          <t>sum</t>
        </is>
      </c>
      <c r="D19" s="11">
        <f>SUM(D4:D18)</f>
        <v/>
      </c>
      <c r="E19" s="11">
        <f>SUM(E4:E18)</f>
        <v/>
      </c>
      <c r="F19" s="11">
        <f>SUM(F4:F18)</f>
        <v/>
      </c>
      <c r="G19" s="11">
        <f>SUM(G4:G18)</f>
        <v/>
      </c>
      <c r="I19" s="11">
        <f>SUM(I4:I18)</f>
        <v/>
      </c>
      <c r="J19" s="11">
        <f>SUM(J4:J18)</f>
        <v/>
      </c>
      <c r="L19" t="inlineStr">
        <is>
          <t>correlation r = CORREL</t>
        </is>
      </c>
      <c r="M19" s="11">
        <f>CORREL($B$4:$B$18,$C$4:$C$18)</f>
        <v/>
      </c>
      <c r="N19" t="inlineStr">
        <is>
          <t>r^2 = R2 for one predictor</t>
        </is>
      </c>
    </row>
    <row r="20">
      <c r="A20" t="inlineStr">
        <is>
          <t>The residuals sum to 0 and are orthogonal to x: these are the two normal equations.</t>
        </is>
      </c>
      <c r="L20" t="inlineStr">
        <is>
          <t>degrees of freedom n-2</t>
        </is>
      </c>
      <c r="M20" s="12">
        <f>$M$5-2</f>
        <v/>
      </c>
      <c r="N20" t="inlineStr">
        <is>
          <t>two parameters were estimated</t>
        </is>
      </c>
    </row>
    <row r="21">
      <c r="L21" t="inlineStr">
        <is>
          <t>s_e^2 = SSE/(n-2)</t>
        </is>
      </c>
      <c r="M21" s="11">
        <f>$M$14/$M$20</f>
        <v/>
      </c>
      <c r="N21" t="inlineStr">
        <is>
          <t>residual variance estimate [C^2]</t>
        </is>
      </c>
    </row>
    <row r="22">
      <c r="L22" t="inlineStr">
        <is>
          <t>s_e = sqrt(s_e^2)</t>
        </is>
      </c>
      <c r="M22" s="11">
        <f>SQRT($M$21)</f>
        <v/>
      </c>
      <c r="N22" t="inlineStr">
        <is>
          <t>residual standard error [C]</t>
        </is>
      </c>
    </row>
    <row r="23">
      <c r="L23" t="inlineStr">
        <is>
          <t>SE(b1) = s_e/sqrt(Sxx)</t>
        </is>
      </c>
      <c r="M23" s="11">
        <f>SQRT($M$21/$M$9)</f>
        <v/>
      </c>
      <c r="N23" t="inlineStr">
        <is>
          <t>standard error of the slope</t>
        </is>
      </c>
    </row>
    <row r="24">
      <c r="L24" t="inlineStr">
        <is>
          <t>SE(b0)</t>
        </is>
      </c>
      <c r="M24" s="11">
        <f>SQRT($M$21*(1/$M$5+$M$6^2/$M$9))</f>
        <v/>
      </c>
      <c r="N24" t="inlineStr">
        <is>
          <t>standard error of the intercept</t>
        </is>
      </c>
    </row>
    <row r="25">
      <c r="L25" t="inlineStr">
        <is>
          <t>t = b1/SE(b1)</t>
        </is>
      </c>
      <c r="M25" s="14">
        <f>$M$10/$M$23</f>
        <v/>
      </c>
      <c r="N25" t="inlineStr">
        <is>
          <t>test of H0: slope = 0</t>
        </is>
      </c>
    </row>
    <row r="26">
      <c r="L26" t="inlineStr">
        <is>
          <t>t critical, T.INV.2T(alpha, n-2)</t>
        </is>
      </c>
      <c r="M26" s="15">
        <f>T.INV.2T($M$3,$M$20)</f>
        <v/>
      </c>
      <c r="N26" t="inlineStr">
        <is>
          <t>small sample: a t quantile, not 1.96</t>
        </is>
      </c>
    </row>
    <row r="27">
      <c r="L27" t="inlineStr">
        <is>
          <t>p-value, T.DIST.2T(|t|, n-2)</t>
        </is>
      </c>
      <c r="M27" s="13">
        <f>T.DIST.2T(ABS($M$25),$M$20)</f>
        <v/>
      </c>
      <c r="N27" t="inlineStr">
        <is>
          <t>reject H0 if p &lt; alpha, i.e. |t| &gt; t critical</t>
        </is>
      </c>
    </row>
    <row r="28">
      <c r="L28" t="inlineStr">
        <is>
          <t>F = SSR / (SSE/(n-2))</t>
        </is>
      </c>
      <c r="M28" s="14">
        <f>$M$16/($M$14/$M$20)</f>
        <v/>
      </c>
      <c r="N28" t="inlineStr">
        <is>
          <t>ANOVA F-test with 1 and n-2 degrees of freedom</t>
        </is>
      </c>
    </row>
    <row r="29">
      <c r="L29" t="inlineStr">
        <is>
          <t>p-value of F, F.DIST.RT(F,1,n-2)</t>
        </is>
      </c>
      <c r="M29" s="11">
        <f>F.DIST.RT($M$28,1,$M$20)</f>
        <v/>
      </c>
      <c r="N29" t="inlineStr">
        <is>
          <t>equals the t-test p-value</t>
        </is>
      </c>
    </row>
    <row r="30">
      <c r="L30" t="inlineStr">
        <is>
          <t>check: t^2</t>
        </is>
      </c>
      <c r="M30" s="15">
        <f>$M$25^2</f>
        <v/>
      </c>
      <c r="N30" t="inlineStr">
        <is>
          <t>for one predictor F = t^2</t>
        </is>
      </c>
    </row>
    <row r="31">
      <c r="L31" t="inlineStr">
        <is>
          <t>CI of slope: lower</t>
        </is>
      </c>
      <c r="M31" s="11">
        <f>$M$10-$M$26*$M$23</f>
        <v/>
      </c>
      <c r="N31" t="inlineStr">
        <is>
          <t>b1 -/+ t_crit SE(b1)</t>
        </is>
      </c>
    </row>
    <row r="32">
      <c r="L32" t="inlineStr">
        <is>
          <t>CI of slope: upper</t>
        </is>
      </c>
      <c r="M32" s="11">
        <f>$M$10+$M$26*$M$23</f>
        <v/>
      </c>
    </row>
    <row r="33">
      <c r="L33" t="inlineStr">
        <is>
          <t>predicted y at x0</t>
        </is>
      </c>
      <c r="M33" s="13">
        <f>$M$11+$M$10*$M$4</f>
        <v/>
      </c>
      <c r="N33" t="inlineStr">
        <is>
          <t>the downscaled value</t>
        </is>
      </c>
    </row>
    <row r="34">
      <c r="L34" t="inlineStr">
        <is>
          <t>SE of the mean response at x0</t>
        </is>
      </c>
      <c r="M34" s="11">
        <f>SQRT($M$21*(1/$M$5+($M$4-$M$6)^2/$M$9))</f>
        <v/>
      </c>
      <c r="N34" t="inlineStr">
        <is>
          <t>uncertainty of the line</t>
        </is>
      </c>
    </row>
    <row r="35">
      <c r="L35" t="inlineStr">
        <is>
          <t>SE of a new observation at x0</t>
        </is>
      </c>
      <c r="M35" s="11">
        <f>SQRT($M$21*(1+1/$M$5+($M$4-$M$6)^2/$M$9))</f>
        <v/>
      </c>
      <c r="N35" t="inlineStr">
        <is>
          <t>adds the residual noise (the '1')</t>
        </is>
      </c>
    </row>
    <row r="36">
      <c r="L36" t="inlineStr">
        <is>
          <t>confidence interval at x0: lower</t>
        </is>
      </c>
      <c r="M36" s="11">
        <f>$M$33-$M$26*$M$34</f>
        <v/>
      </c>
      <c r="N36" t="inlineStr">
        <is>
          <t>where the true mean Tmax lies</t>
        </is>
      </c>
    </row>
    <row r="37">
      <c r="L37" t="inlineStr">
        <is>
          <t>confidence interval at x0: upper</t>
        </is>
      </c>
      <c r="M37" s="11">
        <f>$M$33+$M$26*$M$34</f>
        <v/>
      </c>
    </row>
    <row r="38">
      <c r="L38" t="inlineStr">
        <is>
          <t>prediction interval at x0: lower</t>
        </is>
      </c>
      <c r="M38" s="13">
        <f>$M$33-$M$26*$M$35</f>
        <v/>
      </c>
      <c r="N38" t="inlineStr">
        <is>
          <t>where an individual year will fall</t>
        </is>
      </c>
    </row>
    <row r="39">
      <c r="L39" t="inlineStr">
        <is>
          <t>prediction interval at x0: upper</t>
        </is>
      </c>
      <c r="M39" s="13">
        <f>$M$33+$M$26*$M$35</f>
        <v/>
      </c>
    </row>
  </sheetData>
  <pageMargins left="0.75" right="0.75" top="1" bottom="1" header="0.5" footer="0.5"/>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Q165"/>
  <sheetViews>
    <sheetView workbookViewId="0">
      <pane ySplit="5" topLeftCell="A6"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1" customWidth="1" min="5" max="5"/>
    <col width="10" customWidth="1" min="6" max="6"/>
    <col width="12" customWidth="1" min="7" max="7"/>
    <col width="10" customWidth="1" min="8" max="8"/>
    <col width="3" customWidth="1" min="9" max="9"/>
    <col width="10" customWidth="1" min="10" max="10"/>
    <col width="34" customWidth="1" min="11" max="11"/>
    <col width="12" customWidth="1" min="12" max="12"/>
    <col width="12" customWidth="1" min="13" max="13"/>
    <col width="12" customWidth="1" min="14" max="14"/>
    <col width="12" customWidth="1" min="15" max="15"/>
    <col width="10" customWidth="1" min="16" max="16"/>
    <col width="12" customWidth="1" min="17" max="17"/>
  </cols>
  <sheetData>
    <row r="1">
      <c r="A1" s="8" t="inlineStr">
        <is>
          <t>Multiple regression on the calibration months (1951-1990, 160 rows): Tmax ~ slp + q + t850</t>
        </is>
      </c>
    </row>
    <row r="2">
      <c r="A2" t="inlineStr">
        <is>
          <t>Left: design matrix X (first column = 1 for the intercept) and the fit. Right: matrix algebra step by step, then LINEST as a check.</t>
        </is>
      </c>
    </row>
    <row r="4">
      <c r="K4" s="9" t="inlineStr">
        <is>
          <t>Normal equations in matrix form</t>
        </is>
      </c>
    </row>
    <row r="5">
      <c r="A5" s="4" t="inlineStr">
        <is>
          <t>1 (intercept)</t>
        </is>
      </c>
      <c r="B5" s="4" t="inlineStr">
        <is>
          <t>slp [hPa]</t>
        </is>
      </c>
      <c r="C5" s="4" t="inlineStr">
        <is>
          <t>q [g/kg]</t>
        </is>
      </c>
      <c r="D5" s="4" t="inlineStr">
        <is>
          <t>t850 [C]</t>
        </is>
      </c>
      <c r="E5" s="4" t="inlineStr">
        <is>
          <t>y: Tmax [C]</t>
        </is>
      </c>
      <c r="F5" s="4" t="inlineStr">
        <is>
          <t>fitted y</t>
        </is>
      </c>
      <c r="G5" s="4" t="inlineStr">
        <is>
          <t>e = y - fitted</t>
        </is>
      </c>
      <c r="H5" s="4" t="inlineStr">
        <is>
          <t>e^2</t>
        </is>
      </c>
      <c r="K5" s="9" t="inlineStr">
        <is>
          <t>X'X (4 x 4)</t>
        </is>
      </c>
    </row>
    <row r="6">
      <c r="A6" s="5" t="n">
        <v>1</v>
      </c>
      <c r="B6" s="15">
        <f>Data!C2</f>
        <v/>
      </c>
      <c r="C6" s="15">
        <f>Data!D2</f>
        <v/>
      </c>
      <c r="D6" s="15">
        <f>Data!E2</f>
        <v/>
      </c>
      <c r="E6" s="15">
        <f>Data!G2</f>
        <v/>
      </c>
      <c r="F6" s="15">
        <f>SUMPRODUCT(A6:D6,$K$29:$N$29)</f>
        <v/>
      </c>
      <c r="G6" s="15">
        <f>E6-F6</f>
        <v/>
      </c>
      <c r="H6" s="15">
        <f>G6^2</f>
        <v/>
      </c>
      <c r="K6" s="16">
        <f t="array" ref="K6:N9">MMULT(TRANSPOSE($A$6:$D$165),$A$6:$D$165)</f>
        <v/>
      </c>
      <c r="L6" s="16" t="n"/>
      <c r="M6" s="16" t="n"/>
      <c r="N6" s="16" t="n"/>
    </row>
    <row r="7">
      <c r="A7" s="5" t="n">
        <v>1</v>
      </c>
      <c r="B7" s="15">
        <f>Data!C3</f>
        <v/>
      </c>
      <c r="C7" s="15">
        <f>Data!D3</f>
        <v/>
      </c>
      <c r="D7" s="15">
        <f>Data!E3</f>
        <v/>
      </c>
      <c r="E7" s="15">
        <f>Data!G3</f>
        <v/>
      </c>
      <c r="F7" s="15">
        <f>SUMPRODUCT(A7:D7,$K$29:$N$29)</f>
        <v/>
      </c>
      <c r="G7" s="15">
        <f>E7-F7</f>
        <v/>
      </c>
      <c r="H7" s="15">
        <f>G7^2</f>
        <v/>
      </c>
      <c r="K7" s="16" t="n"/>
      <c r="L7" s="16" t="n"/>
      <c r="M7" s="16" t="n"/>
      <c r="N7" s="16" t="n"/>
    </row>
    <row r="8">
      <c r="A8" s="5" t="n">
        <v>1</v>
      </c>
      <c r="B8" s="15">
        <f>Data!C4</f>
        <v/>
      </c>
      <c r="C8" s="15">
        <f>Data!D4</f>
        <v/>
      </c>
      <c r="D8" s="15">
        <f>Data!E4</f>
        <v/>
      </c>
      <c r="E8" s="15">
        <f>Data!G4</f>
        <v/>
      </c>
      <c r="F8" s="15">
        <f>SUMPRODUCT(A8:D8,$K$29:$N$29)</f>
        <v/>
      </c>
      <c r="G8" s="15">
        <f>E8-F8</f>
        <v/>
      </c>
      <c r="H8" s="15">
        <f>G8^2</f>
        <v/>
      </c>
      <c r="K8" s="16" t="n"/>
      <c r="L8" s="16" t="n"/>
      <c r="M8" s="16" t="n"/>
      <c r="N8" s="16" t="n"/>
    </row>
    <row r="9">
      <c r="A9" s="5" t="n">
        <v>1</v>
      </c>
      <c r="B9" s="15">
        <f>Data!C5</f>
        <v/>
      </c>
      <c r="C9" s="15">
        <f>Data!D5</f>
        <v/>
      </c>
      <c r="D9" s="15">
        <f>Data!E5</f>
        <v/>
      </c>
      <c r="E9" s="15">
        <f>Data!G5</f>
        <v/>
      </c>
      <c r="F9" s="15">
        <f>SUMPRODUCT(A9:D9,$K$29:$N$29)</f>
        <v/>
      </c>
      <c r="G9" s="15">
        <f>E9-F9</f>
        <v/>
      </c>
      <c r="H9" s="15">
        <f>G9^2</f>
        <v/>
      </c>
      <c r="K9" s="16" t="n"/>
      <c r="L9" s="16" t="n"/>
      <c r="M9" s="16" t="n"/>
      <c r="N9" s="16" t="n"/>
    </row>
    <row r="10">
      <c r="A10" s="5" t="n">
        <v>1</v>
      </c>
      <c r="B10" s="15">
        <f>Data!C6</f>
        <v/>
      </c>
      <c r="C10" s="15">
        <f>Data!D6</f>
        <v/>
      </c>
      <c r="D10" s="15">
        <f>Data!E6</f>
        <v/>
      </c>
      <c r="E10" s="15">
        <f>Data!G6</f>
        <v/>
      </c>
      <c r="F10" s="15">
        <f>SUMPRODUCT(A10:D10,$K$29:$N$29)</f>
        <v/>
      </c>
      <c r="G10" s="15">
        <f>E10-F10</f>
        <v/>
      </c>
      <c r="H10" s="15">
        <f>G10^2</f>
        <v/>
      </c>
    </row>
    <row r="11">
      <c r="A11" s="5" t="n">
        <v>1</v>
      </c>
      <c r="B11" s="15">
        <f>Data!C7</f>
        <v/>
      </c>
      <c r="C11" s="15">
        <f>Data!D7</f>
        <v/>
      </c>
      <c r="D11" s="15">
        <f>Data!E7</f>
        <v/>
      </c>
      <c r="E11" s="15">
        <f>Data!G7</f>
        <v/>
      </c>
      <c r="F11" s="15">
        <f>SUMPRODUCT(A11:D11,$K$29:$N$29)</f>
        <v/>
      </c>
      <c r="G11" s="15">
        <f>E11-F11</f>
        <v/>
      </c>
      <c r="H11" s="15">
        <f>G11^2</f>
        <v/>
      </c>
      <c r="K11" s="9" t="inlineStr">
        <is>
          <t>X'y (4 x 1)</t>
        </is>
      </c>
    </row>
    <row r="12">
      <c r="A12" s="5" t="n">
        <v>1</v>
      </c>
      <c r="B12" s="15">
        <f>Data!C8</f>
        <v/>
      </c>
      <c r="C12" s="15">
        <f>Data!D8</f>
        <v/>
      </c>
      <c r="D12" s="15">
        <f>Data!E8</f>
        <v/>
      </c>
      <c r="E12" s="15">
        <f>Data!G8</f>
        <v/>
      </c>
      <c r="F12" s="15">
        <f>SUMPRODUCT(A12:D12,$K$29:$N$29)</f>
        <v/>
      </c>
      <c r="G12" s="15">
        <f>E12-F12</f>
        <v/>
      </c>
      <c r="H12" s="15">
        <f>G12^2</f>
        <v/>
      </c>
      <c r="K12" s="16">
        <f t="array" ref="K12:K15">MMULT(TRANSPOSE($A$6:$D$165),$E$6:$E$165)</f>
        <v/>
      </c>
    </row>
    <row r="13">
      <c r="A13" s="5" t="n">
        <v>1</v>
      </c>
      <c r="B13" s="15">
        <f>Data!C9</f>
        <v/>
      </c>
      <c r="C13" s="15">
        <f>Data!D9</f>
        <v/>
      </c>
      <c r="D13" s="15">
        <f>Data!E9</f>
        <v/>
      </c>
      <c r="E13" s="15">
        <f>Data!G9</f>
        <v/>
      </c>
      <c r="F13" s="15">
        <f>SUMPRODUCT(A13:D13,$K$29:$N$29)</f>
        <v/>
      </c>
      <c r="G13" s="15">
        <f>E13-F13</f>
        <v/>
      </c>
      <c r="H13" s="15">
        <f>G13^2</f>
        <v/>
      </c>
      <c r="K13" s="16" t="n"/>
    </row>
    <row r="14">
      <c r="A14" s="5" t="n">
        <v>1</v>
      </c>
      <c r="B14" s="15">
        <f>Data!C10</f>
        <v/>
      </c>
      <c r="C14" s="15">
        <f>Data!D10</f>
        <v/>
      </c>
      <c r="D14" s="15">
        <f>Data!E10</f>
        <v/>
      </c>
      <c r="E14" s="15">
        <f>Data!G10</f>
        <v/>
      </c>
      <c r="F14" s="15">
        <f>SUMPRODUCT(A14:D14,$K$29:$N$29)</f>
        <v/>
      </c>
      <c r="G14" s="15">
        <f>E14-F14</f>
        <v/>
      </c>
      <c r="H14" s="15">
        <f>G14^2</f>
        <v/>
      </c>
      <c r="K14" s="16" t="n"/>
    </row>
    <row r="15">
      <c r="A15" s="5" t="n">
        <v>1</v>
      </c>
      <c r="B15" s="15">
        <f>Data!C11</f>
        <v/>
      </c>
      <c r="C15" s="15">
        <f>Data!D11</f>
        <v/>
      </c>
      <c r="D15" s="15">
        <f>Data!E11</f>
        <v/>
      </c>
      <c r="E15" s="15">
        <f>Data!G11</f>
        <v/>
      </c>
      <c r="F15" s="15">
        <f>SUMPRODUCT(A15:D15,$K$29:$N$29)</f>
        <v/>
      </c>
      <c r="G15" s="15">
        <f>E15-F15</f>
        <v/>
      </c>
      <c r="H15" s="15">
        <f>G15^2</f>
        <v/>
      </c>
      <c r="K15" s="16" t="n"/>
    </row>
    <row r="16">
      <c r="A16" s="5" t="n">
        <v>1</v>
      </c>
      <c r="B16" s="15">
        <f>Data!C12</f>
        <v/>
      </c>
      <c r="C16" s="15">
        <f>Data!D12</f>
        <v/>
      </c>
      <c r="D16" s="15">
        <f>Data!E12</f>
        <v/>
      </c>
      <c r="E16" s="15">
        <f>Data!G12</f>
        <v/>
      </c>
      <c r="F16" s="15">
        <f>SUMPRODUCT(A16:D16,$K$29:$N$29)</f>
        <v/>
      </c>
      <c r="G16" s="15">
        <f>E16-F16</f>
        <v/>
      </c>
      <c r="H16" s="15">
        <f>G16^2</f>
        <v/>
      </c>
    </row>
    <row r="17">
      <c r="A17" s="5" t="n">
        <v>1</v>
      </c>
      <c r="B17" s="15">
        <f>Data!C13</f>
        <v/>
      </c>
      <c r="C17" s="15">
        <f>Data!D13</f>
        <v/>
      </c>
      <c r="D17" s="15">
        <f>Data!E13</f>
        <v/>
      </c>
      <c r="E17" s="15">
        <f>Data!G13</f>
        <v/>
      </c>
      <c r="F17" s="15">
        <f>SUMPRODUCT(A17:D17,$K$29:$N$29)</f>
        <v/>
      </c>
      <c r="G17" s="15">
        <f>E17-F17</f>
        <v/>
      </c>
      <c r="H17" s="15">
        <f>G17^2</f>
        <v/>
      </c>
      <c r="K17" s="9" t="inlineStr">
        <is>
          <t>(X'X)^-1 via MINVERSE</t>
        </is>
      </c>
    </row>
    <row r="18">
      <c r="A18" s="5" t="n">
        <v>1</v>
      </c>
      <c r="B18" s="15">
        <f>Data!C14</f>
        <v/>
      </c>
      <c r="C18" s="15">
        <f>Data!D14</f>
        <v/>
      </c>
      <c r="D18" s="15">
        <f>Data!E14</f>
        <v/>
      </c>
      <c r="E18" s="15">
        <f>Data!G14</f>
        <v/>
      </c>
      <c r="F18" s="15">
        <f>SUMPRODUCT(A18:D18,$K$29:$N$29)</f>
        <v/>
      </c>
      <c r="G18" s="15">
        <f>E18-F18</f>
        <v/>
      </c>
      <c r="H18" s="15">
        <f>G18^2</f>
        <v/>
      </c>
      <c r="K18" s="17">
        <f t="array" ref="K18:N21">MINVERSE(K6:N9)</f>
        <v/>
      </c>
      <c r="L18" s="17" t="n"/>
      <c r="M18" s="17" t="n"/>
      <c r="N18" s="17" t="n"/>
    </row>
    <row r="19">
      <c r="A19" s="5" t="n">
        <v>1</v>
      </c>
      <c r="B19" s="15">
        <f>Data!C15</f>
        <v/>
      </c>
      <c r="C19" s="15">
        <f>Data!D15</f>
        <v/>
      </c>
      <c r="D19" s="15">
        <f>Data!E15</f>
        <v/>
      </c>
      <c r="E19" s="15">
        <f>Data!G15</f>
        <v/>
      </c>
      <c r="F19" s="15">
        <f>SUMPRODUCT(A19:D19,$K$29:$N$29)</f>
        <v/>
      </c>
      <c r="G19" s="15">
        <f>E19-F19</f>
        <v/>
      </c>
      <c r="H19" s="15">
        <f>G19^2</f>
        <v/>
      </c>
      <c r="K19" s="17" t="n"/>
      <c r="L19" s="17" t="n"/>
      <c r="M19" s="17" t="n"/>
      <c r="N19" s="17" t="n"/>
    </row>
    <row r="20">
      <c r="A20" s="5" t="n">
        <v>1</v>
      </c>
      <c r="B20" s="15">
        <f>Data!C16</f>
        <v/>
      </c>
      <c r="C20" s="15">
        <f>Data!D16</f>
        <v/>
      </c>
      <c r="D20" s="15">
        <f>Data!E16</f>
        <v/>
      </c>
      <c r="E20" s="15">
        <f>Data!G16</f>
        <v/>
      </c>
      <c r="F20" s="15">
        <f>SUMPRODUCT(A20:D20,$K$29:$N$29)</f>
        <v/>
      </c>
      <c r="G20" s="15">
        <f>E20-F20</f>
        <v/>
      </c>
      <c r="H20" s="15">
        <f>G20^2</f>
        <v/>
      </c>
      <c r="K20" s="17" t="n"/>
      <c r="L20" s="17" t="n"/>
      <c r="M20" s="17" t="n"/>
      <c r="N20" s="17" t="n"/>
    </row>
    <row r="21">
      <c r="A21" s="5" t="n">
        <v>1</v>
      </c>
      <c r="B21" s="15">
        <f>Data!C17</f>
        <v/>
      </c>
      <c r="C21" s="15">
        <f>Data!D17</f>
        <v/>
      </c>
      <c r="D21" s="15">
        <f>Data!E17</f>
        <v/>
      </c>
      <c r="E21" s="15">
        <f>Data!G17</f>
        <v/>
      </c>
      <c r="F21" s="15">
        <f>SUMPRODUCT(A21:D21,$K$29:$N$29)</f>
        <v/>
      </c>
      <c r="G21" s="15">
        <f>E21-F21</f>
        <v/>
      </c>
      <c r="H21" s="15">
        <f>G21^2</f>
        <v/>
      </c>
      <c r="K21" s="17" t="n"/>
      <c r="L21" s="17" t="n"/>
      <c r="M21" s="17" t="n"/>
      <c r="N21" s="17" t="n"/>
    </row>
    <row r="22">
      <c r="A22" s="5" t="n">
        <v>1</v>
      </c>
      <c r="B22" s="15">
        <f>Data!C18</f>
        <v/>
      </c>
      <c r="C22" s="15">
        <f>Data!D18</f>
        <v/>
      </c>
      <c r="D22" s="15">
        <f>Data!E18</f>
        <v/>
      </c>
      <c r="E22" s="15">
        <f>Data!G18</f>
        <v/>
      </c>
      <c r="F22" s="15">
        <f>SUMPRODUCT(A22:D22,$K$29:$N$29)</f>
        <v/>
      </c>
      <c r="G22" s="15">
        <f>E22-F22</f>
        <v/>
      </c>
      <c r="H22" s="15">
        <f>G22^2</f>
        <v/>
      </c>
    </row>
    <row r="23">
      <c r="A23" s="5" t="n">
        <v>1</v>
      </c>
      <c r="B23" s="15">
        <f>Data!C19</f>
        <v/>
      </c>
      <c r="C23" s="15">
        <f>Data!D19</f>
        <v/>
      </c>
      <c r="D23" s="15">
        <f>Data!E19</f>
        <v/>
      </c>
      <c r="E23" s="15">
        <f>Data!G19</f>
        <v/>
      </c>
      <c r="F23" s="15">
        <f>SUMPRODUCT(A23:D23,$K$29:$N$29)</f>
        <v/>
      </c>
      <c r="G23" s="15">
        <f>E23-F23</f>
        <v/>
      </c>
      <c r="H23" s="15">
        <f>G23^2</f>
        <v/>
      </c>
      <c r="K23" s="9" t="inlineStr">
        <is>
          <t>beta = (X'X)^-1 X'y</t>
        </is>
      </c>
      <c r="L23" s="4" t="inlineStr">
        <is>
          <t>LINEST beta</t>
        </is>
      </c>
      <c r="M23" s="4" t="inlineStr">
        <is>
          <t>difference</t>
        </is>
      </c>
      <c r="N23" s="4" t="inlineStr">
        <is>
          <t>SE (matrix)</t>
        </is>
      </c>
      <c r="O23" s="4" t="inlineStr">
        <is>
          <t>SE (LINEST)</t>
        </is>
      </c>
      <c r="P23" s="4" t="inlineStr">
        <is>
          <t>t</t>
        </is>
      </c>
      <c r="Q23" s="4" t="inlineStr">
        <is>
          <t>p-value</t>
        </is>
      </c>
    </row>
    <row r="24">
      <c r="A24" s="5" t="n">
        <v>1</v>
      </c>
      <c r="B24" s="15">
        <f>Data!C20</f>
        <v/>
      </c>
      <c r="C24" s="15">
        <f>Data!D20</f>
        <v/>
      </c>
      <c r="D24" s="15">
        <f>Data!E20</f>
        <v/>
      </c>
      <c r="E24" s="15">
        <f>Data!G20</f>
        <v/>
      </c>
      <c r="F24" s="15">
        <f>SUMPRODUCT(A24:D24,$K$29:$N$29)</f>
        <v/>
      </c>
      <c r="G24" s="15">
        <f>E24-F24</f>
        <v/>
      </c>
      <c r="H24" s="15">
        <f>G24^2</f>
        <v/>
      </c>
      <c r="J24" t="inlineStr">
        <is>
          <t>intercept</t>
        </is>
      </c>
      <c r="K24" s="11">
        <f t="array" ref="K24:K27">MMULT(K18:N21,K12:K15)</f>
        <v/>
      </c>
      <c r="L24" s="11">
        <f>INDEX(LINEST($E$6:$E$165,$B$6:$D$165,TRUE,TRUE),1,4)</f>
        <v/>
      </c>
      <c r="M24" s="18">
        <f>K24-L24</f>
        <v/>
      </c>
      <c r="N24" s="11">
        <f>SQRT($N$40*INDEX($K$18:$N$21,1,1))</f>
        <v/>
      </c>
      <c r="O24" s="11">
        <f>INDEX(LINEST($E$6:$E$165,$B$6:$D$165,TRUE,TRUE),2,4)</f>
        <v/>
      </c>
      <c r="P24" s="11">
        <f>K24/N24</f>
        <v/>
      </c>
      <c r="Q24" s="18">
        <f>T.DIST.2T(ABS(P24),$N$34)</f>
        <v/>
      </c>
    </row>
    <row r="25">
      <c r="A25" s="5" t="n">
        <v>1</v>
      </c>
      <c r="B25" s="15">
        <f>Data!C21</f>
        <v/>
      </c>
      <c r="C25" s="15">
        <f>Data!D21</f>
        <v/>
      </c>
      <c r="D25" s="15">
        <f>Data!E21</f>
        <v/>
      </c>
      <c r="E25" s="15">
        <f>Data!G21</f>
        <v/>
      </c>
      <c r="F25" s="15">
        <f>SUMPRODUCT(A25:D25,$K$29:$N$29)</f>
        <v/>
      </c>
      <c r="G25" s="15">
        <f>E25-F25</f>
        <v/>
      </c>
      <c r="H25" s="15">
        <f>G25^2</f>
        <v/>
      </c>
      <c r="J25" t="inlineStr">
        <is>
          <t>slp</t>
        </is>
      </c>
      <c r="K25" s="11" t="n"/>
      <c r="L25" s="11">
        <f>INDEX(LINEST($E$6:$E$165,$B$6:$D$165,TRUE,TRUE),1,3)</f>
        <v/>
      </c>
      <c r="M25" s="18">
        <f>K25-L25</f>
        <v/>
      </c>
      <c r="N25" s="11">
        <f>SQRT($N$40*INDEX($K$18:$N$21,2,2))</f>
        <v/>
      </c>
      <c r="O25" s="11">
        <f>INDEX(LINEST($E$6:$E$165,$B$6:$D$165,TRUE,TRUE),2,3)</f>
        <v/>
      </c>
      <c r="P25" s="11">
        <f>K25/N25</f>
        <v/>
      </c>
      <c r="Q25" s="18">
        <f>T.DIST.2T(ABS(P25),$N$34)</f>
        <v/>
      </c>
    </row>
    <row r="26">
      <c r="A26" s="5" t="n">
        <v>1</v>
      </c>
      <c r="B26" s="15">
        <f>Data!C22</f>
        <v/>
      </c>
      <c r="C26" s="15">
        <f>Data!D22</f>
        <v/>
      </c>
      <c r="D26" s="15">
        <f>Data!E22</f>
        <v/>
      </c>
      <c r="E26" s="15">
        <f>Data!G22</f>
        <v/>
      </c>
      <c r="F26" s="15">
        <f>SUMPRODUCT(A26:D26,$K$29:$N$29)</f>
        <v/>
      </c>
      <c r="G26" s="15">
        <f>E26-F26</f>
        <v/>
      </c>
      <c r="H26" s="15">
        <f>G26^2</f>
        <v/>
      </c>
      <c r="J26" t="inlineStr">
        <is>
          <t>q</t>
        </is>
      </c>
      <c r="K26" s="11" t="n"/>
      <c r="L26" s="11">
        <f>INDEX(LINEST($E$6:$E$165,$B$6:$D$165,TRUE,TRUE),1,2)</f>
        <v/>
      </c>
      <c r="M26" s="18">
        <f>K26-L26</f>
        <v/>
      </c>
      <c r="N26" s="11">
        <f>SQRT($N$40*INDEX($K$18:$N$21,3,3))</f>
        <v/>
      </c>
      <c r="O26" s="11">
        <f>INDEX(LINEST($E$6:$E$165,$B$6:$D$165,TRUE,TRUE),2,2)</f>
        <v/>
      </c>
      <c r="P26" s="11">
        <f>K26/N26</f>
        <v/>
      </c>
      <c r="Q26" s="18">
        <f>T.DIST.2T(ABS(P26),$N$34)</f>
        <v/>
      </c>
    </row>
    <row r="27">
      <c r="A27" s="5" t="n">
        <v>1</v>
      </c>
      <c r="B27" s="15">
        <f>Data!C23</f>
        <v/>
      </c>
      <c r="C27" s="15">
        <f>Data!D23</f>
        <v/>
      </c>
      <c r="D27" s="15">
        <f>Data!E23</f>
        <v/>
      </c>
      <c r="E27" s="15">
        <f>Data!G23</f>
        <v/>
      </c>
      <c r="F27" s="15">
        <f>SUMPRODUCT(A27:D27,$K$29:$N$29)</f>
        <v/>
      </c>
      <c r="G27" s="15">
        <f>E27-F27</f>
        <v/>
      </c>
      <c r="H27" s="15">
        <f>G27^2</f>
        <v/>
      </c>
      <c r="J27" t="inlineStr">
        <is>
          <t>t850</t>
        </is>
      </c>
      <c r="K27" s="11" t="n"/>
      <c r="L27" s="11">
        <f>INDEX(LINEST($E$6:$E$165,$B$6:$D$165,TRUE,TRUE),1,1)</f>
        <v/>
      </c>
      <c r="M27" s="18">
        <f>K27-L27</f>
        <v/>
      </c>
      <c r="N27" s="11">
        <f>SQRT($N$40*INDEX($K$18:$N$21,4,4))</f>
        <v/>
      </c>
      <c r="O27" s="11">
        <f>INDEX(LINEST($E$6:$E$165,$B$6:$D$165,TRUE,TRUE),2,1)</f>
        <v/>
      </c>
      <c r="P27" s="11">
        <f>K27/N27</f>
        <v/>
      </c>
      <c r="Q27" s="18">
        <f>T.DIST.2T(ABS(P27),$N$34)</f>
        <v/>
      </c>
    </row>
    <row r="28">
      <c r="A28" s="5" t="n">
        <v>1</v>
      </c>
      <c r="B28" s="15">
        <f>Data!C24</f>
        <v/>
      </c>
      <c r="C28" s="15">
        <f>Data!D24</f>
        <v/>
      </c>
      <c r="D28" s="15">
        <f>Data!E24</f>
        <v/>
      </c>
      <c r="E28" s="15">
        <f>Data!G24</f>
        <v/>
      </c>
      <c r="F28" s="15">
        <f>SUMPRODUCT(A28:D28,$K$29:$N$29)</f>
        <v/>
      </c>
      <c r="G28" s="15">
        <f>E28-F28</f>
        <v/>
      </c>
      <c r="H28" s="15">
        <f>G28^2</f>
        <v/>
      </c>
      <c r="K28" s="9" t="inlineStr">
        <is>
          <t>beta as a row (used by column F)</t>
        </is>
      </c>
    </row>
    <row r="29">
      <c r="A29" s="5" t="n">
        <v>1</v>
      </c>
      <c r="B29" s="15">
        <f>Data!C25</f>
        <v/>
      </c>
      <c r="C29" s="15">
        <f>Data!D25</f>
        <v/>
      </c>
      <c r="D29" s="15">
        <f>Data!E25</f>
        <v/>
      </c>
      <c r="E29" s="15">
        <f>Data!G25</f>
        <v/>
      </c>
      <c r="F29" s="15">
        <f>SUMPRODUCT(A29:D29,$K$29:$N$29)</f>
        <v/>
      </c>
      <c r="G29" s="15">
        <f>E29-F29</f>
        <v/>
      </c>
      <c r="H29" s="15">
        <f>G29^2</f>
        <v/>
      </c>
      <c r="K29" s="11">
        <f t="array" ref="K29:N29">TRANSPOSE(K24:K27)</f>
        <v/>
      </c>
      <c r="L29" s="11" t="n"/>
      <c r="M29" s="11" t="n"/>
      <c r="N29" s="11" t="n"/>
    </row>
    <row r="30">
      <c r="A30" s="5" t="n">
        <v>1</v>
      </c>
      <c r="B30" s="15">
        <f>Data!C26</f>
        <v/>
      </c>
      <c r="C30" s="15">
        <f>Data!D26</f>
        <v/>
      </c>
      <c r="D30" s="15">
        <f>Data!E26</f>
        <v/>
      </c>
      <c r="E30" s="15">
        <f>Data!G26</f>
        <v/>
      </c>
      <c r="F30" s="15">
        <f>SUMPRODUCT(A30:D30,$K$29:$N$29)</f>
        <v/>
      </c>
      <c r="G30" s="15">
        <f>E30-F30</f>
        <v/>
      </c>
      <c r="H30" s="15">
        <f>G30^2</f>
        <v/>
      </c>
    </row>
    <row r="31">
      <c r="A31" s="5" t="n">
        <v>1</v>
      </c>
      <c r="B31" s="15">
        <f>Data!C27</f>
        <v/>
      </c>
      <c r="C31" s="15">
        <f>Data!D27</f>
        <v/>
      </c>
      <c r="D31" s="15">
        <f>Data!E27</f>
        <v/>
      </c>
      <c r="E31" s="15">
        <f>Data!G27</f>
        <v/>
      </c>
      <c r="F31" s="15">
        <f>SUMPRODUCT(A31:D31,$K$29:$N$29)</f>
        <v/>
      </c>
      <c r="G31" s="15">
        <f>E31-F31</f>
        <v/>
      </c>
      <c r="H31" s="15">
        <f>G31^2</f>
        <v/>
      </c>
      <c r="K31" s="9" t="inlineStr">
        <is>
          <t>Fit statistics</t>
        </is>
      </c>
    </row>
    <row r="32">
      <c r="A32" s="5" t="n">
        <v>1</v>
      </c>
      <c r="B32" s="15">
        <f>Data!C28</f>
        <v/>
      </c>
      <c r="C32" s="15">
        <f>Data!D28</f>
        <v/>
      </c>
      <c r="D32" s="15">
        <f>Data!E28</f>
        <v/>
      </c>
      <c r="E32" s="15">
        <f>Data!G28</f>
        <v/>
      </c>
      <c r="F32" s="15">
        <f>SUMPRODUCT(A32:D32,$K$29:$N$29)</f>
        <v/>
      </c>
      <c r="G32" s="15">
        <f>E32-F32</f>
        <v/>
      </c>
      <c r="H32" s="15">
        <f>G32^2</f>
        <v/>
      </c>
      <c r="K32" t="inlineStr">
        <is>
          <t>n</t>
        </is>
      </c>
      <c r="N32" s="12">
        <f>COUNT($E$6:$E$165)</f>
        <v/>
      </c>
    </row>
    <row r="33">
      <c r="A33" s="5" t="n">
        <v>1</v>
      </c>
      <c r="B33" s="15">
        <f>Data!C29</f>
        <v/>
      </c>
      <c r="C33" s="15">
        <f>Data!D29</f>
        <v/>
      </c>
      <c r="D33" s="15">
        <f>Data!E29</f>
        <v/>
      </c>
      <c r="E33" s="15">
        <f>Data!G29</f>
        <v/>
      </c>
      <c r="F33" s="15">
        <f>SUMPRODUCT(A33:D33,$K$29:$N$29)</f>
        <v/>
      </c>
      <c r="G33" s="15">
        <f>E33-F33</f>
        <v/>
      </c>
      <c r="H33" s="15">
        <f>G33^2</f>
        <v/>
      </c>
      <c r="K33" t="inlineStr">
        <is>
          <t>predictors p</t>
        </is>
      </c>
      <c r="N33" s="12">
        <f>COLUMNS($B$6:$D$165)</f>
        <v/>
      </c>
      <c r="O33" t="inlineStr">
        <is>
          <t>columns of X without the intercept</t>
        </is>
      </c>
    </row>
    <row r="34">
      <c r="A34" s="5" t="n">
        <v>1</v>
      </c>
      <c r="B34" s="15">
        <f>Data!C30</f>
        <v/>
      </c>
      <c r="C34" s="15">
        <f>Data!D30</f>
        <v/>
      </c>
      <c r="D34" s="15">
        <f>Data!E30</f>
        <v/>
      </c>
      <c r="E34" s="15">
        <f>Data!G30</f>
        <v/>
      </c>
      <c r="F34" s="15">
        <f>SUMPRODUCT(A34:D34,$K$29:$N$29)</f>
        <v/>
      </c>
      <c r="G34" s="15">
        <f>E34-F34</f>
        <v/>
      </c>
      <c r="H34" s="15">
        <f>G34^2</f>
        <v/>
      </c>
      <c r="K34" t="inlineStr">
        <is>
          <t>degrees of freedom n-p-1</t>
        </is>
      </c>
      <c r="N34" s="12">
        <f>$N$32-$N$33-1</f>
        <v/>
      </c>
    </row>
    <row r="35">
      <c r="A35" s="5" t="n">
        <v>1</v>
      </c>
      <c r="B35" s="15">
        <f>Data!C31</f>
        <v/>
      </c>
      <c r="C35" s="15">
        <f>Data!D31</f>
        <v/>
      </c>
      <c r="D35" s="15">
        <f>Data!E31</f>
        <v/>
      </c>
      <c r="E35" s="15">
        <f>Data!G31</f>
        <v/>
      </c>
      <c r="F35" s="15">
        <f>SUMPRODUCT(A35:D35,$K$29:$N$29)</f>
        <v/>
      </c>
      <c r="G35" s="15">
        <f>E35-F35</f>
        <v/>
      </c>
      <c r="H35" s="15">
        <f>G35^2</f>
        <v/>
      </c>
      <c r="K35" t="inlineStr">
        <is>
          <t>SSE</t>
        </is>
      </c>
      <c r="N35" s="15">
        <f>SUM(H6:H165)</f>
        <v/>
      </c>
      <c r="O35" t="inlineStr">
        <is>
          <t>sum of e^2</t>
        </is>
      </c>
    </row>
    <row r="36">
      <c r="A36" s="5" t="n">
        <v>1</v>
      </c>
      <c r="B36" s="15">
        <f>Data!C32</f>
        <v/>
      </c>
      <c r="C36" s="15">
        <f>Data!D32</f>
        <v/>
      </c>
      <c r="D36" s="15">
        <f>Data!E32</f>
        <v/>
      </c>
      <c r="E36" s="15">
        <f>Data!G32</f>
        <v/>
      </c>
      <c r="F36" s="15">
        <f>SUMPRODUCT(A36:D36,$K$29:$N$29)</f>
        <v/>
      </c>
      <c r="G36" s="15">
        <f>E36-F36</f>
        <v/>
      </c>
      <c r="H36" s="15">
        <f>G36^2</f>
        <v/>
      </c>
      <c r="K36" t="inlineStr">
        <is>
          <t>SST</t>
        </is>
      </c>
      <c r="N36" s="15">
        <f>SUMPRODUCT(($E$6:$E$165-AVERAGE($E$6:$E$165))^2)</f>
        <v/>
      </c>
    </row>
    <row r="37">
      <c r="A37" s="5" t="n">
        <v>1</v>
      </c>
      <c r="B37" s="15">
        <f>Data!C33</f>
        <v/>
      </c>
      <c r="C37" s="15">
        <f>Data!D33</f>
        <v/>
      </c>
      <c r="D37" s="15">
        <f>Data!E33</f>
        <v/>
      </c>
      <c r="E37" s="15">
        <f>Data!G33</f>
        <v/>
      </c>
      <c r="F37" s="15">
        <f>SUMPRODUCT(A37:D37,$K$29:$N$29)</f>
        <v/>
      </c>
      <c r="G37" s="15">
        <f>E37-F37</f>
        <v/>
      </c>
      <c r="H37" s="15">
        <f>G37^2</f>
        <v/>
      </c>
      <c r="K37" t="inlineStr">
        <is>
          <t>R2 = 1 - SSE/SST</t>
        </is>
      </c>
      <c r="N37" s="13">
        <f>1-$N$35/$N$36</f>
        <v/>
      </c>
    </row>
    <row r="38">
      <c r="A38" s="5" t="n">
        <v>1</v>
      </c>
      <c r="B38" s="15">
        <f>Data!C34</f>
        <v/>
      </c>
      <c r="C38" s="15">
        <f>Data!D34</f>
        <v/>
      </c>
      <c r="D38" s="15">
        <f>Data!E34</f>
        <v/>
      </c>
      <c r="E38" s="15">
        <f>Data!G34</f>
        <v/>
      </c>
      <c r="F38" s="15">
        <f>SUMPRODUCT(A38:D38,$K$29:$N$29)</f>
        <v/>
      </c>
      <c r="G38" s="15">
        <f>E38-F38</f>
        <v/>
      </c>
      <c r="H38" s="15">
        <f>G38^2</f>
        <v/>
      </c>
      <c r="K38" t="inlineStr">
        <is>
          <t>adjusted R2 = 1-(1-R2)(n-1)/(n-p-1)</t>
        </is>
      </c>
      <c r="N38" s="13">
        <f>1-(1-$N$37)*($N$32-1)/$N$34</f>
        <v/>
      </c>
      <c r="O38" t="inlineStr">
        <is>
          <t>penalises useless predictors</t>
        </is>
      </c>
    </row>
    <row r="39">
      <c r="A39" s="5" t="n">
        <v>1</v>
      </c>
      <c r="B39" s="15">
        <f>Data!C35</f>
        <v/>
      </c>
      <c r="C39" s="15">
        <f>Data!D35</f>
        <v/>
      </c>
      <c r="D39" s="15">
        <f>Data!E35</f>
        <v/>
      </c>
      <c r="E39" s="15">
        <f>Data!G35</f>
        <v/>
      </c>
      <c r="F39" s="15">
        <f>SUMPRODUCT(A39:D39,$K$29:$N$29)</f>
        <v/>
      </c>
      <c r="G39" s="15">
        <f>E39-F39</f>
        <v/>
      </c>
      <c r="H39" s="15">
        <f>G39^2</f>
        <v/>
      </c>
      <c r="K39" t="inlineStr">
        <is>
          <t>check: LINEST R2</t>
        </is>
      </c>
      <c r="N39" s="11">
        <f>INDEX(LINEST($E$6:$E$165,$B$6:$D$165,TRUE,TRUE),3,1)</f>
        <v/>
      </c>
    </row>
    <row r="40">
      <c r="A40" s="5" t="n">
        <v>1</v>
      </c>
      <c r="B40" s="15">
        <f>Data!C36</f>
        <v/>
      </c>
      <c r="C40" s="15">
        <f>Data!D36</f>
        <v/>
      </c>
      <c r="D40" s="15">
        <f>Data!E36</f>
        <v/>
      </c>
      <c r="E40" s="15">
        <f>Data!G36</f>
        <v/>
      </c>
      <c r="F40" s="15">
        <f>SUMPRODUCT(A40:D40,$K$29:$N$29)</f>
        <v/>
      </c>
      <c r="G40" s="15">
        <f>E40-F40</f>
        <v/>
      </c>
      <c r="H40" s="15">
        <f>G40^2</f>
        <v/>
      </c>
      <c r="K40" t="inlineStr">
        <is>
          <t>s_e^2 = SSE/(n-p-1)</t>
        </is>
      </c>
      <c r="N40" s="11">
        <f>$N$35/$N$34</f>
        <v/>
      </c>
      <c r="O40" t="inlineStr">
        <is>
          <t>residual variance [C^2]</t>
        </is>
      </c>
    </row>
    <row r="41">
      <c r="A41" s="5" t="n">
        <v>1</v>
      </c>
      <c r="B41" s="15">
        <f>Data!C37</f>
        <v/>
      </c>
      <c r="C41" s="15">
        <f>Data!D37</f>
        <v/>
      </c>
      <c r="D41" s="15">
        <f>Data!E37</f>
        <v/>
      </c>
      <c r="E41" s="15">
        <f>Data!G37</f>
        <v/>
      </c>
      <c r="F41" s="15">
        <f>SUMPRODUCT(A41:D41,$K$29:$N$29)</f>
        <v/>
      </c>
      <c r="G41" s="15">
        <f>E41-F41</f>
        <v/>
      </c>
      <c r="H41" s="15">
        <f>G41^2</f>
        <v/>
      </c>
      <c r="K41" t="inlineStr">
        <is>
          <t>F = (SSR/p)/(SSE/(n-p-1))</t>
        </is>
      </c>
      <c r="N41" s="19">
        <f>(($N$36-$N$35)/$N$33)/($N$35/$N$34)</f>
        <v/>
      </c>
      <c r="O41" t="inlineStr">
        <is>
          <t>overall test: is any predictor useful?</t>
        </is>
      </c>
    </row>
    <row r="42">
      <c r="A42" s="5" t="n">
        <v>1</v>
      </c>
      <c r="B42" s="15">
        <f>Data!C38</f>
        <v/>
      </c>
      <c r="C42" s="15">
        <f>Data!D38</f>
        <v/>
      </c>
      <c r="D42" s="15">
        <f>Data!E38</f>
        <v/>
      </c>
      <c r="E42" s="15">
        <f>Data!G38</f>
        <v/>
      </c>
      <c r="F42" s="15">
        <f>SUMPRODUCT(A42:D42,$K$29:$N$29)</f>
        <v/>
      </c>
      <c r="G42" s="15">
        <f>E42-F42</f>
        <v/>
      </c>
      <c r="H42" s="15">
        <f>G42^2</f>
        <v/>
      </c>
      <c r="K42" t="inlineStr">
        <is>
          <t>check: LINEST F</t>
        </is>
      </c>
      <c r="N42" s="16">
        <f>INDEX(LINEST($E$6:$E$165,$B$6:$D$165,TRUE,TRUE),4,1)</f>
        <v/>
      </c>
    </row>
    <row r="43">
      <c r="A43" s="5" t="n">
        <v>1</v>
      </c>
      <c r="B43" s="15">
        <f>Data!C39</f>
        <v/>
      </c>
      <c r="C43" s="15">
        <f>Data!D39</f>
        <v/>
      </c>
      <c r="D43" s="15">
        <f>Data!E39</f>
        <v/>
      </c>
      <c r="E43" s="15">
        <f>Data!G39</f>
        <v/>
      </c>
      <c r="F43" s="15">
        <f>SUMPRODUCT(A43:D43,$K$29:$N$29)</f>
        <v/>
      </c>
      <c r="G43" s="15">
        <f>E43-F43</f>
        <v/>
      </c>
      <c r="H43" s="15">
        <f>G43^2</f>
        <v/>
      </c>
      <c r="K43" t="inlineStr">
        <is>
          <t>p-value of F</t>
        </is>
      </c>
      <c r="N43" s="18">
        <f>F.DIST.RT($N$41,$N$33,$N$34)</f>
        <v/>
      </c>
    </row>
    <row r="44">
      <c r="A44" s="5" t="n">
        <v>1</v>
      </c>
      <c r="B44" s="15">
        <f>Data!C40</f>
        <v/>
      </c>
      <c r="C44" s="15">
        <f>Data!D40</f>
        <v/>
      </c>
      <c r="D44" s="15">
        <f>Data!E40</f>
        <v/>
      </c>
      <c r="E44" s="15">
        <f>Data!G40</f>
        <v/>
      </c>
      <c r="F44" s="15">
        <f>SUMPRODUCT(A44:D44,$K$29:$N$29)</f>
        <v/>
      </c>
      <c r="G44" s="15">
        <f>E44-F44</f>
        <v/>
      </c>
      <c r="H44" s="15">
        <f>G44^2</f>
        <v/>
      </c>
      <c r="K44" t="inlineStr">
        <is>
          <t>t critical (alpha = 0.05)</t>
        </is>
      </c>
      <c r="N44" s="15">
        <f>T.INV.2T(0.05,$N$34)</f>
        <v/>
      </c>
    </row>
    <row r="45">
      <c r="A45" s="5" t="n">
        <v>1</v>
      </c>
      <c r="B45" s="15">
        <f>Data!C41</f>
        <v/>
      </c>
      <c r="C45" s="15">
        <f>Data!D41</f>
        <v/>
      </c>
      <c r="D45" s="15">
        <f>Data!E41</f>
        <v/>
      </c>
      <c r="E45" s="15">
        <f>Data!G41</f>
        <v/>
      </c>
      <c r="F45" s="15">
        <f>SUMPRODUCT(A45:D45,$K$29:$N$29)</f>
        <v/>
      </c>
      <c r="G45" s="15">
        <f>E45-F45</f>
        <v/>
      </c>
      <c r="H45" s="15">
        <f>G45^2</f>
        <v/>
      </c>
      <c r="K45" t="inlineStr">
        <is>
          <t>mean of residuals</t>
        </is>
      </c>
      <c r="N45" s="18">
        <f>AVERAGE(G6:G165)</f>
        <v/>
      </c>
      <c r="O45" t="inlineStr">
        <is>
          <t>zero up to round-off (intercept in the model)</t>
        </is>
      </c>
    </row>
    <row r="46">
      <c r="A46" s="5" t="n">
        <v>1</v>
      </c>
      <c r="B46" s="15">
        <f>Data!C42</f>
        <v/>
      </c>
      <c r="C46" s="15">
        <f>Data!D42</f>
        <v/>
      </c>
      <c r="D46" s="15">
        <f>Data!E42</f>
        <v/>
      </c>
      <c r="E46" s="15">
        <f>Data!G42</f>
        <v/>
      </c>
      <c r="F46" s="15">
        <f>SUMPRODUCT(A46:D46,$K$29:$N$29)</f>
        <v/>
      </c>
      <c r="G46" s="15">
        <f>E46-F46</f>
        <v/>
      </c>
      <c r="H46" s="15">
        <f>G46^2</f>
        <v/>
      </c>
    </row>
    <row r="47">
      <c r="A47" s="5" t="n">
        <v>1</v>
      </c>
      <c r="B47" s="15">
        <f>Data!C43</f>
        <v/>
      </c>
      <c r="C47" s="15">
        <f>Data!D43</f>
        <v/>
      </c>
      <c r="D47" s="15">
        <f>Data!E43</f>
        <v/>
      </c>
      <c r="E47" s="15">
        <f>Data!G43</f>
        <v/>
      </c>
      <c r="F47" s="15">
        <f>SUMPRODUCT(A47:D47,$K$29:$N$29)</f>
        <v/>
      </c>
      <c r="G47" s="15">
        <f>E47-F47</f>
        <v/>
      </c>
      <c r="H47" s="15">
        <f>G47^2</f>
        <v/>
      </c>
    </row>
    <row r="48">
      <c r="A48" s="5" t="n">
        <v>1</v>
      </c>
      <c r="B48" s="15">
        <f>Data!C44</f>
        <v/>
      </c>
      <c r="C48" s="15">
        <f>Data!D44</f>
        <v/>
      </c>
      <c r="D48" s="15">
        <f>Data!E44</f>
        <v/>
      </c>
      <c r="E48" s="15">
        <f>Data!G44</f>
        <v/>
      </c>
      <c r="F48" s="15">
        <f>SUMPRODUCT(A48:D48,$K$29:$N$29)</f>
        <v/>
      </c>
      <c r="G48" s="15">
        <f>E48-F48</f>
        <v/>
      </c>
      <c r="H48" s="15">
        <f>G48^2</f>
        <v/>
      </c>
    </row>
    <row r="49">
      <c r="A49" s="5" t="n">
        <v>1</v>
      </c>
      <c r="B49" s="15">
        <f>Data!C45</f>
        <v/>
      </c>
      <c r="C49" s="15">
        <f>Data!D45</f>
        <v/>
      </c>
      <c r="D49" s="15">
        <f>Data!E45</f>
        <v/>
      </c>
      <c r="E49" s="15">
        <f>Data!G45</f>
        <v/>
      </c>
      <c r="F49" s="15">
        <f>SUMPRODUCT(A49:D49,$K$29:$N$29)</f>
        <v/>
      </c>
      <c r="G49" s="15">
        <f>E49-F49</f>
        <v/>
      </c>
      <c r="H49" s="15">
        <f>G49^2</f>
        <v/>
      </c>
    </row>
    <row r="50">
      <c r="A50" s="5" t="n">
        <v>1</v>
      </c>
      <c r="B50" s="15">
        <f>Data!C46</f>
        <v/>
      </c>
      <c r="C50" s="15">
        <f>Data!D46</f>
        <v/>
      </c>
      <c r="D50" s="15">
        <f>Data!E46</f>
        <v/>
      </c>
      <c r="E50" s="15">
        <f>Data!G46</f>
        <v/>
      </c>
      <c r="F50" s="15">
        <f>SUMPRODUCT(A50:D50,$K$29:$N$29)</f>
        <v/>
      </c>
      <c r="G50" s="15">
        <f>E50-F50</f>
        <v/>
      </c>
      <c r="H50" s="15">
        <f>G50^2</f>
        <v/>
      </c>
    </row>
    <row r="51">
      <c r="A51" s="5" t="n">
        <v>1</v>
      </c>
      <c r="B51" s="15">
        <f>Data!C47</f>
        <v/>
      </c>
      <c r="C51" s="15">
        <f>Data!D47</f>
        <v/>
      </c>
      <c r="D51" s="15">
        <f>Data!E47</f>
        <v/>
      </c>
      <c r="E51" s="15">
        <f>Data!G47</f>
        <v/>
      </c>
      <c r="F51" s="15">
        <f>SUMPRODUCT(A51:D51,$K$29:$N$29)</f>
        <v/>
      </c>
      <c r="G51" s="15">
        <f>E51-F51</f>
        <v/>
      </c>
      <c r="H51" s="15">
        <f>G51^2</f>
        <v/>
      </c>
    </row>
    <row r="52">
      <c r="A52" s="5" t="n">
        <v>1</v>
      </c>
      <c r="B52" s="15">
        <f>Data!C48</f>
        <v/>
      </c>
      <c r="C52" s="15">
        <f>Data!D48</f>
        <v/>
      </c>
      <c r="D52" s="15">
        <f>Data!E48</f>
        <v/>
      </c>
      <c r="E52" s="15">
        <f>Data!G48</f>
        <v/>
      </c>
      <c r="F52" s="15">
        <f>SUMPRODUCT(A52:D52,$K$29:$N$29)</f>
        <v/>
      </c>
      <c r="G52" s="15">
        <f>E52-F52</f>
        <v/>
      </c>
      <c r="H52" s="15">
        <f>G52^2</f>
        <v/>
      </c>
    </row>
    <row r="53">
      <c r="A53" s="5" t="n">
        <v>1</v>
      </c>
      <c r="B53" s="15">
        <f>Data!C49</f>
        <v/>
      </c>
      <c r="C53" s="15">
        <f>Data!D49</f>
        <v/>
      </c>
      <c r="D53" s="15">
        <f>Data!E49</f>
        <v/>
      </c>
      <c r="E53" s="15">
        <f>Data!G49</f>
        <v/>
      </c>
      <c r="F53" s="15">
        <f>SUMPRODUCT(A53:D53,$K$29:$N$29)</f>
        <v/>
      </c>
      <c r="G53" s="15">
        <f>E53-F53</f>
        <v/>
      </c>
      <c r="H53" s="15">
        <f>G53^2</f>
        <v/>
      </c>
    </row>
    <row r="54">
      <c r="A54" s="5" t="n">
        <v>1</v>
      </c>
      <c r="B54" s="15">
        <f>Data!C50</f>
        <v/>
      </c>
      <c r="C54" s="15">
        <f>Data!D50</f>
        <v/>
      </c>
      <c r="D54" s="15">
        <f>Data!E50</f>
        <v/>
      </c>
      <c r="E54" s="15">
        <f>Data!G50</f>
        <v/>
      </c>
      <c r="F54" s="15">
        <f>SUMPRODUCT(A54:D54,$K$29:$N$29)</f>
        <v/>
      </c>
      <c r="G54" s="15">
        <f>E54-F54</f>
        <v/>
      </c>
      <c r="H54" s="15">
        <f>G54^2</f>
        <v/>
      </c>
    </row>
    <row r="55">
      <c r="A55" s="5" t="n">
        <v>1</v>
      </c>
      <c r="B55" s="15">
        <f>Data!C51</f>
        <v/>
      </c>
      <c r="C55" s="15">
        <f>Data!D51</f>
        <v/>
      </c>
      <c r="D55" s="15">
        <f>Data!E51</f>
        <v/>
      </c>
      <c r="E55" s="15">
        <f>Data!G51</f>
        <v/>
      </c>
      <c r="F55" s="15">
        <f>SUMPRODUCT(A55:D55,$K$29:$N$29)</f>
        <v/>
      </c>
      <c r="G55" s="15">
        <f>E55-F55</f>
        <v/>
      </c>
      <c r="H55" s="15">
        <f>G55^2</f>
        <v/>
      </c>
    </row>
    <row r="56">
      <c r="A56" s="5" t="n">
        <v>1</v>
      </c>
      <c r="B56" s="15">
        <f>Data!C52</f>
        <v/>
      </c>
      <c r="C56" s="15">
        <f>Data!D52</f>
        <v/>
      </c>
      <c r="D56" s="15">
        <f>Data!E52</f>
        <v/>
      </c>
      <c r="E56" s="15">
        <f>Data!G52</f>
        <v/>
      </c>
      <c r="F56" s="15">
        <f>SUMPRODUCT(A56:D56,$K$29:$N$29)</f>
        <v/>
      </c>
      <c r="G56" s="15">
        <f>E56-F56</f>
        <v/>
      </c>
      <c r="H56" s="15">
        <f>G56^2</f>
        <v/>
      </c>
    </row>
    <row r="57">
      <c r="A57" s="5" t="n">
        <v>1</v>
      </c>
      <c r="B57" s="15">
        <f>Data!C53</f>
        <v/>
      </c>
      <c r="C57" s="15">
        <f>Data!D53</f>
        <v/>
      </c>
      <c r="D57" s="15">
        <f>Data!E53</f>
        <v/>
      </c>
      <c r="E57" s="15">
        <f>Data!G53</f>
        <v/>
      </c>
      <c r="F57" s="15">
        <f>SUMPRODUCT(A57:D57,$K$29:$N$29)</f>
        <v/>
      </c>
      <c r="G57" s="15">
        <f>E57-F57</f>
        <v/>
      </c>
      <c r="H57" s="15">
        <f>G57^2</f>
        <v/>
      </c>
    </row>
    <row r="58">
      <c r="A58" s="5" t="n">
        <v>1</v>
      </c>
      <c r="B58" s="15">
        <f>Data!C54</f>
        <v/>
      </c>
      <c r="C58" s="15">
        <f>Data!D54</f>
        <v/>
      </c>
      <c r="D58" s="15">
        <f>Data!E54</f>
        <v/>
      </c>
      <c r="E58" s="15">
        <f>Data!G54</f>
        <v/>
      </c>
      <c r="F58" s="15">
        <f>SUMPRODUCT(A58:D58,$K$29:$N$29)</f>
        <v/>
      </c>
      <c r="G58" s="15">
        <f>E58-F58</f>
        <v/>
      </c>
      <c r="H58" s="15">
        <f>G58^2</f>
        <v/>
      </c>
    </row>
    <row r="59">
      <c r="A59" s="5" t="n">
        <v>1</v>
      </c>
      <c r="B59" s="15">
        <f>Data!C55</f>
        <v/>
      </c>
      <c r="C59" s="15">
        <f>Data!D55</f>
        <v/>
      </c>
      <c r="D59" s="15">
        <f>Data!E55</f>
        <v/>
      </c>
      <c r="E59" s="15">
        <f>Data!G55</f>
        <v/>
      </c>
      <c r="F59" s="15">
        <f>SUMPRODUCT(A59:D59,$K$29:$N$29)</f>
        <v/>
      </c>
      <c r="G59" s="15">
        <f>E59-F59</f>
        <v/>
      </c>
      <c r="H59" s="15">
        <f>G59^2</f>
        <v/>
      </c>
    </row>
    <row r="60">
      <c r="A60" s="5" t="n">
        <v>1</v>
      </c>
      <c r="B60" s="15">
        <f>Data!C56</f>
        <v/>
      </c>
      <c r="C60" s="15">
        <f>Data!D56</f>
        <v/>
      </c>
      <c r="D60" s="15">
        <f>Data!E56</f>
        <v/>
      </c>
      <c r="E60" s="15">
        <f>Data!G56</f>
        <v/>
      </c>
      <c r="F60" s="15">
        <f>SUMPRODUCT(A60:D60,$K$29:$N$29)</f>
        <v/>
      </c>
      <c r="G60" s="15">
        <f>E60-F60</f>
        <v/>
      </c>
      <c r="H60" s="15">
        <f>G60^2</f>
        <v/>
      </c>
    </row>
    <row r="61">
      <c r="A61" s="5" t="n">
        <v>1</v>
      </c>
      <c r="B61" s="15">
        <f>Data!C57</f>
        <v/>
      </c>
      <c r="C61" s="15">
        <f>Data!D57</f>
        <v/>
      </c>
      <c r="D61" s="15">
        <f>Data!E57</f>
        <v/>
      </c>
      <c r="E61" s="15">
        <f>Data!G57</f>
        <v/>
      </c>
      <c r="F61" s="15">
        <f>SUMPRODUCT(A61:D61,$K$29:$N$29)</f>
        <v/>
      </c>
      <c r="G61" s="15">
        <f>E61-F61</f>
        <v/>
      </c>
      <c r="H61" s="15">
        <f>G61^2</f>
        <v/>
      </c>
    </row>
    <row r="62">
      <c r="A62" s="5" t="n">
        <v>1</v>
      </c>
      <c r="B62" s="15">
        <f>Data!C58</f>
        <v/>
      </c>
      <c r="C62" s="15">
        <f>Data!D58</f>
        <v/>
      </c>
      <c r="D62" s="15">
        <f>Data!E58</f>
        <v/>
      </c>
      <c r="E62" s="15">
        <f>Data!G58</f>
        <v/>
      </c>
      <c r="F62" s="15">
        <f>SUMPRODUCT(A62:D62,$K$29:$N$29)</f>
        <v/>
      </c>
      <c r="G62" s="15">
        <f>E62-F62</f>
        <v/>
      </c>
      <c r="H62" s="15">
        <f>G62^2</f>
        <v/>
      </c>
    </row>
    <row r="63">
      <c r="A63" s="5" t="n">
        <v>1</v>
      </c>
      <c r="B63" s="15">
        <f>Data!C59</f>
        <v/>
      </c>
      <c r="C63" s="15">
        <f>Data!D59</f>
        <v/>
      </c>
      <c r="D63" s="15">
        <f>Data!E59</f>
        <v/>
      </c>
      <c r="E63" s="15">
        <f>Data!G59</f>
        <v/>
      </c>
      <c r="F63" s="15">
        <f>SUMPRODUCT(A63:D63,$K$29:$N$29)</f>
        <v/>
      </c>
      <c r="G63" s="15">
        <f>E63-F63</f>
        <v/>
      </c>
      <c r="H63" s="15">
        <f>G63^2</f>
        <v/>
      </c>
    </row>
    <row r="64">
      <c r="A64" s="5" t="n">
        <v>1</v>
      </c>
      <c r="B64" s="15">
        <f>Data!C60</f>
        <v/>
      </c>
      <c r="C64" s="15">
        <f>Data!D60</f>
        <v/>
      </c>
      <c r="D64" s="15">
        <f>Data!E60</f>
        <v/>
      </c>
      <c r="E64" s="15">
        <f>Data!G60</f>
        <v/>
      </c>
      <c r="F64" s="15">
        <f>SUMPRODUCT(A64:D64,$K$29:$N$29)</f>
        <v/>
      </c>
      <c r="G64" s="15">
        <f>E64-F64</f>
        <v/>
      </c>
      <c r="H64" s="15">
        <f>G64^2</f>
        <v/>
      </c>
    </row>
    <row r="65">
      <c r="A65" s="5" t="n">
        <v>1</v>
      </c>
      <c r="B65" s="15">
        <f>Data!C61</f>
        <v/>
      </c>
      <c r="C65" s="15">
        <f>Data!D61</f>
        <v/>
      </c>
      <c r="D65" s="15">
        <f>Data!E61</f>
        <v/>
      </c>
      <c r="E65" s="15">
        <f>Data!G61</f>
        <v/>
      </c>
      <c r="F65" s="15">
        <f>SUMPRODUCT(A65:D65,$K$29:$N$29)</f>
        <v/>
      </c>
      <c r="G65" s="15">
        <f>E65-F65</f>
        <v/>
      </c>
      <c r="H65" s="15">
        <f>G65^2</f>
        <v/>
      </c>
    </row>
    <row r="66">
      <c r="A66" s="5" t="n">
        <v>1</v>
      </c>
      <c r="B66" s="15">
        <f>Data!C62</f>
        <v/>
      </c>
      <c r="C66" s="15">
        <f>Data!D62</f>
        <v/>
      </c>
      <c r="D66" s="15">
        <f>Data!E62</f>
        <v/>
      </c>
      <c r="E66" s="15">
        <f>Data!G62</f>
        <v/>
      </c>
      <c r="F66" s="15">
        <f>SUMPRODUCT(A66:D66,$K$29:$N$29)</f>
        <v/>
      </c>
      <c r="G66" s="15">
        <f>E66-F66</f>
        <v/>
      </c>
      <c r="H66" s="15">
        <f>G66^2</f>
        <v/>
      </c>
    </row>
    <row r="67">
      <c r="A67" s="5" t="n">
        <v>1</v>
      </c>
      <c r="B67" s="15">
        <f>Data!C63</f>
        <v/>
      </c>
      <c r="C67" s="15">
        <f>Data!D63</f>
        <v/>
      </c>
      <c r="D67" s="15">
        <f>Data!E63</f>
        <v/>
      </c>
      <c r="E67" s="15">
        <f>Data!G63</f>
        <v/>
      </c>
      <c r="F67" s="15">
        <f>SUMPRODUCT(A67:D67,$K$29:$N$29)</f>
        <v/>
      </c>
      <c r="G67" s="15">
        <f>E67-F67</f>
        <v/>
      </c>
      <c r="H67" s="15">
        <f>G67^2</f>
        <v/>
      </c>
    </row>
    <row r="68">
      <c r="A68" s="5" t="n">
        <v>1</v>
      </c>
      <c r="B68" s="15">
        <f>Data!C64</f>
        <v/>
      </c>
      <c r="C68" s="15">
        <f>Data!D64</f>
        <v/>
      </c>
      <c r="D68" s="15">
        <f>Data!E64</f>
        <v/>
      </c>
      <c r="E68" s="15">
        <f>Data!G64</f>
        <v/>
      </c>
      <c r="F68" s="15">
        <f>SUMPRODUCT(A68:D68,$K$29:$N$29)</f>
        <v/>
      </c>
      <c r="G68" s="15">
        <f>E68-F68</f>
        <v/>
      </c>
      <c r="H68" s="15">
        <f>G68^2</f>
        <v/>
      </c>
    </row>
    <row r="69">
      <c r="A69" s="5" t="n">
        <v>1</v>
      </c>
      <c r="B69" s="15">
        <f>Data!C65</f>
        <v/>
      </c>
      <c r="C69" s="15">
        <f>Data!D65</f>
        <v/>
      </c>
      <c r="D69" s="15">
        <f>Data!E65</f>
        <v/>
      </c>
      <c r="E69" s="15">
        <f>Data!G65</f>
        <v/>
      </c>
      <c r="F69" s="15">
        <f>SUMPRODUCT(A69:D69,$K$29:$N$29)</f>
        <v/>
      </c>
      <c r="G69" s="15">
        <f>E69-F69</f>
        <v/>
      </c>
      <c r="H69" s="15">
        <f>G69^2</f>
        <v/>
      </c>
    </row>
    <row r="70">
      <c r="A70" s="5" t="n">
        <v>1</v>
      </c>
      <c r="B70" s="15">
        <f>Data!C66</f>
        <v/>
      </c>
      <c r="C70" s="15">
        <f>Data!D66</f>
        <v/>
      </c>
      <c r="D70" s="15">
        <f>Data!E66</f>
        <v/>
      </c>
      <c r="E70" s="15">
        <f>Data!G66</f>
        <v/>
      </c>
      <c r="F70" s="15">
        <f>SUMPRODUCT(A70:D70,$K$29:$N$29)</f>
        <v/>
      </c>
      <c r="G70" s="15">
        <f>E70-F70</f>
        <v/>
      </c>
      <c r="H70" s="15">
        <f>G70^2</f>
        <v/>
      </c>
    </row>
    <row r="71">
      <c r="A71" s="5" t="n">
        <v>1</v>
      </c>
      <c r="B71" s="15">
        <f>Data!C67</f>
        <v/>
      </c>
      <c r="C71" s="15">
        <f>Data!D67</f>
        <v/>
      </c>
      <c r="D71" s="15">
        <f>Data!E67</f>
        <v/>
      </c>
      <c r="E71" s="15">
        <f>Data!G67</f>
        <v/>
      </c>
      <c r="F71" s="15">
        <f>SUMPRODUCT(A71:D71,$K$29:$N$29)</f>
        <v/>
      </c>
      <c r="G71" s="15">
        <f>E71-F71</f>
        <v/>
      </c>
      <c r="H71" s="15">
        <f>G71^2</f>
        <v/>
      </c>
    </row>
    <row r="72">
      <c r="A72" s="5" t="n">
        <v>1</v>
      </c>
      <c r="B72" s="15">
        <f>Data!C68</f>
        <v/>
      </c>
      <c r="C72" s="15">
        <f>Data!D68</f>
        <v/>
      </c>
      <c r="D72" s="15">
        <f>Data!E68</f>
        <v/>
      </c>
      <c r="E72" s="15">
        <f>Data!G68</f>
        <v/>
      </c>
      <c r="F72" s="15">
        <f>SUMPRODUCT(A72:D72,$K$29:$N$29)</f>
        <v/>
      </c>
      <c r="G72" s="15">
        <f>E72-F72</f>
        <v/>
      </c>
      <c r="H72" s="15">
        <f>G72^2</f>
        <v/>
      </c>
    </row>
    <row r="73">
      <c r="A73" s="5" t="n">
        <v>1</v>
      </c>
      <c r="B73" s="15">
        <f>Data!C69</f>
        <v/>
      </c>
      <c r="C73" s="15">
        <f>Data!D69</f>
        <v/>
      </c>
      <c r="D73" s="15">
        <f>Data!E69</f>
        <v/>
      </c>
      <c r="E73" s="15">
        <f>Data!G69</f>
        <v/>
      </c>
      <c r="F73" s="15">
        <f>SUMPRODUCT(A73:D73,$K$29:$N$29)</f>
        <v/>
      </c>
      <c r="G73" s="15">
        <f>E73-F73</f>
        <v/>
      </c>
      <c r="H73" s="15">
        <f>G73^2</f>
        <v/>
      </c>
    </row>
    <row r="74">
      <c r="A74" s="5" t="n">
        <v>1</v>
      </c>
      <c r="B74" s="15">
        <f>Data!C70</f>
        <v/>
      </c>
      <c r="C74" s="15">
        <f>Data!D70</f>
        <v/>
      </c>
      <c r="D74" s="15">
        <f>Data!E70</f>
        <v/>
      </c>
      <c r="E74" s="15">
        <f>Data!G70</f>
        <v/>
      </c>
      <c r="F74" s="15">
        <f>SUMPRODUCT(A74:D74,$K$29:$N$29)</f>
        <v/>
      </c>
      <c r="G74" s="15">
        <f>E74-F74</f>
        <v/>
      </c>
      <c r="H74" s="15">
        <f>G74^2</f>
        <v/>
      </c>
    </row>
    <row r="75">
      <c r="A75" s="5" t="n">
        <v>1</v>
      </c>
      <c r="B75" s="15">
        <f>Data!C71</f>
        <v/>
      </c>
      <c r="C75" s="15">
        <f>Data!D71</f>
        <v/>
      </c>
      <c r="D75" s="15">
        <f>Data!E71</f>
        <v/>
      </c>
      <c r="E75" s="15">
        <f>Data!G71</f>
        <v/>
      </c>
      <c r="F75" s="15">
        <f>SUMPRODUCT(A75:D75,$K$29:$N$29)</f>
        <v/>
      </c>
      <c r="G75" s="15">
        <f>E75-F75</f>
        <v/>
      </c>
      <c r="H75" s="15">
        <f>G75^2</f>
        <v/>
      </c>
    </row>
    <row r="76">
      <c r="A76" s="5" t="n">
        <v>1</v>
      </c>
      <c r="B76" s="15">
        <f>Data!C72</f>
        <v/>
      </c>
      <c r="C76" s="15">
        <f>Data!D72</f>
        <v/>
      </c>
      <c r="D76" s="15">
        <f>Data!E72</f>
        <v/>
      </c>
      <c r="E76" s="15">
        <f>Data!G72</f>
        <v/>
      </c>
      <c r="F76" s="15">
        <f>SUMPRODUCT(A76:D76,$K$29:$N$29)</f>
        <v/>
      </c>
      <c r="G76" s="15">
        <f>E76-F76</f>
        <v/>
      </c>
      <c r="H76" s="15">
        <f>G76^2</f>
        <v/>
      </c>
    </row>
    <row r="77">
      <c r="A77" s="5" t="n">
        <v>1</v>
      </c>
      <c r="B77" s="15">
        <f>Data!C73</f>
        <v/>
      </c>
      <c r="C77" s="15">
        <f>Data!D73</f>
        <v/>
      </c>
      <c r="D77" s="15">
        <f>Data!E73</f>
        <v/>
      </c>
      <c r="E77" s="15">
        <f>Data!G73</f>
        <v/>
      </c>
      <c r="F77" s="15">
        <f>SUMPRODUCT(A77:D77,$K$29:$N$29)</f>
        <v/>
      </c>
      <c r="G77" s="15">
        <f>E77-F77</f>
        <v/>
      </c>
      <c r="H77" s="15">
        <f>G77^2</f>
        <v/>
      </c>
    </row>
    <row r="78">
      <c r="A78" s="5" t="n">
        <v>1</v>
      </c>
      <c r="B78" s="15">
        <f>Data!C74</f>
        <v/>
      </c>
      <c r="C78" s="15">
        <f>Data!D74</f>
        <v/>
      </c>
      <c r="D78" s="15">
        <f>Data!E74</f>
        <v/>
      </c>
      <c r="E78" s="15">
        <f>Data!G74</f>
        <v/>
      </c>
      <c r="F78" s="15">
        <f>SUMPRODUCT(A78:D78,$K$29:$N$29)</f>
        <v/>
      </c>
      <c r="G78" s="15">
        <f>E78-F78</f>
        <v/>
      </c>
      <c r="H78" s="15">
        <f>G78^2</f>
        <v/>
      </c>
    </row>
    <row r="79">
      <c r="A79" s="5" t="n">
        <v>1</v>
      </c>
      <c r="B79" s="15">
        <f>Data!C75</f>
        <v/>
      </c>
      <c r="C79" s="15">
        <f>Data!D75</f>
        <v/>
      </c>
      <c r="D79" s="15">
        <f>Data!E75</f>
        <v/>
      </c>
      <c r="E79" s="15">
        <f>Data!G75</f>
        <v/>
      </c>
      <c r="F79" s="15">
        <f>SUMPRODUCT(A79:D79,$K$29:$N$29)</f>
        <v/>
      </c>
      <c r="G79" s="15">
        <f>E79-F79</f>
        <v/>
      </c>
      <c r="H79" s="15">
        <f>G79^2</f>
        <v/>
      </c>
    </row>
    <row r="80">
      <c r="A80" s="5" t="n">
        <v>1</v>
      </c>
      <c r="B80" s="15">
        <f>Data!C76</f>
        <v/>
      </c>
      <c r="C80" s="15">
        <f>Data!D76</f>
        <v/>
      </c>
      <c r="D80" s="15">
        <f>Data!E76</f>
        <v/>
      </c>
      <c r="E80" s="15">
        <f>Data!G76</f>
        <v/>
      </c>
      <c r="F80" s="15">
        <f>SUMPRODUCT(A80:D80,$K$29:$N$29)</f>
        <v/>
      </c>
      <c r="G80" s="15">
        <f>E80-F80</f>
        <v/>
      </c>
      <c r="H80" s="15">
        <f>G80^2</f>
        <v/>
      </c>
    </row>
    <row r="81">
      <c r="A81" s="5" t="n">
        <v>1</v>
      </c>
      <c r="B81" s="15">
        <f>Data!C77</f>
        <v/>
      </c>
      <c r="C81" s="15">
        <f>Data!D77</f>
        <v/>
      </c>
      <c r="D81" s="15">
        <f>Data!E77</f>
        <v/>
      </c>
      <c r="E81" s="15">
        <f>Data!G77</f>
        <v/>
      </c>
      <c r="F81" s="15">
        <f>SUMPRODUCT(A81:D81,$K$29:$N$29)</f>
        <v/>
      </c>
      <c r="G81" s="15">
        <f>E81-F81</f>
        <v/>
      </c>
      <c r="H81" s="15">
        <f>G81^2</f>
        <v/>
      </c>
    </row>
    <row r="82">
      <c r="A82" s="5" t="n">
        <v>1</v>
      </c>
      <c r="B82" s="15">
        <f>Data!C78</f>
        <v/>
      </c>
      <c r="C82" s="15">
        <f>Data!D78</f>
        <v/>
      </c>
      <c r="D82" s="15">
        <f>Data!E78</f>
        <v/>
      </c>
      <c r="E82" s="15">
        <f>Data!G78</f>
        <v/>
      </c>
      <c r="F82" s="15">
        <f>SUMPRODUCT(A82:D82,$K$29:$N$29)</f>
        <v/>
      </c>
      <c r="G82" s="15">
        <f>E82-F82</f>
        <v/>
      </c>
      <c r="H82" s="15">
        <f>G82^2</f>
        <v/>
      </c>
    </row>
    <row r="83">
      <c r="A83" s="5" t="n">
        <v>1</v>
      </c>
      <c r="B83" s="15">
        <f>Data!C79</f>
        <v/>
      </c>
      <c r="C83" s="15">
        <f>Data!D79</f>
        <v/>
      </c>
      <c r="D83" s="15">
        <f>Data!E79</f>
        <v/>
      </c>
      <c r="E83" s="15">
        <f>Data!G79</f>
        <v/>
      </c>
      <c r="F83" s="15">
        <f>SUMPRODUCT(A83:D83,$K$29:$N$29)</f>
        <v/>
      </c>
      <c r="G83" s="15">
        <f>E83-F83</f>
        <v/>
      </c>
      <c r="H83" s="15">
        <f>G83^2</f>
        <v/>
      </c>
    </row>
    <row r="84">
      <c r="A84" s="5" t="n">
        <v>1</v>
      </c>
      <c r="B84" s="15">
        <f>Data!C80</f>
        <v/>
      </c>
      <c r="C84" s="15">
        <f>Data!D80</f>
        <v/>
      </c>
      <c r="D84" s="15">
        <f>Data!E80</f>
        <v/>
      </c>
      <c r="E84" s="15">
        <f>Data!G80</f>
        <v/>
      </c>
      <c r="F84" s="15">
        <f>SUMPRODUCT(A84:D84,$K$29:$N$29)</f>
        <v/>
      </c>
      <c r="G84" s="15">
        <f>E84-F84</f>
        <v/>
      </c>
      <c r="H84" s="15">
        <f>G84^2</f>
        <v/>
      </c>
    </row>
    <row r="85">
      <c r="A85" s="5" t="n">
        <v>1</v>
      </c>
      <c r="B85" s="15">
        <f>Data!C81</f>
        <v/>
      </c>
      <c r="C85" s="15">
        <f>Data!D81</f>
        <v/>
      </c>
      <c r="D85" s="15">
        <f>Data!E81</f>
        <v/>
      </c>
      <c r="E85" s="15">
        <f>Data!G81</f>
        <v/>
      </c>
      <c r="F85" s="15">
        <f>SUMPRODUCT(A85:D85,$K$29:$N$29)</f>
        <v/>
      </c>
      <c r="G85" s="15">
        <f>E85-F85</f>
        <v/>
      </c>
      <c r="H85" s="15">
        <f>G85^2</f>
        <v/>
      </c>
    </row>
    <row r="86">
      <c r="A86" s="5" t="n">
        <v>1</v>
      </c>
      <c r="B86" s="15">
        <f>Data!C82</f>
        <v/>
      </c>
      <c r="C86" s="15">
        <f>Data!D82</f>
        <v/>
      </c>
      <c r="D86" s="15">
        <f>Data!E82</f>
        <v/>
      </c>
      <c r="E86" s="15">
        <f>Data!G82</f>
        <v/>
      </c>
      <c r="F86" s="15">
        <f>SUMPRODUCT(A86:D86,$K$29:$N$29)</f>
        <v/>
      </c>
      <c r="G86" s="15">
        <f>E86-F86</f>
        <v/>
      </c>
      <c r="H86" s="15">
        <f>G86^2</f>
        <v/>
      </c>
    </row>
    <row r="87">
      <c r="A87" s="5" t="n">
        <v>1</v>
      </c>
      <c r="B87" s="15">
        <f>Data!C83</f>
        <v/>
      </c>
      <c r="C87" s="15">
        <f>Data!D83</f>
        <v/>
      </c>
      <c r="D87" s="15">
        <f>Data!E83</f>
        <v/>
      </c>
      <c r="E87" s="15">
        <f>Data!G83</f>
        <v/>
      </c>
      <c r="F87" s="15">
        <f>SUMPRODUCT(A87:D87,$K$29:$N$29)</f>
        <v/>
      </c>
      <c r="G87" s="15">
        <f>E87-F87</f>
        <v/>
      </c>
      <c r="H87" s="15">
        <f>G87^2</f>
        <v/>
      </c>
    </row>
    <row r="88">
      <c r="A88" s="5" t="n">
        <v>1</v>
      </c>
      <c r="B88" s="15">
        <f>Data!C84</f>
        <v/>
      </c>
      <c r="C88" s="15">
        <f>Data!D84</f>
        <v/>
      </c>
      <c r="D88" s="15">
        <f>Data!E84</f>
        <v/>
      </c>
      <c r="E88" s="15">
        <f>Data!G84</f>
        <v/>
      </c>
      <c r="F88" s="15">
        <f>SUMPRODUCT(A88:D88,$K$29:$N$29)</f>
        <v/>
      </c>
      <c r="G88" s="15">
        <f>E88-F88</f>
        <v/>
      </c>
      <c r="H88" s="15">
        <f>G88^2</f>
        <v/>
      </c>
    </row>
    <row r="89">
      <c r="A89" s="5" t="n">
        <v>1</v>
      </c>
      <c r="B89" s="15">
        <f>Data!C85</f>
        <v/>
      </c>
      <c r="C89" s="15">
        <f>Data!D85</f>
        <v/>
      </c>
      <c r="D89" s="15">
        <f>Data!E85</f>
        <v/>
      </c>
      <c r="E89" s="15">
        <f>Data!G85</f>
        <v/>
      </c>
      <c r="F89" s="15">
        <f>SUMPRODUCT(A89:D89,$K$29:$N$29)</f>
        <v/>
      </c>
      <c r="G89" s="15">
        <f>E89-F89</f>
        <v/>
      </c>
      <c r="H89" s="15">
        <f>G89^2</f>
        <v/>
      </c>
    </row>
    <row r="90">
      <c r="A90" s="5" t="n">
        <v>1</v>
      </c>
      <c r="B90" s="15">
        <f>Data!C86</f>
        <v/>
      </c>
      <c r="C90" s="15">
        <f>Data!D86</f>
        <v/>
      </c>
      <c r="D90" s="15">
        <f>Data!E86</f>
        <v/>
      </c>
      <c r="E90" s="15">
        <f>Data!G86</f>
        <v/>
      </c>
      <c r="F90" s="15">
        <f>SUMPRODUCT(A90:D90,$K$29:$N$29)</f>
        <v/>
      </c>
      <c r="G90" s="15">
        <f>E90-F90</f>
        <v/>
      </c>
      <c r="H90" s="15">
        <f>G90^2</f>
        <v/>
      </c>
    </row>
    <row r="91">
      <c r="A91" s="5" t="n">
        <v>1</v>
      </c>
      <c r="B91" s="15">
        <f>Data!C87</f>
        <v/>
      </c>
      <c r="C91" s="15">
        <f>Data!D87</f>
        <v/>
      </c>
      <c r="D91" s="15">
        <f>Data!E87</f>
        <v/>
      </c>
      <c r="E91" s="15">
        <f>Data!G87</f>
        <v/>
      </c>
      <c r="F91" s="15">
        <f>SUMPRODUCT(A91:D91,$K$29:$N$29)</f>
        <v/>
      </c>
      <c r="G91" s="15">
        <f>E91-F91</f>
        <v/>
      </c>
      <c r="H91" s="15">
        <f>G91^2</f>
        <v/>
      </c>
    </row>
    <row r="92">
      <c r="A92" s="5" t="n">
        <v>1</v>
      </c>
      <c r="B92" s="15">
        <f>Data!C88</f>
        <v/>
      </c>
      <c r="C92" s="15">
        <f>Data!D88</f>
        <v/>
      </c>
      <c r="D92" s="15">
        <f>Data!E88</f>
        <v/>
      </c>
      <c r="E92" s="15">
        <f>Data!G88</f>
        <v/>
      </c>
      <c r="F92" s="15">
        <f>SUMPRODUCT(A92:D92,$K$29:$N$29)</f>
        <v/>
      </c>
      <c r="G92" s="15">
        <f>E92-F92</f>
        <v/>
      </c>
      <c r="H92" s="15">
        <f>G92^2</f>
        <v/>
      </c>
    </row>
    <row r="93">
      <c r="A93" s="5" t="n">
        <v>1</v>
      </c>
      <c r="B93" s="15">
        <f>Data!C89</f>
        <v/>
      </c>
      <c r="C93" s="15">
        <f>Data!D89</f>
        <v/>
      </c>
      <c r="D93" s="15">
        <f>Data!E89</f>
        <v/>
      </c>
      <c r="E93" s="15">
        <f>Data!G89</f>
        <v/>
      </c>
      <c r="F93" s="15">
        <f>SUMPRODUCT(A93:D93,$K$29:$N$29)</f>
        <v/>
      </c>
      <c r="G93" s="15">
        <f>E93-F93</f>
        <v/>
      </c>
      <c r="H93" s="15">
        <f>G93^2</f>
        <v/>
      </c>
    </row>
    <row r="94">
      <c r="A94" s="5" t="n">
        <v>1</v>
      </c>
      <c r="B94" s="15">
        <f>Data!C90</f>
        <v/>
      </c>
      <c r="C94" s="15">
        <f>Data!D90</f>
        <v/>
      </c>
      <c r="D94" s="15">
        <f>Data!E90</f>
        <v/>
      </c>
      <c r="E94" s="15">
        <f>Data!G90</f>
        <v/>
      </c>
      <c r="F94" s="15">
        <f>SUMPRODUCT(A94:D94,$K$29:$N$29)</f>
        <v/>
      </c>
      <c r="G94" s="15">
        <f>E94-F94</f>
        <v/>
      </c>
      <c r="H94" s="15">
        <f>G94^2</f>
        <v/>
      </c>
    </row>
    <row r="95">
      <c r="A95" s="5" t="n">
        <v>1</v>
      </c>
      <c r="B95" s="15">
        <f>Data!C91</f>
        <v/>
      </c>
      <c r="C95" s="15">
        <f>Data!D91</f>
        <v/>
      </c>
      <c r="D95" s="15">
        <f>Data!E91</f>
        <v/>
      </c>
      <c r="E95" s="15">
        <f>Data!G91</f>
        <v/>
      </c>
      <c r="F95" s="15">
        <f>SUMPRODUCT(A95:D95,$K$29:$N$29)</f>
        <v/>
      </c>
      <c r="G95" s="15">
        <f>E95-F95</f>
        <v/>
      </c>
      <c r="H95" s="15">
        <f>G95^2</f>
        <v/>
      </c>
    </row>
    <row r="96">
      <c r="A96" s="5" t="n">
        <v>1</v>
      </c>
      <c r="B96" s="15">
        <f>Data!C92</f>
        <v/>
      </c>
      <c r="C96" s="15">
        <f>Data!D92</f>
        <v/>
      </c>
      <c r="D96" s="15">
        <f>Data!E92</f>
        <v/>
      </c>
      <c r="E96" s="15">
        <f>Data!G92</f>
        <v/>
      </c>
      <c r="F96" s="15">
        <f>SUMPRODUCT(A96:D96,$K$29:$N$29)</f>
        <v/>
      </c>
      <c r="G96" s="15">
        <f>E96-F96</f>
        <v/>
      </c>
      <c r="H96" s="15">
        <f>G96^2</f>
        <v/>
      </c>
    </row>
    <row r="97">
      <c r="A97" s="5" t="n">
        <v>1</v>
      </c>
      <c r="B97" s="15">
        <f>Data!C93</f>
        <v/>
      </c>
      <c r="C97" s="15">
        <f>Data!D93</f>
        <v/>
      </c>
      <c r="D97" s="15">
        <f>Data!E93</f>
        <v/>
      </c>
      <c r="E97" s="15">
        <f>Data!G93</f>
        <v/>
      </c>
      <c r="F97" s="15">
        <f>SUMPRODUCT(A97:D97,$K$29:$N$29)</f>
        <v/>
      </c>
      <c r="G97" s="15">
        <f>E97-F97</f>
        <v/>
      </c>
      <c r="H97" s="15">
        <f>G97^2</f>
        <v/>
      </c>
    </row>
    <row r="98">
      <c r="A98" s="5" t="n">
        <v>1</v>
      </c>
      <c r="B98" s="15">
        <f>Data!C94</f>
        <v/>
      </c>
      <c r="C98" s="15">
        <f>Data!D94</f>
        <v/>
      </c>
      <c r="D98" s="15">
        <f>Data!E94</f>
        <v/>
      </c>
      <c r="E98" s="15">
        <f>Data!G94</f>
        <v/>
      </c>
      <c r="F98" s="15">
        <f>SUMPRODUCT(A98:D98,$K$29:$N$29)</f>
        <v/>
      </c>
      <c r="G98" s="15">
        <f>E98-F98</f>
        <v/>
      </c>
      <c r="H98" s="15">
        <f>G98^2</f>
        <v/>
      </c>
    </row>
    <row r="99">
      <c r="A99" s="5" t="n">
        <v>1</v>
      </c>
      <c r="B99" s="15">
        <f>Data!C95</f>
        <v/>
      </c>
      <c r="C99" s="15">
        <f>Data!D95</f>
        <v/>
      </c>
      <c r="D99" s="15">
        <f>Data!E95</f>
        <v/>
      </c>
      <c r="E99" s="15">
        <f>Data!G95</f>
        <v/>
      </c>
      <c r="F99" s="15">
        <f>SUMPRODUCT(A99:D99,$K$29:$N$29)</f>
        <v/>
      </c>
      <c r="G99" s="15">
        <f>E99-F99</f>
        <v/>
      </c>
      <c r="H99" s="15">
        <f>G99^2</f>
        <v/>
      </c>
    </row>
    <row r="100">
      <c r="A100" s="5" t="n">
        <v>1</v>
      </c>
      <c r="B100" s="15">
        <f>Data!C96</f>
        <v/>
      </c>
      <c r="C100" s="15">
        <f>Data!D96</f>
        <v/>
      </c>
      <c r="D100" s="15">
        <f>Data!E96</f>
        <v/>
      </c>
      <c r="E100" s="15">
        <f>Data!G96</f>
        <v/>
      </c>
      <c r="F100" s="15">
        <f>SUMPRODUCT(A100:D100,$K$29:$N$29)</f>
        <v/>
      </c>
      <c r="G100" s="15">
        <f>E100-F100</f>
        <v/>
      </c>
      <c r="H100" s="15">
        <f>G100^2</f>
        <v/>
      </c>
    </row>
    <row r="101">
      <c r="A101" s="5" t="n">
        <v>1</v>
      </c>
      <c r="B101" s="15">
        <f>Data!C97</f>
        <v/>
      </c>
      <c r="C101" s="15">
        <f>Data!D97</f>
        <v/>
      </c>
      <c r="D101" s="15">
        <f>Data!E97</f>
        <v/>
      </c>
      <c r="E101" s="15">
        <f>Data!G97</f>
        <v/>
      </c>
      <c r="F101" s="15">
        <f>SUMPRODUCT(A101:D101,$K$29:$N$29)</f>
        <v/>
      </c>
      <c r="G101" s="15">
        <f>E101-F101</f>
        <v/>
      </c>
      <c r="H101" s="15">
        <f>G101^2</f>
        <v/>
      </c>
    </row>
    <row r="102">
      <c r="A102" s="5" t="n">
        <v>1</v>
      </c>
      <c r="B102" s="15">
        <f>Data!C98</f>
        <v/>
      </c>
      <c r="C102" s="15">
        <f>Data!D98</f>
        <v/>
      </c>
      <c r="D102" s="15">
        <f>Data!E98</f>
        <v/>
      </c>
      <c r="E102" s="15">
        <f>Data!G98</f>
        <v/>
      </c>
      <c r="F102" s="15">
        <f>SUMPRODUCT(A102:D102,$K$29:$N$29)</f>
        <v/>
      </c>
      <c r="G102" s="15">
        <f>E102-F102</f>
        <v/>
      </c>
      <c r="H102" s="15">
        <f>G102^2</f>
        <v/>
      </c>
    </row>
    <row r="103">
      <c r="A103" s="5" t="n">
        <v>1</v>
      </c>
      <c r="B103" s="15">
        <f>Data!C99</f>
        <v/>
      </c>
      <c r="C103" s="15">
        <f>Data!D99</f>
        <v/>
      </c>
      <c r="D103" s="15">
        <f>Data!E99</f>
        <v/>
      </c>
      <c r="E103" s="15">
        <f>Data!G99</f>
        <v/>
      </c>
      <c r="F103" s="15">
        <f>SUMPRODUCT(A103:D103,$K$29:$N$29)</f>
        <v/>
      </c>
      <c r="G103" s="15">
        <f>E103-F103</f>
        <v/>
      </c>
      <c r="H103" s="15">
        <f>G103^2</f>
        <v/>
      </c>
    </row>
    <row r="104">
      <c r="A104" s="5" t="n">
        <v>1</v>
      </c>
      <c r="B104" s="15">
        <f>Data!C100</f>
        <v/>
      </c>
      <c r="C104" s="15">
        <f>Data!D100</f>
        <v/>
      </c>
      <c r="D104" s="15">
        <f>Data!E100</f>
        <v/>
      </c>
      <c r="E104" s="15">
        <f>Data!G100</f>
        <v/>
      </c>
      <c r="F104" s="15">
        <f>SUMPRODUCT(A104:D104,$K$29:$N$29)</f>
        <v/>
      </c>
      <c r="G104" s="15">
        <f>E104-F104</f>
        <v/>
      </c>
      <c r="H104" s="15">
        <f>G104^2</f>
        <v/>
      </c>
    </row>
    <row r="105">
      <c r="A105" s="5" t="n">
        <v>1</v>
      </c>
      <c r="B105" s="15">
        <f>Data!C101</f>
        <v/>
      </c>
      <c r="C105" s="15">
        <f>Data!D101</f>
        <v/>
      </c>
      <c r="D105" s="15">
        <f>Data!E101</f>
        <v/>
      </c>
      <c r="E105" s="15">
        <f>Data!G101</f>
        <v/>
      </c>
      <c r="F105" s="15">
        <f>SUMPRODUCT(A105:D105,$K$29:$N$29)</f>
        <v/>
      </c>
      <c r="G105" s="15">
        <f>E105-F105</f>
        <v/>
      </c>
      <c r="H105" s="15">
        <f>G105^2</f>
        <v/>
      </c>
    </row>
    <row r="106">
      <c r="A106" s="5" t="n">
        <v>1</v>
      </c>
      <c r="B106" s="15">
        <f>Data!C102</f>
        <v/>
      </c>
      <c r="C106" s="15">
        <f>Data!D102</f>
        <v/>
      </c>
      <c r="D106" s="15">
        <f>Data!E102</f>
        <v/>
      </c>
      <c r="E106" s="15">
        <f>Data!G102</f>
        <v/>
      </c>
      <c r="F106" s="15">
        <f>SUMPRODUCT(A106:D106,$K$29:$N$29)</f>
        <v/>
      </c>
      <c r="G106" s="15">
        <f>E106-F106</f>
        <v/>
      </c>
      <c r="H106" s="15">
        <f>G106^2</f>
        <v/>
      </c>
    </row>
    <row r="107">
      <c r="A107" s="5" t="n">
        <v>1</v>
      </c>
      <c r="B107" s="15">
        <f>Data!C103</f>
        <v/>
      </c>
      <c r="C107" s="15">
        <f>Data!D103</f>
        <v/>
      </c>
      <c r="D107" s="15">
        <f>Data!E103</f>
        <v/>
      </c>
      <c r="E107" s="15">
        <f>Data!G103</f>
        <v/>
      </c>
      <c r="F107" s="15">
        <f>SUMPRODUCT(A107:D107,$K$29:$N$29)</f>
        <v/>
      </c>
      <c r="G107" s="15">
        <f>E107-F107</f>
        <v/>
      </c>
      <c r="H107" s="15">
        <f>G107^2</f>
        <v/>
      </c>
    </row>
    <row r="108">
      <c r="A108" s="5" t="n">
        <v>1</v>
      </c>
      <c r="B108" s="15">
        <f>Data!C104</f>
        <v/>
      </c>
      <c r="C108" s="15">
        <f>Data!D104</f>
        <v/>
      </c>
      <c r="D108" s="15">
        <f>Data!E104</f>
        <v/>
      </c>
      <c r="E108" s="15">
        <f>Data!G104</f>
        <v/>
      </c>
      <c r="F108" s="15">
        <f>SUMPRODUCT(A108:D108,$K$29:$N$29)</f>
        <v/>
      </c>
      <c r="G108" s="15">
        <f>E108-F108</f>
        <v/>
      </c>
      <c r="H108" s="15">
        <f>G108^2</f>
        <v/>
      </c>
    </row>
    <row r="109">
      <c r="A109" s="5" t="n">
        <v>1</v>
      </c>
      <c r="B109" s="15">
        <f>Data!C105</f>
        <v/>
      </c>
      <c r="C109" s="15">
        <f>Data!D105</f>
        <v/>
      </c>
      <c r="D109" s="15">
        <f>Data!E105</f>
        <v/>
      </c>
      <c r="E109" s="15">
        <f>Data!G105</f>
        <v/>
      </c>
      <c r="F109" s="15">
        <f>SUMPRODUCT(A109:D109,$K$29:$N$29)</f>
        <v/>
      </c>
      <c r="G109" s="15">
        <f>E109-F109</f>
        <v/>
      </c>
      <c r="H109" s="15">
        <f>G109^2</f>
        <v/>
      </c>
    </row>
    <row r="110">
      <c r="A110" s="5" t="n">
        <v>1</v>
      </c>
      <c r="B110" s="15">
        <f>Data!C106</f>
        <v/>
      </c>
      <c r="C110" s="15">
        <f>Data!D106</f>
        <v/>
      </c>
      <c r="D110" s="15">
        <f>Data!E106</f>
        <v/>
      </c>
      <c r="E110" s="15">
        <f>Data!G106</f>
        <v/>
      </c>
      <c r="F110" s="15">
        <f>SUMPRODUCT(A110:D110,$K$29:$N$29)</f>
        <v/>
      </c>
      <c r="G110" s="15">
        <f>E110-F110</f>
        <v/>
      </c>
      <c r="H110" s="15">
        <f>G110^2</f>
        <v/>
      </c>
    </row>
    <row r="111">
      <c r="A111" s="5" t="n">
        <v>1</v>
      </c>
      <c r="B111" s="15">
        <f>Data!C107</f>
        <v/>
      </c>
      <c r="C111" s="15">
        <f>Data!D107</f>
        <v/>
      </c>
      <c r="D111" s="15">
        <f>Data!E107</f>
        <v/>
      </c>
      <c r="E111" s="15">
        <f>Data!G107</f>
        <v/>
      </c>
      <c r="F111" s="15">
        <f>SUMPRODUCT(A111:D111,$K$29:$N$29)</f>
        <v/>
      </c>
      <c r="G111" s="15">
        <f>E111-F111</f>
        <v/>
      </c>
      <c r="H111" s="15">
        <f>G111^2</f>
        <v/>
      </c>
    </row>
    <row r="112">
      <c r="A112" s="5" t="n">
        <v>1</v>
      </c>
      <c r="B112" s="15">
        <f>Data!C108</f>
        <v/>
      </c>
      <c r="C112" s="15">
        <f>Data!D108</f>
        <v/>
      </c>
      <c r="D112" s="15">
        <f>Data!E108</f>
        <v/>
      </c>
      <c r="E112" s="15">
        <f>Data!G108</f>
        <v/>
      </c>
      <c r="F112" s="15">
        <f>SUMPRODUCT(A112:D112,$K$29:$N$29)</f>
        <v/>
      </c>
      <c r="G112" s="15">
        <f>E112-F112</f>
        <v/>
      </c>
      <c r="H112" s="15">
        <f>G112^2</f>
        <v/>
      </c>
    </row>
    <row r="113">
      <c r="A113" s="5" t="n">
        <v>1</v>
      </c>
      <c r="B113" s="15">
        <f>Data!C109</f>
        <v/>
      </c>
      <c r="C113" s="15">
        <f>Data!D109</f>
        <v/>
      </c>
      <c r="D113" s="15">
        <f>Data!E109</f>
        <v/>
      </c>
      <c r="E113" s="15">
        <f>Data!G109</f>
        <v/>
      </c>
      <c r="F113" s="15">
        <f>SUMPRODUCT(A113:D113,$K$29:$N$29)</f>
        <v/>
      </c>
      <c r="G113" s="15">
        <f>E113-F113</f>
        <v/>
      </c>
      <c r="H113" s="15">
        <f>G113^2</f>
        <v/>
      </c>
    </row>
    <row r="114">
      <c r="A114" s="5" t="n">
        <v>1</v>
      </c>
      <c r="B114" s="15">
        <f>Data!C110</f>
        <v/>
      </c>
      <c r="C114" s="15">
        <f>Data!D110</f>
        <v/>
      </c>
      <c r="D114" s="15">
        <f>Data!E110</f>
        <v/>
      </c>
      <c r="E114" s="15">
        <f>Data!G110</f>
        <v/>
      </c>
      <c r="F114" s="15">
        <f>SUMPRODUCT(A114:D114,$K$29:$N$29)</f>
        <v/>
      </c>
      <c r="G114" s="15">
        <f>E114-F114</f>
        <v/>
      </c>
      <c r="H114" s="15">
        <f>G114^2</f>
        <v/>
      </c>
    </row>
    <row r="115">
      <c r="A115" s="5" t="n">
        <v>1</v>
      </c>
      <c r="B115" s="15">
        <f>Data!C111</f>
        <v/>
      </c>
      <c r="C115" s="15">
        <f>Data!D111</f>
        <v/>
      </c>
      <c r="D115" s="15">
        <f>Data!E111</f>
        <v/>
      </c>
      <c r="E115" s="15">
        <f>Data!G111</f>
        <v/>
      </c>
      <c r="F115" s="15">
        <f>SUMPRODUCT(A115:D115,$K$29:$N$29)</f>
        <v/>
      </c>
      <c r="G115" s="15">
        <f>E115-F115</f>
        <v/>
      </c>
      <c r="H115" s="15">
        <f>G115^2</f>
        <v/>
      </c>
    </row>
    <row r="116">
      <c r="A116" s="5" t="n">
        <v>1</v>
      </c>
      <c r="B116" s="15">
        <f>Data!C112</f>
        <v/>
      </c>
      <c r="C116" s="15">
        <f>Data!D112</f>
        <v/>
      </c>
      <c r="D116" s="15">
        <f>Data!E112</f>
        <v/>
      </c>
      <c r="E116" s="15">
        <f>Data!G112</f>
        <v/>
      </c>
      <c r="F116" s="15">
        <f>SUMPRODUCT(A116:D116,$K$29:$N$29)</f>
        <v/>
      </c>
      <c r="G116" s="15">
        <f>E116-F116</f>
        <v/>
      </c>
      <c r="H116" s="15">
        <f>G116^2</f>
        <v/>
      </c>
    </row>
    <row r="117">
      <c r="A117" s="5" t="n">
        <v>1</v>
      </c>
      <c r="B117" s="15">
        <f>Data!C113</f>
        <v/>
      </c>
      <c r="C117" s="15">
        <f>Data!D113</f>
        <v/>
      </c>
      <c r="D117" s="15">
        <f>Data!E113</f>
        <v/>
      </c>
      <c r="E117" s="15">
        <f>Data!G113</f>
        <v/>
      </c>
      <c r="F117" s="15">
        <f>SUMPRODUCT(A117:D117,$K$29:$N$29)</f>
        <v/>
      </c>
      <c r="G117" s="15">
        <f>E117-F117</f>
        <v/>
      </c>
      <c r="H117" s="15">
        <f>G117^2</f>
        <v/>
      </c>
    </row>
    <row r="118">
      <c r="A118" s="5" t="n">
        <v>1</v>
      </c>
      <c r="B118" s="15">
        <f>Data!C114</f>
        <v/>
      </c>
      <c r="C118" s="15">
        <f>Data!D114</f>
        <v/>
      </c>
      <c r="D118" s="15">
        <f>Data!E114</f>
        <v/>
      </c>
      <c r="E118" s="15">
        <f>Data!G114</f>
        <v/>
      </c>
      <c r="F118" s="15">
        <f>SUMPRODUCT(A118:D118,$K$29:$N$29)</f>
        <v/>
      </c>
      <c r="G118" s="15">
        <f>E118-F118</f>
        <v/>
      </c>
      <c r="H118" s="15">
        <f>G118^2</f>
        <v/>
      </c>
    </row>
    <row r="119">
      <c r="A119" s="5" t="n">
        <v>1</v>
      </c>
      <c r="B119" s="15">
        <f>Data!C115</f>
        <v/>
      </c>
      <c r="C119" s="15">
        <f>Data!D115</f>
        <v/>
      </c>
      <c r="D119" s="15">
        <f>Data!E115</f>
        <v/>
      </c>
      <c r="E119" s="15">
        <f>Data!G115</f>
        <v/>
      </c>
      <c r="F119" s="15">
        <f>SUMPRODUCT(A119:D119,$K$29:$N$29)</f>
        <v/>
      </c>
      <c r="G119" s="15">
        <f>E119-F119</f>
        <v/>
      </c>
      <c r="H119" s="15">
        <f>G119^2</f>
        <v/>
      </c>
    </row>
    <row r="120">
      <c r="A120" s="5" t="n">
        <v>1</v>
      </c>
      <c r="B120" s="15">
        <f>Data!C116</f>
        <v/>
      </c>
      <c r="C120" s="15">
        <f>Data!D116</f>
        <v/>
      </c>
      <c r="D120" s="15">
        <f>Data!E116</f>
        <v/>
      </c>
      <c r="E120" s="15">
        <f>Data!G116</f>
        <v/>
      </c>
      <c r="F120" s="15">
        <f>SUMPRODUCT(A120:D120,$K$29:$N$29)</f>
        <v/>
      </c>
      <c r="G120" s="15">
        <f>E120-F120</f>
        <v/>
      </c>
      <c r="H120" s="15">
        <f>G120^2</f>
        <v/>
      </c>
    </row>
    <row r="121">
      <c r="A121" s="5" t="n">
        <v>1</v>
      </c>
      <c r="B121" s="15">
        <f>Data!C117</f>
        <v/>
      </c>
      <c r="C121" s="15">
        <f>Data!D117</f>
        <v/>
      </c>
      <c r="D121" s="15">
        <f>Data!E117</f>
        <v/>
      </c>
      <c r="E121" s="15">
        <f>Data!G117</f>
        <v/>
      </c>
      <c r="F121" s="15">
        <f>SUMPRODUCT(A121:D121,$K$29:$N$29)</f>
        <v/>
      </c>
      <c r="G121" s="15">
        <f>E121-F121</f>
        <v/>
      </c>
      <c r="H121" s="15">
        <f>G121^2</f>
        <v/>
      </c>
    </row>
    <row r="122">
      <c r="A122" s="5" t="n">
        <v>1</v>
      </c>
      <c r="B122" s="15">
        <f>Data!C118</f>
        <v/>
      </c>
      <c r="C122" s="15">
        <f>Data!D118</f>
        <v/>
      </c>
      <c r="D122" s="15">
        <f>Data!E118</f>
        <v/>
      </c>
      <c r="E122" s="15">
        <f>Data!G118</f>
        <v/>
      </c>
      <c r="F122" s="15">
        <f>SUMPRODUCT(A122:D122,$K$29:$N$29)</f>
        <v/>
      </c>
      <c r="G122" s="15">
        <f>E122-F122</f>
        <v/>
      </c>
      <c r="H122" s="15">
        <f>G122^2</f>
        <v/>
      </c>
    </row>
    <row r="123">
      <c r="A123" s="5" t="n">
        <v>1</v>
      </c>
      <c r="B123" s="15">
        <f>Data!C119</f>
        <v/>
      </c>
      <c r="C123" s="15">
        <f>Data!D119</f>
        <v/>
      </c>
      <c r="D123" s="15">
        <f>Data!E119</f>
        <v/>
      </c>
      <c r="E123" s="15">
        <f>Data!G119</f>
        <v/>
      </c>
      <c r="F123" s="15">
        <f>SUMPRODUCT(A123:D123,$K$29:$N$29)</f>
        <v/>
      </c>
      <c r="G123" s="15">
        <f>E123-F123</f>
        <v/>
      </c>
      <c r="H123" s="15">
        <f>G123^2</f>
        <v/>
      </c>
    </row>
    <row r="124">
      <c r="A124" s="5" t="n">
        <v>1</v>
      </c>
      <c r="B124" s="15">
        <f>Data!C120</f>
        <v/>
      </c>
      <c r="C124" s="15">
        <f>Data!D120</f>
        <v/>
      </c>
      <c r="D124" s="15">
        <f>Data!E120</f>
        <v/>
      </c>
      <c r="E124" s="15">
        <f>Data!G120</f>
        <v/>
      </c>
      <c r="F124" s="15">
        <f>SUMPRODUCT(A124:D124,$K$29:$N$29)</f>
        <v/>
      </c>
      <c r="G124" s="15">
        <f>E124-F124</f>
        <v/>
      </c>
      <c r="H124" s="15">
        <f>G124^2</f>
        <v/>
      </c>
    </row>
    <row r="125">
      <c r="A125" s="5" t="n">
        <v>1</v>
      </c>
      <c r="B125" s="15">
        <f>Data!C121</f>
        <v/>
      </c>
      <c r="C125" s="15">
        <f>Data!D121</f>
        <v/>
      </c>
      <c r="D125" s="15">
        <f>Data!E121</f>
        <v/>
      </c>
      <c r="E125" s="15">
        <f>Data!G121</f>
        <v/>
      </c>
      <c r="F125" s="15">
        <f>SUMPRODUCT(A125:D125,$K$29:$N$29)</f>
        <v/>
      </c>
      <c r="G125" s="15">
        <f>E125-F125</f>
        <v/>
      </c>
      <c r="H125" s="15">
        <f>G125^2</f>
        <v/>
      </c>
    </row>
    <row r="126">
      <c r="A126" s="5" t="n">
        <v>1</v>
      </c>
      <c r="B126" s="15">
        <f>Data!C122</f>
        <v/>
      </c>
      <c r="C126" s="15">
        <f>Data!D122</f>
        <v/>
      </c>
      <c r="D126" s="15">
        <f>Data!E122</f>
        <v/>
      </c>
      <c r="E126" s="15">
        <f>Data!G122</f>
        <v/>
      </c>
      <c r="F126" s="15">
        <f>SUMPRODUCT(A126:D126,$K$29:$N$29)</f>
        <v/>
      </c>
      <c r="G126" s="15">
        <f>E126-F126</f>
        <v/>
      </c>
      <c r="H126" s="15">
        <f>G126^2</f>
        <v/>
      </c>
    </row>
    <row r="127">
      <c r="A127" s="5" t="n">
        <v>1</v>
      </c>
      <c r="B127" s="15">
        <f>Data!C123</f>
        <v/>
      </c>
      <c r="C127" s="15">
        <f>Data!D123</f>
        <v/>
      </c>
      <c r="D127" s="15">
        <f>Data!E123</f>
        <v/>
      </c>
      <c r="E127" s="15">
        <f>Data!G123</f>
        <v/>
      </c>
      <c r="F127" s="15">
        <f>SUMPRODUCT(A127:D127,$K$29:$N$29)</f>
        <v/>
      </c>
      <c r="G127" s="15">
        <f>E127-F127</f>
        <v/>
      </c>
      <c r="H127" s="15">
        <f>G127^2</f>
        <v/>
      </c>
    </row>
    <row r="128">
      <c r="A128" s="5" t="n">
        <v>1</v>
      </c>
      <c r="B128" s="15">
        <f>Data!C124</f>
        <v/>
      </c>
      <c r="C128" s="15">
        <f>Data!D124</f>
        <v/>
      </c>
      <c r="D128" s="15">
        <f>Data!E124</f>
        <v/>
      </c>
      <c r="E128" s="15">
        <f>Data!G124</f>
        <v/>
      </c>
      <c r="F128" s="15">
        <f>SUMPRODUCT(A128:D128,$K$29:$N$29)</f>
        <v/>
      </c>
      <c r="G128" s="15">
        <f>E128-F128</f>
        <v/>
      </c>
      <c r="H128" s="15">
        <f>G128^2</f>
        <v/>
      </c>
    </row>
    <row r="129">
      <c r="A129" s="5" t="n">
        <v>1</v>
      </c>
      <c r="B129" s="15">
        <f>Data!C125</f>
        <v/>
      </c>
      <c r="C129" s="15">
        <f>Data!D125</f>
        <v/>
      </c>
      <c r="D129" s="15">
        <f>Data!E125</f>
        <v/>
      </c>
      <c r="E129" s="15">
        <f>Data!G125</f>
        <v/>
      </c>
      <c r="F129" s="15">
        <f>SUMPRODUCT(A129:D129,$K$29:$N$29)</f>
        <v/>
      </c>
      <c r="G129" s="15">
        <f>E129-F129</f>
        <v/>
      </c>
      <c r="H129" s="15">
        <f>G129^2</f>
        <v/>
      </c>
    </row>
    <row r="130">
      <c r="A130" s="5" t="n">
        <v>1</v>
      </c>
      <c r="B130" s="15">
        <f>Data!C126</f>
        <v/>
      </c>
      <c r="C130" s="15">
        <f>Data!D126</f>
        <v/>
      </c>
      <c r="D130" s="15">
        <f>Data!E126</f>
        <v/>
      </c>
      <c r="E130" s="15">
        <f>Data!G126</f>
        <v/>
      </c>
      <c r="F130" s="15">
        <f>SUMPRODUCT(A130:D130,$K$29:$N$29)</f>
        <v/>
      </c>
      <c r="G130" s="15">
        <f>E130-F130</f>
        <v/>
      </c>
      <c r="H130" s="15">
        <f>G130^2</f>
        <v/>
      </c>
    </row>
    <row r="131">
      <c r="A131" s="5" t="n">
        <v>1</v>
      </c>
      <c r="B131" s="15">
        <f>Data!C127</f>
        <v/>
      </c>
      <c r="C131" s="15">
        <f>Data!D127</f>
        <v/>
      </c>
      <c r="D131" s="15">
        <f>Data!E127</f>
        <v/>
      </c>
      <c r="E131" s="15">
        <f>Data!G127</f>
        <v/>
      </c>
      <c r="F131" s="15">
        <f>SUMPRODUCT(A131:D131,$K$29:$N$29)</f>
        <v/>
      </c>
      <c r="G131" s="15">
        <f>E131-F131</f>
        <v/>
      </c>
      <c r="H131" s="15">
        <f>G131^2</f>
        <v/>
      </c>
    </row>
    <row r="132">
      <c r="A132" s="5" t="n">
        <v>1</v>
      </c>
      <c r="B132" s="15">
        <f>Data!C128</f>
        <v/>
      </c>
      <c r="C132" s="15">
        <f>Data!D128</f>
        <v/>
      </c>
      <c r="D132" s="15">
        <f>Data!E128</f>
        <v/>
      </c>
      <c r="E132" s="15">
        <f>Data!G128</f>
        <v/>
      </c>
      <c r="F132" s="15">
        <f>SUMPRODUCT(A132:D132,$K$29:$N$29)</f>
        <v/>
      </c>
      <c r="G132" s="15">
        <f>E132-F132</f>
        <v/>
      </c>
      <c r="H132" s="15">
        <f>G132^2</f>
        <v/>
      </c>
    </row>
    <row r="133">
      <c r="A133" s="5" t="n">
        <v>1</v>
      </c>
      <c r="B133" s="15">
        <f>Data!C129</f>
        <v/>
      </c>
      <c r="C133" s="15">
        <f>Data!D129</f>
        <v/>
      </c>
      <c r="D133" s="15">
        <f>Data!E129</f>
        <v/>
      </c>
      <c r="E133" s="15">
        <f>Data!G129</f>
        <v/>
      </c>
      <c r="F133" s="15">
        <f>SUMPRODUCT(A133:D133,$K$29:$N$29)</f>
        <v/>
      </c>
      <c r="G133" s="15">
        <f>E133-F133</f>
        <v/>
      </c>
      <c r="H133" s="15">
        <f>G133^2</f>
        <v/>
      </c>
    </row>
    <row r="134">
      <c r="A134" s="5" t="n">
        <v>1</v>
      </c>
      <c r="B134" s="15">
        <f>Data!C130</f>
        <v/>
      </c>
      <c r="C134" s="15">
        <f>Data!D130</f>
        <v/>
      </c>
      <c r="D134" s="15">
        <f>Data!E130</f>
        <v/>
      </c>
      <c r="E134" s="15">
        <f>Data!G130</f>
        <v/>
      </c>
      <c r="F134" s="15">
        <f>SUMPRODUCT(A134:D134,$K$29:$N$29)</f>
        <v/>
      </c>
      <c r="G134" s="15">
        <f>E134-F134</f>
        <v/>
      </c>
      <c r="H134" s="15">
        <f>G134^2</f>
        <v/>
      </c>
    </row>
    <row r="135">
      <c r="A135" s="5" t="n">
        <v>1</v>
      </c>
      <c r="B135" s="15">
        <f>Data!C131</f>
        <v/>
      </c>
      <c r="C135" s="15">
        <f>Data!D131</f>
        <v/>
      </c>
      <c r="D135" s="15">
        <f>Data!E131</f>
        <v/>
      </c>
      <c r="E135" s="15">
        <f>Data!G131</f>
        <v/>
      </c>
      <c r="F135" s="15">
        <f>SUMPRODUCT(A135:D135,$K$29:$N$29)</f>
        <v/>
      </c>
      <c r="G135" s="15">
        <f>E135-F135</f>
        <v/>
      </c>
      <c r="H135" s="15">
        <f>G135^2</f>
        <v/>
      </c>
    </row>
    <row r="136">
      <c r="A136" s="5" t="n">
        <v>1</v>
      </c>
      <c r="B136" s="15">
        <f>Data!C132</f>
        <v/>
      </c>
      <c r="C136" s="15">
        <f>Data!D132</f>
        <v/>
      </c>
      <c r="D136" s="15">
        <f>Data!E132</f>
        <v/>
      </c>
      <c r="E136" s="15">
        <f>Data!G132</f>
        <v/>
      </c>
      <c r="F136" s="15">
        <f>SUMPRODUCT(A136:D136,$K$29:$N$29)</f>
        <v/>
      </c>
      <c r="G136" s="15">
        <f>E136-F136</f>
        <v/>
      </c>
      <c r="H136" s="15">
        <f>G136^2</f>
        <v/>
      </c>
    </row>
    <row r="137">
      <c r="A137" s="5" t="n">
        <v>1</v>
      </c>
      <c r="B137" s="15">
        <f>Data!C133</f>
        <v/>
      </c>
      <c r="C137" s="15">
        <f>Data!D133</f>
        <v/>
      </c>
      <c r="D137" s="15">
        <f>Data!E133</f>
        <v/>
      </c>
      <c r="E137" s="15">
        <f>Data!G133</f>
        <v/>
      </c>
      <c r="F137" s="15">
        <f>SUMPRODUCT(A137:D137,$K$29:$N$29)</f>
        <v/>
      </c>
      <c r="G137" s="15">
        <f>E137-F137</f>
        <v/>
      </c>
      <c r="H137" s="15">
        <f>G137^2</f>
        <v/>
      </c>
    </row>
    <row r="138">
      <c r="A138" s="5" t="n">
        <v>1</v>
      </c>
      <c r="B138" s="15">
        <f>Data!C134</f>
        <v/>
      </c>
      <c r="C138" s="15">
        <f>Data!D134</f>
        <v/>
      </c>
      <c r="D138" s="15">
        <f>Data!E134</f>
        <v/>
      </c>
      <c r="E138" s="15">
        <f>Data!G134</f>
        <v/>
      </c>
      <c r="F138" s="15">
        <f>SUMPRODUCT(A138:D138,$K$29:$N$29)</f>
        <v/>
      </c>
      <c r="G138" s="15">
        <f>E138-F138</f>
        <v/>
      </c>
      <c r="H138" s="15">
        <f>G138^2</f>
        <v/>
      </c>
    </row>
    <row r="139">
      <c r="A139" s="5" t="n">
        <v>1</v>
      </c>
      <c r="B139" s="15">
        <f>Data!C135</f>
        <v/>
      </c>
      <c r="C139" s="15">
        <f>Data!D135</f>
        <v/>
      </c>
      <c r="D139" s="15">
        <f>Data!E135</f>
        <v/>
      </c>
      <c r="E139" s="15">
        <f>Data!G135</f>
        <v/>
      </c>
      <c r="F139" s="15">
        <f>SUMPRODUCT(A139:D139,$K$29:$N$29)</f>
        <v/>
      </c>
      <c r="G139" s="15">
        <f>E139-F139</f>
        <v/>
      </c>
      <c r="H139" s="15">
        <f>G139^2</f>
        <v/>
      </c>
    </row>
    <row r="140">
      <c r="A140" s="5" t="n">
        <v>1</v>
      </c>
      <c r="B140" s="15">
        <f>Data!C136</f>
        <v/>
      </c>
      <c r="C140" s="15">
        <f>Data!D136</f>
        <v/>
      </c>
      <c r="D140" s="15">
        <f>Data!E136</f>
        <v/>
      </c>
      <c r="E140" s="15">
        <f>Data!G136</f>
        <v/>
      </c>
      <c r="F140" s="15">
        <f>SUMPRODUCT(A140:D140,$K$29:$N$29)</f>
        <v/>
      </c>
      <c r="G140" s="15">
        <f>E140-F140</f>
        <v/>
      </c>
      <c r="H140" s="15">
        <f>G140^2</f>
        <v/>
      </c>
    </row>
    <row r="141">
      <c r="A141" s="5" t="n">
        <v>1</v>
      </c>
      <c r="B141" s="15">
        <f>Data!C137</f>
        <v/>
      </c>
      <c r="C141" s="15">
        <f>Data!D137</f>
        <v/>
      </c>
      <c r="D141" s="15">
        <f>Data!E137</f>
        <v/>
      </c>
      <c r="E141" s="15">
        <f>Data!G137</f>
        <v/>
      </c>
      <c r="F141" s="15">
        <f>SUMPRODUCT(A141:D141,$K$29:$N$29)</f>
        <v/>
      </c>
      <c r="G141" s="15">
        <f>E141-F141</f>
        <v/>
      </c>
      <c r="H141" s="15">
        <f>G141^2</f>
        <v/>
      </c>
    </row>
    <row r="142">
      <c r="A142" s="5" t="n">
        <v>1</v>
      </c>
      <c r="B142" s="15">
        <f>Data!C138</f>
        <v/>
      </c>
      <c r="C142" s="15">
        <f>Data!D138</f>
        <v/>
      </c>
      <c r="D142" s="15">
        <f>Data!E138</f>
        <v/>
      </c>
      <c r="E142" s="15">
        <f>Data!G138</f>
        <v/>
      </c>
      <c r="F142" s="15">
        <f>SUMPRODUCT(A142:D142,$K$29:$N$29)</f>
        <v/>
      </c>
      <c r="G142" s="15">
        <f>E142-F142</f>
        <v/>
      </c>
      <c r="H142" s="15">
        <f>G142^2</f>
        <v/>
      </c>
    </row>
    <row r="143">
      <c r="A143" s="5" t="n">
        <v>1</v>
      </c>
      <c r="B143" s="15">
        <f>Data!C139</f>
        <v/>
      </c>
      <c r="C143" s="15">
        <f>Data!D139</f>
        <v/>
      </c>
      <c r="D143" s="15">
        <f>Data!E139</f>
        <v/>
      </c>
      <c r="E143" s="15">
        <f>Data!G139</f>
        <v/>
      </c>
      <c r="F143" s="15">
        <f>SUMPRODUCT(A143:D143,$K$29:$N$29)</f>
        <v/>
      </c>
      <c r="G143" s="15">
        <f>E143-F143</f>
        <v/>
      </c>
      <c r="H143" s="15">
        <f>G143^2</f>
        <v/>
      </c>
    </row>
    <row r="144">
      <c r="A144" s="5" t="n">
        <v>1</v>
      </c>
      <c r="B144" s="15">
        <f>Data!C140</f>
        <v/>
      </c>
      <c r="C144" s="15">
        <f>Data!D140</f>
        <v/>
      </c>
      <c r="D144" s="15">
        <f>Data!E140</f>
        <v/>
      </c>
      <c r="E144" s="15">
        <f>Data!G140</f>
        <v/>
      </c>
      <c r="F144" s="15">
        <f>SUMPRODUCT(A144:D144,$K$29:$N$29)</f>
        <v/>
      </c>
      <c r="G144" s="15">
        <f>E144-F144</f>
        <v/>
      </c>
      <c r="H144" s="15">
        <f>G144^2</f>
        <v/>
      </c>
    </row>
    <row r="145">
      <c r="A145" s="5" t="n">
        <v>1</v>
      </c>
      <c r="B145" s="15">
        <f>Data!C141</f>
        <v/>
      </c>
      <c r="C145" s="15">
        <f>Data!D141</f>
        <v/>
      </c>
      <c r="D145" s="15">
        <f>Data!E141</f>
        <v/>
      </c>
      <c r="E145" s="15">
        <f>Data!G141</f>
        <v/>
      </c>
      <c r="F145" s="15">
        <f>SUMPRODUCT(A145:D145,$K$29:$N$29)</f>
        <v/>
      </c>
      <c r="G145" s="15">
        <f>E145-F145</f>
        <v/>
      </c>
      <c r="H145" s="15">
        <f>G145^2</f>
        <v/>
      </c>
    </row>
    <row r="146">
      <c r="A146" s="5" t="n">
        <v>1</v>
      </c>
      <c r="B146" s="15">
        <f>Data!C142</f>
        <v/>
      </c>
      <c r="C146" s="15">
        <f>Data!D142</f>
        <v/>
      </c>
      <c r="D146" s="15">
        <f>Data!E142</f>
        <v/>
      </c>
      <c r="E146" s="15">
        <f>Data!G142</f>
        <v/>
      </c>
      <c r="F146" s="15">
        <f>SUMPRODUCT(A146:D146,$K$29:$N$29)</f>
        <v/>
      </c>
      <c r="G146" s="15">
        <f>E146-F146</f>
        <v/>
      </c>
      <c r="H146" s="15">
        <f>G146^2</f>
        <v/>
      </c>
    </row>
    <row r="147">
      <c r="A147" s="5" t="n">
        <v>1</v>
      </c>
      <c r="B147" s="15">
        <f>Data!C143</f>
        <v/>
      </c>
      <c r="C147" s="15">
        <f>Data!D143</f>
        <v/>
      </c>
      <c r="D147" s="15">
        <f>Data!E143</f>
        <v/>
      </c>
      <c r="E147" s="15">
        <f>Data!G143</f>
        <v/>
      </c>
      <c r="F147" s="15">
        <f>SUMPRODUCT(A147:D147,$K$29:$N$29)</f>
        <v/>
      </c>
      <c r="G147" s="15">
        <f>E147-F147</f>
        <v/>
      </c>
      <c r="H147" s="15">
        <f>G147^2</f>
        <v/>
      </c>
    </row>
    <row r="148">
      <c r="A148" s="5" t="n">
        <v>1</v>
      </c>
      <c r="B148" s="15">
        <f>Data!C144</f>
        <v/>
      </c>
      <c r="C148" s="15">
        <f>Data!D144</f>
        <v/>
      </c>
      <c r="D148" s="15">
        <f>Data!E144</f>
        <v/>
      </c>
      <c r="E148" s="15">
        <f>Data!G144</f>
        <v/>
      </c>
      <c r="F148" s="15">
        <f>SUMPRODUCT(A148:D148,$K$29:$N$29)</f>
        <v/>
      </c>
      <c r="G148" s="15">
        <f>E148-F148</f>
        <v/>
      </c>
      <c r="H148" s="15">
        <f>G148^2</f>
        <v/>
      </c>
    </row>
    <row r="149">
      <c r="A149" s="5" t="n">
        <v>1</v>
      </c>
      <c r="B149" s="15">
        <f>Data!C145</f>
        <v/>
      </c>
      <c r="C149" s="15">
        <f>Data!D145</f>
        <v/>
      </c>
      <c r="D149" s="15">
        <f>Data!E145</f>
        <v/>
      </c>
      <c r="E149" s="15">
        <f>Data!G145</f>
        <v/>
      </c>
      <c r="F149" s="15">
        <f>SUMPRODUCT(A149:D149,$K$29:$N$29)</f>
        <v/>
      </c>
      <c r="G149" s="15">
        <f>E149-F149</f>
        <v/>
      </c>
      <c r="H149" s="15">
        <f>G149^2</f>
        <v/>
      </c>
    </row>
    <row r="150">
      <c r="A150" s="5" t="n">
        <v>1</v>
      </c>
      <c r="B150" s="15">
        <f>Data!C146</f>
        <v/>
      </c>
      <c r="C150" s="15">
        <f>Data!D146</f>
        <v/>
      </c>
      <c r="D150" s="15">
        <f>Data!E146</f>
        <v/>
      </c>
      <c r="E150" s="15">
        <f>Data!G146</f>
        <v/>
      </c>
      <c r="F150" s="15">
        <f>SUMPRODUCT(A150:D150,$K$29:$N$29)</f>
        <v/>
      </c>
      <c r="G150" s="15">
        <f>E150-F150</f>
        <v/>
      </c>
      <c r="H150" s="15">
        <f>G150^2</f>
        <v/>
      </c>
    </row>
    <row r="151">
      <c r="A151" s="5" t="n">
        <v>1</v>
      </c>
      <c r="B151" s="15">
        <f>Data!C147</f>
        <v/>
      </c>
      <c r="C151" s="15">
        <f>Data!D147</f>
        <v/>
      </c>
      <c r="D151" s="15">
        <f>Data!E147</f>
        <v/>
      </c>
      <c r="E151" s="15">
        <f>Data!G147</f>
        <v/>
      </c>
      <c r="F151" s="15">
        <f>SUMPRODUCT(A151:D151,$K$29:$N$29)</f>
        <v/>
      </c>
      <c r="G151" s="15">
        <f>E151-F151</f>
        <v/>
      </c>
      <c r="H151" s="15">
        <f>G151^2</f>
        <v/>
      </c>
    </row>
    <row r="152">
      <c r="A152" s="5" t="n">
        <v>1</v>
      </c>
      <c r="B152" s="15">
        <f>Data!C148</f>
        <v/>
      </c>
      <c r="C152" s="15">
        <f>Data!D148</f>
        <v/>
      </c>
      <c r="D152" s="15">
        <f>Data!E148</f>
        <v/>
      </c>
      <c r="E152" s="15">
        <f>Data!G148</f>
        <v/>
      </c>
      <c r="F152" s="15">
        <f>SUMPRODUCT(A152:D152,$K$29:$N$29)</f>
        <v/>
      </c>
      <c r="G152" s="15">
        <f>E152-F152</f>
        <v/>
      </c>
      <c r="H152" s="15">
        <f>G152^2</f>
        <v/>
      </c>
    </row>
    <row r="153">
      <c r="A153" s="5" t="n">
        <v>1</v>
      </c>
      <c r="B153" s="15">
        <f>Data!C149</f>
        <v/>
      </c>
      <c r="C153" s="15">
        <f>Data!D149</f>
        <v/>
      </c>
      <c r="D153" s="15">
        <f>Data!E149</f>
        <v/>
      </c>
      <c r="E153" s="15">
        <f>Data!G149</f>
        <v/>
      </c>
      <c r="F153" s="15">
        <f>SUMPRODUCT(A153:D153,$K$29:$N$29)</f>
        <v/>
      </c>
      <c r="G153" s="15">
        <f>E153-F153</f>
        <v/>
      </c>
      <c r="H153" s="15">
        <f>G153^2</f>
        <v/>
      </c>
    </row>
    <row r="154">
      <c r="A154" s="5" t="n">
        <v>1</v>
      </c>
      <c r="B154" s="15">
        <f>Data!C150</f>
        <v/>
      </c>
      <c r="C154" s="15">
        <f>Data!D150</f>
        <v/>
      </c>
      <c r="D154" s="15">
        <f>Data!E150</f>
        <v/>
      </c>
      <c r="E154" s="15">
        <f>Data!G150</f>
        <v/>
      </c>
      <c r="F154" s="15">
        <f>SUMPRODUCT(A154:D154,$K$29:$N$29)</f>
        <v/>
      </c>
      <c r="G154" s="15">
        <f>E154-F154</f>
        <v/>
      </c>
      <c r="H154" s="15">
        <f>G154^2</f>
        <v/>
      </c>
    </row>
    <row r="155">
      <c r="A155" s="5" t="n">
        <v>1</v>
      </c>
      <c r="B155" s="15">
        <f>Data!C151</f>
        <v/>
      </c>
      <c r="C155" s="15">
        <f>Data!D151</f>
        <v/>
      </c>
      <c r="D155" s="15">
        <f>Data!E151</f>
        <v/>
      </c>
      <c r="E155" s="15">
        <f>Data!G151</f>
        <v/>
      </c>
      <c r="F155" s="15">
        <f>SUMPRODUCT(A155:D155,$K$29:$N$29)</f>
        <v/>
      </c>
      <c r="G155" s="15">
        <f>E155-F155</f>
        <v/>
      </c>
      <c r="H155" s="15">
        <f>G155^2</f>
        <v/>
      </c>
    </row>
    <row r="156">
      <c r="A156" s="5" t="n">
        <v>1</v>
      </c>
      <c r="B156" s="15">
        <f>Data!C152</f>
        <v/>
      </c>
      <c r="C156" s="15">
        <f>Data!D152</f>
        <v/>
      </c>
      <c r="D156" s="15">
        <f>Data!E152</f>
        <v/>
      </c>
      <c r="E156" s="15">
        <f>Data!G152</f>
        <v/>
      </c>
      <c r="F156" s="15">
        <f>SUMPRODUCT(A156:D156,$K$29:$N$29)</f>
        <v/>
      </c>
      <c r="G156" s="15">
        <f>E156-F156</f>
        <v/>
      </c>
      <c r="H156" s="15">
        <f>G156^2</f>
        <v/>
      </c>
    </row>
    <row r="157">
      <c r="A157" s="5" t="n">
        <v>1</v>
      </c>
      <c r="B157" s="15">
        <f>Data!C153</f>
        <v/>
      </c>
      <c r="C157" s="15">
        <f>Data!D153</f>
        <v/>
      </c>
      <c r="D157" s="15">
        <f>Data!E153</f>
        <v/>
      </c>
      <c r="E157" s="15">
        <f>Data!G153</f>
        <v/>
      </c>
      <c r="F157" s="15">
        <f>SUMPRODUCT(A157:D157,$K$29:$N$29)</f>
        <v/>
      </c>
      <c r="G157" s="15">
        <f>E157-F157</f>
        <v/>
      </c>
      <c r="H157" s="15">
        <f>G157^2</f>
        <v/>
      </c>
    </row>
    <row r="158">
      <c r="A158" s="5" t="n">
        <v>1</v>
      </c>
      <c r="B158" s="15">
        <f>Data!C154</f>
        <v/>
      </c>
      <c r="C158" s="15">
        <f>Data!D154</f>
        <v/>
      </c>
      <c r="D158" s="15">
        <f>Data!E154</f>
        <v/>
      </c>
      <c r="E158" s="15">
        <f>Data!G154</f>
        <v/>
      </c>
      <c r="F158" s="15">
        <f>SUMPRODUCT(A158:D158,$K$29:$N$29)</f>
        <v/>
      </c>
      <c r="G158" s="15">
        <f>E158-F158</f>
        <v/>
      </c>
      <c r="H158" s="15">
        <f>G158^2</f>
        <v/>
      </c>
    </row>
    <row r="159">
      <c r="A159" s="5" t="n">
        <v>1</v>
      </c>
      <c r="B159" s="15">
        <f>Data!C155</f>
        <v/>
      </c>
      <c r="C159" s="15">
        <f>Data!D155</f>
        <v/>
      </c>
      <c r="D159" s="15">
        <f>Data!E155</f>
        <v/>
      </c>
      <c r="E159" s="15">
        <f>Data!G155</f>
        <v/>
      </c>
      <c r="F159" s="15">
        <f>SUMPRODUCT(A159:D159,$K$29:$N$29)</f>
        <v/>
      </c>
      <c r="G159" s="15">
        <f>E159-F159</f>
        <v/>
      </c>
      <c r="H159" s="15">
        <f>G159^2</f>
        <v/>
      </c>
    </row>
    <row r="160">
      <c r="A160" s="5" t="n">
        <v>1</v>
      </c>
      <c r="B160" s="15">
        <f>Data!C156</f>
        <v/>
      </c>
      <c r="C160" s="15">
        <f>Data!D156</f>
        <v/>
      </c>
      <c r="D160" s="15">
        <f>Data!E156</f>
        <v/>
      </c>
      <c r="E160" s="15">
        <f>Data!G156</f>
        <v/>
      </c>
      <c r="F160" s="15">
        <f>SUMPRODUCT(A160:D160,$K$29:$N$29)</f>
        <v/>
      </c>
      <c r="G160" s="15">
        <f>E160-F160</f>
        <v/>
      </c>
      <c r="H160" s="15">
        <f>G160^2</f>
        <v/>
      </c>
    </row>
    <row r="161">
      <c r="A161" s="5" t="n">
        <v>1</v>
      </c>
      <c r="B161" s="15">
        <f>Data!C157</f>
        <v/>
      </c>
      <c r="C161" s="15">
        <f>Data!D157</f>
        <v/>
      </c>
      <c r="D161" s="15">
        <f>Data!E157</f>
        <v/>
      </c>
      <c r="E161" s="15">
        <f>Data!G157</f>
        <v/>
      </c>
      <c r="F161" s="15">
        <f>SUMPRODUCT(A161:D161,$K$29:$N$29)</f>
        <v/>
      </c>
      <c r="G161" s="15">
        <f>E161-F161</f>
        <v/>
      </c>
      <c r="H161" s="15">
        <f>G161^2</f>
        <v/>
      </c>
    </row>
    <row r="162">
      <c r="A162" s="5" t="n">
        <v>1</v>
      </c>
      <c r="B162" s="15">
        <f>Data!C158</f>
        <v/>
      </c>
      <c r="C162" s="15">
        <f>Data!D158</f>
        <v/>
      </c>
      <c r="D162" s="15">
        <f>Data!E158</f>
        <v/>
      </c>
      <c r="E162" s="15">
        <f>Data!G158</f>
        <v/>
      </c>
      <c r="F162" s="15">
        <f>SUMPRODUCT(A162:D162,$K$29:$N$29)</f>
        <v/>
      </c>
      <c r="G162" s="15">
        <f>E162-F162</f>
        <v/>
      </c>
      <c r="H162" s="15">
        <f>G162^2</f>
        <v/>
      </c>
    </row>
    <row r="163">
      <c r="A163" s="5" t="n">
        <v>1</v>
      </c>
      <c r="B163" s="15">
        <f>Data!C159</f>
        <v/>
      </c>
      <c r="C163" s="15">
        <f>Data!D159</f>
        <v/>
      </c>
      <c r="D163" s="15">
        <f>Data!E159</f>
        <v/>
      </c>
      <c r="E163" s="15">
        <f>Data!G159</f>
        <v/>
      </c>
      <c r="F163" s="15">
        <f>SUMPRODUCT(A163:D163,$K$29:$N$29)</f>
        <v/>
      </c>
      <c r="G163" s="15">
        <f>E163-F163</f>
        <v/>
      </c>
      <c r="H163" s="15">
        <f>G163^2</f>
        <v/>
      </c>
    </row>
    <row r="164">
      <c r="A164" s="5" t="n">
        <v>1</v>
      </c>
      <c r="B164" s="15">
        <f>Data!C160</f>
        <v/>
      </c>
      <c r="C164" s="15">
        <f>Data!D160</f>
        <v/>
      </c>
      <c r="D164" s="15">
        <f>Data!E160</f>
        <v/>
      </c>
      <c r="E164" s="15">
        <f>Data!G160</f>
        <v/>
      </c>
      <c r="F164" s="15">
        <f>SUMPRODUCT(A164:D164,$K$29:$N$29)</f>
        <v/>
      </c>
      <c r="G164" s="15">
        <f>E164-F164</f>
        <v/>
      </c>
      <c r="H164" s="15">
        <f>G164^2</f>
        <v/>
      </c>
    </row>
    <row r="165">
      <c r="A165" s="5" t="n">
        <v>1</v>
      </c>
      <c r="B165" s="15">
        <f>Data!C161</f>
        <v/>
      </c>
      <c r="C165" s="15">
        <f>Data!D161</f>
        <v/>
      </c>
      <c r="D165" s="15">
        <f>Data!E161</f>
        <v/>
      </c>
      <c r="E165" s="15">
        <f>Data!G161</f>
        <v/>
      </c>
      <c r="F165" s="15">
        <f>SUMPRODUCT(A165:D165,$K$29:$N$29)</f>
        <v/>
      </c>
      <c r="G165" s="15">
        <f>E165-F165</f>
        <v/>
      </c>
      <c r="H165" s="15">
        <f>G165^2</f>
        <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26" customWidth="1" min="1" max="1"/>
    <col width="22" customWidth="1" min="2" max="2"/>
    <col width="16" customWidth="1" min="3" max="3"/>
    <col width="18" customWidth="1" min="4" max="4"/>
    <col width="12" customWidth="1" min="5" max="5"/>
    <col width="16" customWidth="1" min="6" max="6"/>
    <col width="14" customWidth="1" min="7" max="7"/>
  </cols>
  <sheetData>
    <row r="1">
      <c r="A1" s="8" t="inlineStr">
        <is>
          <t>Multicollinearity: t850 and t2m are almost the same variable (calibration months 1951-1990)</t>
        </is>
      </c>
    </row>
    <row r="3">
      <c r="A3" s="9" t="inlineStr">
        <is>
          <t>Correlation matrix R of (q, t850, t2m)</t>
        </is>
      </c>
    </row>
    <row r="4">
      <c r="A4" s="4" t="inlineStr"/>
      <c r="B4" s="4" t="inlineStr">
        <is>
          <t>q</t>
        </is>
      </c>
      <c r="C4" s="4" t="inlineStr">
        <is>
          <t>t850</t>
        </is>
      </c>
      <c r="D4" s="4" t="inlineStr">
        <is>
          <t>t2m</t>
        </is>
      </c>
    </row>
    <row r="5">
      <c r="A5" s="9" t="inlineStr">
        <is>
          <t>q</t>
        </is>
      </c>
      <c r="B5" s="15">
        <f>CORREL(Data!$D$2:$D$161,Data!$D$2:$D$161)</f>
        <v/>
      </c>
      <c r="C5" s="15">
        <f>CORREL(Data!$D$2:$D$161,Data!$E$2:$E$161)</f>
        <v/>
      </c>
      <c r="D5" s="15">
        <f>CORREL(Data!$D$2:$D$161,Data!$F$2:$F$161)</f>
        <v/>
      </c>
    </row>
    <row r="6">
      <c r="A6" s="9" t="inlineStr">
        <is>
          <t>t850</t>
        </is>
      </c>
      <c r="B6" s="15">
        <f>CORREL(Data!$E$2:$E$161,Data!$D$2:$D$161)</f>
        <v/>
      </c>
      <c r="C6" s="15">
        <f>CORREL(Data!$E$2:$E$161,Data!$E$2:$E$161)</f>
        <v/>
      </c>
      <c r="D6" s="15">
        <f>CORREL(Data!$E$2:$E$161,Data!$F$2:$F$161)</f>
        <v/>
      </c>
    </row>
    <row r="7">
      <c r="A7" s="9" t="inlineStr">
        <is>
          <t>t2m</t>
        </is>
      </c>
      <c r="B7" s="15">
        <f>CORREL(Data!$F$2:$F$161,Data!$D$2:$D$161)</f>
        <v/>
      </c>
      <c r="C7" s="15">
        <f>CORREL(Data!$F$2:$F$161,Data!$E$2:$E$161)</f>
        <v/>
      </c>
      <c r="D7" s="15">
        <f>CORREL(Data!$F$2:$F$161,Data!$F$2:$F$161)</f>
        <v/>
      </c>
    </row>
    <row r="9">
      <c r="A9" s="9" t="inlineStr">
        <is>
          <t>Inverse of R (MINVERSE)</t>
        </is>
      </c>
    </row>
    <row r="10">
      <c r="A10" s="4" t="inlineStr"/>
      <c r="B10" s="4" t="inlineStr">
        <is>
          <t>q</t>
        </is>
      </c>
      <c r="C10" s="4" t="inlineStr">
        <is>
          <t>t850</t>
        </is>
      </c>
      <c r="D10" s="4" t="inlineStr">
        <is>
          <t>t2m</t>
        </is>
      </c>
    </row>
    <row r="11">
      <c r="A11" s="9" t="inlineStr">
        <is>
          <t>q</t>
        </is>
      </c>
      <c r="B11" s="15">
        <f t="array" ref="B11:D13">MINVERSE(B5:D7)</f>
        <v/>
      </c>
      <c r="C11" s="15" t="n"/>
      <c r="D11" s="15" t="n"/>
    </row>
    <row r="12">
      <c r="A12" s="9" t="inlineStr">
        <is>
          <t>t850</t>
        </is>
      </c>
      <c r="B12" s="15" t="n"/>
      <c r="C12" s="15" t="n"/>
      <c r="D12" s="15" t="n"/>
    </row>
    <row r="13">
      <c r="A13" s="9" t="inlineStr">
        <is>
          <t>t2m</t>
        </is>
      </c>
      <c r="B13" s="15" t="n"/>
      <c r="C13" s="15" t="n"/>
      <c r="D13" s="15" t="n"/>
    </row>
    <row r="15">
      <c r="A15" s="9" t="inlineStr">
        <is>
          <t>VIF_j = diagonal of R^-1 (equals 1/(1-R_j^2), R_j^2 = R2 of x_j on the other predictors)</t>
        </is>
      </c>
    </row>
    <row r="16">
      <c r="A16" s="4" t="inlineStr">
        <is>
          <t>predictor</t>
        </is>
      </c>
      <c r="B16" s="4" t="inlineStr">
        <is>
          <t>VIF with (q, t850, t2m)</t>
        </is>
      </c>
      <c r="C16" s="4" t="inlineStr">
        <is>
          <t>R_j^2 = 1 - 1/VIF</t>
        </is>
      </c>
      <c r="D16" s="4" t="inlineStr">
        <is>
          <t>sqrt(VIF) = SE inflation</t>
        </is>
      </c>
    </row>
    <row r="17">
      <c r="A17" t="inlineStr">
        <is>
          <t>q</t>
        </is>
      </c>
      <c r="B17" s="14">
        <f>INDEX($B$11:$D$13,1,1)</f>
        <v/>
      </c>
      <c r="C17" s="15">
        <f>1-1/B17</f>
        <v/>
      </c>
      <c r="D17" s="15">
        <f>SQRT(B17)</f>
        <v/>
      </c>
    </row>
    <row r="18">
      <c r="A18" t="inlineStr">
        <is>
          <t>t850</t>
        </is>
      </c>
      <c r="B18" s="14">
        <f>INDEX($B$11:$D$13,2,2)</f>
        <v/>
      </c>
      <c r="C18" s="15">
        <f>1-1/B18</f>
        <v/>
      </c>
      <c r="D18" s="15">
        <f>SQRT(B18)</f>
        <v/>
      </c>
    </row>
    <row r="19">
      <c r="A19" t="inlineStr">
        <is>
          <t>t2m</t>
        </is>
      </c>
      <c r="B19" s="14">
        <f>INDEX($B$11:$D$13,3,3)</f>
        <v/>
      </c>
      <c r="C19" s="15">
        <f>1-1/B19</f>
        <v/>
      </c>
      <c r="D19" s="15">
        <f>SQRT(B19)</f>
        <v/>
      </c>
    </row>
    <row r="21">
      <c r="A21" t="inlineStr">
        <is>
          <t>Rule of thumb: a VIF above about 5 to 10 signals trouble.</t>
        </is>
      </c>
    </row>
    <row r="23">
      <c r="A23" s="9" t="inlineStr">
        <is>
          <t>Coefficients of Tmax on the predictors, fitted on different samples (LINEST)</t>
        </is>
      </c>
    </row>
    <row r="24">
      <c r="A24" s="4" t="inlineStr">
        <is>
          <t>fit</t>
        </is>
      </c>
      <c r="B24" s="4" t="inlineStr">
        <is>
          <t>sample</t>
        </is>
      </c>
      <c r="C24" s="4" t="inlineStr">
        <is>
          <t>b_q</t>
        </is>
      </c>
      <c r="D24" s="4" t="inlineStr">
        <is>
          <t>b_t850</t>
        </is>
      </c>
      <c r="E24" s="4" t="inlineStr">
        <is>
          <t>b_t2m</t>
        </is>
      </c>
      <c r="F24" s="4" t="inlineStr">
        <is>
          <t>b_t850 + b_t2m</t>
        </is>
      </c>
      <c r="G24" s="4" t="inlineStr">
        <is>
          <t>SE(b_t850)</t>
        </is>
      </c>
    </row>
    <row r="25">
      <c r="A25" t="inlineStr">
        <is>
          <t>A: q, t850, t2m</t>
        </is>
      </c>
      <c r="B25" t="inlineStr">
        <is>
          <t>full cal</t>
        </is>
      </c>
      <c r="C25" s="15">
        <f>INDEX(LINEST(Data!$G$2:$G$161,Data!$D$2:$F$161,TRUE,TRUE),1,3)</f>
        <v/>
      </c>
      <c r="D25" s="15">
        <f>INDEX(LINEST(Data!$G$2:$G$161,Data!$D$2:$F$161,TRUE,TRUE),1,2)</f>
        <v/>
      </c>
      <c r="E25" s="15">
        <f>INDEX(LINEST(Data!$G$2:$G$161,Data!$D$2:$F$161,TRUE,TRUE),1,1)</f>
        <v/>
      </c>
      <c r="F25" s="15">
        <f>D25+E25</f>
        <v/>
      </c>
      <c r="G25" s="15">
        <f>INDEX(LINEST(Data!$G$2:$G$161,Data!$D$2:$F$161,TRUE,TRUE),2,2)</f>
        <v/>
      </c>
    </row>
    <row r="26">
      <c r="A26" t="inlineStr">
        <is>
          <t>A: q, t850, t2m</t>
        </is>
      </c>
      <c r="B26" t="inlineStr">
        <is>
          <t>first 20 yr</t>
        </is>
      </c>
      <c r="C26" s="15">
        <f>INDEX(LINEST(Data!$G$2:$G$81,Data!$D$2:$F$81,TRUE,TRUE),1,3)</f>
        <v/>
      </c>
      <c r="D26" s="15">
        <f>INDEX(LINEST(Data!$G$2:$G$81,Data!$D$2:$F$81,TRUE,TRUE),1,2)</f>
        <v/>
      </c>
      <c r="E26" s="15">
        <f>INDEX(LINEST(Data!$G$2:$G$81,Data!$D$2:$F$81,TRUE,TRUE),1,1)</f>
        <v/>
      </c>
      <c r="F26" s="15">
        <f>D26+E26</f>
        <v/>
      </c>
      <c r="G26" s="15">
        <f>INDEX(LINEST(Data!$G$2:$G$81,Data!$D$2:$F$81,TRUE,TRUE),2,2)</f>
        <v/>
      </c>
    </row>
    <row r="27">
      <c r="A27" t="inlineStr">
        <is>
          <t>A: q, t850, t2m</t>
        </is>
      </c>
      <c r="B27" t="inlineStr">
        <is>
          <t>last 20 yr</t>
        </is>
      </c>
      <c r="C27" s="15">
        <f>INDEX(LINEST(Data!$G$82:$G$161,Data!$D$82:$F$161,TRUE,TRUE),1,3)</f>
        <v/>
      </c>
      <c r="D27" s="15">
        <f>INDEX(LINEST(Data!$G$82:$G$161,Data!$D$82:$F$161,TRUE,TRUE),1,2)</f>
        <v/>
      </c>
      <c r="E27" s="15">
        <f>INDEX(LINEST(Data!$G$82:$G$161,Data!$D$82:$F$161,TRUE,TRUE),1,1)</f>
        <v/>
      </c>
      <c r="F27" s="15">
        <f>D27+E27</f>
        <v/>
      </c>
      <c r="G27" s="15">
        <f>INDEX(LINEST(Data!$G$82:$G$161,Data!$D$82:$F$161,TRUE,TRUE),2,2)</f>
        <v/>
      </c>
    </row>
    <row r="28">
      <c r="A28" t="inlineStr">
        <is>
          <t>B: q, t850</t>
        </is>
      </c>
      <c r="B28" t="inlineStr">
        <is>
          <t>full cal</t>
        </is>
      </c>
      <c r="C28" s="15">
        <f>INDEX(LINEST(Data!$G$2:$G$161,Data!$D$2:$E$161,TRUE,TRUE),1,2)</f>
        <v/>
      </c>
      <c r="D28" s="15">
        <f>INDEX(LINEST(Data!$G$2:$G$161,Data!$D$2:$E$161,TRUE,TRUE),1,1)</f>
        <v/>
      </c>
      <c r="E28" s="15" t="inlineStr">
        <is>
          <t>n/a</t>
        </is>
      </c>
      <c r="F28" s="15">
        <f>D28</f>
        <v/>
      </c>
      <c r="G28" s="15">
        <f>INDEX(LINEST(Data!$G$2:$G$161,Data!$D$2:$E$161,TRUE,TRUE),2,1)</f>
        <v/>
      </c>
    </row>
    <row r="29">
      <c r="A29" t="inlineStr">
        <is>
          <t>B: q, t850</t>
        </is>
      </c>
      <c r="B29" t="inlineStr">
        <is>
          <t>first 20 yr</t>
        </is>
      </c>
      <c r="C29" s="15">
        <f>INDEX(LINEST(Data!$G$2:$G$81,Data!$D$2:$E$81,TRUE,TRUE),1,2)</f>
        <v/>
      </c>
      <c r="D29" s="15">
        <f>INDEX(LINEST(Data!$G$2:$G$81,Data!$D$2:$E$81,TRUE,TRUE),1,1)</f>
        <v/>
      </c>
      <c r="E29" s="15" t="inlineStr">
        <is>
          <t>n/a</t>
        </is>
      </c>
      <c r="F29" s="15">
        <f>D29</f>
        <v/>
      </c>
      <c r="G29" s="15">
        <f>INDEX(LINEST(Data!$G$2:$G$81,Data!$D$2:$E$81,TRUE,TRUE),2,1)</f>
        <v/>
      </c>
    </row>
    <row r="30">
      <c r="A30" t="inlineStr">
        <is>
          <t>B: q, t850</t>
        </is>
      </c>
      <c r="B30" t="inlineStr">
        <is>
          <t>last 20 yr</t>
        </is>
      </c>
      <c r="C30" s="15">
        <f>INDEX(LINEST(Data!$G$82:$G$161,Data!$D$82:$E$161,TRUE,TRUE),1,2)</f>
        <v/>
      </c>
      <c r="D30" s="15">
        <f>INDEX(LINEST(Data!$G$82:$G$161,Data!$D$82:$E$161,TRUE,TRUE),1,1)</f>
        <v/>
      </c>
      <c r="E30" s="15" t="inlineStr">
        <is>
          <t>n/a</t>
        </is>
      </c>
      <c r="F30" s="15">
        <f>D30</f>
        <v/>
      </c>
      <c r="G30" s="15">
        <f>INDEX(LINEST(Data!$G$82:$G$161,Data!$D$82:$E$161,TRUE,TRUE),2,1)</f>
        <v/>
      </c>
    </row>
    <row r="32">
      <c r="A32" t="inlineStr">
        <is>
          <t>SE(b_t850), model A / model B (full calibration sample)</t>
        </is>
      </c>
      <c r="G32" s="19">
        <f>G25/G28</f>
        <v/>
      </c>
    </row>
    <row r="33">
      <c r="A33" t="inlineStr">
        <is>
          <t>sqrt(VIF of t850) from the table above; the SE ratio is roughly this:</t>
        </is>
      </c>
      <c r="G33" s="16">
        <f>D18</f>
        <v/>
      </c>
    </row>
    <row r="35">
      <c r="A35" t="inlineStr">
        <is>
          <t>Reading: with t2m included, b_t850 and b_t2m swing from sample to sample and have large standard errors, but their SUM stays stable. Prediction is fine; interpreting single coefficients is not.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84"/>
  <sheetViews>
    <sheetView workbookViewId="0">
      <pane ySplit="4" topLeftCell="A5" activePane="bottomLeft" state="frozen"/>
      <selection pane="bottomLeft" activeCell="A1" sqref="A1"/>
    </sheetView>
  </sheetViews>
  <sheetFormatPr baseColWidth="8" defaultRowHeight="15"/>
  <cols>
    <col width="8" customWidth="1" min="1" max="1"/>
    <col width="8" customWidth="1" min="2" max="2"/>
    <col width="14" customWidth="1" min="3" max="3"/>
    <col width="16" customWidth="1" min="4" max="4"/>
    <col width="16" customWidth="1" min="5" max="5"/>
    <col width="10" customWidth="1" min="6" max="6"/>
    <col width="3" customWidth="1" min="7" max="7"/>
    <col width="36" customWidth="1" min="8" max="8"/>
    <col width="16" customWidth="1" min="9" max="9"/>
    <col width="14" customWidth="1" min="10" max="10"/>
    <col width="50" customWidth="1" min="11" max="11"/>
  </cols>
  <sheetData>
    <row r="1">
      <c r="A1" s="8" t="inlineStr">
        <is>
          <t>Calibration (1951-1990) and validation (1991-2020) of the Tmax regression</t>
        </is>
      </c>
    </row>
    <row r="2">
      <c r="A2" t="inlineStr">
        <is>
          <t>Coefficients come from MultiReg (fitted on calibration months only) and are applied unchanged to the validation months.</t>
        </is>
      </c>
    </row>
    <row r="4">
      <c r="A4" s="4" t="inlineStr">
        <is>
          <t>year</t>
        </is>
      </c>
      <c r="B4" s="4" t="inlineStr">
        <is>
          <t>period</t>
        </is>
      </c>
      <c r="C4" s="4" t="inlineStr">
        <is>
          <t>observed Tmax</t>
        </is>
      </c>
      <c r="D4" s="4" t="inlineStr">
        <is>
          <t>downscaled Tmax</t>
        </is>
      </c>
      <c r="E4" s="4" t="inlineStr">
        <is>
          <t>error = pred - obs</t>
        </is>
      </c>
      <c r="F4" s="4" t="inlineStr">
        <is>
          <t>error^2</t>
        </is>
      </c>
      <c r="H4" s="4" t="inlineStr">
        <is>
          <t>Metric</t>
        </is>
      </c>
      <c r="I4" s="4" t="inlineStr">
        <is>
          <t>calibration</t>
        </is>
      </c>
      <c r="J4" s="4" t="inlineStr">
        <is>
          <t>validation</t>
        </is>
      </c>
      <c r="K4" s="4" t="inlineStr">
        <is>
          <t>meaning</t>
        </is>
      </c>
    </row>
    <row r="5">
      <c r="A5">
        <f>Data!A2</f>
        <v/>
      </c>
      <c r="B5">
        <f>Data!J2</f>
        <v/>
      </c>
      <c r="C5" s="15">
        <f>Data!G2</f>
        <v/>
      </c>
      <c r="D5" s="15">
        <f>MultiReg!$K$29+MultiReg!$L$29*Data!C2+MultiReg!$M$29*Data!D2+MultiReg!$N$29*Data!E2</f>
        <v/>
      </c>
      <c r="E5" s="15">
        <f>D5-C5</f>
        <v/>
      </c>
      <c r="F5" s="15">
        <f>E5^2</f>
        <v/>
      </c>
      <c r="H5" t="inlineStr">
        <is>
          <t>Bias (mean error) [C]</t>
        </is>
      </c>
      <c r="I5" s="14">
        <f>AVERAGEIFS(E5:E284,B5:B284,"cal")</f>
        <v/>
      </c>
      <c r="J5" s="14">
        <f>AVERAGEIFS(E5:E284,B5:B284,"val")</f>
        <v/>
      </c>
      <c r="K5" t="inlineStr">
        <is>
          <t>mean of (pred - obs)</t>
        </is>
      </c>
    </row>
    <row r="6">
      <c r="A6">
        <f>Data!A3</f>
        <v/>
      </c>
      <c r="B6">
        <f>Data!J3</f>
        <v/>
      </c>
      <c r="C6" s="15">
        <f>Data!G3</f>
        <v/>
      </c>
      <c r="D6" s="15">
        <f>MultiReg!$K$29+MultiReg!$L$29*Data!C3+MultiReg!$M$29*Data!D3+MultiReg!$N$29*Data!E3</f>
        <v/>
      </c>
      <c r="E6" s="15">
        <f>D6-C6</f>
        <v/>
      </c>
      <c r="F6" s="15">
        <f>E6^2</f>
        <v/>
      </c>
      <c r="H6" t="inlineStr">
        <is>
          <t>RMSE [C]</t>
        </is>
      </c>
      <c r="I6" s="14">
        <f>SQRT(AVERAGEIFS(F5:F284,B5:B284,"cal"))</f>
        <v/>
      </c>
      <c r="J6" s="14">
        <f>SQRT(AVERAGEIFS(F5:F284,B5:B284,"val"))</f>
        <v/>
      </c>
      <c r="K6" t="inlineStr">
        <is>
          <t>root mean square error</t>
        </is>
      </c>
    </row>
    <row r="7">
      <c r="A7">
        <f>Data!A4</f>
        <v/>
      </c>
      <c r="B7">
        <f>Data!J4</f>
        <v/>
      </c>
      <c r="C7" s="15">
        <f>Data!G4</f>
        <v/>
      </c>
      <c r="D7" s="15">
        <f>MultiReg!$K$29+MultiReg!$L$29*Data!C4+MultiReg!$M$29*Data!D4+MultiReg!$N$29*Data!E4</f>
        <v/>
      </c>
      <c r="E7" s="15">
        <f>D7-C7</f>
        <v/>
      </c>
      <c r="F7" s="15">
        <f>E7^2</f>
        <v/>
      </c>
      <c r="H7" t="inlineStr">
        <is>
          <t>Correlation r</t>
        </is>
      </c>
      <c r="I7" s="14">
        <f>CORREL(C5:C164,D5:D164)</f>
        <v/>
      </c>
      <c r="J7" s="14">
        <f>CORREL(C165:C284,D165:D284)</f>
        <v/>
      </c>
      <c r="K7" t="inlineStr">
        <is>
          <t>pred vs obs</t>
        </is>
      </c>
    </row>
    <row r="8">
      <c r="A8">
        <f>Data!A5</f>
        <v/>
      </c>
      <c r="B8">
        <f>Data!J5</f>
        <v/>
      </c>
      <c r="C8" s="15">
        <f>Data!G5</f>
        <v/>
      </c>
      <c r="D8" s="15">
        <f>MultiReg!$K$29+MultiReg!$L$29*Data!C5+MultiReg!$M$29*Data!D5+MultiReg!$N$29*Data!E5</f>
        <v/>
      </c>
      <c r="E8" s="15">
        <f>D8-C8</f>
        <v/>
      </c>
      <c r="F8" s="15">
        <f>E8^2</f>
        <v/>
      </c>
      <c r="H8" t="inlineStr">
        <is>
          <t>R2 = r^2</t>
        </is>
      </c>
      <c r="I8" s="15">
        <f>I7^2</f>
        <v/>
      </c>
      <c r="J8" s="15">
        <f>J7^2</f>
        <v/>
      </c>
      <c r="K8" t="inlineStr"/>
    </row>
    <row r="9">
      <c r="A9">
        <f>Data!A6</f>
        <v/>
      </c>
      <c r="B9">
        <f>Data!J6</f>
        <v/>
      </c>
      <c r="C9" s="15">
        <f>Data!G6</f>
        <v/>
      </c>
      <c r="D9" s="15">
        <f>MultiReg!$K$29+MultiReg!$L$29*Data!C6+MultiReg!$M$29*Data!D6+MultiReg!$N$29*Data!E6</f>
        <v/>
      </c>
      <c r="E9" s="15">
        <f>D9-C9</f>
        <v/>
      </c>
      <c r="F9" s="15">
        <f>E9^2</f>
        <v/>
      </c>
      <c r="H9" t="inlineStr">
        <is>
          <t>Skill 1 - SSE/SST</t>
        </is>
      </c>
      <c r="I9" s="15">
        <f>1-SUM(F5:F164)/SUMPRODUCT((C5:C164-AVERAGE(C5:C164))^2)</f>
        <v/>
      </c>
      <c r="J9" s="15">
        <f>1-SUM(F165:F284)/SUMPRODUCT((C165:C284-AVERAGE(C165:C284))^2)</f>
        <v/>
      </c>
      <c r="K9" t="inlineStr">
        <is>
          <t>Nash-Sutcliffe style skill relative to the period mean</t>
        </is>
      </c>
    </row>
    <row r="10">
      <c r="A10">
        <f>Data!A7</f>
        <v/>
      </c>
      <c r="B10">
        <f>Data!J7</f>
        <v/>
      </c>
      <c r="C10" s="15">
        <f>Data!G7</f>
        <v/>
      </c>
      <c r="D10" s="15">
        <f>MultiReg!$K$29+MultiReg!$L$29*Data!C7+MultiReg!$M$29*Data!D7+MultiReg!$N$29*Data!E7</f>
        <v/>
      </c>
      <c r="E10" s="15">
        <f>D10-C10</f>
        <v/>
      </c>
      <c r="F10" s="15">
        <f>E10^2</f>
        <v/>
      </c>
      <c r="H10" t="inlineStr">
        <is>
          <t>SD observed [C]</t>
        </is>
      </c>
      <c r="I10" s="15">
        <f>STDEV.S(C5:C164)</f>
        <v/>
      </c>
      <c r="J10" s="15">
        <f>STDEV.S(C165:C284)</f>
        <v/>
      </c>
      <c r="K10" t="inlineStr"/>
    </row>
    <row r="11">
      <c r="A11">
        <f>Data!A8</f>
        <v/>
      </c>
      <c r="B11">
        <f>Data!J8</f>
        <v/>
      </c>
      <c r="C11" s="15">
        <f>Data!G8</f>
        <v/>
      </c>
      <c r="D11" s="15">
        <f>MultiReg!$K$29+MultiReg!$L$29*Data!C8+MultiReg!$M$29*Data!D8+MultiReg!$N$29*Data!E8</f>
        <v/>
      </c>
      <c r="E11" s="15">
        <f>D11-C11</f>
        <v/>
      </c>
      <c r="F11" s="15">
        <f>E11^2</f>
        <v/>
      </c>
      <c r="H11" t="inlineStr">
        <is>
          <t>SD downscaled [C]</t>
        </is>
      </c>
      <c r="I11" s="15">
        <f>STDEV.S(D5:D164)</f>
        <v/>
      </c>
      <c r="J11" s="15">
        <f>STDEV.S(D165:D284)</f>
        <v/>
      </c>
      <c r="K11" t="inlineStr">
        <is>
          <t>too small: regression explains only part of the variance</t>
        </is>
      </c>
    </row>
    <row r="12">
      <c r="A12">
        <f>Data!A9</f>
        <v/>
      </c>
      <c r="B12">
        <f>Data!J9</f>
        <v/>
      </c>
      <c r="C12" s="15">
        <f>Data!G9</f>
        <v/>
      </c>
      <c r="D12" s="15">
        <f>MultiReg!$K$29+MultiReg!$L$29*Data!C9+MultiReg!$M$29*Data!D9+MultiReg!$N$29*Data!E9</f>
        <v/>
      </c>
      <c r="E12" s="15">
        <f>D12-C12</f>
        <v/>
      </c>
      <c r="F12" s="15">
        <f>E12^2</f>
        <v/>
      </c>
      <c r="H12" t="inlineStr">
        <is>
          <t>SD ratio (downscaled / observed)</t>
        </is>
      </c>
      <c r="I12" s="14">
        <f>I11/I10</f>
        <v/>
      </c>
      <c r="J12" s="14">
        <f>J11/J10</f>
        <v/>
      </c>
      <c r="K12" t="inlineStr">
        <is>
          <t>calibration value is about sqrt(R2)</t>
        </is>
      </c>
    </row>
    <row r="13">
      <c r="A13">
        <f>Data!A10</f>
        <v/>
      </c>
      <c r="B13">
        <f>Data!J10</f>
        <v/>
      </c>
      <c r="C13" s="15">
        <f>Data!G10</f>
        <v/>
      </c>
      <c r="D13" s="15">
        <f>MultiReg!$K$29+MultiReg!$L$29*Data!C10+MultiReg!$M$29*Data!D10+MultiReg!$N$29*Data!E10</f>
        <v/>
      </c>
      <c r="E13" s="15">
        <f>D13-C13</f>
        <v/>
      </c>
      <c r="F13" s="15">
        <f>E13^2</f>
        <v/>
      </c>
      <c r="H13" t="inlineStr">
        <is>
          <t>sqrt(R2) from MultiReg</t>
        </is>
      </c>
      <c r="I13" s="15">
        <f>SQRT(MultiReg!$N$37)</f>
        <v/>
      </c>
      <c r="J13" s="15" t="n"/>
      <c r="K13" t="inlineStr">
        <is>
          <t>compare with the calibration SD ratio</t>
        </is>
      </c>
    </row>
    <row r="14">
      <c r="A14">
        <f>Data!A11</f>
        <v/>
      </c>
      <c r="B14">
        <f>Data!J11</f>
        <v/>
      </c>
      <c r="C14" s="15">
        <f>Data!G11</f>
        <v/>
      </c>
      <c r="D14" s="15">
        <f>MultiReg!$K$29+MultiReg!$L$29*Data!C11+MultiReg!$M$29*Data!D11+MultiReg!$N$29*Data!E11</f>
        <v/>
      </c>
      <c r="E14" s="15">
        <f>D14-C14</f>
        <v/>
      </c>
      <c r="F14" s="15">
        <f>E14^2</f>
        <v/>
      </c>
    </row>
    <row r="15">
      <c r="A15">
        <f>Data!A12</f>
        <v/>
      </c>
      <c r="B15">
        <f>Data!J12</f>
        <v/>
      </c>
      <c r="C15" s="15">
        <f>Data!G12</f>
        <v/>
      </c>
      <c r="D15" s="15">
        <f>MultiReg!$K$29+MultiReg!$L$29*Data!C12+MultiReg!$M$29*Data!D12+MultiReg!$N$29*Data!E12</f>
        <v/>
      </c>
      <c r="E15" s="15">
        <f>D15-C15</f>
        <v/>
      </c>
      <c r="F15" s="15">
        <f>E15^2</f>
        <v/>
      </c>
    </row>
    <row r="16">
      <c r="A16">
        <f>Data!A13</f>
        <v/>
      </c>
      <c r="B16">
        <f>Data!J13</f>
        <v/>
      </c>
      <c r="C16" s="15">
        <f>Data!G13</f>
        <v/>
      </c>
      <c r="D16" s="15">
        <f>MultiReg!$K$29+MultiReg!$L$29*Data!C13+MultiReg!$M$29*Data!D13+MultiReg!$N$29*Data!E13</f>
        <v/>
      </c>
      <c r="E16" s="15">
        <f>D16-C16</f>
        <v/>
      </c>
      <c r="F16" s="15">
        <f>E16^2</f>
        <v/>
      </c>
      <c r="H16" s="9" t="inlineStr">
        <is>
          <t>Standardised coefficients (importance of each predictor)</t>
        </is>
      </c>
    </row>
    <row r="17">
      <c r="A17">
        <f>Data!A14</f>
        <v/>
      </c>
      <c r="B17">
        <f>Data!J14</f>
        <v/>
      </c>
      <c r="C17" s="15">
        <f>Data!G14</f>
        <v/>
      </c>
      <c r="D17" s="15">
        <f>MultiReg!$K$29+MultiReg!$L$29*Data!C14+MultiReg!$M$29*Data!D14+MultiReg!$N$29*Data!E14</f>
        <v/>
      </c>
      <c r="E17" s="15">
        <f>D17-C17</f>
        <v/>
      </c>
      <c r="F17" s="15">
        <f>E17^2</f>
        <v/>
      </c>
      <c r="H17" s="4" t="inlineStr">
        <is>
          <t>predictor</t>
        </is>
      </c>
      <c r="I17" s="4" t="inlineStr">
        <is>
          <t>beta [C per unit]</t>
        </is>
      </c>
      <c r="J17" s="4" t="inlineStr">
        <is>
          <t>SD of x (cal)</t>
        </is>
      </c>
      <c r="K17" s="4" t="inlineStr">
        <is>
          <t>beta_std = beta SD(x)/SD(y)</t>
        </is>
      </c>
    </row>
    <row r="18">
      <c r="A18">
        <f>Data!A15</f>
        <v/>
      </c>
      <c r="B18">
        <f>Data!J15</f>
        <v/>
      </c>
      <c r="C18" s="15">
        <f>Data!G15</f>
        <v/>
      </c>
      <c r="D18" s="15">
        <f>MultiReg!$K$29+MultiReg!$L$29*Data!C15+MultiReg!$M$29*Data!D15+MultiReg!$N$29*Data!E15</f>
        <v/>
      </c>
      <c r="E18" s="15">
        <f>D18-C18</f>
        <v/>
      </c>
      <c r="F18" s="15">
        <f>E18^2</f>
        <v/>
      </c>
      <c r="H18" t="inlineStr">
        <is>
          <t>slp</t>
        </is>
      </c>
      <c r="I18" s="15">
        <f>MultiReg!L29</f>
        <v/>
      </c>
      <c r="J18" s="15">
        <f>STDEV.S(Data!C2:C161)</f>
        <v/>
      </c>
      <c r="K18" s="15">
        <f>I18*J18/I10</f>
        <v/>
      </c>
    </row>
    <row r="19">
      <c r="A19">
        <f>Data!A16</f>
        <v/>
      </c>
      <c r="B19">
        <f>Data!J16</f>
        <v/>
      </c>
      <c r="C19" s="15">
        <f>Data!G16</f>
        <v/>
      </c>
      <c r="D19" s="15">
        <f>MultiReg!$K$29+MultiReg!$L$29*Data!C16+MultiReg!$M$29*Data!D16+MultiReg!$N$29*Data!E16</f>
        <v/>
      </c>
      <c r="E19" s="15">
        <f>D19-C19</f>
        <v/>
      </c>
      <c r="F19" s="15">
        <f>E19^2</f>
        <v/>
      </c>
      <c r="H19" t="inlineStr">
        <is>
          <t>q</t>
        </is>
      </c>
      <c r="I19" s="15">
        <f>MultiReg!M29</f>
        <v/>
      </c>
      <c r="J19" s="15">
        <f>STDEV.S(Data!D2:D161)</f>
        <v/>
      </c>
      <c r="K19" s="15">
        <f>I19*J19/I10</f>
        <v/>
      </c>
    </row>
    <row r="20">
      <c r="A20">
        <f>Data!A17</f>
        <v/>
      </c>
      <c r="B20">
        <f>Data!J17</f>
        <v/>
      </c>
      <c r="C20" s="15">
        <f>Data!G17</f>
        <v/>
      </c>
      <c r="D20" s="15">
        <f>MultiReg!$K$29+MultiReg!$L$29*Data!C17+MultiReg!$M$29*Data!D17+MultiReg!$N$29*Data!E17</f>
        <v/>
      </c>
      <c r="E20" s="15">
        <f>D20-C20</f>
        <v/>
      </c>
      <c r="F20" s="15">
        <f>E20^2</f>
        <v/>
      </c>
      <c r="H20" t="inlineStr">
        <is>
          <t>t850</t>
        </is>
      </c>
      <c r="I20" s="15">
        <f>MultiReg!N29</f>
        <v/>
      </c>
      <c r="J20" s="15">
        <f>STDEV.S(Data!E2:E161)</f>
        <v/>
      </c>
      <c r="K20" s="15">
        <f>I20*J20/I10</f>
        <v/>
      </c>
    </row>
    <row r="21">
      <c r="A21">
        <f>Data!A18</f>
        <v/>
      </c>
      <c r="B21">
        <f>Data!J18</f>
        <v/>
      </c>
      <c r="C21" s="15">
        <f>Data!G18</f>
        <v/>
      </c>
      <c r="D21" s="15">
        <f>MultiReg!$K$29+MultiReg!$L$29*Data!C18+MultiReg!$M$29*Data!D18+MultiReg!$N$29*Data!E18</f>
        <v/>
      </c>
      <c r="E21" s="15">
        <f>D21-C21</f>
        <v/>
      </c>
      <c r="F21" s="15">
        <f>E21^2</f>
        <v/>
      </c>
    </row>
    <row r="22">
      <c r="A22">
        <f>Data!A19</f>
        <v/>
      </c>
      <c r="B22">
        <f>Data!J19</f>
        <v/>
      </c>
      <c r="C22" s="15">
        <f>Data!G19</f>
        <v/>
      </c>
      <c r="D22" s="15">
        <f>MultiReg!$K$29+MultiReg!$L$29*Data!C19+MultiReg!$M$29*Data!D19+MultiReg!$N$29*Data!E19</f>
        <v/>
      </c>
      <c r="E22" s="15">
        <f>D22-C22</f>
        <v/>
      </c>
      <c r="F22" s="15">
        <f>E22^2</f>
        <v/>
      </c>
      <c r="H22" t="inlineStr">
        <is>
          <t>beta_std = change of y in SDs of y per SD of x: it makes predictors in different units comparable.</t>
        </is>
      </c>
    </row>
    <row r="23">
      <c r="A23">
        <f>Data!A20</f>
        <v/>
      </c>
      <c r="B23">
        <f>Data!J20</f>
        <v/>
      </c>
      <c r="C23" s="15">
        <f>Data!G20</f>
        <v/>
      </c>
      <c r="D23" s="15">
        <f>MultiReg!$K$29+MultiReg!$L$29*Data!C20+MultiReg!$M$29*Data!D20+MultiReg!$N$29*Data!E20</f>
        <v/>
      </c>
      <c r="E23" s="15">
        <f>D23-C23</f>
        <v/>
      </c>
      <c r="F23" s="15">
        <f>E23^2</f>
        <v/>
      </c>
    </row>
    <row r="24">
      <c r="A24">
        <f>Data!A21</f>
        <v/>
      </c>
      <c r="B24">
        <f>Data!J21</f>
        <v/>
      </c>
      <c r="C24" s="15">
        <f>Data!G21</f>
        <v/>
      </c>
      <c r="D24" s="15">
        <f>MultiReg!$K$29+MultiReg!$L$29*Data!C21+MultiReg!$M$29*Data!D21+MultiReg!$N$29*Data!E21</f>
        <v/>
      </c>
      <c r="E24" s="15">
        <f>D24-C24</f>
        <v/>
      </c>
      <c r="F24" s="15">
        <f>E24^2</f>
        <v/>
      </c>
    </row>
    <row r="25">
      <c r="A25">
        <f>Data!A22</f>
        <v/>
      </c>
      <c r="B25">
        <f>Data!J22</f>
        <v/>
      </c>
      <c r="C25" s="15">
        <f>Data!G22</f>
        <v/>
      </c>
      <c r="D25" s="15">
        <f>MultiReg!$K$29+MultiReg!$L$29*Data!C22+MultiReg!$M$29*Data!D22+MultiReg!$N$29*Data!E22</f>
        <v/>
      </c>
      <c r="E25" s="15">
        <f>D25-C25</f>
        <v/>
      </c>
      <c r="F25" s="15">
        <f>E25^2</f>
        <v/>
      </c>
    </row>
    <row r="26">
      <c r="A26">
        <f>Data!A23</f>
        <v/>
      </c>
      <c r="B26">
        <f>Data!J23</f>
        <v/>
      </c>
      <c r="C26" s="15">
        <f>Data!G23</f>
        <v/>
      </c>
      <c r="D26" s="15">
        <f>MultiReg!$K$29+MultiReg!$L$29*Data!C23+MultiReg!$M$29*Data!D23+MultiReg!$N$29*Data!E23</f>
        <v/>
      </c>
      <c r="E26" s="15">
        <f>D26-C26</f>
        <v/>
      </c>
      <c r="F26" s="15">
        <f>E26^2</f>
        <v/>
      </c>
    </row>
    <row r="27">
      <c r="A27">
        <f>Data!A24</f>
        <v/>
      </c>
      <c r="B27">
        <f>Data!J24</f>
        <v/>
      </c>
      <c r="C27" s="15">
        <f>Data!G24</f>
        <v/>
      </c>
      <c r="D27" s="15">
        <f>MultiReg!$K$29+MultiReg!$L$29*Data!C24+MultiReg!$M$29*Data!D24+MultiReg!$N$29*Data!E24</f>
        <v/>
      </c>
      <c r="E27" s="15">
        <f>D27-C27</f>
        <v/>
      </c>
      <c r="F27" s="15">
        <f>E27^2</f>
        <v/>
      </c>
    </row>
    <row r="28">
      <c r="A28">
        <f>Data!A25</f>
        <v/>
      </c>
      <c r="B28">
        <f>Data!J25</f>
        <v/>
      </c>
      <c r="C28" s="15">
        <f>Data!G25</f>
        <v/>
      </c>
      <c r="D28" s="15">
        <f>MultiReg!$K$29+MultiReg!$L$29*Data!C25+MultiReg!$M$29*Data!D25+MultiReg!$N$29*Data!E25</f>
        <v/>
      </c>
      <c r="E28" s="15">
        <f>D28-C28</f>
        <v/>
      </c>
      <c r="F28" s="15">
        <f>E28^2</f>
        <v/>
      </c>
    </row>
    <row r="29">
      <c r="A29">
        <f>Data!A26</f>
        <v/>
      </c>
      <c r="B29">
        <f>Data!J26</f>
        <v/>
      </c>
      <c r="C29" s="15">
        <f>Data!G26</f>
        <v/>
      </c>
      <c r="D29" s="15">
        <f>MultiReg!$K$29+MultiReg!$L$29*Data!C26+MultiReg!$M$29*Data!D26+MultiReg!$N$29*Data!E26</f>
        <v/>
      </c>
      <c r="E29" s="15">
        <f>D29-C29</f>
        <v/>
      </c>
      <c r="F29" s="15">
        <f>E29^2</f>
        <v/>
      </c>
    </row>
    <row r="30">
      <c r="A30">
        <f>Data!A27</f>
        <v/>
      </c>
      <c r="B30">
        <f>Data!J27</f>
        <v/>
      </c>
      <c r="C30" s="15">
        <f>Data!G27</f>
        <v/>
      </c>
      <c r="D30" s="15">
        <f>MultiReg!$K$29+MultiReg!$L$29*Data!C27+MultiReg!$M$29*Data!D27+MultiReg!$N$29*Data!E27</f>
        <v/>
      </c>
      <c r="E30" s="15">
        <f>D30-C30</f>
        <v/>
      </c>
      <c r="F30" s="15">
        <f>E30^2</f>
        <v/>
      </c>
    </row>
    <row r="31">
      <c r="A31">
        <f>Data!A28</f>
        <v/>
      </c>
      <c r="B31">
        <f>Data!J28</f>
        <v/>
      </c>
      <c r="C31" s="15">
        <f>Data!G28</f>
        <v/>
      </c>
      <c r="D31" s="15">
        <f>MultiReg!$K$29+MultiReg!$L$29*Data!C28+MultiReg!$M$29*Data!D28+MultiReg!$N$29*Data!E28</f>
        <v/>
      </c>
      <c r="E31" s="15">
        <f>D31-C31</f>
        <v/>
      </c>
      <c r="F31" s="15">
        <f>E31^2</f>
        <v/>
      </c>
    </row>
    <row r="32">
      <c r="A32">
        <f>Data!A29</f>
        <v/>
      </c>
      <c r="B32">
        <f>Data!J29</f>
        <v/>
      </c>
      <c r="C32" s="15">
        <f>Data!G29</f>
        <v/>
      </c>
      <c r="D32" s="15">
        <f>MultiReg!$K$29+MultiReg!$L$29*Data!C29+MultiReg!$M$29*Data!D29+MultiReg!$N$29*Data!E29</f>
        <v/>
      </c>
      <c r="E32" s="15">
        <f>D32-C32</f>
        <v/>
      </c>
      <c r="F32" s="15">
        <f>E32^2</f>
        <v/>
      </c>
    </row>
    <row r="33">
      <c r="A33">
        <f>Data!A30</f>
        <v/>
      </c>
      <c r="B33">
        <f>Data!J30</f>
        <v/>
      </c>
      <c r="C33" s="15">
        <f>Data!G30</f>
        <v/>
      </c>
      <c r="D33" s="15">
        <f>MultiReg!$K$29+MultiReg!$L$29*Data!C30+MultiReg!$M$29*Data!D30+MultiReg!$N$29*Data!E30</f>
        <v/>
      </c>
      <c r="E33" s="15">
        <f>D33-C33</f>
        <v/>
      </c>
      <c r="F33" s="15">
        <f>E33^2</f>
        <v/>
      </c>
    </row>
    <row r="34">
      <c r="A34">
        <f>Data!A31</f>
        <v/>
      </c>
      <c r="B34">
        <f>Data!J31</f>
        <v/>
      </c>
      <c r="C34" s="15">
        <f>Data!G31</f>
        <v/>
      </c>
      <c r="D34" s="15">
        <f>MultiReg!$K$29+MultiReg!$L$29*Data!C31+MultiReg!$M$29*Data!D31+MultiReg!$N$29*Data!E31</f>
        <v/>
      </c>
      <c r="E34" s="15">
        <f>D34-C34</f>
        <v/>
      </c>
      <c r="F34" s="15">
        <f>E34^2</f>
        <v/>
      </c>
    </row>
    <row r="35">
      <c r="A35">
        <f>Data!A32</f>
        <v/>
      </c>
      <c r="B35">
        <f>Data!J32</f>
        <v/>
      </c>
      <c r="C35" s="15">
        <f>Data!G32</f>
        <v/>
      </c>
      <c r="D35" s="15">
        <f>MultiReg!$K$29+MultiReg!$L$29*Data!C32+MultiReg!$M$29*Data!D32+MultiReg!$N$29*Data!E32</f>
        <v/>
      </c>
      <c r="E35" s="15">
        <f>D35-C35</f>
        <v/>
      </c>
      <c r="F35" s="15">
        <f>E35^2</f>
        <v/>
      </c>
    </row>
    <row r="36">
      <c r="A36">
        <f>Data!A33</f>
        <v/>
      </c>
      <c r="B36">
        <f>Data!J33</f>
        <v/>
      </c>
      <c r="C36" s="15">
        <f>Data!G33</f>
        <v/>
      </c>
      <c r="D36" s="15">
        <f>MultiReg!$K$29+MultiReg!$L$29*Data!C33+MultiReg!$M$29*Data!D33+MultiReg!$N$29*Data!E33</f>
        <v/>
      </c>
      <c r="E36" s="15">
        <f>D36-C36</f>
        <v/>
      </c>
      <c r="F36" s="15">
        <f>E36^2</f>
        <v/>
      </c>
    </row>
    <row r="37">
      <c r="A37">
        <f>Data!A34</f>
        <v/>
      </c>
      <c r="B37">
        <f>Data!J34</f>
        <v/>
      </c>
      <c r="C37" s="15">
        <f>Data!G34</f>
        <v/>
      </c>
      <c r="D37" s="15">
        <f>MultiReg!$K$29+MultiReg!$L$29*Data!C34+MultiReg!$M$29*Data!D34+MultiReg!$N$29*Data!E34</f>
        <v/>
      </c>
      <c r="E37" s="15">
        <f>D37-C37</f>
        <v/>
      </c>
      <c r="F37" s="15">
        <f>E37^2</f>
        <v/>
      </c>
    </row>
    <row r="38">
      <c r="A38">
        <f>Data!A35</f>
        <v/>
      </c>
      <c r="B38">
        <f>Data!J35</f>
        <v/>
      </c>
      <c r="C38" s="15">
        <f>Data!G35</f>
        <v/>
      </c>
      <c r="D38" s="15">
        <f>MultiReg!$K$29+MultiReg!$L$29*Data!C35+MultiReg!$M$29*Data!D35+MultiReg!$N$29*Data!E35</f>
        <v/>
      </c>
      <c r="E38" s="15">
        <f>D38-C38</f>
        <v/>
      </c>
      <c r="F38" s="15">
        <f>E38^2</f>
        <v/>
      </c>
    </row>
    <row r="39">
      <c r="A39">
        <f>Data!A36</f>
        <v/>
      </c>
      <c r="B39">
        <f>Data!J36</f>
        <v/>
      </c>
      <c r="C39" s="15">
        <f>Data!G36</f>
        <v/>
      </c>
      <c r="D39" s="15">
        <f>MultiReg!$K$29+MultiReg!$L$29*Data!C36+MultiReg!$M$29*Data!D36+MultiReg!$N$29*Data!E36</f>
        <v/>
      </c>
      <c r="E39" s="15">
        <f>D39-C39</f>
        <v/>
      </c>
      <c r="F39" s="15">
        <f>E39^2</f>
        <v/>
      </c>
    </row>
    <row r="40">
      <c r="A40">
        <f>Data!A37</f>
        <v/>
      </c>
      <c r="B40">
        <f>Data!J37</f>
        <v/>
      </c>
      <c r="C40" s="15">
        <f>Data!G37</f>
        <v/>
      </c>
      <c r="D40" s="15">
        <f>MultiReg!$K$29+MultiReg!$L$29*Data!C37+MultiReg!$M$29*Data!D37+MultiReg!$N$29*Data!E37</f>
        <v/>
      </c>
      <c r="E40" s="15">
        <f>D40-C40</f>
        <v/>
      </c>
      <c r="F40" s="15">
        <f>E40^2</f>
        <v/>
      </c>
    </row>
    <row r="41">
      <c r="A41">
        <f>Data!A38</f>
        <v/>
      </c>
      <c r="B41">
        <f>Data!J38</f>
        <v/>
      </c>
      <c r="C41" s="15">
        <f>Data!G38</f>
        <v/>
      </c>
      <c r="D41" s="15">
        <f>MultiReg!$K$29+MultiReg!$L$29*Data!C38+MultiReg!$M$29*Data!D38+MultiReg!$N$29*Data!E38</f>
        <v/>
      </c>
      <c r="E41" s="15">
        <f>D41-C41</f>
        <v/>
      </c>
      <c r="F41" s="15">
        <f>E41^2</f>
        <v/>
      </c>
    </row>
    <row r="42">
      <c r="A42">
        <f>Data!A39</f>
        <v/>
      </c>
      <c r="B42">
        <f>Data!J39</f>
        <v/>
      </c>
      <c r="C42" s="15">
        <f>Data!G39</f>
        <v/>
      </c>
      <c r="D42" s="15">
        <f>MultiReg!$K$29+MultiReg!$L$29*Data!C39+MultiReg!$M$29*Data!D39+MultiReg!$N$29*Data!E39</f>
        <v/>
      </c>
      <c r="E42" s="15">
        <f>D42-C42</f>
        <v/>
      </c>
      <c r="F42" s="15">
        <f>E42^2</f>
        <v/>
      </c>
    </row>
    <row r="43">
      <c r="A43">
        <f>Data!A40</f>
        <v/>
      </c>
      <c r="B43">
        <f>Data!J40</f>
        <v/>
      </c>
      <c r="C43" s="15">
        <f>Data!G40</f>
        <v/>
      </c>
      <c r="D43" s="15">
        <f>MultiReg!$K$29+MultiReg!$L$29*Data!C40+MultiReg!$M$29*Data!D40+MultiReg!$N$29*Data!E40</f>
        <v/>
      </c>
      <c r="E43" s="15">
        <f>D43-C43</f>
        <v/>
      </c>
      <c r="F43" s="15">
        <f>E43^2</f>
        <v/>
      </c>
    </row>
    <row r="44">
      <c r="A44">
        <f>Data!A41</f>
        <v/>
      </c>
      <c r="B44">
        <f>Data!J41</f>
        <v/>
      </c>
      <c r="C44" s="15">
        <f>Data!G41</f>
        <v/>
      </c>
      <c r="D44" s="15">
        <f>MultiReg!$K$29+MultiReg!$L$29*Data!C41+MultiReg!$M$29*Data!D41+MultiReg!$N$29*Data!E41</f>
        <v/>
      </c>
      <c r="E44" s="15">
        <f>D44-C44</f>
        <v/>
      </c>
      <c r="F44" s="15">
        <f>E44^2</f>
        <v/>
      </c>
    </row>
    <row r="45">
      <c r="A45">
        <f>Data!A42</f>
        <v/>
      </c>
      <c r="B45">
        <f>Data!J42</f>
        <v/>
      </c>
      <c r="C45" s="15">
        <f>Data!G42</f>
        <v/>
      </c>
      <c r="D45" s="15">
        <f>MultiReg!$K$29+MultiReg!$L$29*Data!C42+MultiReg!$M$29*Data!D42+MultiReg!$N$29*Data!E42</f>
        <v/>
      </c>
      <c r="E45" s="15">
        <f>D45-C45</f>
        <v/>
      </c>
      <c r="F45" s="15">
        <f>E45^2</f>
        <v/>
      </c>
    </row>
    <row r="46">
      <c r="A46">
        <f>Data!A43</f>
        <v/>
      </c>
      <c r="B46">
        <f>Data!J43</f>
        <v/>
      </c>
      <c r="C46" s="15">
        <f>Data!G43</f>
        <v/>
      </c>
      <c r="D46" s="15">
        <f>MultiReg!$K$29+MultiReg!$L$29*Data!C43+MultiReg!$M$29*Data!D43+MultiReg!$N$29*Data!E43</f>
        <v/>
      </c>
      <c r="E46" s="15">
        <f>D46-C46</f>
        <v/>
      </c>
      <c r="F46" s="15">
        <f>E46^2</f>
        <v/>
      </c>
    </row>
    <row r="47">
      <c r="A47">
        <f>Data!A44</f>
        <v/>
      </c>
      <c r="B47">
        <f>Data!J44</f>
        <v/>
      </c>
      <c r="C47" s="15">
        <f>Data!G44</f>
        <v/>
      </c>
      <c r="D47" s="15">
        <f>MultiReg!$K$29+MultiReg!$L$29*Data!C44+MultiReg!$M$29*Data!D44+MultiReg!$N$29*Data!E44</f>
        <v/>
      </c>
      <c r="E47" s="15">
        <f>D47-C47</f>
        <v/>
      </c>
      <c r="F47" s="15">
        <f>E47^2</f>
        <v/>
      </c>
    </row>
    <row r="48">
      <c r="A48">
        <f>Data!A45</f>
        <v/>
      </c>
      <c r="B48">
        <f>Data!J45</f>
        <v/>
      </c>
      <c r="C48" s="15">
        <f>Data!G45</f>
        <v/>
      </c>
      <c r="D48" s="15">
        <f>MultiReg!$K$29+MultiReg!$L$29*Data!C45+MultiReg!$M$29*Data!D45+MultiReg!$N$29*Data!E45</f>
        <v/>
      </c>
      <c r="E48" s="15">
        <f>D48-C48</f>
        <v/>
      </c>
      <c r="F48" s="15">
        <f>E48^2</f>
        <v/>
      </c>
    </row>
    <row r="49">
      <c r="A49">
        <f>Data!A46</f>
        <v/>
      </c>
      <c r="B49">
        <f>Data!J46</f>
        <v/>
      </c>
      <c r="C49" s="15">
        <f>Data!G46</f>
        <v/>
      </c>
      <c r="D49" s="15">
        <f>MultiReg!$K$29+MultiReg!$L$29*Data!C46+MultiReg!$M$29*Data!D46+MultiReg!$N$29*Data!E46</f>
        <v/>
      </c>
      <c r="E49" s="15">
        <f>D49-C49</f>
        <v/>
      </c>
      <c r="F49" s="15">
        <f>E49^2</f>
        <v/>
      </c>
    </row>
    <row r="50">
      <c r="A50">
        <f>Data!A47</f>
        <v/>
      </c>
      <c r="B50">
        <f>Data!J47</f>
        <v/>
      </c>
      <c r="C50" s="15">
        <f>Data!G47</f>
        <v/>
      </c>
      <c r="D50" s="15">
        <f>MultiReg!$K$29+MultiReg!$L$29*Data!C47+MultiReg!$M$29*Data!D47+MultiReg!$N$29*Data!E47</f>
        <v/>
      </c>
      <c r="E50" s="15">
        <f>D50-C50</f>
        <v/>
      </c>
      <c r="F50" s="15">
        <f>E50^2</f>
        <v/>
      </c>
    </row>
    <row r="51">
      <c r="A51">
        <f>Data!A48</f>
        <v/>
      </c>
      <c r="B51">
        <f>Data!J48</f>
        <v/>
      </c>
      <c r="C51" s="15">
        <f>Data!G48</f>
        <v/>
      </c>
      <c r="D51" s="15">
        <f>MultiReg!$K$29+MultiReg!$L$29*Data!C48+MultiReg!$M$29*Data!D48+MultiReg!$N$29*Data!E48</f>
        <v/>
      </c>
      <c r="E51" s="15">
        <f>D51-C51</f>
        <v/>
      </c>
      <c r="F51" s="15">
        <f>E51^2</f>
        <v/>
      </c>
    </row>
    <row r="52">
      <c r="A52">
        <f>Data!A49</f>
        <v/>
      </c>
      <c r="B52">
        <f>Data!J49</f>
        <v/>
      </c>
      <c r="C52" s="15">
        <f>Data!G49</f>
        <v/>
      </c>
      <c r="D52" s="15">
        <f>MultiReg!$K$29+MultiReg!$L$29*Data!C49+MultiReg!$M$29*Data!D49+MultiReg!$N$29*Data!E49</f>
        <v/>
      </c>
      <c r="E52" s="15">
        <f>D52-C52</f>
        <v/>
      </c>
      <c r="F52" s="15">
        <f>E52^2</f>
        <v/>
      </c>
    </row>
    <row r="53">
      <c r="A53">
        <f>Data!A50</f>
        <v/>
      </c>
      <c r="B53">
        <f>Data!J50</f>
        <v/>
      </c>
      <c r="C53" s="15">
        <f>Data!G50</f>
        <v/>
      </c>
      <c r="D53" s="15">
        <f>MultiReg!$K$29+MultiReg!$L$29*Data!C50+MultiReg!$M$29*Data!D50+MultiReg!$N$29*Data!E50</f>
        <v/>
      </c>
      <c r="E53" s="15">
        <f>D53-C53</f>
        <v/>
      </c>
      <c r="F53" s="15">
        <f>E53^2</f>
        <v/>
      </c>
    </row>
    <row r="54">
      <c r="A54">
        <f>Data!A51</f>
        <v/>
      </c>
      <c r="B54">
        <f>Data!J51</f>
        <v/>
      </c>
      <c r="C54" s="15">
        <f>Data!G51</f>
        <v/>
      </c>
      <c r="D54" s="15">
        <f>MultiReg!$K$29+MultiReg!$L$29*Data!C51+MultiReg!$M$29*Data!D51+MultiReg!$N$29*Data!E51</f>
        <v/>
      </c>
      <c r="E54" s="15">
        <f>D54-C54</f>
        <v/>
      </c>
      <c r="F54" s="15">
        <f>E54^2</f>
        <v/>
      </c>
    </row>
    <row r="55">
      <c r="A55">
        <f>Data!A52</f>
        <v/>
      </c>
      <c r="B55">
        <f>Data!J52</f>
        <v/>
      </c>
      <c r="C55" s="15">
        <f>Data!G52</f>
        <v/>
      </c>
      <c r="D55" s="15">
        <f>MultiReg!$K$29+MultiReg!$L$29*Data!C52+MultiReg!$M$29*Data!D52+MultiReg!$N$29*Data!E52</f>
        <v/>
      </c>
      <c r="E55" s="15">
        <f>D55-C55</f>
        <v/>
      </c>
      <c r="F55" s="15">
        <f>E55^2</f>
        <v/>
      </c>
    </row>
    <row r="56">
      <c r="A56">
        <f>Data!A53</f>
        <v/>
      </c>
      <c r="B56">
        <f>Data!J53</f>
        <v/>
      </c>
      <c r="C56" s="15">
        <f>Data!G53</f>
        <v/>
      </c>
      <c r="D56" s="15">
        <f>MultiReg!$K$29+MultiReg!$L$29*Data!C53+MultiReg!$M$29*Data!D53+MultiReg!$N$29*Data!E53</f>
        <v/>
      </c>
      <c r="E56" s="15">
        <f>D56-C56</f>
        <v/>
      </c>
      <c r="F56" s="15">
        <f>E56^2</f>
        <v/>
      </c>
    </row>
    <row r="57">
      <c r="A57">
        <f>Data!A54</f>
        <v/>
      </c>
      <c r="B57">
        <f>Data!J54</f>
        <v/>
      </c>
      <c r="C57" s="15">
        <f>Data!G54</f>
        <v/>
      </c>
      <c r="D57" s="15">
        <f>MultiReg!$K$29+MultiReg!$L$29*Data!C54+MultiReg!$M$29*Data!D54+MultiReg!$N$29*Data!E54</f>
        <v/>
      </c>
      <c r="E57" s="15">
        <f>D57-C57</f>
        <v/>
      </c>
      <c r="F57" s="15">
        <f>E57^2</f>
        <v/>
      </c>
    </row>
    <row r="58">
      <c r="A58">
        <f>Data!A55</f>
        <v/>
      </c>
      <c r="B58">
        <f>Data!J55</f>
        <v/>
      </c>
      <c r="C58" s="15">
        <f>Data!G55</f>
        <v/>
      </c>
      <c r="D58" s="15">
        <f>MultiReg!$K$29+MultiReg!$L$29*Data!C55+MultiReg!$M$29*Data!D55+MultiReg!$N$29*Data!E55</f>
        <v/>
      </c>
      <c r="E58" s="15">
        <f>D58-C58</f>
        <v/>
      </c>
      <c r="F58" s="15">
        <f>E58^2</f>
        <v/>
      </c>
    </row>
    <row r="59">
      <c r="A59">
        <f>Data!A56</f>
        <v/>
      </c>
      <c r="B59">
        <f>Data!J56</f>
        <v/>
      </c>
      <c r="C59" s="15">
        <f>Data!G56</f>
        <v/>
      </c>
      <c r="D59" s="15">
        <f>MultiReg!$K$29+MultiReg!$L$29*Data!C56+MultiReg!$M$29*Data!D56+MultiReg!$N$29*Data!E56</f>
        <v/>
      </c>
      <c r="E59" s="15">
        <f>D59-C59</f>
        <v/>
      </c>
      <c r="F59" s="15">
        <f>E59^2</f>
        <v/>
      </c>
    </row>
    <row r="60">
      <c r="A60">
        <f>Data!A57</f>
        <v/>
      </c>
      <c r="B60">
        <f>Data!J57</f>
        <v/>
      </c>
      <c r="C60" s="15">
        <f>Data!G57</f>
        <v/>
      </c>
      <c r="D60" s="15">
        <f>MultiReg!$K$29+MultiReg!$L$29*Data!C57+MultiReg!$M$29*Data!D57+MultiReg!$N$29*Data!E57</f>
        <v/>
      </c>
      <c r="E60" s="15">
        <f>D60-C60</f>
        <v/>
      </c>
      <c r="F60" s="15">
        <f>E60^2</f>
        <v/>
      </c>
    </row>
    <row r="61">
      <c r="A61">
        <f>Data!A58</f>
        <v/>
      </c>
      <c r="B61">
        <f>Data!J58</f>
        <v/>
      </c>
      <c r="C61" s="15">
        <f>Data!G58</f>
        <v/>
      </c>
      <c r="D61" s="15">
        <f>MultiReg!$K$29+MultiReg!$L$29*Data!C58+MultiReg!$M$29*Data!D58+MultiReg!$N$29*Data!E58</f>
        <v/>
      </c>
      <c r="E61" s="15">
        <f>D61-C61</f>
        <v/>
      </c>
      <c r="F61" s="15">
        <f>E61^2</f>
        <v/>
      </c>
    </row>
    <row r="62">
      <c r="A62">
        <f>Data!A59</f>
        <v/>
      </c>
      <c r="B62">
        <f>Data!J59</f>
        <v/>
      </c>
      <c r="C62" s="15">
        <f>Data!G59</f>
        <v/>
      </c>
      <c r="D62" s="15">
        <f>MultiReg!$K$29+MultiReg!$L$29*Data!C59+MultiReg!$M$29*Data!D59+MultiReg!$N$29*Data!E59</f>
        <v/>
      </c>
      <c r="E62" s="15">
        <f>D62-C62</f>
        <v/>
      </c>
      <c r="F62" s="15">
        <f>E62^2</f>
        <v/>
      </c>
    </row>
    <row r="63">
      <c r="A63">
        <f>Data!A60</f>
        <v/>
      </c>
      <c r="B63">
        <f>Data!J60</f>
        <v/>
      </c>
      <c r="C63" s="15">
        <f>Data!G60</f>
        <v/>
      </c>
      <c r="D63" s="15">
        <f>MultiReg!$K$29+MultiReg!$L$29*Data!C60+MultiReg!$M$29*Data!D60+MultiReg!$N$29*Data!E60</f>
        <v/>
      </c>
      <c r="E63" s="15">
        <f>D63-C63</f>
        <v/>
      </c>
      <c r="F63" s="15">
        <f>E63^2</f>
        <v/>
      </c>
    </row>
    <row r="64">
      <c r="A64">
        <f>Data!A61</f>
        <v/>
      </c>
      <c r="B64">
        <f>Data!J61</f>
        <v/>
      </c>
      <c r="C64" s="15">
        <f>Data!G61</f>
        <v/>
      </c>
      <c r="D64" s="15">
        <f>MultiReg!$K$29+MultiReg!$L$29*Data!C61+MultiReg!$M$29*Data!D61+MultiReg!$N$29*Data!E61</f>
        <v/>
      </c>
      <c r="E64" s="15">
        <f>D64-C64</f>
        <v/>
      </c>
      <c r="F64" s="15">
        <f>E64^2</f>
        <v/>
      </c>
    </row>
    <row r="65">
      <c r="A65">
        <f>Data!A62</f>
        <v/>
      </c>
      <c r="B65">
        <f>Data!J62</f>
        <v/>
      </c>
      <c r="C65" s="15">
        <f>Data!G62</f>
        <v/>
      </c>
      <c r="D65" s="15">
        <f>MultiReg!$K$29+MultiReg!$L$29*Data!C62+MultiReg!$M$29*Data!D62+MultiReg!$N$29*Data!E62</f>
        <v/>
      </c>
      <c r="E65" s="15">
        <f>D65-C65</f>
        <v/>
      </c>
      <c r="F65" s="15">
        <f>E65^2</f>
        <v/>
      </c>
    </row>
    <row r="66">
      <c r="A66">
        <f>Data!A63</f>
        <v/>
      </c>
      <c r="B66">
        <f>Data!J63</f>
        <v/>
      </c>
      <c r="C66" s="15">
        <f>Data!G63</f>
        <v/>
      </c>
      <c r="D66" s="15">
        <f>MultiReg!$K$29+MultiReg!$L$29*Data!C63+MultiReg!$M$29*Data!D63+MultiReg!$N$29*Data!E63</f>
        <v/>
      </c>
      <c r="E66" s="15">
        <f>D66-C66</f>
        <v/>
      </c>
      <c r="F66" s="15">
        <f>E66^2</f>
        <v/>
      </c>
    </row>
    <row r="67">
      <c r="A67">
        <f>Data!A64</f>
        <v/>
      </c>
      <c r="B67">
        <f>Data!J64</f>
        <v/>
      </c>
      <c r="C67" s="15">
        <f>Data!G64</f>
        <v/>
      </c>
      <c r="D67" s="15">
        <f>MultiReg!$K$29+MultiReg!$L$29*Data!C64+MultiReg!$M$29*Data!D64+MultiReg!$N$29*Data!E64</f>
        <v/>
      </c>
      <c r="E67" s="15">
        <f>D67-C67</f>
        <v/>
      </c>
      <c r="F67" s="15">
        <f>E67^2</f>
        <v/>
      </c>
    </row>
    <row r="68">
      <c r="A68">
        <f>Data!A65</f>
        <v/>
      </c>
      <c r="B68">
        <f>Data!J65</f>
        <v/>
      </c>
      <c r="C68" s="15">
        <f>Data!G65</f>
        <v/>
      </c>
      <c r="D68" s="15">
        <f>MultiReg!$K$29+MultiReg!$L$29*Data!C65+MultiReg!$M$29*Data!D65+MultiReg!$N$29*Data!E65</f>
        <v/>
      </c>
      <c r="E68" s="15">
        <f>D68-C68</f>
        <v/>
      </c>
      <c r="F68" s="15">
        <f>E68^2</f>
        <v/>
      </c>
    </row>
    <row r="69">
      <c r="A69">
        <f>Data!A66</f>
        <v/>
      </c>
      <c r="B69">
        <f>Data!J66</f>
        <v/>
      </c>
      <c r="C69" s="15">
        <f>Data!G66</f>
        <v/>
      </c>
      <c r="D69" s="15">
        <f>MultiReg!$K$29+MultiReg!$L$29*Data!C66+MultiReg!$M$29*Data!D66+MultiReg!$N$29*Data!E66</f>
        <v/>
      </c>
      <c r="E69" s="15">
        <f>D69-C69</f>
        <v/>
      </c>
      <c r="F69" s="15">
        <f>E69^2</f>
        <v/>
      </c>
    </row>
    <row r="70">
      <c r="A70">
        <f>Data!A67</f>
        <v/>
      </c>
      <c r="B70">
        <f>Data!J67</f>
        <v/>
      </c>
      <c r="C70" s="15">
        <f>Data!G67</f>
        <v/>
      </c>
      <c r="D70" s="15">
        <f>MultiReg!$K$29+MultiReg!$L$29*Data!C67+MultiReg!$M$29*Data!D67+MultiReg!$N$29*Data!E67</f>
        <v/>
      </c>
      <c r="E70" s="15">
        <f>D70-C70</f>
        <v/>
      </c>
      <c r="F70" s="15">
        <f>E70^2</f>
        <v/>
      </c>
    </row>
    <row r="71">
      <c r="A71">
        <f>Data!A68</f>
        <v/>
      </c>
      <c r="B71">
        <f>Data!J68</f>
        <v/>
      </c>
      <c r="C71" s="15">
        <f>Data!G68</f>
        <v/>
      </c>
      <c r="D71" s="15">
        <f>MultiReg!$K$29+MultiReg!$L$29*Data!C68+MultiReg!$M$29*Data!D68+MultiReg!$N$29*Data!E68</f>
        <v/>
      </c>
      <c r="E71" s="15">
        <f>D71-C71</f>
        <v/>
      </c>
      <c r="F71" s="15">
        <f>E71^2</f>
        <v/>
      </c>
    </row>
    <row r="72">
      <c r="A72">
        <f>Data!A69</f>
        <v/>
      </c>
      <c r="B72">
        <f>Data!J69</f>
        <v/>
      </c>
      <c r="C72" s="15">
        <f>Data!G69</f>
        <v/>
      </c>
      <c r="D72" s="15">
        <f>MultiReg!$K$29+MultiReg!$L$29*Data!C69+MultiReg!$M$29*Data!D69+MultiReg!$N$29*Data!E69</f>
        <v/>
      </c>
      <c r="E72" s="15">
        <f>D72-C72</f>
        <v/>
      </c>
      <c r="F72" s="15">
        <f>E72^2</f>
        <v/>
      </c>
    </row>
    <row r="73">
      <c r="A73">
        <f>Data!A70</f>
        <v/>
      </c>
      <c r="B73">
        <f>Data!J70</f>
        <v/>
      </c>
      <c r="C73" s="15">
        <f>Data!G70</f>
        <v/>
      </c>
      <c r="D73" s="15">
        <f>MultiReg!$K$29+MultiReg!$L$29*Data!C70+MultiReg!$M$29*Data!D70+MultiReg!$N$29*Data!E70</f>
        <v/>
      </c>
      <c r="E73" s="15">
        <f>D73-C73</f>
        <v/>
      </c>
      <c r="F73" s="15">
        <f>E73^2</f>
        <v/>
      </c>
    </row>
    <row r="74">
      <c r="A74">
        <f>Data!A71</f>
        <v/>
      </c>
      <c r="B74">
        <f>Data!J71</f>
        <v/>
      </c>
      <c r="C74" s="15">
        <f>Data!G71</f>
        <v/>
      </c>
      <c r="D74" s="15">
        <f>MultiReg!$K$29+MultiReg!$L$29*Data!C71+MultiReg!$M$29*Data!D71+MultiReg!$N$29*Data!E71</f>
        <v/>
      </c>
      <c r="E74" s="15">
        <f>D74-C74</f>
        <v/>
      </c>
      <c r="F74" s="15">
        <f>E74^2</f>
        <v/>
      </c>
    </row>
    <row r="75">
      <c r="A75">
        <f>Data!A72</f>
        <v/>
      </c>
      <c r="B75">
        <f>Data!J72</f>
        <v/>
      </c>
      <c r="C75" s="15">
        <f>Data!G72</f>
        <v/>
      </c>
      <c r="D75" s="15">
        <f>MultiReg!$K$29+MultiReg!$L$29*Data!C72+MultiReg!$M$29*Data!D72+MultiReg!$N$29*Data!E72</f>
        <v/>
      </c>
      <c r="E75" s="15">
        <f>D75-C75</f>
        <v/>
      </c>
      <c r="F75" s="15">
        <f>E75^2</f>
        <v/>
      </c>
    </row>
    <row r="76">
      <c r="A76">
        <f>Data!A73</f>
        <v/>
      </c>
      <c r="B76">
        <f>Data!J73</f>
        <v/>
      </c>
      <c r="C76" s="15">
        <f>Data!G73</f>
        <v/>
      </c>
      <c r="D76" s="15">
        <f>MultiReg!$K$29+MultiReg!$L$29*Data!C73+MultiReg!$M$29*Data!D73+MultiReg!$N$29*Data!E73</f>
        <v/>
      </c>
      <c r="E76" s="15">
        <f>D76-C76</f>
        <v/>
      </c>
      <c r="F76" s="15">
        <f>E76^2</f>
        <v/>
      </c>
    </row>
    <row r="77">
      <c r="A77">
        <f>Data!A74</f>
        <v/>
      </c>
      <c r="B77">
        <f>Data!J74</f>
        <v/>
      </c>
      <c r="C77" s="15">
        <f>Data!G74</f>
        <v/>
      </c>
      <c r="D77" s="15">
        <f>MultiReg!$K$29+MultiReg!$L$29*Data!C74+MultiReg!$M$29*Data!D74+MultiReg!$N$29*Data!E74</f>
        <v/>
      </c>
      <c r="E77" s="15">
        <f>D77-C77</f>
        <v/>
      </c>
      <c r="F77" s="15">
        <f>E77^2</f>
        <v/>
      </c>
    </row>
    <row r="78">
      <c r="A78">
        <f>Data!A75</f>
        <v/>
      </c>
      <c r="B78">
        <f>Data!J75</f>
        <v/>
      </c>
      <c r="C78" s="15">
        <f>Data!G75</f>
        <v/>
      </c>
      <c r="D78" s="15">
        <f>MultiReg!$K$29+MultiReg!$L$29*Data!C75+MultiReg!$M$29*Data!D75+MultiReg!$N$29*Data!E75</f>
        <v/>
      </c>
      <c r="E78" s="15">
        <f>D78-C78</f>
        <v/>
      </c>
      <c r="F78" s="15">
        <f>E78^2</f>
        <v/>
      </c>
    </row>
    <row r="79">
      <c r="A79">
        <f>Data!A76</f>
        <v/>
      </c>
      <c r="B79">
        <f>Data!J76</f>
        <v/>
      </c>
      <c r="C79" s="15">
        <f>Data!G76</f>
        <v/>
      </c>
      <c r="D79" s="15">
        <f>MultiReg!$K$29+MultiReg!$L$29*Data!C76+MultiReg!$M$29*Data!D76+MultiReg!$N$29*Data!E76</f>
        <v/>
      </c>
      <c r="E79" s="15">
        <f>D79-C79</f>
        <v/>
      </c>
      <c r="F79" s="15">
        <f>E79^2</f>
        <v/>
      </c>
    </row>
    <row r="80">
      <c r="A80">
        <f>Data!A77</f>
        <v/>
      </c>
      <c r="B80">
        <f>Data!J77</f>
        <v/>
      </c>
      <c r="C80" s="15">
        <f>Data!G77</f>
        <v/>
      </c>
      <c r="D80" s="15">
        <f>MultiReg!$K$29+MultiReg!$L$29*Data!C77+MultiReg!$M$29*Data!D77+MultiReg!$N$29*Data!E77</f>
        <v/>
      </c>
      <c r="E80" s="15">
        <f>D80-C80</f>
        <v/>
      </c>
      <c r="F80" s="15">
        <f>E80^2</f>
        <v/>
      </c>
    </row>
    <row r="81">
      <c r="A81">
        <f>Data!A78</f>
        <v/>
      </c>
      <c r="B81">
        <f>Data!J78</f>
        <v/>
      </c>
      <c r="C81" s="15">
        <f>Data!G78</f>
        <v/>
      </c>
      <c r="D81" s="15">
        <f>MultiReg!$K$29+MultiReg!$L$29*Data!C78+MultiReg!$M$29*Data!D78+MultiReg!$N$29*Data!E78</f>
        <v/>
      </c>
      <c r="E81" s="15">
        <f>D81-C81</f>
        <v/>
      </c>
      <c r="F81" s="15">
        <f>E81^2</f>
        <v/>
      </c>
    </row>
    <row r="82">
      <c r="A82">
        <f>Data!A79</f>
        <v/>
      </c>
      <c r="B82">
        <f>Data!J79</f>
        <v/>
      </c>
      <c r="C82" s="15">
        <f>Data!G79</f>
        <v/>
      </c>
      <c r="D82" s="15">
        <f>MultiReg!$K$29+MultiReg!$L$29*Data!C79+MultiReg!$M$29*Data!D79+MultiReg!$N$29*Data!E79</f>
        <v/>
      </c>
      <c r="E82" s="15">
        <f>D82-C82</f>
        <v/>
      </c>
      <c r="F82" s="15">
        <f>E82^2</f>
        <v/>
      </c>
    </row>
    <row r="83">
      <c r="A83">
        <f>Data!A80</f>
        <v/>
      </c>
      <c r="B83">
        <f>Data!J80</f>
        <v/>
      </c>
      <c r="C83" s="15">
        <f>Data!G80</f>
        <v/>
      </c>
      <c r="D83" s="15">
        <f>MultiReg!$K$29+MultiReg!$L$29*Data!C80+MultiReg!$M$29*Data!D80+MultiReg!$N$29*Data!E80</f>
        <v/>
      </c>
      <c r="E83" s="15">
        <f>D83-C83</f>
        <v/>
      </c>
      <c r="F83" s="15">
        <f>E83^2</f>
        <v/>
      </c>
    </row>
    <row r="84">
      <c r="A84">
        <f>Data!A81</f>
        <v/>
      </c>
      <c r="B84">
        <f>Data!J81</f>
        <v/>
      </c>
      <c r="C84" s="15">
        <f>Data!G81</f>
        <v/>
      </c>
      <c r="D84" s="15">
        <f>MultiReg!$K$29+MultiReg!$L$29*Data!C81+MultiReg!$M$29*Data!D81+MultiReg!$N$29*Data!E81</f>
        <v/>
      </c>
      <c r="E84" s="15">
        <f>D84-C84</f>
        <v/>
      </c>
      <c r="F84" s="15">
        <f>E84^2</f>
        <v/>
      </c>
    </row>
    <row r="85">
      <c r="A85">
        <f>Data!A82</f>
        <v/>
      </c>
      <c r="B85">
        <f>Data!J82</f>
        <v/>
      </c>
      <c r="C85" s="15">
        <f>Data!G82</f>
        <v/>
      </c>
      <c r="D85" s="15">
        <f>MultiReg!$K$29+MultiReg!$L$29*Data!C82+MultiReg!$M$29*Data!D82+MultiReg!$N$29*Data!E82</f>
        <v/>
      </c>
      <c r="E85" s="15">
        <f>D85-C85</f>
        <v/>
      </c>
      <c r="F85" s="15">
        <f>E85^2</f>
        <v/>
      </c>
    </row>
    <row r="86">
      <c r="A86">
        <f>Data!A83</f>
        <v/>
      </c>
      <c r="B86">
        <f>Data!J83</f>
        <v/>
      </c>
      <c r="C86" s="15">
        <f>Data!G83</f>
        <v/>
      </c>
      <c r="D86" s="15">
        <f>MultiReg!$K$29+MultiReg!$L$29*Data!C83+MultiReg!$M$29*Data!D83+MultiReg!$N$29*Data!E83</f>
        <v/>
      </c>
      <c r="E86" s="15">
        <f>D86-C86</f>
        <v/>
      </c>
      <c r="F86" s="15">
        <f>E86^2</f>
        <v/>
      </c>
    </row>
    <row r="87">
      <c r="A87">
        <f>Data!A84</f>
        <v/>
      </c>
      <c r="B87">
        <f>Data!J84</f>
        <v/>
      </c>
      <c r="C87" s="15">
        <f>Data!G84</f>
        <v/>
      </c>
      <c r="D87" s="15">
        <f>MultiReg!$K$29+MultiReg!$L$29*Data!C84+MultiReg!$M$29*Data!D84+MultiReg!$N$29*Data!E84</f>
        <v/>
      </c>
      <c r="E87" s="15">
        <f>D87-C87</f>
        <v/>
      </c>
      <c r="F87" s="15">
        <f>E87^2</f>
        <v/>
      </c>
    </row>
    <row r="88">
      <c r="A88">
        <f>Data!A85</f>
        <v/>
      </c>
      <c r="B88">
        <f>Data!J85</f>
        <v/>
      </c>
      <c r="C88" s="15">
        <f>Data!G85</f>
        <v/>
      </c>
      <c r="D88" s="15">
        <f>MultiReg!$K$29+MultiReg!$L$29*Data!C85+MultiReg!$M$29*Data!D85+MultiReg!$N$29*Data!E85</f>
        <v/>
      </c>
      <c r="E88" s="15">
        <f>D88-C88</f>
        <v/>
      </c>
      <c r="F88" s="15">
        <f>E88^2</f>
        <v/>
      </c>
    </row>
    <row r="89">
      <c r="A89">
        <f>Data!A86</f>
        <v/>
      </c>
      <c r="B89">
        <f>Data!J86</f>
        <v/>
      </c>
      <c r="C89" s="15">
        <f>Data!G86</f>
        <v/>
      </c>
      <c r="D89" s="15">
        <f>MultiReg!$K$29+MultiReg!$L$29*Data!C86+MultiReg!$M$29*Data!D86+MultiReg!$N$29*Data!E86</f>
        <v/>
      </c>
      <c r="E89" s="15">
        <f>D89-C89</f>
        <v/>
      </c>
      <c r="F89" s="15">
        <f>E89^2</f>
        <v/>
      </c>
    </row>
    <row r="90">
      <c r="A90">
        <f>Data!A87</f>
        <v/>
      </c>
      <c r="B90">
        <f>Data!J87</f>
        <v/>
      </c>
      <c r="C90" s="15">
        <f>Data!G87</f>
        <v/>
      </c>
      <c r="D90" s="15">
        <f>MultiReg!$K$29+MultiReg!$L$29*Data!C87+MultiReg!$M$29*Data!D87+MultiReg!$N$29*Data!E87</f>
        <v/>
      </c>
      <c r="E90" s="15">
        <f>D90-C90</f>
        <v/>
      </c>
      <c r="F90" s="15">
        <f>E90^2</f>
        <v/>
      </c>
    </row>
    <row r="91">
      <c r="A91">
        <f>Data!A88</f>
        <v/>
      </c>
      <c r="B91">
        <f>Data!J88</f>
        <v/>
      </c>
      <c r="C91" s="15">
        <f>Data!G88</f>
        <v/>
      </c>
      <c r="D91" s="15">
        <f>MultiReg!$K$29+MultiReg!$L$29*Data!C88+MultiReg!$M$29*Data!D88+MultiReg!$N$29*Data!E88</f>
        <v/>
      </c>
      <c r="E91" s="15">
        <f>D91-C91</f>
        <v/>
      </c>
      <c r="F91" s="15">
        <f>E91^2</f>
        <v/>
      </c>
    </row>
    <row r="92">
      <c r="A92">
        <f>Data!A89</f>
        <v/>
      </c>
      <c r="B92">
        <f>Data!J89</f>
        <v/>
      </c>
      <c r="C92" s="15">
        <f>Data!G89</f>
        <v/>
      </c>
      <c r="D92" s="15">
        <f>MultiReg!$K$29+MultiReg!$L$29*Data!C89+MultiReg!$M$29*Data!D89+MultiReg!$N$29*Data!E89</f>
        <v/>
      </c>
      <c r="E92" s="15">
        <f>D92-C92</f>
        <v/>
      </c>
      <c r="F92" s="15">
        <f>E92^2</f>
        <v/>
      </c>
    </row>
    <row r="93">
      <c r="A93">
        <f>Data!A90</f>
        <v/>
      </c>
      <c r="B93">
        <f>Data!J90</f>
        <v/>
      </c>
      <c r="C93" s="15">
        <f>Data!G90</f>
        <v/>
      </c>
      <c r="D93" s="15">
        <f>MultiReg!$K$29+MultiReg!$L$29*Data!C90+MultiReg!$M$29*Data!D90+MultiReg!$N$29*Data!E90</f>
        <v/>
      </c>
      <c r="E93" s="15">
        <f>D93-C93</f>
        <v/>
      </c>
      <c r="F93" s="15">
        <f>E93^2</f>
        <v/>
      </c>
    </row>
    <row r="94">
      <c r="A94">
        <f>Data!A91</f>
        <v/>
      </c>
      <c r="B94">
        <f>Data!J91</f>
        <v/>
      </c>
      <c r="C94" s="15">
        <f>Data!G91</f>
        <v/>
      </c>
      <c r="D94" s="15">
        <f>MultiReg!$K$29+MultiReg!$L$29*Data!C91+MultiReg!$M$29*Data!D91+MultiReg!$N$29*Data!E91</f>
        <v/>
      </c>
      <c r="E94" s="15">
        <f>D94-C94</f>
        <v/>
      </c>
      <c r="F94" s="15">
        <f>E94^2</f>
        <v/>
      </c>
    </row>
    <row r="95">
      <c r="A95">
        <f>Data!A92</f>
        <v/>
      </c>
      <c r="B95">
        <f>Data!J92</f>
        <v/>
      </c>
      <c r="C95" s="15">
        <f>Data!G92</f>
        <v/>
      </c>
      <c r="D95" s="15">
        <f>MultiReg!$K$29+MultiReg!$L$29*Data!C92+MultiReg!$M$29*Data!D92+MultiReg!$N$29*Data!E92</f>
        <v/>
      </c>
      <c r="E95" s="15">
        <f>D95-C95</f>
        <v/>
      </c>
      <c r="F95" s="15">
        <f>E95^2</f>
        <v/>
      </c>
    </row>
    <row r="96">
      <c r="A96">
        <f>Data!A93</f>
        <v/>
      </c>
      <c r="B96">
        <f>Data!J93</f>
        <v/>
      </c>
      <c r="C96" s="15">
        <f>Data!G93</f>
        <v/>
      </c>
      <c r="D96" s="15">
        <f>MultiReg!$K$29+MultiReg!$L$29*Data!C93+MultiReg!$M$29*Data!D93+MultiReg!$N$29*Data!E93</f>
        <v/>
      </c>
      <c r="E96" s="15">
        <f>D96-C96</f>
        <v/>
      </c>
      <c r="F96" s="15">
        <f>E96^2</f>
        <v/>
      </c>
    </row>
    <row r="97">
      <c r="A97">
        <f>Data!A94</f>
        <v/>
      </c>
      <c r="B97">
        <f>Data!J94</f>
        <v/>
      </c>
      <c r="C97" s="15">
        <f>Data!G94</f>
        <v/>
      </c>
      <c r="D97" s="15">
        <f>MultiReg!$K$29+MultiReg!$L$29*Data!C94+MultiReg!$M$29*Data!D94+MultiReg!$N$29*Data!E94</f>
        <v/>
      </c>
      <c r="E97" s="15">
        <f>D97-C97</f>
        <v/>
      </c>
      <c r="F97" s="15">
        <f>E97^2</f>
        <v/>
      </c>
    </row>
    <row r="98">
      <c r="A98">
        <f>Data!A95</f>
        <v/>
      </c>
      <c r="B98">
        <f>Data!J95</f>
        <v/>
      </c>
      <c r="C98" s="15">
        <f>Data!G95</f>
        <v/>
      </c>
      <c r="D98" s="15">
        <f>MultiReg!$K$29+MultiReg!$L$29*Data!C95+MultiReg!$M$29*Data!D95+MultiReg!$N$29*Data!E95</f>
        <v/>
      </c>
      <c r="E98" s="15">
        <f>D98-C98</f>
        <v/>
      </c>
      <c r="F98" s="15">
        <f>E98^2</f>
        <v/>
      </c>
    </row>
    <row r="99">
      <c r="A99">
        <f>Data!A96</f>
        <v/>
      </c>
      <c r="B99">
        <f>Data!J96</f>
        <v/>
      </c>
      <c r="C99" s="15">
        <f>Data!G96</f>
        <v/>
      </c>
      <c r="D99" s="15">
        <f>MultiReg!$K$29+MultiReg!$L$29*Data!C96+MultiReg!$M$29*Data!D96+MultiReg!$N$29*Data!E96</f>
        <v/>
      </c>
      <c r="E99" s="15">
        <f>D99-C99</f>
        <v/>
      </c>
      <c r="F99" s="15">
        <f>E99^2</f>
        <v/>
      </c>
    </row>
    <row r="100">
      <c r="A100">
        <f>Data!A97</f>
        <v/>
      </c>
      <c r="B100">
        <f>Data!J97</f>
        <v/>
      </c>
      <c r="C100" s="15">
        <f>Data!G97</f>
        <v/>
      </c>
      <c r="D100" s="15">
        <f>MultiReg!$K$29+MultiReg!$L$29*Data!C97+MultiReg!$M$29*Data!D97+MultiReg!$N$29*Data!E97</f>
        <v/>
      </c>
      <c r="E100" s="15">
        <f>D100-C100</f>
        <v/>
      </c>
      <c r="F100" s="15">
        <f>E100^2</f>
        <v/>
      </c>
    </row>
    <row r="101">
      <c r="A101">
        <f>Data!A98</f>
        <v/>
      </c>
      <c r="B101">
        <f>Data!J98</f>
        <v/>
      </c>
      <c r="C101" s="15">
        <f>Data!G98</f>
        <v/>
      </c>
      <c r="D101" s="15">
        <f>MultiReg!$K$29+MultiReg!$L$29*Data!C98+MultiReg!$M$29*Data!D98+MultiReg!$N$29*Data!E98</f>
        <v/>
      </c>
      <c r="E101" s="15">
        <f>D101-C101</f>
        <v/>
      </c>
      <c r="F101" s="15">
        <f>E101^2</f>
        <v/>
      </c>
    </row>
    <row r="102">
      <c r="A102">
        <f>Data!A99</f>
        <v/>
      </c>
      <c r="B102">
        <f>Data!J99</f>
        <v/>
      </c>
      <c r="C102" s="15">
        <f>Data!G99</f>
        <v/>
      </c>
      <c r="D102" s="15">
        <f>MultiReg!$K$29+MultiReg!$L$29*Data!C99+MultiReg!$M$29*Data!D99+MultiReg!$N$29*Data!E99</f>
        <v/>
      </c>
      <c r="E102" s="15">
        <f>D102-C102</f>
        <v/>
      </c>
      <c r="F102" s="15">
        <f>E102^2</f>
        <v/>
      </c>
    </row>
    <row r="103">
      <c r="A103">
        <f>Data!A100</f>
        <v/>
      </c>
      <c r="B103">
        <f>Data!J100</f>
        <v/>
      </c>
      <c r="C103" s="15">
        <f>Data!G100</f>
        <v/>
      </c>
      <c r="D103" s="15">
        <f>MultiReg!$K$29+MultiReg!$L$29*Data!C100+MultiReg!$M$29*Data!D100+MultiReg!$N$29*Data!E100</f>
        <v/>
      </c>
      <c r="E103" s="15">
        <f>D103-C103</f>
        <v/>
      </c>
      <c r="F103" s="15">
        <f>E103^2</f>
        <v/>
      </c>
    </row>
    <row r="104">
      <c r="A104">
        <f>Data!A101</f>
        <v/>
      </c>
      <c r="B104">
        <f>Data!J101</f>
        <v/>
      </c>
      <c r="C104" s="15">
        <f>Data!G101</f>
        <v/>
      </c>
      <c r="D104" s="15">
        <f>MultiReg!$K$29+MultiReg!$L$29*Data!C101+MultiReg!$M$29*Data!D101+MultiReg!$N$29*Data!E101</f>
        <v/>
      </c>
      <c r="E104" s="15">
        <f>D104-C104</f>
        <v/>
      </c>
      <c r="F104" s="15">
        <f>E104^2</f>
        <v/>
      </c>
    </row>
    <row r="105">
      <c r="A105">
        <f>Data!A102</f>
        <v/>
      </c>
      <c r="B105">
        <f>Data!J102</f>
        <v/>
      </c>
      <c r="C105" s="15">
        <f>Data!G102</f>
        <v/>
      </c>
      <c r="D105" s="15">
        <f>MultiReg!$K$29+MultiReg!$L$29*Data!C102+MultiReg!$M$29*Data!D102+MultiReg!$N$29*Data!E102</f>
        <v/>
      </c>
      <c r="E105" s="15">
        <f>D105-C105</f>
        <v/>
      </c>
      <c r="F105" s="15">
        <f>E105^2</f>
        <v/>
      </c>
    </row>
    <row r="106">
      <c r="A106">
        <f>Data!A103</f>
        <v/>
      </c>
      <c r="B106">
        <f>Data!J103</f>
        <v/>
      </c>
      <c r="C106" s="15">
        <f>Data!G103</f>
        <v/>
      </c>
      <c r="D106" s="15">
        <f>MultiReg!$K$29+MultiReg!$L$29*Data!C103+MultiReg!$M$29*Data!D103+MultiReg!$N$29*Data!E103</f>
        <v/>
      </c>
      <c r="E106" s="15">
        <f>D106-C106</f>
        <v/>
      </c>
      <c r="F106" s="15">
        <f>E106^2</f>
        <v/>
      </c>
    </row>
    <row r="107">
      <c r="A107">
        <f>Data!A104</f>
        <v/>
      </c>
      <c r="B107">
        <f>Data!J104</f>
        <v/>
      </c>
      <c r="C107" s="15">
        <f>Data!G104</f>
        <v/>
      </c>
      <c r="D107" s="15">
        <f>MultiReg!$K$29+MultiReg!$L$29*Data!C104+MultiReg!$M$29*Data!D104+MultiReg!$N$29*Data!E104</f>
        <v/>
      </c>
      <c r="E107" s="15">
        <f>D107-C107</f>
        <v/>
      </c>
      <c r="F107" s="15">
        <f>E107^2</f>
        <v/>
      </c>
    </row>
    <row r="108">
      <c r="A108">
        <f>Data!A105</f>
        <v/>
      </c>
      <c r="B108">
        <f>Data!J105</f>
        <v/>
      </c>
      <c r="C108" s="15">
        <f>Data!G105</f>
        <v/>
      </c>
      <c r="D108" s="15">
        <f>MultiReg!$K$29+MultiReg!$L$29*Data!C105+MultiReg!$M$29*Data!D105+MultiReg!$N$29*Data!E105</f>
        <v/>
      </c>
      <c r="E108" s="15">
        <f>D108-C108</f>
        <v/>
      </c>
      <c r="F108" s="15">
        <f>E108^2</f>
        <v/>
      </c>
    </row>
    <row r="109">
      <c r="A109">
        <f>Data!A106</f>
        <v/>
      </c>
      <c r="B109">
        <f>Data!J106</f>
        <v/>
      </c>
      <c r="C109" s="15">
        <f>Data!G106</f>
        <v/>
      </c>
      <c r="D109" s="15">
        <f>MultiReg!$K$29+MultiReg!$L$29*Data!C106+MultiReg!$M$29*Data!D106+MultiReg!$N$29*Data!E106</f>
        <v/>
      </c>
      <c r="E109" s="15">
        <f>D109-C109</f>
        <v/>
      </c>
      <c r="F109" s="15">
        <f>E109^2</f>
        <v/>
      </c>
    </row>
    <row r="110">
      <c r="A110">
        <f>Data!A107</f>
        <v/>
      </c>
      <c r="B110">
        <f>Data!J107</f>
        <v/>
      </c>
      <c r="C110" s="15">
        <f>Data!G107</f>
        <v/>
      </c>
      <c r="D110" s="15">
        <f>MultiReg!$K$29+MultiReg!$L$29*Data!C107+MultiReg!$M$29*Data!D107+MultiReg!$N$29*Data!E107</f>
        <v/>
      </c>
      <c r="E110" s="15">
        <f>D110-C110</f>
        <v/>
      </c>
      <c r="F110" s="15">
        <f>E110^2</f>
        <v/>
      </c>
    </row>
    <row r="111">
      <c r="A111">
        <f>Data!A108</f>
        <v/>
      </c>
      <c r="B111">
        <f>Data!J108</f>
        <v/>
      </c>
      <c r="C111" s="15">
        <f>Data!G108</f>
        <v/>
      </c>
      <c r="D111" s="15">
        <f>MultiReg!$K$29+MultiReg!$L$29*Data!C108+MultiReg!$M$29*Data!D108+MultiReg!$N$29*Data!E108</f>
        <v/>
      </c>
      <c r="E111" s="15">
        <f>D111-C111</f>
        <v/>
      </c>
      <c r="F111" s="15">
        <f>E111^2</f>
        <v/>
      </c>
    </row>
    <row r="112">
      <c r="A112">
        <f>Data!A109</f>
        <v/>
      </c>
      <c r="B112">
        <f>Data!J109</f>
        <v/>
      </c>
      <c r="C112" s="15">
        <f>Data!G109</f>
        <v/>
      </c>
      <c r="D112" s="15">
        <f>MultiReg!$K$29+MultiReg!$L$29*Data!C109+MultiReg!$M$29*Data!D109+MultiReg!$N$29*Data!E109</f>
        <v/>
      </c>
      <c r="E112" s="15">
        <f>D112-C112</f>
        <v/>
      </c>
      <c r="F112" s="15">
        <f>E112^2</f>
        <v/>
      </c>
    </row>
    <row r="113">
      <c r="A113">
        <f>Data!A110</f>
        <v/>
      </c>
      <c r="B113">
        <f>Data!J110</f>
        <v/>
      </c>
      <c r="C113" s="15">
        <f>Data!G110</f>
        <v/>
      </c>
      <c r="D113" s="15">
        <f>MultiReg!$K$29+MultiReg!$L$29*Data!C110+MultiReg!$M$29*Data!D110+MultiReg!$N$29*Data!E110</f>
        <v/>
      </c>
      <c r="E113" s="15">
        <f>D113-C113</f>
        <v/>
      </c>
      <c r="F113" s="15">
        <f>E113^2</f>
        <v/>
      </c>
    </row>
    <row r="114">
      <c r="A114">
        <f>Data!A111</f>
        <v/>
      </c>
      <c r="B114">
        <f>Data!J111</f>
        <v/>
      </c>
      <c r="C114" s="15">
        <f>Data!G111</f>
        <v/>
      </c>
      <c r="D114" s="15">
        <f>MultiReg!$K$29+MultiReg!$L$29*Data!C111+MultiReg!$M$29*Data!D111+MultiReg!$N$29*Data!E111</f>
        <v/>
      </c>
      <c r="E114" s="15">
        <f>D114-C114</f>
        <v/>
      </c>
      <c r="F114" s="15">
        <f>E114^2</f>
        <v/>
      </c>
    </row>
    <row r="115">
      <c r="A115">
        <f>Data!A112</f>
        <v/>
      </c>
      <c r="B115">
        <f>Data!J112</f>
        <v/>
      </c>
      <c r="C115" s="15">
        <f>Data!G112</f>
        <v/>
      </c>
      <c r="D115" s="15">
        <f>MultiReg!$K$29+MultiReg!$L$29*Data!C112+MultiReg!$M$29*Data!D112+MultiReg!$N$29*Data!E112</f>
        <v/>
      </c>
      <c r="E115" s="15">
        <f>D115-C115</f>
        <v/>
      </c>
      <c r="F115" s="15">
        <f>E115^2</f>
        <v/>
      </c>
    </row>
    <row r="116">
      <c r="A116">
        <f>Data!A113</f>
        <v/>
      </c>
      <c r="B116">
        <f>Data!J113</f>
        <v/>
      </c>
      <c r="C116" s="15">
        <f>Data!G113</f>
        <v/>
      </c>
      <c r="D116" s="15">
        <f>MultiReg!$K$29+MultiReg!$L$29*Data!C113+MultiReg!$M$29*Data!D113+MultiReg!$N$29*Data!E113</f>
        <v/>
      </c>
      <c r="E116" s="15">
        <f>D116-C116</f>
        <v/>
      </c>
      <c r="F116" s="15">
        <f>E116^2</f>
        <v/>
      </c>
    </row>
    <row r="117">
      <c r="A117">
        <f>Data!A114</f>
        <v/>
      </c>
      <c r="B117">
        <f>Data!J114</f>
        <v/>
      </c>
      <c r="C117" s="15">
        <f>Data!G114</f>
        <v/>
      </c>
      <c r="D117" s="15">
        <f>MultiReg!$K$29+MultiReg!$L$29*Data!C114+MultiReg!$M$29*Data!D114+MultiReg!$N$29*Data!E114</f>
        <v/>
      </c>
      <c r="E117" s="15">
        <f>D117-C117</f>
        <v/>
      </c>
      <c r="F117" s="15">
        <f>E117^2</f>
        <v/>
      </c>
    </row>
    <row r="118">
      <c r="A118">
        <f>Data!A115</f>
        <v/>
      </c>
      <c r="B118">
        <f>Data!J115</f>
        <v/>
      </c>
      <c r="C118" s="15">
        <f>Data!G115</f>
        <v/>
      </c>
      <c r="D118" s="15">
        <f>MultiReg!$K$29+MultiReg!$L$29*Data!C115+MultiReg!$M$29*Data!D115+MultiReg!$N$29*Data!E115</f>
        <v/>
      </c>
      <c r="E118" s="15">
        <f>D118-C118</f>
        <v/>
      </c>
      <c r="F118" s="15">
        <f>E118^2</f>
        <v/>
      </c>
    </row>
    <row r="119">
      <c r="A119">
        <f>Data!A116</f>
        <v/>
      </c>
      <c r="B119">
        <f>Data!J116</f>
        <v/>
      </c>
      <c r="C119" s="15">
        <f>Data!G116</f>
        <v/>
      </c>
      <c r="D119" s="15">
        <f>MultiReg!$K$29+MultiReg!$L$29*Data!C116+MultiReg!$M$29*Data!D116+MultiReg!$N$29*Data!E116</f>
        <v/>
      </c>
      <c r="E119" s="15">
        <f>D119-C119</f>
        <v/>
      </c>
      <c r="F119" s="15">
        <f>E119^2</f>
        <v/>
      </c>
    </row>
    <row r="120">
      <c r="A120">
        <f>Data!A117</f>
        <v/>
      </c>
      <c r="B120">
        <f>Data!J117</f>
        <v/>
      </c>
      <c r="C120" s="15">
        <f>Data!G117</f>
        <v/>
      </c>
      <c r="D120" s="15">
        <f>MultiReg!$K$29+MultiReg!$L$29*Data!C117+MultiReg!$M$29*Data!D117+MultiReg!$N$29*Data!E117</f>
        <v/>
      </c>
      <c r="E120" s="15">
        <f>D120-C120</f>
        <v/>
      </c>
      <c r="F120" s="15">
        <f>E120^2</f>
        <v/>
      </c>
    </row>
    <row r="121">
      <c r="A121">
        <f>Data!A118</f>
        <v/>
      </c>
      <c r="B121">
        <f>Data!J118</f>
        <v/>
      </c>
      <c r="C121" s="15">
        <f>Data!G118</f>
        <v/>
      </c>
      <c r="D121" s="15">
        <f>MultiReg!$K$29+MultiReg!$L$29*Data!C118+MultiReg!$M$29*Data!D118+MultiReg!$N$29*Data!E118</f>
        <v/>
      </c>
      <c r="E121" s="15">
        <f>D121-C121</f>
        <v/>
      </c>
      <c r="F121" s="15">
        <f>E121^2</f>
        <v/>
      </c>
    </row>
    <row r="122">
      <c r="A122">
        <f>Data!A119</f>
        <v/>
      </c>
      <c r="B122">
        <f>Data!J119</f>
        <v/>
      </c>
      <c r="C122" s="15">
        <f>Data!G119</f>
        <v/>
      </c>
      <c r="D122" s="15">
        <f>MultiReg!$K$29+MultiReg!$L$29*Data!C119+MultiReg!$M$29*Data!D119+MultiReg!$N$29*Data!E119</f>
        <v/>
      </c>
      <c r="E122" s="15">
        <f>D122-C122</f>
        <v/>
      </c>
      <c r="F122" s="15">
        <f>E122^2</f>
        <v/>
      </c>
    </row>
    <row r="123">
      <c r="A123">
        <f>Data!A120</f>
        <v/>
      </c>
      <c r="B123">
        <f>Data!J120</f>
        <v/>
      </c>
      <c r="C123" s="15">
        <f>Data!G120</f>
        <v/>
      </c>
      <c r="D123" s="15">
        <f>MultiReg!$K$29+MultiReg!$L$29*Data!C120+MultiReg!$M$29*Data!D120+MultiReg!$N$29*Data!E120</f>
        <v/>
      </c>
      <c r="E123" s="15">
        <f>D123-C123</f>
        <v/>
      </c>
      <c r="F123" s="15">
        <f>E123^2</f>
        <v/>
      </c>
    </row>
    <row r="124">
      <c r="A124">
        <f>Data!A121</f>
        <v/>
      </c>
      <c r="B124">
        <f>Data!J121</f>
        <v/>
      </c>
      <c r="C124" s="15">
        <f>Data!G121</f>
        <v/>
      </c>
      <c r="D124" s="15">
        <f>MultiReg!$K$29+MultiReg!$L$29*Data!C121+MultiReg!$M$29*Data!D121+MultiReg!$N$29*Data!E121</f>
        <v/>
      </c>
      <c r="E124" s="15">
        <f>D124-C124</f>
        <v/>
      </c>
      <c r="F124" s="15">
        <f>E124^2</f>
        <v/>
      </c>
    </row>
    <row r="125">
      <c r="A125">
        <f>Data!A122</f>
        <v/>
      </c>
      <c r="B125">
        <f>Data!J122</f>
        <v/>
      </c>
      <c r="C125" s="15">
        <f>Data!G122</f>
        <v/>
      </c>
      <c r="D125" s="15">
        <f>MultiReg!$K$29+MultiReg!$L$29*Data!C122+MultiReg!$M$29*Data!D122+MultiReg!$N$29*Data!E122</f>
        <v/>
      </c>
      <c r="E125" s="15">
        <f>D125-C125</f>
        <v/>
      </c>
      <c r="F125" s="15">
        <f>E125^2</f>
        <v/>
      </c>
    </row>
    <row r="126">
      <c r="A126">
        <f>Data!A123</f>
        <v/>
      </c>
      <c r="B126">
        <f>Data!J123</f>
        <v/>
      </c>
      <c r="C126" s="15">
        <f>Data!G123</f>
        <v/>
      </c>
      <c r="D126" s="15">
        <f>MultiReg!$K$29+MultiReg!$L$29*Data!C123+MultiReg!$M$29*Data!D123+MultiReg!$N$29*Data!E123</f>
        <v/>
      </c>
      <c r="E126" s="15">
        <f>D126-C126</f>
        <v/>
      </c>
      <c r="F126" s="15">
        <f>E126^2</f>
        <v/>
      </c>
    </row>
    <row r="127">
      <c r="A127">
        <f>Data!A124</f>
        <v/>
      </c>
      <c r="B127">
        <f>Data!J124</f>
        <v/>
      </c>
      <c r="C127" s="15">
        <f>Data!G124</f>
        <v/>
      </c>
      <c r="D127" s="15">
        <f>MultiReg!$K$29+MultiReg!$L$29*Data!C124+MultiReg!$M$29*Data!D124+MultiReg!$N$29*Data!E124</f>
        <v/>
      </c>
      <c r="E127" s="15">
        <f>D127-C127</f>
        <v/>
      </c>
      <c r="F127" s="15">
        <f>E127^2</f>
        <v/>
      </c>
    </row>
    <row r="128">
      <c r="A128">
        <f>Data!A125</f>
        <v/>
      </c>
      <c r="B128">
        <f>Data!J125</f>
        <v/>
      </c>
      <c r="C128" s="15">
        <f>Data!G125</f>
        <v/>
      </c>
      <c r="D128" s="15">
        <f>MultiReg!$K$29+MultiReg!$L$29*Data!C125+MultiReg!$M$29*Data!D125+MultiReg!$N$29*Data!E125</f>
        <v/>
      </c>
      <c r="E128" s="15">
        <f>D128-C128</f>
        <v/>
      </c>
      <c r="F128" s="15">
        <f>E128^2</f>
        <v/>
      </c>
    </row>
    <row r="129">
      <c r="A129">
        <f>Data!A126</f>
        <v/>
      </c>
      <c r="B129">
        <f>Data!J126</f>
        <v/>
      </c>
      <c r="C129" s="15">
        <f>Data!G126</f>
        <v/>
      </c>
      <c r="D129" s="15">
        <f>MultiReg!$K$29+MultiReg!$L$29*Data!C126+MultiReg!$M$29*Data!D126+MultiReg!$N$29*Data!E126</f>
        <v/>
      </c>
      <c r="E129" s="15">
        <f>D129-C129</f>
        <v/>
      </c>
      <c r="F129" s="15">
        <f>E129^2</f>
        <v/>
      </c>
    </row>
    <row r="130">
      <c r="A130">
        <f>Data!A127</f>
        <v/>
      </c>
      <c r="B130">
        <f>Data!J127</f>
        <v/>
      </c>
      <c r="C130" s="15">
        <f>Data!G127</f>
        <v/>
      </c>
      <c r="D130" s="15">
        <f>MultiReg!$K$29+MultiReg!$L$29*Data!C127+MultiReg!$M$29*Data!D127+MultiReg!$N$29*Data!E127</f>
        <v/>
      </c>
      <c r="E130" s="15">
        <f>D130-C130</f>
        <v/>
      </c>
      <c r="F130" s="15">
        <f>E130^2</f>
        <v/>
      </c>
    </row>
    <row r="131">
      <c r="A131">
        <f>Data!A128</f>
        <v/>
      </c>
      <c r="B131">
        <f>Data!J128</f>
        <v/>
      </c>
      <c r="C131" s="15">
        <f>Data!G128</f>
        <v/>
      </c>
      <c r="D131" s="15">
        <f>MultiReg!$K$29+MultiReg!$L$29*Data!C128+MultiReg!$M$29*Data!D128+MultiReg!$N$29*Data!E128</f>
        <v/>
      </c>
      <c r="E131" s="15">
        <f>D131-C131</f>
        <v/>
      </c>
      <c r="F131" s="15">
        <f>E131^2</f>
        <v/>
      </c>
    </row>
    <row r="132">
      <c r="A132">
        <f>Data!A129</f>
        <v/>
      </c>
      <c r="B132">
        <f>Data!J129</f>
        <v/>
      </c>
      <c r="C132" s="15">
        <f>Data!G129</f>
        <v/>
      </c>
      <c r="D132" s="15">
        <f>MultiReg!$K$29+MultiReg!$L$29*Data!C129+MultiReg!$M$29*Data!D129+MultiReg!$N$29*Data!E129</f>
        <v/>
      </c>
      <c r="E132" s="15">
        <f>D132-C132</f>
        <v/>
      </c>
      <c r="F132" s="15">
        <f>E132^2</f>
        <v/>
      </c>
    </row>
    <row r="133">
      <c r="A133">
        <f>Data!A130</f>
        <v/>
      </c>
      <c r="B133">
        <f>Data!J130</f>
        <v/>
      </c>
      <c r="C133" s="15">
        <f>Data!G130</f>
        <v/>
      </c>
      <c r="D133" s="15">
        <f>MultiReg!$K$29+MultiReg!$L$29*Data!C130+MultiReg!$M$29*Data!D130+MultiReg!$N$29*Data!E130</f>
        <v/>
      </c>
      <c r="E133" s="15">
        <f>D133-C133</f>
        <v/>
      </c>
      <c r="F133" s="15">
        <f>E133^2</f>
        <v/>
      </c>
    </row>
    <row r="134">
      <c r="A134">
        <f>Data!A131</f>
        <v/>
      </c>
      <c r="B134">
        <f>Data!J131</f>
        <v/>
      </c>
      <c r="C134" s="15">
        <f>Data!G131</f>
        <v/>
      </c>
      <c r="D134" s="15">
        <f>MultiReg!$K$29+MultiReg!$L$29*Data!C131+MultiReg!$M$29*Data!D131+MultiReg!$N$29*Data!E131</f>
        <v/>
      </c>
      <c r="E134" s="15">
        <f>D134-C134</f>
        <v/>
      </c>
      <c r="F134" s="15">
        <f>E134^2</f>
        <v/>
      </c>
    </row>
    <row r="135">
      <c r="A135">
        <f>Data!A132</f>
        <v/>
      </c>
      <c r="B135">
        <f>Data!J132</f>
        <v/>
      </c>
      <c r="C135" s="15">
        <f>Data!G132</f>
        <v/>
      </c>
      <c r="D135" s="15">
        <f>MultiReg!$K$29+MultiReg!$L$29*Data!C132+MultiReg!$M$29*Data!D132+MultiReg!$N$29*Data!E132</f>
        <v/>
      </c>
      <c r="E135" s="15">
        <f>D135-C135</f>
        <v/>
      </c>
      <c r="F135" s="15">
        <f>E135^2</f>
        <v/>
      </c>
    </row>
    <row r="136">
      <c r="A136">
        <f>Data!A133</f>
        <v/>
      </c>
      <c r="B136">
        <f>Data!J133</f>
        <v/>
      </c>
      <c r="C136" s="15">
        <f>Data!G133</f>
        <v/>
      </c>
      <c r="D136" s="15">
        <f>MultiReg!$K$29+MultiReg!$L$29*Data!C133+MultiReg!$M$29*Data!D133+MultiReg!$N$29*Data!E133</f>
        <v/>
      </c>
      <c r="E136" s="15">
        <f>D136-C136</f>
        <v/>
      </c>
      <c r="F136" s="15">
        <f>E136^2</f>
        <v/>
      </c>
    </row>
    <row r="137">
      <c r="A137">
        <f>Data!A134</f>
        <v/>
      </c>
      <c r="B137">
        <f>Data!J134</f>
        <v/>
      </c>
      <c r="C137" s="15">
        <f>Data!G134</f>
        <v/>
      </c>
      <c r="D137" s="15">
        <f>MultiReg!$K$29+MultiReg!$L$29*Data!C134+MultiReg!$M$29*Data!D134+MultiReg!$N$29*Data!E134</f>
        <v/>
      </c>
      <c r="E137" s="15">
        <f>D137-C137</f>
        <v/>
      </c>
      <c r="F137" s="15">
        <f>E137^2</f>
        <v/>
      </c>
    </row>
    <row r="138">
      <c r="A138">
        <f>Data!A135</f>
        <v/>
      </c>
      <c r="B138">
        <f>Data!J135</f>
        <v/>
      </c>
      <c r="C138" s="15">
        <f>Data!G135</f>
        <v/>
      </c>
      <c r="D138" s="15">
        <f>MultiReg!$K$29+MultiReg!$L$29*Data!C135+MultiReg!$M$29*Data!D135+MultiReg!$N$29*Data!E135</f>
        <v/>
      </c>
      <c r="E138" s="15">
        <f>D138-C138</f>
        <v/>
      </c>
      <c r="F138" s="15">
        <f>E138^2</f>
        <v/>
      </c>
    </row>
    <row r="139">
      <c r="A139">
        <f>Data!A136</f>
        <v/>
      </c>
      <c r="B139">
        <f>Data!J136</f>
        <v/>
      </c>
      <c r="C139" s="15">
        <f>Data!G136</f>
        <v/>
      </c>
      <c r="D139" s="15">
        <f>MultiReg!$K$29+MultiReg!$L$29*Data!C136+MultiReg!$M$29*Data!D136+MultiReg!$N$29*Data!E136</f>
        <v/>
      </c>
      <c r="E139" s="15">
        <f>D139-C139</f>
        <v/>
      </c>
      <c r="F139" s="15">
        <f>E139^2</f>
        <v/>
      </c>
    </row>
    <row r="140">
      <c r="A140">
        <f>Data!A137</f>
        <v/>
      </c>
      <c r="B140">
        <f>Data!J137</f>
        <v/>
      </c>
      <c r="C140" s="15">
        <f>Data!G137</f>
        <v/>
      </c>
      <c r="D140" s="15">
        <f>MultiReg!$K$29+MultiReg!$L$29*Data!C137+MultiReg!$M$29*Data!D137+MultiReg!$N$29*Data!E137</f>
        <v/>
      </c>
      <c r="E140" s="15">
        <f>D140-C140</f>
        <v/>
      </c>
      <c r="F140" s="15">
        <f>E140^2</f>
        <v/>
      </c>
    </row>
    <row r="141">
      <c r="A141">
        <f>Data!A138</f>
        <v/>
      </c>
      <c r="B141">
        <f>Data!J138</f>
        <v/>
      </c>
      <c r="C141" s="15">
        <f>Data!G138</f>
        <v/>
      </c>
      <c r="D141" s="15">
        <f>MultiReg!$K$29+MultiReg!$L$29*Data!C138+MultiReg!$M$29*Data!D138+MultiReg!$N$29*Data!E138</f>
        <v/>
      </c>
      <c r="E141" s="15">
        <f>D141-C141</f>
        <v/>
      </c>
      <c r="F141" s="15">
        <f>E141^2</f>
        <v/>
      </c>
    </row>
    <row r="142">
      <c r="A142">
        <f>Data!A139</f>
        <v/>
      </c>
      <c r="B142">
        <f>Data!J139</f>
        <v/>
      </c>
      <c r="C142" s="15">
        <f>Data!G139</f>
        <v/>
      </c>
      <c r="D142" s="15">
        <f>MultiReg!$K$29+MultiReg!$L$29*Data!C139+MultiReg!$M$29*Data!D139+MultiReg!$N$29*Data!E139</f>
        <v/>
      </c>
      <c r="E142" s="15">
        <f>D142-C142</f>
        <v/>
      </c>
      <c r="F142" s="15">
        <f>E142^2</f>
        <v/>
      </c>
    </row>
    <row r="143">
      <c r="A143">
        <f>Data!A140</f>
        <v/>
      </c>
      <c r="B143">
        <f>Data!J140</f>
        <v/>
      </c>
      <c r="C143" s="15">
        <f>Data!G140</f>
        <v/>
      </c>
      <c r="D143" s="15">
        <f>MultiReg!$K$29+MultiReg!$L$29*Data!C140+MultiReg!$M$29*Data!D140+MultiReg!$N$29*Data!E140</f>
        <v/>
      </c>
      <c r="E143" s="15">
        <f>D143-C143</f>
        <v/>
      </c>
      <c r="F143" s="15">
        <f>E143^2</f>
        <v/>
      </c>
    </row>
    <row r="144">
      <c r="A144">
        <f>Data!A141</f>
        <v/>
      </c>
      <c r="B144">
        <f>Data!J141</f>
        <v/>
      </c>
      <c r="C144" s="15">
        <f>Data!G141</f>
        <v/>
      </c>
      <c r="D144" s="15">
        <f>MultiReg!$K$29+MultiReg!$L$29*Data!C141+MultiReg!$M$29*Data!D141+MultiReg!$N$29*Data!E141</f>
        <v/>
      </c>
      <c r="E144" s="15">
        <f>D144-C144</f>
        <v/>
      </c>
      <c r="F144" s="15">
        <f>E144^2</f>
        <v/>
      </c>
    </row>
    <row r="145">
      <c r="A145">
        <f>Data!A142</f>
        <v/>
      </c>
      <c r="B145">
        <f>Data!J142</f>
        <v/>
      </c>
      <c r="C145" s="15">
        <f>Data!G142</f>
        <v/>
      </c>
      <c r="D145" s="15">
        <f>MultiReg!$K$29+MultiReg!$L$29*Data!C142+MultiReg!$M$29*Data!D142+MultiReg!$N$29*Data!E142</f>
        <v/>
      </c>
      <c r="E145" s="15">
        <f>D145-C145</f>
        <v/>
      </c>
      <c r="F145" s="15">
        <f>E145^2</f>
        <v/>
      </c>
    </row>
    <row r="146">
      <c r="A146">
        <f>Data!A143</f>
        <v/>
      </c>
      <c r="B146">
        <f>Data!J143</f>
        <v/>
      </c>
      <c r="C146" s="15">
        <f>Data!G143</f>
        <v/>
      </c>
      <c r="D146" s="15">
        <f>MultiReg!$K$29+MultiReg!$L$29*Data!C143+MultiReg!$M$29*Data!D143+MultiReg!$N$29*Data!E143</f>
        <v/>
      </c>
      <c r="E146" s="15">
        <f>D146-C146</f>
        <v/>
      </c>
      <c r="F146" s="15">
        <f>E146^2</f>
        <v/>
      </c>
    </row>
    <row r="147">
      <c r="A147">
        <f>Data!A144</f>
        <v/>
      </c>
      <c r="B147">
        <f>Data!J144</f>
        <v/>
      </c>
      <c r="C147" s="15">
        <f>Data!G144</f>
        <v/>
      </c>
      <c r="D147" s="15">
        <f>MultiReg!$K$29+MultiReg!$L$29*Data!C144+MultiReg!$M$29*Data!D144+MultiReg!$N$29*Data!E144</f>
        <v/>
      </c>
      <c r="E147" s="15">
        <f>D147-C147</f>
        <v/>
      </c>
      <c r="F147" s="15">
        <f>E147^2</f>
        <v/>
      </c>
    </row>
    <row r="148">
      <c r="A148">
        <f>Data!A145</f>
        <v/>
      </c>
      <c r="B148">
        <f>Data!J145</f>
        <v/>
      </c>
      <c r="C148" s="15">
        <f>Data!G145</f>
        <v/>
      </c>
      <c r="D148" s="15">
        <f>MultiReg!$K$29+MultiReg!$L$29*Data!C145+MultiReg!$M$29*Data!D145+MultiReg!$N$29*Data!E145</f>
        <v/>
      </c>
      <c r="E148" s="15">
        <f>D148-C148</f>
        <v/>
      </c>
      <c r="F148" s="15">
        <f>E148^2</f>
        <v/>
      </c>
    </row>
    <row r="149">
      <c r="A149">
        <f>Data!A146</f>
        <v/>
      </c>
      <c r="B149">
        <f>Data!J146</f>
        <v/>
      </c>
      <c r="C149" s="15">
        <f>Data!G146</f>
        <v/>
      </c>
      <c r="D149" s="15">
        <f>MultiReg!$K$29+MultiReg!$L$29*Data!C146+MultiReg!$M$29*Data!D146+MultiReg!$N$29*Data!E146</f>
        <v/>
      </c>
      <c r="E149" s="15">
        <f>D149-C149</f>
        <v/>
      </c>
      <c r="F149" s="15">
        <f>E149^2</f>
        <v/>
      </c>
    </row>
    <row r="150">
      <c r="A150">
        <f>Data!A147</f>
        <v/>
      </c>
      <c r="B150">
        <f>Data!J147</f>
        <v/>
      </c>
      <c r="C150" s="15">
        <f>Data!G147</f>
        <v/>
      </c>
      <c r="D150" s="15">
        <f>MultiReg!$K$29+MultiReg!$L$29*Data!C147+MultiReg!$M$29*Data!D147+MultiReg!$N$29*Data!E147</f>
        <v/>
      </c>
      <c r="E150" s="15">
        <f>D150-C150</f>
        <v/>
      </c>
      <c r="F150" s="15">
        <f>E150^2</f>
        <v/>
      </c>
    </row>
    <row r="151">
      <c r="A151">
        <f>Data!A148</f>
        <v/>
      </c>
      <c r="B151">
        <f>Data!J148</f>
        <v/>
      </c>
      <c r="C151" s="15">
        <f>Data!G148</f>
        <v/>
      </c>
      <c r="D151" s="15">
        <f>MultiReg!$K$29+MultiReg!$L$29*Data!C148+MultiReg!$M$29*Data!D148+MultiReg!$N$29*Data!E148</f>
        <v/>
      </c>
      <c r="E151" s="15">
        <f>D151-C151</f>
        <v/>
      </c>
      <c r="F151" s="15">
        <f>E151^2</f>
        <v/>
      </c>
    </row>
    <row r="152">
      <c r="A152">
        <f>Data!A149</f>
        <v/>
      </c>
      <c r="B152">
        <f>Data!J149</f>
        <v/>
      </c>
      <c r="C152" s="15">
        <f>Data!G149</f>
        <v/>
      </c>
      <c r="D152" s="15">
        <f>MultiReg!$K$29+MultiReg!$L$29*Data!C149+MultiReg!$M$29*Data!D149+MultiReg!$N$29*Data!E149</f>
        <v/>
      </c>
      <c r="E152" s="15">
        <f>D152-C152</f>
        <v/>
      </c>
      <c r="F152" s="15">
        <f>E152^2</f>
        <v/>
      </c>
    </row>
    <row r="153">
      <c r="A153">
        <f>Data!A150</f>
        <v/>
      </c>
      <c r="B153">
        <f>Data!J150</f>
        <v/>
      </c>
      <c r="C153" s="15">
        <f>Data!G150</f>
        <v/>
      </c>
      <c r="D153" s="15">
        <f>MultiReg!$K$29+MultiReg!$L$29*Data!C150+MultiReg!$M$29*Data!D150+MultiReg!$N$29*Data!E150</f>
        <v/>
      </c>
      <c r="E153" s="15">
        <f>D153-C153</f>
        <v/>
      </c>
      <c r="F153" s="15">
        <f>E153^2</f>
        <v/>
      </c>
    </row>
    <row r="154">
      <c r="A154">
        <f>Data!A151</f>
        <v/>
      </c>
      <c r="B154">
        <f>Data!J151</f>
        <v/>
      </c>
      <c r="C154" s="15">
        <f>Data!G151</f>
        <v/>
      </c>
      <c r="D154" s="15">
        <f>MultiReg!$K$29+MultiReg!$L$29*Data!C151+MultiReg!$M$29*Data!D151+MultiReg!$N$29*Data!E151</f>
        <v/>
      </c>
      <c r="E154" s="15">
        <f>D154-C154</f>
        <v/>
      </c>
      <c r="F154" s="15">
        <f>E154^2</f>
        <v/>
      </c>
    </row>
    <row r="155">
      <c r="A155">
        <f>Data!A152</f>
        <v/>
      </c>
      <c r="B155">
        <f>Data!J152</f>
        <v/>
      </c>
      <c r="C155" s="15">
        <f>Data!G152</f>
        <v/>
      </c>
      <c r="D155" s="15">
        <f>MultiReg!$K$29+MultiReg!$L$29*Data!C152+MultiReg!$M$29*Data!D152+MultiReg!$N$29*Data!E152</f>
        <v/>
      </c>
      <c r="E155" s="15">
        <f>D155-C155</f>
        <v/>
      </c>
      <c r="F155" s="15">
        <f>E155^2</f>
        <v/>
      </c>
    </row>
    <row r="156">
      <c r="A156">
        <f>Data!A153</f>
        <v/>
      </c>
      <c r="B156">
        <f>Data!J153</f>
        <v/>
      </c>
      <c r="C156" s="15">
        <f>Data!G153</f>
        <v/>
      </c>
      <c r="D156" s="15">
        <f>MultiReg!$K$29+MultiReg!$L$29*Data!C153+MultiReg!$M$29*Data!D153+MultiReg!$N$29*Data!E153</f>
        <v/>
      </c>
      <c r="E156" s="15">
        <f>D156-C156</f>
        <v/>
      </c>
      <c r="F156" s="15">
        <f>E156^2</f>
        <v/>
      </c>
    </row>
    <row r="157">
      <c r="A157">
        <f>Data!A154</f>
        <v/>
      </c>
      <c r="B157">
        <f>Data!J154</f>
        <v/>
      </c>
      <c r="C157" s="15">
        <f>Data!G154</f>
        <v/>
      </c>
      <c r="D157" s="15">
        <f>MultiReg!$K$29+MultiReg!$L$29*Data!C154+MultiReg!$M$29*Data!D154+MultiReg!$N$29*Data!E154</f>
        <v/>
      </c>
      <c r="E157" s="15">
        <f>D157-C157</f>
        <v/>
      </c>
      <c r="F157" s="15">
        <f>E157^2</f>
        <v/>
      </c>
    </row>
    <row r="158">
      <c r="A158">
        <f>Data!A155</f>
        <v/>
      </c>
      <c r="B158">
        <f>Data!J155</f>
        <v/>
      </c>
      <c r="C158" s="15">
        <f>Data!G155</f>
        <v/>
      </c>
      <c r="D158" s="15">
        <f>MultiReg!$K$29+MultiReg!$L$29*Data!C155+MultiReg!$M$29*Data!D155+MultiReg!$N$29*Data!E155</f>
        <v/>
      </c>
      <c r="E158" s="15">
        <f>D158-C158</f>
        <v/>
      </c>
      <c r="F158" s="15">
        <f>E158^2</f>
        <v/>
      </c>
    </row>
    <row r="159">
      <c r="A159">
        <f>Data!A156</f>
        <v/>
      </c>
      <c r="B159">
        <f>Data!J156</f>
        <v/>
      </c>
      <c r="C159" s="15">
        <f>Data!G156</f>
        <v/>
      </c>
      <c r="D159" s="15">
        <f>MultiReg!$K$29+MultiReg!$L$29*Data!C156+MultiReg!$M$29*Data!D156+MultiReg!$N$29*Data!E156</f>
        <v/>
      </c>
      <c r="E159" s="15">
        <f>D159-C159</f>
        <v/>
      </c>
      <c r="F159" s="15">
        <f>E159^2</f>
        <v/>
      </c>
    </row>
    <row r="160">
      <c r="A160">
        <f>Data!A157</f>
        <v/>
      </c>
      <c r="B160">
        <f>Data!J157</f>
        <v/>
      </c>
      <c r="C160" s="15">
        <f>Data!G157</f>
        <v/>
      </c>
      <c r="D160" s="15">
        <f>MultiReg!$K$29+MultiReg!$L$29*Data!C157+MultiReg!$M$29*Data!D157+MultiReg!$N$29*Data!E157</f>
        <v/>
      </c>
      <c r="E160" s="15">
        <f>D160-C160</f>
        <v/>
      </c>
      <c r="F160" s="15">
        <f>E160^2</f>
        <v/>
      </c>
    </row>
    <row r="161">
      <c r="A161">
        <f>Data!A158</f>
        <v/>
      </c>
      <c r="B161">
        <f>Data!J158</f>
        <v/>
      </c>
      <c r="C161" s="15">
        <f>Data!G158</f>
        <v/>
      </c>
      <c r="D161" s="15">
        <f>MultiReg!$K$29+MultiReg!$L$29*Data!C158+MultiReg!$M$29*Data!D158+MultiReg!$N$29*Data!E158</f>
        <v/>
      </c>
      <c r="E161" s="15">
        <f>D161-C161</f>
        <v/>
      </c>
      <c r="F161" s="15">
        <f>E161^2</f>
        <v/>
      </c>
    </row>
    <row r="162">
      <c r="A162">
        <f>Data!A159</f>
        <v/>
      </c>
      <c r="B162">
        <f>Data!J159</f>
        <v/>
      </c>
      <c r="C162" s="15">
        <f>Data!G159</f>
        <v/>
      </c>
      <c r="D162" s="15">
        <f>MultiReg!$K$29+MultiReg!$L$29*Data!C159+MultiReg!$M$29*Data!D159+MultiReg!$N$29*Data!E159</f>
        <v/>
      </c>
      <c r="E162" s="15">
        <f>D162-C162</f>
        <v/>
      </c>
      <c r="F162" s="15">
        <f>E162^2</f>
        <v/>
      </c>
    </row>
    <row r="163">
      <c r="A163">
        <f>Data!A160</f>
        <v/>
      </c>
      <c r="B163">
        <f>Data!J160</f>
        <v/>
      </c>
      <c r="C163" s="15">
        <f>Data!G160</f>
        <v/>
      </c>
      <c r="D163" s="15">
        <f>MultiReg!$K$29+MultiReg!$L$29*Data!C160+MultiReg!$M$29*Data!D160+MultiReg!$N$29*Data!E160</f>
        <v/>
      </c>
      <c r="E163" s="15">
        <f>D163-C163</f>
        <v/>
      </c>
      <c r="F163" s="15">
        <f>E163^2</f>
        <v/>
      </c>
    </row>
    <row r="164">
      <c r="A164">
        <f>Data!A161</f>
        <v/>
      </c>
      <c r="B164">
        <f>Data!J161</f>
        <v/>
      </c>
      <c r="C164" s="15">
        <f>Data!G161</f>
        <v/>
      </c>
      <c r="D164" s="15">
        <f>MultiReg!$K$29+MultiReg!$L$29*Data!C161+MultiReg!$M$29*Data!D161+MultiReg!$N$29*Data!E161</f>
        <v/>
      </c>
      <c r="E164" s="15">
        <f>D164-C164</f>
        <v/>
      </c>
      <c r="F164" s="15">
        <f>E164^2</f>
        <v/>
      </c>
    </row>
    <row r="165">
      <c r="A165">
        <f>Data!A162</f>
        <v/>
      </c>
      <c r="B165">
        <f>Data!J162</f>
        <v/>
      </c>
      <c r="C165" s="15">
        <f>Data!G162</f>
        <v/>
      </c>
      <c r="D165" s="15">
        <f>MultiReg!$K$29+MultiReg!$L$29*Data!C162+MultiReg!$M$29*Data!D162+MultiReg!$N$29*Data!E162</f>
        <v/>
      </c>
      <c r="E165" s="15">
        <f>D165-C165</f>
        <v/>
      </c>
      <c r="F165" s="15">
        <f>E165^2</f>
        <v/>
      </c>
    </row>
    <row r="166">
      <c r="A166">
        <f>Data!A163</f>
        <v/>
      </c>
      <c r="B166">
        <f>Data!J163</f>
        <v/>
      </c>
      <c r="C166" s="15">
        <f>Data!G163</f>
        <v/>
      </c>
      <c r="D166" s="15">
        <f>MultiReg!$K$29+MultiReg!$L$29*Data!C163+MultiReg!$M$29*Data!D163+MultiReg!$N$29*Data!E163</f>
        <v/>
      </c>
      <c r="E166" s="15">
        <f>D166-C166</f>
        <v/>
      </c>
      <c r="F166" s="15">
        <f>E166^2</f>
        <v/>
      </c>
    </row>
    <row r="167">
      <c r="A167">
        <f>Data!A164</f>
        <v/>
      </c>
      <c r="B167">
        <f>Data!J164</f>
        <v/>
      </c>
      <c r="C167" s="15">
        <f>Data!G164</f>
        <v/>
      </c>
      <c r="D167" s="15">
        <f>MultiReg!$K$29+MultiReg!$L$29*Data!C164+MultiReg!$M$29*Data!D164+MultiReg!$N$29*Data!E164</f>
        <v/>
      </c>
      <c r="E167" s="15">
        <f>D167-C167</f>
        <v/>
      </c>
      <c r="F167" s="15">
        <f>E167^2</f>
        <v/>
      </c>
    </row>
    <row r="168">
      <c r="A168">
        <f>Data!A165</f>
        <v/>
      </c>
      <c r="B168">
        <f>Data!J165</f>
        <v/>
      </c>
      <c r="C168" s="15">
        <f>Data!G165</f>
        <v/>
      </c>
      <c r="D168" s="15">
        <f>MultiReg!$K$29+MultiReg!$L$29*Data!C165+MultiReg!$M$29*Data!D165+MultiReg!$N$29*Data!E165</f>
        <v/>
      </c>
      <c r="E168" s="15">
        <f>D168-C168</f>
        <v/>
      </c>
      <c r="F168" s="15">
        <f>E168^2</f>
        <v/>
      </c>
    </row>
    <row r="169">
      <c r="A169">
        <f>Data!A166</f>
        <v/>
      </c>
      <c r="B169">
        <f>Data!J166</f>
        <v/>
      </c>
      <c r="C169" s="15">
        <f>Data!G166</f>
        <v/>
      </c>
      <c r="D169" s="15">
        <f>MultiReg!$K$29+MultiReg!$L$29*Data!C166+MultiReg!$M$29*Data!D166+MultiReg!$N$29*Data!E166</f>
        <v/>
      </c>
      <c r="E169" s="15">
        <f>D169-C169</f>
        <v/>
      </c>
      <c r="F169" s="15">
        <f>E169^2</f>
        <v/>
      </c>
    </row>
    <row r="170">
      <c r="A170">
        <f>Data!A167</f>
        <v/>
      </c>
      <c r="B170">
        <f>Data!J167</f>
        <v/>
      </c>
      <c r="C170" s="15">
        <f>Data!G167</f>
        <v/>
      </c>
      <c r="D170" s="15">
        <f>MultiReg!$K$29+MultiReg!$L$29*Data!C167+MultiReg!$M$29*Data!D167+MultiReg!$N$29*Data!E167</f>
        <v/>
      </c>
      <c r="E170" s="15">
        <f>D170-C170</f>
        <v/>
      </c>
      <c r="F170" s="15">
        <f>E170^2</f>
        <v/>
      </c>
    </row>
    <row r="171">
      <c r="A171">
        <f>Data!A168</f>
        <v/>
      </c>
      <c r="B171">
        <f>Data!J168</f>
        <v/>
      </c>
      <c r="C171" s="15">
        <f>Data!G168</f>
        <v/>
      </c>
      <c r="D171" s="15">
        <f>MultiReg!$K$29+MultiReg!$L$29*Data!C168+MultiReg!$M$29*Data!D168+MultiReg!$N$29*Data!E168</f>
        <v/>
      </c>
      <c r="E171" s="15">
        <f>D171-C171</f>
        <v/>
      </c>
      <c r="F171" s="15">
        <f>E171^2</f>
        <v/>
      </c>
    </row>
    <row r="172">
      <c r="A172">
        <f>Data!A169</f>
        <v/>
      </c>
      <c r="B172">
        <f>Data!J169</f>
        <v/>
      </c>
      <c r="C172" s="15">
        <f>Data!G169</f>
        <v/>
      </c>
      <c r="D172" s="15">
        <f>MultiReg!$K$29+MultiReg!$L$29*Data!C169+MultiReg!$M$29*Data!D169+MultiReg!$N$29*Data!E169</f>
        <v/>
      </c>
      <c r="E172" s="15">
        <f>D172-C172</f>
        <v/>
      </c>
      <c r="F172" s="15">
        <f>E172^2</f>
        <v/>
      </c>
    </row>
    <row r="173">
      <c r="A173">
        <f>Data!A170</f>
        <v/>
      </c>
      <c r="B173">
        <f>Data!J170</f>
        <v/>
      </c>
      <c r="C173" s="15">
        <f>Data!G170</f>
        <v/>
      </c>
      <c r="D173" s="15">
        <f>MultiReg!$K$29+MultiReg!$L$29*Data!C170+MultiReg!$M$29*Data!D170+MultiReg!$N$29*Data!E170</f>
        <v/>
      </c>
      <c r="E173" s="15">
        <f>D173-C173</f>
        <v/>
      </c>
      <c r="F173" s="15">
        <f>E173^2</f>
        <v/>
      </c>
    </row>
    <row r="174">
      <c r="A174">
        <f>Data!A171</f>
        <v/>
      </c>
      <c r="B174">
        <f>Data!J171</f>
        <v/>
      </c>
      <c r="C174" s="15">
        <f>Data!G171</f>
        <v/>
      </c>
      <c r="D174" s="15">
        <f>MultiReg!$K$29+MultiReg!$L$29*Data!C171+MultiReg!$M$29*Data!D171+MultiReg!$N$29*Data!E171</f>
        <v/>
      </c>
      <c r="E174" s="15">
        <f>D174-C174</f>
        <v/>
      </c>
      <c r="F174" s="15">
        <f>E174^2</f>
        <v/>
      </c>
    </row>
    <row r="175">
      <c r="A175">
        <f>Data!A172</f>
        <v/>
      </c>
      <c r="B175">
        <f>Data!J172</f>
        <v/>
      </c>
      <c r="C175" s="15">
        <f>Data!G172</f>
        <v/>
      </c>
      <c r="D175" s="15">
        <f>MultiReg!$K$29+MultiReg!$L$29*Data!C172+MultiReg!$M$29*Data!D172+MultiReg!$N$29*Data!E172</f>
        <v/>
      </c>
      <c r="E175" s="15">
        <f>D175-C175</f>
        <v/>
      </c>
      <c r="F175" s="15">
        <f>E175^2</f>
        <v/>
      </c>
    </row>
    <row r="176">
      <c r="A176">
        <f>Data!A173</f>
        <v/>
      </c>
      <c r="B176">
        <f>Data!J173</f>
        <v/>
      </c>
      <c r="C176" s="15">
        <f>Data!G173</f>
        <v/>
      </c>
      <c r="D176" s="15">
        <f>MultiReg!$K$29+MultiReg!$L$29*Data!C173+MultiReg!$M$29*Data!D173+MultiReg!$N$29*Data!E173</f>
        <v/>
      </c>
      <c r="E176" s="15">
        <f>D176-C176</f>
        <v/>
      </c>
      <c r="F176" s="15">
        <f>E176^2</f>
        <v/>
      </c>
    </row>
    <row r="177">
      <c r="A177">
        <f>Data!A174</f>
        <v/>
      </c>
      <c r="B177">
        <f>Data!J174</f>
        <v/>
      </c>
      <c r="C177" s="15">
        <f>Data!G174</f>
        <v/>
      </c>
      <c r="D177" s="15">
        <f>MultiReg!$K$29+MultiReg!$L$29*Data!C174+MultiReg!$M$29*Data!D174+MultiReg!$N$29*Data!E174</f>
        <v/>
      </c>
      <c r="E177" s="15">
        <f>D177-C177</f>
        <v/>
      </c>
      <c r="F177" s="15">
        <f>E177^2</f>
        <v/>
      </c>
    </row>
    <row r="178">
      <c r="A178">
        <f>Data!A175</f>
        <v/>
      </c>
      <c r="B178">
        <f>Data!J175</f>
        <v/>
      </c>
      <c r="C178" s="15">
        <f>Data!G175</f>
        <v/>
      </c>
      <c r="D178" s="15">
        <f>MultiReg!$K$29+MultiReg!$L$29*Data!C175+MultiReg!$M$29*Data!D175+MultiReg!$N$29*Data!E175</f>
        <v/>
      </c>
      <c r="E178" s="15">
        <f>D178-C178</f>
        <v/>
      </c>
      <c r="F178" s="15">
        <f>E178^2</f>
        <v/>
      </c>
    </row>
    <row r="179">
      <c r="A179">
        <f>Data!A176</f>
        <v/>
      </c>
      <c r="B179">
        <f>Data!J176</f>
        <v/>
      </c>
      <c r="C179" s="15">
        <f>Data!G176</f>
        <v/>
      </c>
      <c r="D179" s="15">
        <f>MultiReg!$K$29+MultiReg!$L$29*Data!C176+MultiReg!$M$29*Data!D176+MultiReg!$N$29*Data!E176</f>
        <v/>
      </c>
      <c r="E179" s="15">
        <f>D179-C179</f>
        <v/>
      </c>
      <c r="F179" s="15">
        <f>E179^2</f>
        <v/>
      </c>
    </row>
    <row r="180">
      <c r="A180">
        <f>Data!A177</f>
        <v/>
      </c>
      <c r="B180">
        <f>Data!J177</f>
        <v/>
      </c>
      <c r="C180" s="15">
        <f>Data!G177</f>
        <v/>
      </c>
      <c r="D180" s="15">
        <f>MultiReg!$K$29+MultiReg!$L$29*Data!C177+MultiReg!$M$29*Data!D177+MultiReg!$N$29*Data!E177</f>
        <v/>
      </c>
      <c r="E180" s="15">
        <f>D180-C180</f>
        <v/>
      </c>
      <c r="F180" s="15">
        <f>E180^2</f>
        <v/>
      </c>
    </row>
    <row r="181">
      <c r="A181">
        <f>Data!A178</f>
        <v/>
      </c>
      <c r="B181">
        <f>Data!J178</f>
        <v/>
      </c>
      <c r="C181" s="15">
        <f>Data!G178</f>
        <v/>
      </c>
      <c r="D181" s="15">
        <f>MultiReg!$K$29+MultiReg!$L$29*Data!C178+MultiReg!$M$29*Data!D178+MultiReg!$N$29*Data!E178</f>
        <v/>
      </c>
      <c r="E181" s="15">
        <f>D181-C181</f>
        <v/>
      </c>
      <c r="F181" s="15">
        <f>E181^2</f>
        <v/>
      </c>
    </row>
    <row r="182">
      <c r="A182">
        <f>Data!A179</f>
        <v/>
      </c>
      <c r="B182">
        <f>Data!J179</f>
        <v/>
      </c>
      <c r="C182" s="15">
        <f>Data!G179</f>
        <v/>
      </c>
      <c r="D182" s="15">
        <f>MultiReg!$K$29+MultiReg!$L$29*Data!C179+MultiReg!$M$29*Data!D179+MultiReg!$N$29*Data!E179</f>
        <v/>
      </c>
      <c r="E182" s="15">
        <f>D182-C182</f>
        <v/>
      </c>
      <c r="F182" s="15">
        <f>E182^2</f>
        <v/>
      </c>
    </row>
    <row r="183">
      <c r="A183">
        <f>Data!A180</f>
        <v/>
      </c>
      <c r="B183">
        <f>Data!J180</f>
        <v/>
      </c>
      <c r="C183" s="15">
        <f>Data!G180</f>
        <v/>
      </c>
      <c r="D183" s="15">
        <f>MultiReg!$K$29+MultiReg!$L$29*Data!C180+MultiReg!$M$29*Data!D180+MultiReg!$N$29*Data!E180</f>
        <v/>
      </c>
      <c r="E183" s="15">
        <f>D183-C183</f>
        <v/>
      </c>
      <c r="F183" s="15">
        <f>E183^2</f>
        <v/>
      </c>
    </row>
    <row r="184">
      <c r="A184">
        <f>Data!A181</f>
        <v/>
      </c>
      <c r="B184">
        <f>Data!J181</f>
        <v/>
      </c>
      <c r="C184" s="15">
        <f>Data!G181</f>
        <v/>
      </c>
      <c r="D184" s="15">
        <f>MultiReg!$K$29+MultiReg!$L$29*Data!C181+MultiReg!$M$29*Data!D181+MultiReg!$N$29*Data!E181</f>
        <v/>
      </c>
      <c r="E184" s="15">
        <f>D184-C184</f>
        <v/>
      </c>
      <c r="F184" s="15">
        <f>E184^2</f>
        <v/>
      </c>
    </row>
    <row r="185">
      <c r="A185">
        <f>Data!A182</f>
        <v/>
      </c>
      <c r="B185">
        <f>Data!J182</f>
        <v/>
      </c>
      <c r="C185" s="15">
        <f>Data!G182</f>
        <v/>
      </c>
      <c r="D185" s="15">
        <f>MultiReg!$K$29+MultiReg!$L$29*Data!C182+MultiReg!$M$29*Data!D182+MultiReg!$N$29*Data!E182</f>
        <v/>
      </c>
      <c r="E185" s="15">
        <f>D185-C185</f>
        <v/>
      </c>
      <c r="F185" s="15">
        <f>E185^2</f>
        <v/>
      </c>
    </row>
    <row r="186">
      <c r="A186">
        <f>Data!A183</f>
        <v/>
      </c>
      <c r="B186">
        <f>Data!J183</f>
        <v/>
      </c>
      <c r="C186" s="15">
        <f>Data!G183</f>
        <v/>
      </c>
      <c r="D186" s="15">
        <f>MultiReg!$K$29+MultiReg!$L$29*Data!C183+MultiReg!$M$29*Data!D183+MultiReg!$N$29*Data!E183</f>
        <v/>
      </c>
      <c r="E186" s="15">
        <f>D186-C186</f>
        <v/>
      </c>
      <c r="F186" s="15">
        <f>E186^2</f>
        <v/>
      </c>
    </row>
    <row r="187">
      <c r="A187">
        <f>Data!A184</f>
        <v/>
      </c>
      <c r="B187">
        <f>Data!J184</f>
        <v/>
      </c>
      <c r="C187" s="15">
        <f>Data!G184</f>
        <v/>
      </c>
      <c r="D187" s="15">
        <f>MultiReg!$K$29+MultiReg!$L$29*Data!C184+MultiReg!$M$29*Data!D184+MultiReg!$N$29*Data!E184</f>
        <v/>
      </c>
      <c r="E187" s="15">
        <f>D187-C187</f>
        <v/>
      </c>
      <c r="F187" s="15">
        <f>E187^2</f>
        <v/>
      </c>
    </row>
    <row r="188">
      <c r="A188">
        <f>Data!A185</f>
        <v/>
      </c>
      <c r="B188">
        <f>Data!J185</f>
        <v/>
      </c>
      <c r="C188" s="15">
        <f>Data!G185</f>
        <v/>
      </c>
      <c r="D188" s="15">
        <f>MultiReg!$K$29+MultiReg!$L$29*Data!C185+MultiReg!$M$29*Data!D185+MultiReg!$N$29*Data!E185</f>
        <v/>
      </c>
      <c r="E188" s="15">
        <f>D188-C188</f>
        <v/>
      </c>
      <c r="F188" s="15">
        <f>E188^2</f>
        <v/>
      </c>
    </row>
    <row r="189">
      <c r="A189">
        <f>Data!A186</f>
        <v/>
      </c>
      <c r="B189">
        <f>Data!J186</f>
        <v/>
      </c>
      <c r="C189" s="15">
        <f>Data!G186</f>
        <v/>
      </c>
      <c r="D189" s="15">
        <f>MultiReg!$K$29+MultiReg!$L$29*Data!C186+MultiReg!$M$29*Data!D186+MultiReg!$N$29*Data!E186</f>
        <v/>
      </c>
      <c r="E189" s="15">
        <f>D189-C189</f>
        <v/>
      </c>
      <c r="F189" s="15">
        <f>E189^2</f>
        <v/>
      </c>
    </row>
    <row r="190">
      <c r="A190">
        <f>Data!A187</f>
        <v/>
      </c>
      <c r="B190">
        <f>Data!J187</f>
        <v/>
      </c>
      <c r="C190" s="15">
        <f>Data!G187</f>
        <v/>
      </c>
      <c r="D190" s="15">
        <f>MultiReg!$K$29+MultiReg!$L$29*Data!C187+MultiReg!$M$29*Data!D187+MultiReg!$N$29*Data!E187</f>
        <v/>
      </c>
      <c r="E190" s="15">
        <f>D190-C190</f>
        <v/>
      </c>
      <c r="F190" s="15">
        <f>E190^2</f>
        <v/>
      </c>
    </row>
    <row r="191">
      <c r="A191">
        <f>Data!A188</f>
        <v/>
      </c>
      <c r="B191">
        <f>Data!J188</f>
        <v/>
      </c>
      <c r="C191" s="15">
        <f>Data!G188</f>
        <v/>
      </c>
      <c r="D191" s="15">
        <f>MultiReg!$K$29+MultiReg!$L$29*Data!C188+MultiReg!$M$29*Data!D188+MultiReg!$N$29*Data!E188</f>
        <v/>
      </c>
      <c r="E191" s="15">
        <f>D191-C191</f>
        <v/>
      </c>
      <c r="F191" s="15">
        <f>E191^2</f>
        <v/>
      </c>
    </row>
    <row r="192">
      <c r="A192">
        <f>Data!A189</f>
        <v/>
      </c>
      <c r="B192">
        <f>Data!J189</f>
        <v/>
      </c>
      <c r="C192" s="15">
        <f>Data!G189</f>
        <v/>
      </c>
      <c r="D192" s="15">
        <f>MultiReg!$K$29+MultiReg!$L$29*Data!C189+MultiReg!$M$29*Data!D189+MultiReg!$N$29*Data!E189</f>
        <v/>
      </c>
      <c r="E192" s="15">
        <f>D192-C192</f>
        <v/>
      </c>
      <c r="F192" s="15">
        <f>E192^2</f>
        <v/>
      </c>
    </row>
    <row r="193">
      <c r="A193">
        <f>Data!A190</f>
        <v/>
      </c>
      <c r="B193">
        <f>Data!J190</f>
        <v/>
      </c>
      <c r="C193" s="15">
        <f>Data!G190</f>
        <v/>
      </c>
      <c r="D193" s="15">
        <f>MultiReg!$K$29+MultiReg!$L$29*Data!C190+MultiReg!$M$29*Data!D190+MultiReg!$N$29*Data!E190</f>
        <v/>
      </c>
      <c r="E193" s="15">
        <f>D193-C193</f>
        <v/>
      </c>
      <c r="F193" s="15">
        <f>E193^2</f>
        <v/>
      </c>
    </row>
    <row r="194">
      <c r="A194">
        <f>Data!A191</f>
        <v/>
      </c>
      <c r="B194">
        <f>Data!J191</f>
        <v/>
      </c>
      <c r="C194" s="15">
        <f>Data!G191</f>
        <v/>
      </c>
      <c r="D194" s="15">
        <f>MultiReg!$K$29+MultiReg!$L$29*Data!C191+MultiReg!$M$29*Data!D191+MultiReg!$N$29*Data!E191</f>
        <v/>
      </c>
      <c r="E194" s="15">
        <f>D194-C194</f>
        <v/>
      </c>
      <c r="F194" s="15">
        <f>E194^2</f>
        <v/>
      </c>
    </row>
    <row r="195">
      <c r="A195">
        <f>Data!A192</f>
        <v/>
      </c>
      <c r="B195">
        <f>Data!J192</f>
        <v/>
      </c>
      <c r="C195" s="15">
        <f>Data!G192</f>
        <v/>
      </c>
      <c r="D195" s="15">
        <f>MultiReg!$K$29+MultiReg!$L$29*Data!C192+MultiReg!$M$29*Data!D192+MultiReg!$N$29*Data!E192</f>
        <v/>
      </c>
      <c r="E195" s="15">
        <f>D195-C195</f>
        <v/>
      </c>
      <c r="F195" s="15">
        <f>E195^2</f>
        <v/>
      </c>
    </row>
    <row r="196">
      <c r="A196">
        <f>Data!A193</f>
        <v/>
      </c>
      <c r="B196">
        <f>Data!J193</f>
        <v/>
      </c>
      <c r="C196" s="15">
        <f>Data!G193</f>
        <v/>
      </c>
      <c r="D196" s="15">
        <f>MultiReg!$K$29+MultiReg!$L$29*Data!C193+MultiReg!$M$29*Data!D193+MultiReg!$N$29*Data!E193</f>
        <v/>
      </c>
      <c r="E196" s="15">
        <f>D196-C196</f>
        <v/>
      </c>
      <c r="F196" s="15">
        <f>E196^2</f>
        <v/>
      </c>
    </row>
    <row r="197">
      <c r="A197">
        <f>Data!A194</f>
        <v/>
      </c>
      <c r="B197">
        <f>Data!J194</f>
        <v/>
      </c>
      <c r="C197" s="15">
        <f>Data!G194</f>
        <v/>
      </c>
      <c r="D197" s="15">
        <f>MultiReg!$K$29+MultiReg!$L$29*Data!C194+MultiReg!$M$29*Data!D194+MultiReg!$N$29*Data!E194</f>
        <v/>
      </c>
      <c r="E197" s="15">
        <f>D197-C197</f>
        <v/>
      </c>
      <c r="F197" s="15">
        <f>E197^2</f>
        <v/>
      </c>
    </row>
    <row r="198">
      <c r="A198">
        <f>Data!A195</f>
        <v/>
      </c>
      <c r="B198">
        <f>Data!J195</f>
        <v/>
      </c>
      <c r="C198" s="15">
        <f>Data!G195</f>
        <v/>
      </c>
      <c r="D198" s="15">
        <f>MultiReg!$K$29+MultiReg!$L$29*Data!C195+MultiReg!$M$29*Data!D195+MultiReg!$N$29*Data!E195</f>
        <v/>
      </c>
      <c r="E198" s="15">
        <f>D198-C198</f>
        <v/>
      </c>
      <c r="F198" s="15">
        <f>E198^2</f>
        <v/>
      </c>
    </row>
    <row r="199">
      <c r="A199">
        <f>Data!A196</f>
        <v/>
      </c>
      <c r="B199">
        <f>Data!J196</f>
        <v/>
      </c>
      <c r="C199" s="15">
        <f>Data!G196</f>
        <v/>
      </c>
      <c r="D199" s="15">
        <f>MultiReg!$K$29+MultiReg!$L$29*Data!C196+MultiReg!$M$29*Data!D196+MultiReg!$N$29*Data!E196</f>
        <v/>
      </c>
      <c r="E199" s="15">
        <f>D199-C199</f>
        <v/>
      </c>
      <c r="F199" s="15">
        <f>E199^2</f>
        <v/>
      </c>
    </row>
    <row r="200">
      <c r="A200">
        <f>Data!A197</f>
        <v/>
      </c>
      <c r="B200">
        <f>Data!J197</f>
        <v/>
      </c>
      <c r="C200" s="15">
        <f>Data!G197</f>
        <v/>
      </c>
      <c r="D200" s="15">
        <f>MultiReg!$K$29+MultiReg!$L$29*Data!C197+MultiReg!$M$29*Data!D197+MultiReg!$N$29*Data!E197</f>
        <v/>
      </c>
      <c r="E200" s="15">
        <f>D200-C200</f>
        <v/>
      </c>
      <c r="F200" s="15">
        <f>E200^2</f>
        <v/>
      </c>
    </row>
    <row r="201">
      <c r="A201">
        <f>Data!A198</f>
        <v/>
      </c>
      <c r="B201">
        <f>Data!J198</f>
        <v/>
      </c>
      <c r="C201" s="15">
        <f>Data!G198</f>
        <v/>
      </c>
      <c r="D201" s="15">
        <f>MultiReg!$K$29+MultiReg!$L$29*Data!C198+MultiReg!$M$29*Data!D198+MultiReg!$N$29*Data!E198</f>
        <v/>
      </c>
      <c r="E201" s="15">
        <f>D201-C201</f>
        <v/>
      </c>
      <c r="F201" s="15">
        <f>E201^2</f>
        <v/>
      </c>
    </row>
    <row r="202">
      <c r="A202">
        <f>Data!A199</f>
        <v/>
      </c>
      <c r="B202">
        <f>Data!J199</f>
        <v/>
      </c>
      <c r="C202" s="15">
        <f>Data!G199</f>
        <v/>
      </c>
      <c r="D202" s="15">
        <f>MultiReg!$K$29+MultiReg!$L$29*Data!C199+MultiReg!$M$29*Data!D199+MultiReg!$N$29*Data!E199</f>
        <v/>
      </c>
      <c r="E202" s="15">
        <f>D202-C202</f>
        <v/>
      </c>
      <c r="F202" s="15">
        <f>E202^2</f>
        <v/>
      </c>
    </row>
    <row r="203">
      <c r="A203">
        <f>Data!A200</f>
        <v/>
      </c>
      <c r="B203">
        <f>Data!J200</f>
        <v/>
      </c>
      <c r="C203" s="15">
        <f>Data!G200</f>
        <v/>
      </c>
      <c r="D203" s="15">
        <f>MultiReg!$K$29+MultiReg!$L$29*Data!C200+MultiReg!$M$29*Data!D200+MultiReg!$N$29*Data!E200</f>
        <v/>
      </c>
      <c r="E203" s="15">
        <f>D203-C203</f>
        <v/>
      </c>
      <c r="F203" s="15">
        <f>E203^2</f>
        <v/>
      </c>
    </row>
    <row r="204">
      <c r="A204">
        <f>Data!A201</f>
        <v/>
      </c>
      <c r="B204">
        <f>Data!J201</f>
        <v/>
      </c>
      <c r="C204" s="15">
        <f>Data!G201</f>
        <v/>
      </c>
      <c r="D204" s="15">
        <f>MultiReg!$K$29+MultiReg!$L$29*Data!C201+MultiReg!$M$29*Data!D201+MultiReg!$N$29*Data!E201</f>
        <v/>
      </c>
      <c r="E204" s="15">
        <f>D204-C204</f>
        <v/>
      </c>
      <c r="F204" s="15">
        <f>E204^2</f>
        <v/>
      </c>
    </row>
    <row r="205">
      <c r="A205">
        <f>Data!A202</f>
        <v/>
      </c>
      <c r="B205">
        <f>Data!J202</f>
        <v/>
      </c>
      <c r="C205" s="15">
        <f>Data!G202</f>
        <v/>
      </c>
      <c r="D205" s="15">
        <f>MultiReg!$K$29+MultiReg!$L$29*Data!C202+MultiReg!$M$29*Data!D202+MultiReg!$N$29*Data!E202</f>
        <v/>
      </c>
      <c r="E205" s="15">
        <f>D205-C205</f>
        <v/>
      </c>
      <c r="F205" s="15">
        <f>E205^2</f>
        <v/>
      </c>
    </row>
    <row r="206">
      <c r="A206">
        <f>Data!A203</f>
        <v/>
      </c>
      <c r="B206">
        <f>Data!J203</f>
        <v/>
      </c>
      <c r="C206" s="15">
        <f>Data!G203</f>
        <v/>
      </c>
      <c r="D206" s="15">
        <f>MultiReg!$K$29+MultiReg!$L$29*Data!C203+MultiReg!$M$29*Data!D203+MultiReg!$N$29*Data!E203</f>
        <v/>
      </c>
      <c r="E206" s="15">
        <f>D206-C206</f>
        <v/>
      </c>
      <c r="F206" s="15">
        <f>E206^2</f>
        <v/>
      </c>
    </row>
    <row r="207">
      <c r="A207">
        <f>Data!A204</f>
        <v/>
      </c>
      <c r="B207">
        <f>Data!J204</f>
        <v/>
      </c>
      <c r="C207" s="15">
        <f>Data!G204</f>
        <v/>
      </c>
      <c r="D207" s="15">
        <f>MultiReg!$K$29+MultiReg!$L$29*Data!C204+MultiReg!$M$29*Data!D204+MultiReg!$N$29*Data!E204</f>
        <v/>
      </c>
      <c r="E207" s="15">
        <f>D207-C207</f>
        <v/>
      </c>
      <c r="F207" s="15">
        <f>E207^2</f>
        <v/>
      </c>
    </row>
    <row r="208">
      <c r="A208">
        <f>Data!A205</f>
        <v/>
      </c>
      <c r="B208">
        <f>Data!J205</f>
        <v/>
      </c>
      <c r="C208" s="15">
        <f>Data!G205</f>
        <v/>
      </c>
      <c r="D208" s="15">
        <f>MultiReg!$K$29+MultiReg!$L$29*Data!C205+MultiReg!$M$29*Data!D205+MultiReg!$N$29*Data!E205</f>
        <v/>
      </c>
      <c r="E208" s="15">
        <f>D208-C208</f>
        <v/>
      </c>
      <c r="F208" s="15">
        <f>E208^2</f>
        <v/>
      </c>
    </row>
    <row r="209">
      <c r="A209">
        <f>Data!A206</f>
        <v/>
      </c>
      <c r="B209">
        <f>Data!J206</f>
        <v/>
      </c>
      <c r="C209" s="15">
        <f>Data!G206</f>
        <v/>
      </c>
      <c r="D209" s="15">
        <f>MultiReg!$K$29+MultiReg!$L$29*Data!C206+MultiReg!$M$29*Data!D206+MultiReg!$N$29*Data!E206</f>
        <v/>
      </c>
      <c r="E209" s="15">
        <f>D209-C209</f>
        <v/>
      </c>
      <c r="F209" s="15">
        <f>E209^2</f>
        <v/>
      </c>
    </row>
    <row r="210">
      <c r="A210">
        <f>Data!A207</f>
        <v/>
      </c>
      <c r="B210">
        <f>Data!J207</f>
        <v/>
      </c>
      <c r="C210" s="15">
        <f>Data!G207</f>
        <v/>
      </c>
      <c r="D210" s="15">
        <f>MultiReg!$K$29+MultiReg!$L$29*Data!C207+MultiReg!$M$29*Data!D207+MultiReg!$N$29*Data!E207</f>
        <v/>
      </c>
      <c r="E210" s="15">
        <f>D210-C210</f>
        <v/>
      </c>
      <c r="F210" s="15">
        <f>E210^2</f>
        <v/>
      </c>
    </row>
    <row r="211">
      <c r="A211">
        <f>Data!A208</f>
        <v/>
      </c>
      <c r="B211">
        <f>Data!J208</f>
        <v/>
      </c>
      <c r="C211" s="15">
        <f>Data!G208</f>
        <v/>
      </c>
      <c r="D211" s="15">
        <f>MultiReg!$K$29+MultiReg!$L$29*Data!C208+MultiReg!$M$29*Data!D208+MultiReg!$N$29*Data!E208</f>
        <v/>
      </c>
      <c r="E211" s="15">
        <f>D211-C211</f>
        <v/>
      </c>
      <c r="F211" s="15">
        <f>E211^2</f>
        <v/>
      </c>
    </row>
    <row r="212">
      <c r="A212">
        <f>Data!A209</f>
        <v/>
      </c>
      <c r="B212">
        <f>Data!J209</f>
        <v/>
      </c>
      <c r="C212" s="15">
        <f>Data!G209</f>
        <v/>
      </c>
      <c r="D212" s="15">
        <f>MultiReg!$K$29+MultiReg!$L$29*Data!C209+MultiReg!$M$29*Data!D209+MultiReg!$N$29*Data!E209</f>
        <v/>
      </c>
      <c r="E212" s="15">
        <f>D212-C212</f>
        <v/>
      </c>
      <c r="F212" s="15">
        <f>E212^2</f>
        <v/>
      </c>
    </row>
    <row r="213">
      <c r="A213">
        <f>Data!A210</f>
        <v/>
      </c>
      <c r="B213">
        <f>Data!J210</f>
        <v/>
      </c>
      <c r="C213" s="15">
        <f>Data!G210</f>
        <v/>
      </c>
      <c r="D213" s="15">
        <f>MultiReg!$K$29+MultiReg!$L$29*Data!C210+MultiReg!$M$29*Data!D210+MultiReg!$N$29*Data!E210</f>
        <v/>
      </c>
      <c r="E213" s="15">
        <f>D213-C213</f>
        <v/>
      </c>
      <c r="F213" s="15">
        <f>E213^2</f>
        <v/>
      </c>
    </row>
    <row r="214">
      <c r="A214">
        <f>Data!A211</f>
        <v/>
      </c>
      <c r="B214">
        <f>Data!J211</f>
        <v/>
      </c>
      <c r="C214" s="15">
        <f>Data!G211</f>
        <v/>
      </c>
      <c r="D214" s="15">
        <f>MultiReg!$K$29+MultiReg!$L$29*Data!C211+MultiReg!$M$29*Data!D211+MultiReg!$N$29*Data!E211</f>
        <v/>
      </c>
      <c r="E214" s="15">
        <f>D214-C214</f>
        <v/>
      </c>
      <c r="F214" s="15">
        <f>E214^2</f>
        <v/>
      </c>
    </row>
    <row r="215">
      <c r="A215">
        <f>Data!A212</f>
        <v/>
      </c>
      <c r="B215">
        <f>Data!J212</f>
        <v/>
      </c>
      <c r="C215" s="15">
        <f>Data!G212</f>
        <v/>
      </c>
      <c r="D215" s="15">
        <f>MultiReg!$K$29+MultiReg!$L$29*Data!C212+MultiReg!$M$29*Data!D212+MultiReg!$N$29*Data!E212</f>
        <v/>
      </c>
      <c r="E215" s="15">
        <f>D215-C215</f>
        <v/>
      </c>
      <c r="F215" s="15">
        <f>E215^2</f>
        <v/>
      </c>
    </row>
    <row r="216">
      <c r="A216">
        <f>Data!A213</f>
        <v/>
      </c>
      <c r="B216">
        <f>Data!J213</f>
        <v/>
      </c>
      <c r="C216" s="15">
        <f>Data!G213</f>
        <v/>
      </c>
      <c r="D216" s="15">
        <f>MultiReg!$K$29+MultiReg!$L$29*Data!C213+MultiReg!$M$29*Data!D213+MultiReg!$N$29*Data!E213</f>
        <v/>
      </c>
      <c r="E216" s="15">
        <f>D216-C216</f>
        <v/>
      </c>
      <c r="F216" s="15">
        <f>E216^2</f>
        <v/>
      </c>
    </row>
    <row r="217">
      <c r="A217">
        <f>Data!A214</f>
        <v/>
      </c>
      <c r="B217">
        <f>Data!J214</f>
        <v/>
      </c>
      <c r="C217" s="15">
        <f>Data!G214</f>
        <v/>
      </c>
      <c r="D217" s="15">
        <f>MultiReg!$K$29+MultiReg!$L$29*Data!C214+MultiReg!$M$29*Data!D214+MultiReg!$N$29*Data!E214</f>
        <v/>
      </c>
      <c r="E217" s="15">
        <f>D217-C217</f>
        <v/>
      </c>
      <c r="F217" s="15">
        <f>E217^2</f>
        <v/>
      </c>
    </row>
    <row r="218">
      <c r="A218">
        <f>Data!A215</f>
        <v/>
      </c>
      <c r="B218">
        <f>Data!J215</f>
        <v/>
      </c>
      <c r="C218" s="15">
        <f>Data!G215</f>
        <v/>
      </c>
      <c r="D218" s="15">
        <f>MultiReg!$K$29+MultiReg!$L$29*Data!C215+MultiReg!$M$29*Data!D215+MultiReg!$N$29*Data!E215</f>
        <v/>
      </c>
      <c r="E218" s="15">
        <f>D218-C218</f>
        <v/>
      </c>
      <c r="F218" s="15">
        <f>E218^2</f>
        <v/>
      </c>
    </row>
    <row r="219">
      <c r="A219">
        <f>Data!A216</f>
        <v/>
      </c>
      <c r="B219">
        <f>Data!J216</f>
        <v/>
      </c>
      <c r="C219" s="15">
        <f>Data!G216</f>
        <v/>
      </c>
      <c r="D219" s="15">
        <f>MultiReg!$K$29+MultiReg!$L$29*Data!C216+MultiReg!$M$29*Data!D216+MultiReg!$N$29*Data!E216</f>
        <v/>
      </c>
      <c r="E219" s="15">
        <f>D219-C219</f>
        <v/>
      </c>
      <c r="F219" s="15">
        <f>E219^2</f>
        <v/>
      </c>
    </row>
    <row r="220">
      <c r="A220">
        <f>Data!A217</f>
        <v/>
      </c>
      <c r="B220">
        <f>Data!J217</f>
        <v/>
      </c>
      <c r="C220" s="15">
        <f>Data!G217</f>
        <v/>
      </c>
      <c r="D220" s="15">
        <f>MultiReg!$K$29+MultiReg!$L$29*Data!C217+MultiReg!$M$29*Data!D217+MultiReg!$N$29*Data!E217</f>
        <v/>
      </c>
      <c r="E220" s="15">
        <f>D220-C220</f>
        <v/>
      </c>
      <c r="F220" s="15">
        <f>E220^2</f>
        <v/>
      </c>
    </row>
    <row r="221">
      <c r="A221">
        <f>Data!A218</f>
        <v/>
      </c>
      <c r="B221">
        <f>Data!J218</f>
        <v/>
      </c>
      <c r="C221" s="15">
        <f>Data!G218</f>
        <v/>
      </c>
      <c r="D221" s="15">
        <f>MultiReg!$K$29+MultiReg!$L$29*Data!C218+MultiReg!$M$29*Data!D218+MultiReg!$N$29*Data!E218</f>
        <v/>
      </c>
      <c r="E221" s="15">
        <f>D221-C221</f>
        <v/>
      </c>
      <c r="F221" s="15">
        <f>E221^2</f>
        <v/>
      </c>
    </row>
    <row r="222">
      <c r="A222">
        <f>Data!A219</f>
        <v/>
      </c>
      <c r="B222">
        <f>Data!J219</f>
        <v/>
      </c>
      <c r="C222" s="15">
        <f>Data!G219</f>
        <v/>
      </c>
      <c r="D222" s="15">
        <f>MultiReg!$K$29+MultiReg!$L$29*Data!C219+MultiReg!$M$29*Data!D219+MultiReg!$N$29*Data!E219</f>
        <v/>
      </c>
      <c r="E222" s="15">
        <f>D222-C222</f>
        <v/>
      </c>
      <c r="F222" s="15">
        <f>E222^2</f>
        <v/>
      </c>
    </row>
    <row r="223">
      <c r="A223">
        <f>Data!A220</f>
        <v/>
      </c>
      <c r="B223">
        <f>Data!J220</f>
        <v/>
      </c>
      <c r="C223" s="15">
        <f>Data!G220</f>
        <v/>
      </c>
      <c r="D223" s="15">
        <f>MultiReg!$K$29+MultiReg!$L$29*Data!C220+MultiReg!$M$29*Data!D220+MultiReg!$N$29*Data!E220</f>
        <v/>
      </c>
      <c r="E223" s="15">
        <f>D223-C223</f>
        <v/>
      </c>
      <c r="F223" s="15">
        <f>E223^2</f>
        <v/>
      </c>
    </row>
    <row r="224">
      <c r="A224">
        <f>Data!A221</f>
        <v/>
      </c>
      <c r="B224">
        <f>Data!J221</f>
        <v/>
      </c>
      <c r="C224" s="15">
        <f>Data!G221</f>
        <v/>
      </c>
      <c r="D224" s="15">
        <f>MultiReg!$K$29+MultiReg!$L$29*Data!C221+MultiReg!$M$29*Data!D221+MultiReg!$N$29*Data!E221</f>
        <v/>
      </c>
      <c r="E224" s="15">
        <f>D224-C224</f>
        <v/>
      </c>
      <c r="F224" s="15">
        <f>E224^2</f>
        <v/>
      </c>
    </row>
    <row r="225">
      <c r="A225">
        <f>Data!A222</f>
        <v/>
      </c>
      <c r="B225">
        <f>Data!J222</f>
        <v/>
      </c>
      <c r="C225" s="15">
        <f>Data!G222</f>
        <v/>
      </c>
      <c r="D225" s="15">
        <f>MultiReg!$K$29+MultiReg!$L$29*Data!C222+MultiReg!$M$29*Data!D222+MultiReg!$N$29*Data!E222</f>
        <v/>
      </c>
      <c r="E225" s="15">
        <f>D225-C225</f>
        <v/>
      </c>
      <c r="F225" s="15">
        <f>E225^2</f>
        <v/>
      </c>
    </row>
    <row r="226">
      <c r="A226">
        <f>Data!A223</f>
        <v/>
      </c>
      <c r="B226">
        <f>Data!J223</f>
        <v/>
      </c>
      <c r="C226" s="15">
        <f>Data!G223</f>
        <v/>
      </c>
      <c r="D226" s="15">
        <f>MultiReg!$K$29+MultiReg!$L$29*Data!C223+MultiReg!$M$29*Data!D223+MultiReg!$N$29*Data!E223</f>
        <v/>
      </c>
      <c r="E226" s="15">
        <f>D226-C226</f>
        <v/>
      </c>
      <c r="F226" s="15">
        <f>E226^2</f>
        <v/>
      </c>
    </row>
    <row r="227">
      <c r="A227">
        <f>Data!A224</f>
        <v/>
      </c>
      <c r="B227">
        <f>Data!J224</f>
        <v/>
      </c>
      <c r="C227" s="15">
        <f>Data!G224</f>
        <v/>
      </c>
      <c r="D227" s="15">
        <f>MultiReg!$K$29+MultiReg!$L$29*Data!C224+MultiReg!$M$29*Data!D224+MultiReg!$N$29*Data!E224</f>
        <v/>
      </c>
      <c r="E227" s="15">
        <f>D227-C227</f>
        <v/>
      </c>
      <c r="F227" s="15">
        <f>E227^2</f>
        <v/>
      </c>
    </row>
    <row r="228">
      <c r="A228">
        <f>Data!A225</f>
        <v/>
      </c>
      <c r="B228">
        <f>Data!J225</f>
        <v/>
      </c>
      <c r="C228" s="15">
        <f>Data!G225</f>
        <v/>
      </c>
      <c r="D228" s="15">
        <f>MultiReg!$K$29+MultiReg!$L$29*Data!C225+MultiReg!$M$29*Data!D225+MultiReg!$N$29*Data!E225</f>
        <v/>
      </c>
      <c r="E228" s="15">
        <f>D228-C228</f>
        <v/>
      </c>
      <c r="F228" s="15">
        <f>E228^2</f>
        <v/>
      </c>
    </row>
    <row r="229">
      <c r="A229">
        <f>Data!A226</f>
        <v/>
      </c>
      <c r="B229">
        <f>Data!J226</f>
        <v/>
      </c>
      <c r="C229" s="15">
        <f>Data!G226</f>
        <v/>
      </c>
      <c r="D229" s="15">
        <f>MultiReg!$K$29+MultiReg!$L$29*Data!C226+MultiReg!$M$29*Data!D226+MultiReg!$N$29*Data!E226</f>
        <v/>
      </c>
      <c r="E229" s="15">
        <f>D229-C229</f>
        <v/>
      </c>
      <c r="F229" s="15">
        <f>E229^2</f>
        <v/>
      </c>
    </row>
    <row r="230">
      <c r="A230">
        <f>Data!A227</f>
        <v/>
      </c>
      <c r="B230">
        <f>Data!J227</f>
        <v/>
      </c>
      <c r="C230" s="15">
        <f>Data!G227</f>
        <v/>
      </c>
      <c r="D230" s="15">
        <f>MultiReg!$K$29+MultiReg!$L$29*Data!C227+MultiReg!$M$29*Data!D227+MultiReg!$N$29*Data!E227</f>
        <v/>
      </c>
      <c r="E230" s="15">
        <f>D230-C230</f>
        <v/>
      </c>
      <c r="F230" s="15">
        <f>E230^2</f>
        <v/>
      </c>
    </row>
    <row r="231">
      <c r="A231">
        <f>Data!A228</f>
        <v/>
      </c>
      <c r="B231">
        <f>Data!J228</f>
        <v/>
      </c>
      <c r="C231" s="15">
        <f>Data!G228</f>
        <v/>
      </c>
      <c r="D231" s="15">
        <f>MultiReg!$K$29+MultiReg!$L$29*Data!C228+MultiReg!$M$29*Data!D228+MultiReg!$N$29*Data!E228</f>
        <v/>
      </c>
      <c r="E231" s="15">
        <f>D231-C231</f>
        <v/>
      </c>
      <c r="F231" s="15">
        <f>E231^2</f>
        <v/>
      </c>
    </row>
    <row r="232">
      <c r="A232">
        <f>Data!A229</f>
        <v/>
      </c>
      <c r="B232">
        <f>Data!J229</f>
        <v/>
      </c>
      <c r="C232" s="15">
        <f>Data!G229</f>
        <v/>
      </c>
      <c r="D232" s="15">
        <f>MultiReg!$K$29+MultiReg!$L$29*Data!C229+MultiReg!$M$29*Data!D229+MultiReg!$N$29*Data!E229</f>
        <v/>
      </c>
      <c r="E232" s="15">
        <f>D232-C232</f>
        <v/>
      </c>
      <c r="F232" s="15">
        <f>E232^2</f>
        <v/>
      </c>
    </row>
    <row r="233">
      <c r="A233">
        <f>Data!A230</f>
        <v/>
      </c>
      <c r="B233">
        <f>Data!J230</f>
        <v/>
      </c>
      <c r="C233" s="15">
        <f>Data!G230</f>
        <v/>
      </c>
      <c r="D233" s="15">
        <f>MultiReg!$K$29+MultiReg!$L$29*Data!C230+MultiReg!$M$29*Data!D230+MultiReg!$N$29*Data!E230</f>
        <v/>
      </c>
      <c r="E233" s="15">
        <f>D233-C233</f>
        <v/>
      </c>
      <c r="F233" s="15">
        <f>E233^2</f>
        <v/>
      </c>
    </row>
    <row r="234">
      <c r="A234">
        <f>Data!A231</f>
        <v/>
      </c>
      <c r="B234">
        <f>Data!J231</f>
        <v/>
      </c>
      <c r="C234" s="15">
        <f>Data!G231</f>
        <v/>
      </c>
      <c r="D234" s="15">
        <f>MultiReg!$K$29+MultiReg!$L$29*Data!C231+MultiReg!$M$29*Data!D231+MultiReg!$N$29*Data!E231</f>
        <v/>
      </c>
      <c r="E234" s="15">
        <f>D234-C234</f>
        <v/>
      </c>
      <c r="F234" s="15">
        <f>E234^2</f>
        <v/>
      </c>
    </row>
    <row r="235">
      <c r="A235">
        <f>Data!A232</f>
        <v/>
      </c>
      <c r="B235">
        <f>Data!J232</f>
        <v/>
      </c>
      <c r="C235" s="15">
        <f>Data!G232</f>
        <v/>
      </c>
      <c r="D235" s="15">
        <f>MultiReg!$K$29+MultiReg!$L$29*Data!C232+MultiReg!$M$29*Data!D232+MultiReg!$N$29*Data!E232</f>
        <v/>
      </c>
      <c r="E235" s="15">
        <f>D235-C235</f>
        <v/>
      </c>
      <c r="F235" s="15">
        <f>E235^2</f>
        <v/>
      </c>
    </row>
    <row r="236">
      <c r="A236">
        <f>Data!A233</f>
        <v/>
      </c>
      <c r="B236">
        <f>Data!J233</f>
        <v/>
      </c>
      <c r="C236" s="15">
        <f>Data!G233</f>
        <v/>
      </c>
      <c r="D236" s="15">
        <f>MultiReg!$K$29+MultiReg!$L$29*Data!C233+MultiReg!$M$29*Data!D233+MultiReg!$N$29*Data!E233</f>
        <v/>
      </c>
      <c r="E236" s="15">
        <f>D236-C236</f>
        <v/>
      </c>
      <c r="F236" s="15">
        <f>E236^2</f>
        <v/>
      </c>
    </row>
    <row r="237">
      <c r="A237">
        <f>Data!A234</f>
        <v/>
      </c>
      <c r="B237">
        <f>Data!J234</f>
        <v/>
      </c>
      <c r="C237" s="15">
        <f>Data!G234</f>
        <v/>
      </c>
      <c r="D237" s="15">
        <f>MultiReg!$K$29+MultiReg!$L$29*Data!C234+MultiReg!$M$29*Data!D234+MultiReg!$N$29*Data!E234</f>
        <v/>
      </c>
      <c r="E237" s="15">
        <f>D237-C237</f>
        <v/>
      </c>
      <c r="F237" s="15">
        <f>E237^2</f>
        <v/>
      </c>
    </row>
    <row r="238">
      <c r="A238">
        <f>Data!A235</f>
        <v/>
      </c>
      <c r="B238">
        <f>Data!J235</f>
        <v/>
      </c>
      <c r="C238" s="15">
        <f>Data!G235</f>
        <v/>
      </c>
      <c r="D238" s="15">
        <f>MultiReg!$K$29+MultiReg!$L$29*Data!C235+MultiReg!$M$29*Data!D235+MultiReg!$N$29*Data!E235</f>
        <v/>
      </c>
      <c r="E238" s="15">
        <f>D238-C238</f>
        <v/>
      </c>
      <c r="F238" s="15">
        <f>E238^2</f>
        <v/>
      </c>
    </row>
    <row r="239">
      <c r="A239">
        <f>Data!A236</f>
        <v/>
      </c>
      <c r="B239">
        <f>Data!J236</f>
        <v/>
      </c>
      <c r="C239" s="15">
        <f>Data!G236</f>
        <v/>
      </c>
      <c r="D239" s="15">
        <f>MultiReg!$K$29+MultiReg!$L$29*Data!C236+MultiReg!$M$29*Data!D236+MultiReg!$N$29*Data!E236</f>
        <v/>
      </c>
      <c r="E239" s="15">
        <f>D239-C239</f>
        <v/>
      </c>
      <c r="F239" s="15">
        <f>E239^2</f>
        <v/>
      </c>
    </row>
    <row r="240">
      <c r="A240">
        <f>Data!A237</f>
        <v/>
      </c>
      <c r="B240">
        <f>Data!J237</f>
        <v/>
      </c>
      <c r="C240" s="15">
        <f>Data!G237</f>
        <v/>
      </c>
      <c r="D240" s="15">
        <f>MultiReg!$K$29+MultiReg!$L$29*Data!C237+MultiReg!$M$29*Data!D237+MultiReg!$N$29*Data!E237</f>
        <v/>
      </c>
      <c r="E240" s="15">
        <f>D240-C240</f>
        <v/>
      </c>
      <c r="F240" s="15">
        <f>E240^2</f>
        <v/>
      </c>
    </row>
    <row r="241">
      <c r="A241">
        <f>Data!A238</f>
        <v/>
      </c>
      <c r="B241">
        <f>Data!J238</f>
        <v/>
      </c>
      <c r="C241" s="15">
        <f>Data!G238</f>
        <v/>
      </c>
      <c r="D241" s="15">
        <f>MultiReg!$K$29+MultiReg!$L$29*Data!C238+MultiReg!$M$29*Data!D238+MultiReg!$N$29*Data!E238</f>
        <v/>
      </c>
      <c r="E241" s="15">
        <f>D241-C241</f>
        <v/>
      </c>
      <c r="F241" s="15">
        <f>E241^2</f>
        <v/>
      </c>
    </row>
    <row r="242">
      <c r="A242">
        <f>Data!A239</f>
        <v/>
      </c>
      <c r="B242">
        <f>Data!J239</f>
        <v/>
      </c>
      <c r="C242" s="15">
        <f>Data!G239</f>
        <v/>
      </c>
      <c r="D242" s="15">
        <f>MultiReg!$K$29+MultiReg!$L$29*Data!C239+MultiReg!$M$29*Data!D239+MultiReg!$N$29*Data!E239</f>
        <v/>
      </c>
      <c r="E242" s="15">
        <f>D242-C242</f>
        <v/>
      </c>
      <c r="F242" s="15">
        <f>E242^2</f>
        <v/>
      </c>
    </row>
    <row r="243">
      <c r="A243">
        <f>Data!A240</f>
        <v/>
      </c>
      <c r="B243">
        <f>Data!J240</f>
        <v/>
      </c>
      <c r="C243" s="15">
        <f>Data!G240</f>
        <v/>
      </c>
      <c r="D243" s="15">
        <f>MultiReg!$K$29+MultiReg!$L$29*Data!C240+MultiReg!$M$29*Data!D240+MultiReg!$N$29*Data!E240</f>
        <v/>
      </c>
      <c r="E243" s="15">
        <f>D243-C243</f>
        <v/>
      </c>
      <c r="F243" s="15">
        <f>E243^2</f>
        <v/>
      </c>
    </row>
    <row r="244">
      <c r="A244">
        <f>Data!A241</f>
        <v/>
      </c>
      <c r="B244">
        <f>Data!J241</f>
        <v/>
      </c>
      <c r="C244" s="15">
        <f>Data!G241</f>
        <v/>
      </c>
      <c r="D244" s="15">
        <f>MultiReg!$K$29+MultiReg!$L$29*Data!C241+MultiReg!$M$29*Data!D241+MultiReg!$N$29*Data!E241</f>
        <v/>
      </c>
      <c r="E244" s="15">
        <f>D244-C244</f>
        <v/>
      </c>
      <c r="F244" s="15">
        <f>E244^2</f>
        <v/>
      </c>
    </row>
    <row r="245">
      <c r="A245">
        <f>Data!A242</f>
        <v/>
      </c>
      <c r="B245">
        <f>Data!J242</f>
        <v/>
      </c>
      <c r="C245" s="15">
        <f>Data!G242</f>
        <v/>
      </c>
      <c r="D245" s="15">
        <f>MultiReg!$K$29+MultiReg!$L$29*Data!C242+MultiReg!$M$29*Data!D242+MultiReg!$N$29*Data!E242</f>
        <v/>
      </c>
      <c r="E245" s="15">
        <f>D245-C245</f>
        <v/>
      </c>
      <c r="F245" s="15">
        <f>E245^2</f>
        <v/>
      </c>
    </row>
    <row r="246">
      <c r="A246">
        <f>Data!A243</f>
        <v/>
      </c>
      <c r="B246">
        <f>Data!J243</f>
        <v/>
      </c>
      <c r="C246" s="15">
        <f>Data!G243</f>
        <v/>
      </c>
      <c r="D246" s="15">
        <f>MultiReg!$K$29+MultiReg!$L$29*Data!C243+MultiReg!$M$29*Data!D243+MultiReg!$N$29*Data!E243</f>
        <v/>
      </c>
      <c r="E246" s="15">
        <f>D246-C246</f>
        <v/>
      </c>
      <c r="F246" s="15">
        <f>E246^2</f>
        <v/>
      </c>
    </row>
    <row r="247">
      <c r="A247">
        <f>Data!A244</f>
        <v/>
      </c>
      <c r="B247">
        <f>Data!J244</f>
        <v/>
      </c>
      <c r="C247" s="15">
        <f>Data!G244</f>
        <v/>
      </c>
      <c r="D247" s="15">
        <f>MultiReg!$K$29+MultiReg!$L$29*Data!C244+MultiReg!$M$29*Data!D244+MultiReg!$N$29*Data!E244</f>
        <v/>
      </c>
      <c r="E247" s="15">
        <f>D247-C247</f>
        <v/>
      </c>
      <c r="F247" s="15">
        <f>E247^2</f>
        <v/>
      </c>
    </row>
    <row r="248">
      <c r="A248">
        <f>Data!A245</f>
        <v/>
      </c>
      <c r="B248">
        <f>Data!J245</f>
        <v/>
      </c>
      <c r="C248" s="15">
        <f>Data!G245</f>
        <v/>
      </c>
      <c r="D248" s="15">
        <f>MultiReg!$K$29+MultiReg!$L$29*Data!C245+MultiReg!$M$29*Data!D245+MultiReg!$N$29*Data!E245</f>
        <v/>
      </c>
      <c r="E248" s="15">
        <f>D248-C248</f>
        <v/>
      </c>
      <c r="F248" s="15">
        <f>E248^2</f>
        <v/>
      </c>
    </row>
    <row r="249">
      <c r="A249">
        <f>Data!A246</f>
        <v/>
      </c>
      <c r="B249">
        <f>Data!J246</f>
        <v/>
      </c>
      <c r="C249" s="15">
        <f>Data!G246</f>
        <v/>
      </c>
      <c r="D249" s="15">
        <f>MultiReg!$K$29+MultiReg!$L$29*Data!C246+MultiReg!$M$29*Data!D246+MultiReg!$N$29*Data!E246</f>
        <v/>
      </c>
      <c r="E249" s="15">
        <f>D249-C249</f>
        <v/>
      </c>
      <c r="F249" s="15">
        <f>E249^2</f>
        <v/>
      </c>
    </row>
    <row r="250">
      <c r="A250">
        <f>Data!A247</f>
        <v/>
      </c>
      <c r="B250">
        <f>Data!J247</f>
        <v/>
      </c>
      <c r="C250" s="15">
        <f>Data!G247</f>
        <v/>
      </c>
      <c r="D250" s="15">
        <f>MultiReg!$K$29+MultiReg!$L$29*Data!C247+MultiReg!$M$29*Data!D247+MultiReg!$N$29*Data!E247</f>
        <v/>
      </c>
      <c r="E250" s="15">
        <f>D250-C250</f>
        <v/>
      </c>
      <c r="F250" s="15">
        <f>E250^2</f>
        <v/>
      </c>
    </row>
    <row r="251">
      <c r="A251">
        <f>Data!A248</f>
        <v/>
      </c>
      <c r="B251">
        <f>Data!J248</f>
        <v/>
      </c>
      <c r="C251" s="15">
        <f>Data!G248</f>
        <v/>
      </c>
      <c r="D251" s="15">
        <f>MultiReg!$K$29+MultiReg!$L$29*Data!C248+MultiReg!$M$29*Data!D248+MultiReg!$N$29*Data!E248</f>
        <v/>
      </c>
      <c r="E251" s="15">
        <f>D251-C251</f>
        <v/>
      </c>
      <c r="F251" s="15">
        <f>E251^2</f>
        <v/>
      </c>
    </row>
    <row r="252">
      <c r="A252">
        <f>Data!A249</f>
        <v/>
      </c>
      <c r="B252">
        <f>Data!J249</f>
        <v/>
      </c>
      <c r="C252" s="15">
        <f>Data!G249</f>
        <v/>
      </c>
      <c r="D252" s="15">
        <f>MultiReg!$K$29+MultiReg!$L$29*Data!C249+MultiReg!$M$29*Data!D249+MultiReg!$N$29*Data!E249</f>
        <v/>
      </c>
      <c r="E252" s="15">
        <f>D252-C252</f>
        <v/>
      </c>
      <c r="F252" s="15">
        <f>E252^2</f>
        <v/>
      </c>
    </row>
    <row r="253">
      <c r="A253">
        <f>Data!A250</f>
        <v/>
      </c>
      <c r="B253">
        <f>Data!J250</f>
        <v/>
      </c>
      <c r="C253" s="15">
        <f>Data!G250</f>
        <v/>
      </c>
      <c r="D253" s="15">
        <f>MultiReg!$K$29+MultiReg!$L$29*Data!C250+MultiReg!$M$29*Data!D250+MultiReg!$N$29*Data!E250</f>
        <v/>
      </c>
      <c r="E253" s="15">
        <f>D253-C253</f>
        <v/>
      </c>
      <c r="F253" s="15">
        <f>E253^2</f>
        <v/>
      </c>
    </row>
    <row r="254">
      <c r="A254">
        <f>Data!A251</f>
        <v/>
      </c>
      <c r="B254">
        <f>Data!J251</f>
        <v/>
      </c>
      <c r="C254" s="15">
        <f>Data!G251</f>
        <v/>
      </c>
      <c r="D254" s="15">
        <f>MultiReg!$K$29+MultiReg!$L$29*Data!C251+MultiReg!$M$29*Data!D251+MultiReg!$N$29*Data!E251</f>
        <v/>
      </c>
      <c r="E254" s="15">
        <f>D254-C254</f>
        <v/>
      </c>
      <c r="F254" s="15">
        <f>E254^2</f>
        <v/>
      </c>
    </row>
    <row r="255">
      <c r="A255">
        <f>Data!A252</f>
        <v/>
      </c>
      <c r="B255">
        <f>Data!J252</f>
        <v/>
      </c>
      <c r="C255" s="15">
        <f>Data!G252</f>
        <v/>
      </c>
      <c r="D255" s="15">
        <f>MultiReg!$K$29+MultiReg!$L$29*Data!C252+MultiReg!$M$29*Data!D252+MultiReg!$N$29*Data!E252</f>
        <v/>
      </c>
      <c r="E255" s="15">
        <f>D255-C255</f>
        <v/>
      </c>
      <c r="F255" s="15">
        <f>E255^2</f>
        <v/>
      </c>
    </row>
    <row r="256">
      <c r="A256">
        <f>Data!A253</f>
        <v/>
      </c>
      <c r="B256">
        <f>Data!J253</f>
        <v/>
      </c>
      <c r="C256" s="15">
        <f>Data!G253</f>
        <v/>
      </c>
      <c r="D256" s="15">
        <f>MultiReg!$K$29+MultiReg!$L$29*Data!C253+MultiReg!$M$29*Data!D253+MultiReg!$N$29*Data!E253</f>
        <v/>
      </c>
      <c r="E256" s="15">
        <f>D256-C256</f>
        <v/>
      </c>
      <c r="F256" s="15">
        <f>E256^2</f>
        <v/>
      </c>
    </row>
    <row r="257">
      <c r="A257">
        <f>Data!A254</f>
        <v/>
      </c>
      <c r="B257">
        <f>Data!J254</f>
        <v/>
      </c>
      <c r="C257" s="15">
        <f>Data!G254</f>
        <v/>
      </c>
      <c r="D257" s="15">
        <f>MultiReg!$K$29+MultiReg!$L$29*Data!C254+MultiReg!$M$29*Data!D254+MultiReg!$N$29*Data!E254</f>
        <v/>
      </c>
      <c r="E257" s="15">
        <f>D257-C257</f>
        <v/>
      </c>
      <c r="F257" s="15">
        <f>E257^2</f>
        <v/>
      </c>
    </row>
    <row r="258">
      <c r="A258">
        <f>Data!A255</f>
        <v/>
      </c>
      <c r="B258">
        <f>Data!J255</f>
        <v/>
      </c>
      <c r="C258" s="15">
        <f>Data!G255</f>
        <v/>
      </c>
      <c r="D258" s="15">
        <f>MultiReg!$K$29+MultiReg!$L$29*Data!C255+MultiReg!$M$29*Data!D255+MultiReg!$N$29*Data!E255</f>
        <v/>
      </c>
      <c r="E258" s="15">
        <f>D258-C258</f>
        <v/>
      </c>
      <c r="F258" s="15">
        <f>E258^2</f>
        <v/>
      </c>
    </row>
    <row r="259">
      <c r="A259">
        <f>Data!A256</f>
        <v/>
      </c>
      <c r="B259">
        <f>Data!J256</f>
        <v/>
      </c>
      <c r="C259" s="15">
        <f>Data!G256</f>
        <v/>
      </c>
      <c r="D259" s="15">
        <f>MultiReg!$K$29+MultiReg!$L$29*Data!C256+MultiReg!$M$29*Data!D256+MultiReg!$N$29*Data!E256</f>
        <v/>
      </c>
      <c r="E259" s="15">
        <f>D259-C259</f>
        <v/>
      </c>
      <c r="F259" s="15">
        <f>E259^2</f>
        <v/>
      </c>
    </row>
    <row r="260">
      <c r="A260">
        <f>Data!A257</f>
        <v/>
      </c>
      <c r="B260">
        <f>Data!J257</f>
        <v/>
      </c>
      <c r="C260" s="15">
        <f>Data!G257</f>
        <v/>
      </c>
      <c r="D260" s="15">
        <f>MultiReg!$K$29+MultiReg!$L$29*Data!C257+MultiReg!$M$29*Data!D257+MultiReg!$N$29*Data!E257</f>
        <v/>
      </c>
      <c r="E260" s="15">
        <f>D260-C260</f>
        <v/>
      </c>
      <c r="F260" s="15">
        <f>E260^2</f>
        <v/>
      </c>
    </row>
    <row r="261">
      <c r="A261">
        <f>Data!A258</f>
        <v/>
      </c>
      <c r="B261">
        <f>Data!J258</f>
        <v/>
      </c>
      <c r="C261" s="15">
        <f>Data!G258</f>
        <v/>
      </c>
      <c r="D261" s="15">
        <f>MultiReg!$K$29+MultiReg!$L$29*Data!C258+MultiReg!$M$29*Data!D258+MultiReg!$N$29*Data!E258</f>
        <v/>
      </c>
      <c r="E261" s="15">
        <f>D261-C261</f>
        <v/>
      </c>
      <c r="F261" s="15">
        <f>E261^2</f>
        <v/>
      </c>
    </row>
    <row r="262">
      <c r="A262">
        <f>Data!A259</f>
        <v/>
      </c>
      <c r="B262">
        <f>Data!J259</f>
        <v/>
      </c>
      <c r="C262" s="15">
        <f>Data!G259</f>
        <v/>
      </c>
      <c r="D262" s="15">
        <f>MultiReg!$K$29+MultiReg!$L$29*Data!C259+MultiReg!$M$29*Data!D259+MultiReg!$N$29*Data!E259</f>
        <v/>
      </c>
      <c r="E262" s="15">
        <f>D262-C262</f>
        <v/>
      </c>
      <c r="F262" s="15">
        <f>E262^2</f>
        <v/>
      </c>
    </row>
    <row r="263">
      <c r="A263">
        <f>Data!A260</f>
        <v/>
      </c>
      <c r="B263">
        <f>Data!J260</f>
        <v/>
      </c>
      <c r="C263" s="15">
        <f>Data!G260</f>
        <v/>
      </c>
      <c r="D263" s="15">
        <f>MultiReg!$K$29+MultiReg!$L$29*Data!C260+MultiReg!$M$29*Data!D260+MultiReg!$N$29*Data!E260</f>
        <v/>
      </c>
      <c r="E263" s="15">
        <f>D263-C263</f>
        <v/>
      </c>
      <c r="F263" s="15">
        <f>E263^2</f>
        <v/>
      </c>
    </row>
    <row r="264">
      <c r="A264">
        <f>Data!A261</f>
        <v/>
      </c>
      <c r="B264">
        <f>Data!J261</f>
        <v/>
      </c>
      <c r="C264" s="15">
        <f>Data!G261</f>
        <v/>
      </c>
      <c r="D264" s="15">
        <f>MultiReg!$K$29+MultiReg!$L$29*Data!C261+MultiReg!$M$29*Data!D261+MultiReg!$N$29*Data!E261</f>
        <v/>
      </c>
      <c r="E264" s="15">
        <f>D264-C264</f>
        <v/>
      </c>
      <c r="F264" s="15">
        <f>E264^2</f>
        <v/>
      </c>
    </row>
    <row r="265">
      <c r="A265">
        <f>Data!A262</f>
        <v/>
      </c>
      <c r="B265">
        <f>Data!J262</f>
        <v/>
      </c>
      <c r="C265" s="15">
        <f>Data!G262</f>
        <v/>
      </c>
      <c r="D265" s="15">
        <f>MultiReg!$K$29+MultiReg!$L$29*Data!C262+MultiReg!$M$29*Data!D262+MultiReg!$N$29*Data!E262</f>
        <v/>
      </c>
      <c r="E265" s="15">
        <f>D265-C265</f>
        <v/>
      </c>
      <c r="F265" s="15">
        <f>E265^2</f>
        <v/>
      </c>
    </row>
    <row r="266">
      <c r="A266">
        <f>Data!A263</f>
        <v/>
      </c>
      <c r="B266">
        <f>Data!J263</f>
        <v/>
      </c>
      <c r="C266" s="15">
        <f>Data!G263</f>
        <v/>
      </c>
      <c r="D266" s="15">
        <f>MultiReg!$K$29+MultiReg!$L$29*Data!C263+MultiReg!$M$29*Data!D263+MultiReg!$N$29*Data!E263</f>
        <v/>
      </c>
      <c r="E266" s="15">
        <f>D266-C266</f>
        <v/>
      </c>
      <c r="F266" s="15">
        <f>E266^2</f>
        <v/>
      </c>
    </row>
    <row r="267">
      <c r="A267">
        <f>Data!A264</f>
        <v/>
      </c>
      <c r="B267">
        <f>Data!J264</f>
        <v/>
      </c>
      <c r="C267" s="15">
        <f>Data!G264</f>
        <v/>
      </c>
      <c r="D267" s="15">
        <f>MultiReg!$K$29+MultiReg!$L$29*Data!C264+MultiReg!$M$29*Data!D264+MultiReg!$N$29*Data!E264</f>
        <v/>
      </c>
      <c r="E267" s="15">
        <f>D267-C267</f>
        <v/>
      </c>
      <c r="F267" s="15">
        <f>E267^2</f>
        <v/>
      </c>
    </row>
    <row r="268">
      <c r="A268">
        <f>Data!A265</f>
        <v/>
      </c>
      <c r="B268">
        <f>Data!J265</f>
        <v/>
      </c>
      <c r="C268" s="15">
        <f>Data!G265</f>
        <v/>
      </c>
      <c r="D268" s="15">
        <f>MultiReg!$K$29+MultiReg!$L$29*Data!C265+MultiReg!$M$29*Data!D265+MultiReg!$N$29*Data!E265</f>
        <v/>
      </c>
      <c r="E268" s="15">
        <f>D268-C268</f>
        <v/>
      </c>
      <c r="F268" s="15">
        <f>E268^2</f>
        <v/>
      </c>
    </row>
    <row r="269">
      <c r="A269">
        <f>Data!A266</f>
        <v/>
      </c>
      <c r="B269">
        <f>Data!J266</f>
        <v/>
      </c>
      <c r="C269" s="15">
        <f>Data!G266</f>
        <v/>
      </c>
      <c r="D269" s="15">
        <f>MultiReg!$K$29+MultiReg!$L$29*Data!C266+MultiReg!$M$29*Data!D266+MultiReg!$N$29*Data!E266</f>
        <v/>
      </c>
      <c r="E269" s="15">
        <f>D269-C269</f>
        <v/>
      </c>
      <c r="F269" s="15">
        <f>E269^2</f>
        <v/>
      </c>
    </row>
    <row r="270">
      <c r="A270">
        <f>Data!A267</f>
        <v/>
      </c>
      <c r="B270">
        <f>Data!J267</f>
        <v/>
      </c>
      <c r="C270" s="15">
        <f>Data!G267</f>
        <v/>
      </c>
      <c r="D270" s="15">
        <f>MultiReg!$K$29+MultiReg!$L$29*Data!C267+MultiReg!$M$29*Data!D267+MultiReg!$N$29*Data!E267</f>
        <v/>
      </c>
      <c r="E270" s="15">
        <f>D270-C270</f>
        <v/>
      </c>
      <c r="F270" s="15">
        <f>E270^2</f>
        <v/>
      </c>
    </row>
    <row r="271">
      <c r="A271">
        <f>Data!A268</f>
        <v/>
      </c>
      <c r="B271">
        <f>Data!J268</f>
        <v/>
      </c>
      <c r="C271" s="15">
        <f>Data!G268</f>
        <v/>
      </c>
      <c r="D271" s="15">
        <f>MultiReg!$K$29+MultiReg!$L$29*Data!C268+MultiReg!$M$29*Data!D268+MultiReg!$N$29*Data!E268</f>
        <v/>
      </c>
      <c r="E271" s="15">
        <f>D271-C271</f>
        <v/>
      </c>
      <c r="F271" s="15">
        <f>E271^2</f>
        <v/>
      </c>
    </row>
    <row r="272">
      <c r="A272">
        <f>Data!A269</f>
        <v/>
      </c>
      <c r="B272">
        <f>Data!J269</f>
        <v/>
      </c>
      <c r="C272" s="15">
        <f>Data!G269</f>
        <v/>
      </c>
      <c r="D272" s="15">
        <f>MultiReg!$K$29+MultiReg!$L$29*Data!C269+MultiReg!$M$29*Data!D269+MultiReg!$N$29*Data!E269</f>
        <v/>
      </c>
      <c r="E272" s="15">
        <f>D272-C272</f>
        <v/>
      </c>
      <c r="F272" s="15">
        <f>E272^2</f>
        <v/>
      </c>
    </row>
    <row r="273">
      <c r="A273">
        <f>Data!A270</f>
        <v/>
      </c>
      <c r="B273">
        <f>Data!J270</f>
        <v/>
      </c>
      <c r="C273" s="15">
        <f>Data!G270</f>
        <v/>
      </c>
      <c r="D273" s="15">
        <f>MultiReg!$K$29+MultiReg!$L$29*Data!C270+MultiReg!$M$29*Data!D270+MultiReg!$N$29*Data!E270</f>
        <v/>
      </c>
      <c r="E273" s="15">
        <f>D273-C273</f>
        <v/>
      </c>
      <c r="F273" s="15">
        <f>E273^2</f>
        <v/>
      </c>
    </row>
    <row r="274">
      <c r="A274">
        <f>Data!A271</f>
        <v/>
      </c>
      <c r="B274">
        <f>Data!J271</f>
        <v/>
      </c>
      <c r="C274" s="15">
        <f>Data!G271</f>
        <v/>
      </c>
      <c r="D274" s="15">
        <f>MultiReg!$K$29+MultiReg!$L$29*Data!C271+MultiReg!$M$29*Data!D271+MultiReg!$N$29*Data!E271</f>
        <v/>
      </c>
      <c r="E274" s="15">
        <f>D274-C274</f>
        <v/>
      </c>
      <c r="F274" s="15">
        <f>E274^2</f>
        <v/>
      </c>
    </row>
    <row r="275">
      <c r="A275">
        <f>Data!A272</f>
        <v/>
      </c>
      <c r="B275">
        <f>Data!J272</f>
        <v/>
      </c>
      <c r="C275" s="15">
        <f>Data!G272</f>
        <v/>
      </c>
      <c r="D275" s="15">
        <f>MultiReg!$K$29+MultiReg!$L$29*Data!C272+MultiReg!$M$29*Data!D272+MultiReg!$N$29*Data!E272</f>
        <v/>
      </c>
      <c r="E275" s="15">
        <f>D275-C275</f>
        <v/>
      </c>
      <c r="F275" s="15">
        <f>E275^2</f>
        <v/>
      </c>
    </row>
    <row r="276">
      <c r="A276">
        <f>Data!A273</f>
        <v/>
      </c>
      <c r="B276">
        <f>Data!J273</f>
        <v/>
      </c>
      <c r="C276" s="15">
        <f>Data!G273</f>
        <v/>
      </c>
      <c r="D276" s="15">
        <f>MultiReg!$K$29+MultiReg!$L$29*Data!C273+MultiReg!$M$29*Data!D273+MultiReg!$N$29*Data!E273</f>
        <v/>
      </c>
      <c r="E276" s="15">
        <f>D276-C276</f>
        <v/>
      </c>
      <c r="F276" s="15">
        <f>E276^2</f>
        <v/>
      </c>
    </row>
    <row r="277">
      <c r="A277">
        <f>Data!A274</f>
        <v/>
      </c>
      <c r="B277">
        <f>Data!J274</f>
        <v/>
      </c>
      <c r="C277" s="15">
        <f>Data!G274</f>
        <v/>
      </c>
      <c r="D277" s="15">
        <f>MultiReg!$K$29+MultiReg!$L$29*Data!C274+MultiReg!$M$29*Data!D274+MultiReg!$N$29*Data!E274</f>
        <v/>
      </c>
      <c r="E277" s="15">
        <f>D277-C277</f>
        <v/>
      </c>
      <c r="F277" s="15">
        <f>E277^2</f>
        <v/>
      </c>
    </row>
    <row r="278">
      <c r="A278">
        <f>Data!A275</f>
        <v/>
      </c>
      <c r="B278">
        <f>Data!J275</f>
        <v/>
      </c>
      <c r="C278" s="15">
        <f>Data!G275</f>
        <v/>
      </c>
      <c r="D278" s="15">
        <f>MultiReg!$K$29+MultiReg!$L$29*Data!C275+MultiReg!$M$29*Data!D275+MultiReg!$N$29*Data!E275</f>
        <v/>
      </c>
      <c r="E278" s="15">
        <f>D278-C278</f>
        <v/>
      </c>
      <c r="F278" s="15">
        <f>E278^2</f>
        <v/>
      </c>
    </row>
    <row r="279">
      <c r="A279">
        <f>Data!A276</f>
        <v/>
      </c>
      <c r="B279">
        <f>Data!J276</f>
        <v/>
      </c>
      <c r="C279" s="15">
        <f>Data!G276</f>
        <v/>
      </c>
      <c r="D279" s="15">
        <f>MultiReg!$K$29+MultiReg!$L$29*Data!C276+MultiReg!$M$29*Data!D276+MultiReg!$N$29*Data!E276</f>
        <v/>
      </c>
      <c r="E279" s="15">
        <f>D279-C279</f>
        <v/>
      </c>
      <c r="F279" s="15">
        <f>E279^2</f>
        <v/>
      </c>
    </row>
    <row r="280">
      <c r="A280">
        <f>Data!A277</f>
        <v/>
      </c>
      <c r="B280">
        <f>Data!J277</f>
        <v/>
      </c>
      <c r="C280" s="15">
        <f>Data!G277</f>
        <v/>
      </c>
      <c r="D280" s="15">
        <f>MultiReg!$K$29+MultiReg!$L$29*Data!C277+MultiReg!$M$29*Data!D277+MultiReg!$N$29*Data!E277</f>
        <v/>
      </c>
      <c r="E280" s="15">
        <f>D280-C280</f>
        <v/>
      </c>
      <c r="F280" s="15">
        <f>E280^2</f>
        <v/>
      </c>
    </row>
    <row r="281">
      <c r="A281">
        <f>Data!A278</f>
        <v/>
      </c>
      <c r="B281">
        <f>Data!J278</f>
        <v/>
      </c>
      <c r="C281" s="15">
        <f>Data!G278</f>
        <v/>
      </c>
      <c r="D281" s="15">
        <f>MultiReg!$K$29+MultiReg!$L$29*Data!C278+MultiReg!$M$29*Data!D278+MultiReg!$N$29*Data!E278</f>
        <v/>
      </c>
      <c r="E281" s="15">
        <f>D281-C281</f>
        <v/>
      </c>
      <c r="F281" s="15">
        <f>E281^2</f>
        <v/>
      </c>
    </row>
    <row r="282">
      <c r="A282">
        <f>Data!A279</f>
        <v/>
      </c>
      <c r="B282">
        <f>Data!J279</f>
        <v/>
      </c>
      <c r="C282" s="15">
        <f>Data!G279</f>
        <v/>
      </c>
      <c r="D282" s="15">
        <f>MultiReg!$K$29+MultiReg!$L$29*Data!C279+MultiReg!$M$29*Data!D279+MultiReg!$N$29*Data!E279</f>
        <v/>
      </c>
      <c r="E282" s="15">
        <f>D282-C282</f>
        <v/>
      </c>
      <c r="F282" s="15">
        <f>E282^2</f>
        <v/>
      </c>
    </row>
    <row r="283">
      <c r="A283">
        <f>Data!A280</f>
        <v/>
      </c>
      <c r="B283">
        <f>Data!J280</f>
        <v/>
      </c>
      <c r="C283" s="15">
        <f>Data!G280</f>
        <v/>
      </c>
      <c r="D283" s="15">
        <f>MultiReg!$K$29+MultiReg!$L$29*Data!C280+MultiReg!$M$29*Data!D280+MultiReg!$N$29*Data!E280</f>
        <v/>
      </c>
      <c r="E283" s="15">
        <f>D283-C283</f>
        <v/>
      </c>
      <c r="F283" s="15">
        <f>E283^2</f>
        <v/>
      </c>
    </row>
    <row r="284">
      <c r="A284">
        <f>Data!A281</f>
        <v/>
      </c>
      <c r="B284">
        <f>Data!J281</f>
        <v/>
      </c>
      <c r="C284" s="15">
        <f>Data!G281</f>
        <v/>
      </c>
      <c r="D284" s="15">
        <f>MultiReg!$K$29+MultiReg!$L$29*Data!C281+MultiReg!$M$29*Data!D281+MultiReg!$N$29*Data!E281</f>
        <v/>
      </c>
      <c r="E284" s="15">
        <f>D284-C284</f>
        <v/>
      </c>
      <c r="F284" s="15">
        <f>E284^2</f>
        <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P284"/>
  <sheetViews>
    <sheetView workbookViewId="0">
      <pane ySplit="4" topLeftCell="A5" activePane="bottomLeft" state="frozen"/>
      <selection pane="bottomLeft" activeCell="A1" sqref="A1"/>
    </sheetView>
  </sheetViews>
  <sheetFormatPr baseColWidth="8" defaultRowHeight="15"/>
  <cols>
    <col width="8" customWidth="1" min="1" max="1"/>
    <col width="8" customWidth="1" min="2" max="2"/>
    <col width="12" customWidth="1" min="3" max="3"/>
    <col width="13" customWidth="1" min="4" max="4"/>
    <col width="10" customWidth="1" min="5" max="5"/>
    <col width="14" customWidth="1" min="6" max="6"/>
    <col width="14" customWidth="1" min="7" max="7"/>
    <col width="14" customWidth="1" min="8" max="8"/>
    <col width="12" customWidth="1" min="9" max="9"/>
    <col width="3" customWidth="1" min="10" max="10"/>
    <col width="3" customWidth="1" min="11" max="11"/>
    <col width="44" customWidth="1" min="12" max="12"/>
    <col width="14" customWidth="1" min="13" max="13"/>
    <col width="16" customWidth="1" min="14" max="14"/>
    <col width="14" customWidth="1" min="15" max="15"/>
    <col width="16" customWidth="1" min="16" max="16"/>
    <col width="50" customWidth="1" min="17" max="17"/>
  </cols>
  <sheetData>
    <row r="1">
      <c r="A1" s="8" t="inlineStr">
        <is>
          <t>Variance deflation: ln(rain) regressed on slp, q, t850 (calibration), applied to validation months</t>
        </is>
      </c>
    </row>
    <row r="2">
      <c r="A2" t="inlineStr">
        <is>
          <t>Regression is done on ln(rain) so that rainfall stays positive; fitted + noise on the log scale gives lognormal rainfall.</t>
        </is>
      </c>
    </row>
    <row r="4">
      <c r="A4" s="4" t="inlineStr">
        <is>
          <t>year</t>
        </is>
      </c>
      <c r="B4" s="4" t="inlineStr">
        <is>
          <t>period</t>
        </is>
      </c>
      <c r="C4" s="4" t="inlineStr">
        <is>
          <t>ln(rain) obs</t>
        </is>
      </c>
      <c r="D4" s="4" t="inlineStr">
        <is>
          <t>fitted ln rain</t>
        </is>
      </c>
      <c r="E4" s="4" t="inlineStr">
        <is>
          <t>residual</t>
        </is>
      </c>
      <c r="F4" s="4" t="inlineStr">
        <is>
          <t>rain: deterministic</t>
        </is>
      </c>
      <c r="G4" s="4" t="inlineStr">
        <is>
          <t>rain: fitted + noise</t>
        </is>
      </c>
      <c r="H4" s="4" t="inlineStr">
        <is>
          <t>rain: variance inflated</t>
        </is>
      </c>
      <c r="I4" s="4" t="inlineStr">
        <is>
          <t>rain observed</t>
        </is>
      </c>
      <c r="L4" t="inlineStr">
        <is>
          <t>intercept</t>
        </is>
      </c>
      <c r="M4" s="11">
        <f>INDEX(LINEST($C$5:$C$164,Data!$C$2:$E$161,TRUE,TRUE),1,4)</f>
        <v/>
      </c>
      <c r="N4" t="inlineStr">
        <is>
          <t>LINEST order is reversed</t>
        </is>
      </c>
    </row>
    <row r="5">
      <c r="A5">
        <f>Data!A2</f>
        <v/>
      </c>
      <c r="B5">
        <f>Data!J2</f>
        <v/>
      </c>
      <c r="C5" s="15">
        <f>LN(Data!H2)</f>
        <v/>
      </c>
      <c r="D5" s="15">
        <f>$M$4+$M$5*Data!C2+$M$6*Data!D2+$M$7*Data!E2</f>
        <v/>
      </c>
      <c r="E5" s="15">
        <f>C5-D5</f>
        <v/>
      </c>
      <c r="F5" s="20">
        <f>EXP(D5)</f>
        <v/>
      </c>
      <c r="G5" s="20">
        <f>EXP(D5+$M$9*Data!I2)</f>
        <v/>
      </c>
      <c r="H5" s="20">
        <f>EXP($M$10+(D5-$M$10)/SQRT($M$8))</f>
        <v/>
      </c>
      <c r="I5" s="20">
        <f>Data!H2</f>
        <v/>
      </c>
      <c r="L5" t="inlineStr">
        <is>
          <t>b_slp</t>
        </is>
      </c>
      <c r="M5" s="11">
        <f>INDEX(LINEST($C$5:$C$164,Data!$C$2:$E$161,TRUE,TRUE),1,3)</f>
        <v/>
      </c>
    </row>
    <row r="6">
      <c r="A6">
        <f>Data!A3</f>
        <v/>
      </c>
      <c r="B6">
        <f>Data!J3</f>
        <v/>
      </c>
      <c r="C6" s="15">
        <f>LN(Data!H3)</f>
        <v/>
      </c>
      <c r="D6" s="15">
        <f>$M$4+$M$5*Data!C3+$M$6*Data!D3+$M$7*Data!E3</f>
        <v/>
      </c>
      <c r="E6" s="15">
        <f>C6-D6</f>
        <v/>
      </c>
      <c r="F6" s="20">
        <f>EXP(D6)</f>
        <v/>
      </c>
      <c r="G6" s="20">
        <f>EXP(D6+$M$9*Data!I3)</f>
        <v/>
      </c>
      <c r="H6" s="20">
        <f>EXP($M$10+(D6-$M$10)/SQRT($M$8))</f>
        <v/>
      </c>
      <c r="I6" s="20">
        <f>Data!H3</f>
        <v/>
      </c>
      <c r="L6" t="inlineStr">
        <is>
          <t>b_q</t>
        </is>
      </c>
      <c r="M6" s="11">
        <f>INDEX(LINEST($C$5:$C$164,Data!$C$2:$E$161,TRUE,TRUE),1,2)</f>
        <v/>
      </c>
    </row>
    <row r="7">
      <c r="A7">
        <f>Data!A4</f>
        <v/>
      </c>
      <c r="B7">
        <f>Data!J4</f>
        <v/>
      </c>
      <c r="C7" s="15">
        <f>LN(Data!H4)</f>
        <v/>
      </c>
      <c r="D7" s="15">
        <f>$M$4+$M$5*Data!C4+$M$6*Data!D4+$M$7*Data!E4</f>
        <v/>
      </c>
      <c r="E7" s="15">
        <f>C7-D7</f>
        <v/>
      </c>
      <c r="F7" s="20">
        <f>EXP(D7)</f>
        <v/>
      </c>
      <c r="G7" s="20">
        <f>EXP(D7+$M$9*Data!I4)</f>
        <v/>
      </c>
      <c r="H7" s="20">
        <f>EXP($M$10+(D7-$M$10)/SQRT($M$8))</f>
        <v/>
      </c>
      <c r="I7" s="20">
        <f>Data!H4</f>
        <v/>
      </c>
      <c r="L7" t="inlineStr">
        <is>
          <t>b_t850</t>
        </is>
      </c>
      <c r="M7" s="11">
        <f>INDEX(LINEST($C$5:$C$164,Data!$C$2:$E$161,TRUE,TRUE),1,1)</f>
        <v/>
      </c>
    </row>
    <row r="8">
      <c r="A8">
        <f>Data!A5</f>
        <v/>
      </c>
      <c r="B8">
        <f>Data!J5</f>
        <v/>
      </c>
      <c r="C8" s="15">
        <f>LN(Data!H5)</f>
        <v/>
      </c>
      <c r="D8" s="15">
        <f>$M$4+$M$5*Data!C5+$M$6*Data!D5+$M$7*Data!E5</f>
        <v/>
      </c>
      <c r="E8" s="15">
        <f>C8-D8</f>
        <v/>
      </c>
      <c r="F8" s="20">
        <f>EXP(D8)</f>
        <v/>
      </c>
      <c r="G8" s="20">
        <f>EXP(D8+$M$9*Data!I5)</f>
        <v/>
      </c>
      <c r="H8" s="20">
        <f>EXP($M$10+(D8-$M$10)/SQRT($M$8))</f>
        <v/>
      </c>
      <c r="I8" s="20">
        <f>Data!H5</f>
        <v/>
      </c>
      <c r="L8" t="inlineStr">
        <is>
          <t>R2 (calibration)</t>
        </is>
      </c>
      <c r="M8" s="13">
        <f>INDEX(LINEST($C$5:$C$164,Data!$C$2:$E$161,TRUE,TRUE),3,1)</f>
        <v/>
      </c>
    </row>
    <row r="9">
      <c r="A9">
        <f>Data!A6</f>
        <v/>
      </c>
      <c r="B9">
        <f>Data!J6</f>
        <v/>
      </c>
      <c r="C9" s="15">
        <f>LN(Data!H6)</f>
        <v/>
      </c>
      <c r="D9" s="15">
        <f>$M$4+$M$5*Data!C6+$M$6*Data!D6+$M$7*Data!E6</f>
        <v/>
      </c>
      <c r="E9" s="15">
        <f>C9-D9</f>
        <v/>
      </c>
      <c r="F9" s="20">
        <f>EXP(D9)</f>
        <v/>
      </c>
      <c r="G9" s="20">
        <f>EXP(D9+$M$9*Data!I6)</f>
        <v/>
      </c>
      <c r="H9" s="20">
        <f>EXP($M$10+(D9-$M$10)/SQRT($M$8))</f>
        <v/>
      </c>
      <c r="I9" s="20">
        <f>Data!H6</f>
        <v/>
      </c>
      <c r="L9" t="inlineStr">
        <is>
          <t>residual SD s_e</t>
        </is>
      </c>
      <c r="M9" s="11">
        <f>INDEX(LINEST($C$5:$C$164,Data!$C$2:$E$161,TRUE,TRUE),3,2)</f>
        <v/>
      </c>
      <c r="N9" t="inlineStr">
        <is>
          <t>standard error of y estimate, sqrt(SSE/(n-p-1))</t>
        </is>
      </c>
    </row>
    <row r="10">
      <c r="A10">
        <f>Data!A7</f>
        <v/>
      </c>
      <c r="B10">
        <f>Data!J7</f>
        <v/>
      </c>
      <c r="C10" s="15">
        <f>LN(Data!H7)</f>
        <v/>
      </c>
      <c r="D10" s="15">
        <f>$M$4+$M$5*Data!C7+$M$6*Data!D7+$M$7*Data!E7</f>
        <v/>
      </c>
      <c r="E10" s="15">
        <f>C10-D10</f>
        <v/>
      </c>
      <c r="F10" s="20">
        <f>EXP(D10)</f>
        <v/>
      </c>
      <c r="G10" s="20">
        <f>EXP(D10+$M$9*Data!I7)</f>
        <v/>
      </c>
      <c r="H10" s="20">
        <f>EXP($M$10+(D10-$M$10)/SQRT($M$8))</f>
        <v/>
      </c>
      <c r="I10" s="20">
        <f>Data!H7</f>
        <v/>
      </c>
      <c r="L10" t="inlineStr">
        <is>
          <t>mean ln rain (cal)</t>
        </is>
      </c>
      <c r="M10" s="11">
        <f>AVERAGE($C$5:$C$164)</f>
        <v/>
      </c>
    </row>
    <row r="11">
      <c r="A11">
        <f>Data!A8</f>
        <v/>
      </c>
      <c r="B11">
        <f>Data!J8</f>
        <v/>
      </c>
      <c r="C11" s="15">
        <f>LN(Data!H8)</f>
        <v/>
      </c>
      <c r="D11" s="15">
        <f>$M$4+$M$5*Data!C8+$M$6*Data!D8+$M$7*Data!E8</f>
        <v/>
      </c>
      <c r="E11" s="15">
        <f>C11-D11</f>
        <v/>
      </c>
      <c r="F11" s="20">
        <f>EXP(D11)</f>
        <v/>
      </c>
      <c r="G11" s="20">
        <f>EXP(D11+$M$9*Data!I8)</f>
        <v/>
      </c>
      <c r="H11" s="20">
        <f>EXP($M$10+(D11-$M$10)/SQRT($M$8))</f>
        <v/>
      </c>
      <c r="I11" s="20">
        <f>Data!H8</f>
        <v/>
      </c>
      <c r="L11" t="inlineStr">
        <is>
          <t>Var(ln rain) (cal)</t>
        </is>
      </c>
      <c r="M11" s="11">
        <f>STDEV.S($C$5:$C$164)^2</f>
        <v/>
      </c>
      <c r="N11" t="inlineStr">
        <is>
          <t>total variance</t>
        </is>
      </c>
    </row>
    <row r="12">
      <c r="A12">
        <f>Data!A9</f>
        <v/>
      </c>
      <c r="B12">
        <f>Data!J9</f>
        <v/>
      </c>
      <c r="C12" s="15">
        <f>LN(Data!H9)</f>
        <v/>
      </c>
      <c r="D12" s="15">
        <f>$M$4+$M$5*Data!C9+$M$6*Data!D9+$M$7*Data!E9</f>
        <v/>
      </c>
      <c r="E12" s="15">
        <f>C12-D12</f>
        <v/>
      </c>
      <c r="F12" s="20">
        <f>EXP(D12)</f>
        <v/>
      </c>
      <c r="G12" s="20">
        <f>EXP(D12+$M$9*Data!I9)</f>
        <v/>
      </c>
      <c r="H12" s="20">
        <f>EXP($M$10+(D12-$M$10)/SQRT($M$8))</f>
        <v/>
      </c>
      <c r="I12" s="20">
        <f>Data!H9</f>
        <v/>
      </c>
      <c r="L12" t="inlineStr">
        <is>
          <t>Var(fitted) (cal)</t>
        </is>
      </c>
      <c r="M12" s="11">
        <f>STDEV.S($D$5:$D$164)^2</f>
        <v/>
      </c>
      <c r="N12" t="inlineStr">
        <is>
          <t>explained variance</t>
        </is>
      </c>
    </row>
    <row r="13">
      <c r="A13">
        <f>Data!A10</f>
        <v/>
      </c>
      <c r="B13">
        <f>Data!J10</f>
        <v/>
      </c>
      <c r="C13" s="15">
        <f>LN(Data!H10)</f>
        <v/>
      </c>
      <c r="D13" s="15">
        <f>$M$4+$M$5*Data!C10+$M$6*Data!D10+$M$7*Data!E10</f>
        <v/>
      </c>
      <c r="E13" s="15">
        <f>C13-D13</f>
        <v/>
      </c>
      <c r="F13" s="20">
        <f>EXP(D13)</f>
        <v/>
      </c>
      <c r="G13" s="20">
        <f>EXP(D13+$M$9*Data!I10)</f>
        <v/>
      </c>
      <c r="H13" s="20">
        <f>EXP($M$10+(D13-$M$10)/SQRT($M$8))</f>
        <v/>
      </c>
      <c r="I13" s="20">
        <f>Data!H10</f>
        <v/>
      </c>
      <c r="L13" t="inlineStr">
        <is>
          <t>Var(residual) (cal)</t>
        </is>
      </c>
      <c r="M13" s="11">
        <f>STDEV.S($E$5:$E$164)^2</f>
        <v/>
      </c>
      <c r="N13" t="inlineStr">
        <is>
          <t>unexplained variance</t>
        </is>
      </c>
    </row>
    <row r="14">
      <c r="A14">
        <f>Data!A11</f>
        <v/>
      </c>
      <c r="B14">
        <f>Data!J11</f>
        <v/>
      </c>
      <c r="C14" s="15">
        <f>LN(Data!H11)</f>
        <v/>
      </c>
      <c r="D14" s="15">
        <f>$M$4+$M$5*Data!C11+$M$6*Data!D11+$M$7*Data!E11</f>
        <v/>
      </c>
      <c r="E14" s="15">
        <f>C14-D14</f>
        <v/>
      </c>
      <c r="F14" s="20">
        <f>EXP(D14)</f>
        <v/>
      </c>
      <c r="G14" s="20">
        <f>EXP(D14+$M$9*Data!I11)</f>
        <v/>
      </c>
      <c r="H14" s="20">
        <f>EXP($M$10+(D14-$M$10)/SQRT($M$8))</f>
        <v/>
      </c>
      <c r="I14" s="20">
        <f>Data!H11</f>
        <v/>
      </c>
      <c r="L14" t="inlineStr">
        <is>
          <t>Var(fitted) + Var(residual)</t>
        </is>
      </c>
      <c r="M14" s="11">
        <f>$M$12+$M$13</f>
        <v/>
      </c>
      <c r="N14" t="inlineStr">
        <is>
          <t>must equal Var(ln rain)</t>
        </is>
      </c>
    </row>
    <row r="15">
      <c r="A15">
        <f>Data!A12</f>
        <v/>
      </c>
      <c r="B15">
        <f>Data!J12</f>
        <v/>
      </c>
      <c r="C15" s="15">
        <f>LN(Data!H12)</f>
        <v/>
      </c>
      <c r="D15" s="15">
        <f>$M$4+$M$5*Data!C12+$M$6*Data!D12+$M$7*Data!E12</f>
        <v/>
      </c>
      <c r="E15" s="15">
        <f>C15-D15</f>
        <v/>
      </c>
      <c r="F15" s="20">
        <f>EXP(D15)</f>
        <v/>
      </c>
      <c r="G15" s="20">
        <f>EXP(D15+$M$9*Data!I12)</f>
        <v/>
      </c>
      <c r="H15" s="20">
        <f>EXP($M$10+(D15-$M$10)/SQRT($M$8))</f>
        <v/>
      </c>
      <c r="I15" s="20">
        <f>Data!H12</f>
        <v/>
      </c>
      <c r="L15" t="inlineStr">
        <is>
          <t>Var(fitted)/Var(ln rain)</t>
        </is>
      </c>
      <c r="M15" s="13">
        <f>$M$12/$M$11</f>
        <v/>
      </c>
      <c r="N15" t="inlineStr">
        <is>
          <t>equals R2: the variance the downscaled series keeps</t>
        </is>
      </c>
    </row>
    <row r="16">
      <c r="A16">
        <f>Data!A13</f>
        <v/>
      </c>
      <c r="B16">
        <f>Data!J13</f>
        <v/>
      </c>
      <c r="C16" s="15">
        <f>LN(Data!H13)</f>
        <v/>
      </c>
      <c r="D16" s="15">
        <f>$M$4+$M$5*Data!C13+$M$6*Data!D13+$M$7*Data!E13</f>
        <v/>
      </c>
      <c r="E16" s="15">
        <f>C16-D16</f>
        <v/>
      </c>
      <c r="F16" s="20">
        <f>EXP(D16)</f>
        <v/>
      </c>
      <c r="G16" s="20">
        <f>EXP(D16+$M$9*Data!I13)</f>
        <v/>
      </c>
      <c r="H16" s="20">
        <f>EXP($M$10+(D16-$M$10)/SQRT($M$8))</f>
        <v/>
      </c>
      <c r="I16" s="20">
        <f>Data!H13</f>
        <v/>
      </c>
    </row>
    <row r="17">
      <c r="A17">
        <f>Data!A14</f>
        <v/>
      </c>
      <c r="B17">
        <f>Data!J14</f>
        <v/>
      </c>
      <c r="C17" s="15">
        <f>LN(Data!H14)</f>
        <v/>
      </c>
      <c r="D17" s="15">
        <f>$M$4+$M$5*Data!C14+$M$6*Data!D14+$M$7*Data!E14</f>
        <v/>
      </c>
      <c r="E17" s="15">
        <f>C17-D17</f>
        <v/>
      </c>
      <c r="F17" s="20">
        <f>EXP(D17)</f>
        <v/>
      </c>
      <c r="G17" s="20">
        <f>EXP(D17+$M$9*Data!I14)</f>
        <v/>
      </c>
      <c r="H17" s="20">
        <f>EXP($M$10+(D17-$M$10)/SQRT($M$8))</f>
        <v/>
      </c>
      <c r="I17" s="20">
        <f>Data!H14</f>
        <v/>
      </c>
    </row>
    <row r="18">
      <c r="A18">
        <f>Data!A15</f>
        <v/>
      </c>
      <c r="B18">
        <f>Data!J15</f>
        <v/>
      </c>
      <c r="C18" s="15">
        <f>LN(Data!H15)</f>
        <v/>
      </c>
      <c r="D18" s="15">
        <f>$M$4+$M$5*Data!C15+$M$6*Data!D15+$M$7*Data!E15</f>
        <v/>
      </c>
      <c r="E18" s="15">
        <f>C18-D18</f>
        <v/>
      </c>
      <c r="F18" s="20">
        <f>EXP(D18)</f>
        <v/>
      </c>
      <c r="G18" s="20">
        <f>EXP(D18+$M$9*Data!I15)</f>
        <v/>
      </c>
      <c r="H18" s="20">
        <f>EXP($M$10+(D18-$M$10)/SQRT($M$8))</f>
        <v/>
      </c>
      <c r="I18" s="20">
        <f>Data!H15</f>
        <v/>
      </c>
    </row>
    <row r="19">
      <c r="A19">
        <f>Data!A16</f>
        <v/>
      </c>
      <c r="B19">
        <f>Data!J16</f>
        <v/>
      </c>
      <c r="C19" s="15">
        <f>LN(Data!H16)</f>
        <v/>
      </c>
      <c r="D19" s="15">
        <f>$M$4+$M$5*Data!C16+$M$6*Data!D16+$M$7*Data!E16</f>
        <v/>
      </c>
      <c r="E19" s="15">
        <f>C19-D19</f>
        <v/>
      </c>
      <c r="F19" s="20">
        <f>EXP(D19)</f>
        <v/>
      </c>
      <c r="G19" s="20">
        <f>EXP(D19+$M$9*Data!I16)</f>
        <v/>
      </c>
      <c r="H19" s="20">
        <f>EXP($M$10+(D19-$M$10)/SQRT($M$8))</f>
        <v/>
      </c>
      <c r="I19" s="20">
        <f>Data!H16</f>
        <v/>
      </c>
      <c r="L19" s="9" t="inlineStr">
        <is>
          <t>Validation months 1991-2020: rainfall statistics [mm]</t>
        </is>
      </c>
    </row>
    <row r="20">
      <c r="A20">
        <f>Data!A17</f>
        <v/>
      </c>
      <c r="B20">
        <f>Data!J17</f>
        <v/>
      </c>
      <c r="C20" s="15">
        <f>LN(Data!H17)</f>
        <v/>
      </c>
      <c r="D20" s="15">
        <f>$M$4+$M$5*Data!C17+$M$6*Data!D17+$M$7*Data!E17</f>
        <v/>
      </c>
      <c r="E20" s="15">
        <f>C20-D20</f>
        <v/>
      </c>
      <c r="F20" s="20">
        <f>EXP(D20)</f>
        <v/>
      </c>
      <c r="G20" s="20">
        <f>EXP(D20+$M$9*Data!I17)</f>
        <v/>
      </c>
      <c r="H20" s="20">
        <f>EXP($M$10+(D20-$M$10)/SQRT($M$8))</f>
        <v/>
      </c>
      <c r="I20" s="20">
        <f>Data!H17</f>
        <v/>
      </c>
      <c r="L20" s="4" t="inlineStr">
        <is>
          <t>statistic</t>
        </is>
      </c>
      <c r="M20" s="4" t="inlineStr">
        <is>
          <t>observed</t>
        </is>
      </c>
      <c r="N20" s="4" t="inlineStr">
        <is>
          <t>deterministic fit</t>
        </is>
      </c>
      <c r="O20" s="4" t="inlineStr">
        <is>
          <t>fit + noise</t>
        </is>
      </c>
      <c r="P20" s="4" t="inlineStr">
        <is>
          <t>variance inflated</t>
        </is>
      </c>
    </row>
    <row r="21">
      <c r="A21">
        <f>Data!A18</f>
        <v/>
      </c>
      <c r="B21">
        <f>Data!J18</f>
        <v/>
      </c>
      <c r="C21" s="15">
        <f>LN(Data!H18)</f>
        <v/>
      </c>
      <c r="D21" s="15">
        <f>$M$4+$M$5*Data!C18+$M$6*Data!D18+$M$7*Data!E18</f>
        <v/>
      </c>
      <c r="E21" s="15">
        <f>C21-D21</f>
        <v/>
      </c>
      <c r="F21" s="20">
        <f>EXP(D21)</f>
        <v/>
      </c>
      <c r="G21" s="20">
        <f>EXP(D21+$M$9*Data!I18)</f>
        <v/>
      </c>
      <c r="H21" s="20">
        <f>EXP($M$10+(D21-$M$10)/SQRT($M$8))</f>
        <v/>
      </c>
      <c r="I21" s="20">
        <f>Data!H18</f>
        <v/>
      </c>
      <c r="L21" t="inlineStr">
        <is>
          <t>mean</t>
        </is>
      </c>
      <c r="M21" s="20">
        <f>AVERAGE(I165:I284)</f>
        <v/>
      </c>
      <c r="N21" s="20">
        <f>AVERAGE(F165:F284)</f>
        <v/>
      </c>
      <c r="O21" s="20">
        <f>AVERAGE(G165:G284)</f>
        <v/>
      </c>
      <c r="P21" s="20">
        <f>AVERAGE(H165:H284)</f>
        <v/>
      </c>
    </row>
    <row r="22">
      <c r="A22">
        <f>Data!A19</f>
        <v/>
      </c>
      <c r="B22">
        <f>Data!J19</f>
        <v/>
      </c>
      <c r="C22" s="15">
        <f>LN(Data!H19)</f>
        <v/>
      </c>
      <c r="D22" s="15">
        <f>$M$4+$M$5*Data!C19+$M$6*Data!D19+$M$7*Data!E19</f>
        <v/>
      </c>
      <c r="E22" s="15">
        <f>C22-D22</f>
        <v/>
      </c>
      <c r="F22" s="20">
        <f>EXP(D22)</f>
        <v/>
      </c>
      <c r="G22" s="20">
        <f>EXP(D22+$M$9*Data!I19)</f>
        <v/>
      </c>
      <c r="H22" s="20">
        <f>EXP($M$10+(D22-$M$10)/SQRT($M$8))</f>
        <v/>
      </c>
      <c r="I22" s="20">
        <f>Data!H19</f>
        <v/>
      </c>
      <c r="L22" t="inlineStr">
        <is>
          <t>SD</t>
        </is>
      </c>
      <c r="M22" s="20">
        <f>STDEV.S(I165:I284)</f>
        <v/>
      </c>
      <c r="N22" s="20">
        <f>STDEV.S(F165:F284)</f>
        <v/>
      </c>
      <c r="O22" s="20">
        <f>STDEV.S(G165:G284)</f>
        <v/>
      </c>
      <c r="P22" s="20">
        <f>STDEV.S(H165:H284)</f>
        <v/>
      </c>
    </row>
    <row r="23">
      <c r="A23">
        <f>Data!A20</f>
        <v/>
      </c>
      <c r="B23">
        <f>Data!J20</f>
        <v/>
      </c>
      <c r="C23" s="15">
        <f>LN(Data!H20)</f>
        <v/>
      </c>
      <c r="D23" s="15">
        <f>$M$4+$M$5*Data!C20+$M$6*Data!D20+$M$7*Data!E20</f>
        <v/>
      </c>
      <c r="E23" s="15">
        <f>C23-D23</f>
        <v/>
      </c>
      <c r="F23" s="20">
        <f>EXP(D23)</f>
        <v/>
      </c>
      <c r="G23" s="20">
        <f>EXP(D23+$M$9*Data!I20)</f>
        <v/>
      </c>
      <c r="H23" s="20">
        <f>EXP($M$10+(D23-$M$10)/SQRT($M$8))</f>
        <v/>
      </c>
      <c r="I23" s="20">
        <f>Data!H20</f>
        <v/>
      </c>
      <c r="L23" t="inlineStr">
        <is>
          <t>median (P50)</t>
        </is>
      </c>
      <c r="M23" s="20">
        <f>PERCENTILE.INC(I165:I284,0.5)</f>
        <v/>
      </c>
      <c r="N23" s="20">
        <f>PERCENTILE.INC(F165:F284,0.5)</f>
        <v/>
      </c>
      <c r="O23" s="20">
        <f>PERCENTILE.INC(G165:G284,0.5)</f>
        <v/>
      </c>
      <c r="P23" s="20">
        <f>PERCENTILE.INC(H165:H284,0.5)</f>
        <v/>
      </c>
    </row>
    <row r="24">
      <c r="A24">
        <f>Data!A21</f>
        <v/>
      </c>
      <c r="B24">
        <f>Data!J21</f>
        <v/>
      </c>
      <c r="C24" s="15">
        <f>LN(Data!H21)</f>
        <v/>
      </c>
      <c r="D24" s="15">
        <f>$M$4+$M$5*Data!C21+$M$6*Data!D21+$M$7*Data!E21</f>
        <v/>
      </c>
      <c r="E24" s="15">
        <f>C24-D24</f>
        <v/>
      </c>
      <c r="F24" s="20">
        <f>EXP(D24)</f>
        <v/>
      </c>
      <c r="G24" s="20">
        <f>EXP(D24+$M$9*Data!I21)</f>
        <v/>
      </c>
      <c r="H24" s="20">
        <f>EXP($M$10+(D24-$M$10)/SQRT($M$8))</f>
        <v/>
      </c>
      <c r="I24" s="20">
        <f>Data!H21</f>
        <v/>
      </c>
      <c r="L24" t="inlineStr">
        <is>
          <t>P90</t>
        </is>
      </c>
      <c r="M24" s="20">
        <f>PERCENTILE.INC(I165:I284,0.9)</f>
        <v/>
      </c>
      <c r="N24" s="20">
        <f>PERCENTILE.INC(F165:F284,0.9)</f>
        <v/>
      </c>
      <c r="O24" s="20">
        <f>PERCENTILE.INC(G165:G284,0.9)</f>
        <v/>
      </c>
      <c r="P24" s="20">
        <f>PERCENTILE.INC(H165:H284,0.9)</f>
        <v/>
      </c>
    </row>
    <row r="25">
      <c r="A25">
        <f>Data!A22</f>
        <v/>
      </c>
      <c r="B25">
        <f>Data!J22</f>
        <v/>
      </c>
      <c r="C25" s="15">
        <f>LN(Data!H22)</f>
        <v/>
      </c>
      <c r="D25" s="15">
        <f>$M$4+$M$5*Data!C22+$M$6*Data!D22+$M$7*Data!E22</f>
        <v/>
      </c>
      <c r="E25" s="15">
        <f>C25-D25</f>
        <v/>
      </c>
      <c r="F25" s="20">
        <f>EXP(D25)</f>
        <v/>
      </c>
      <c r="G25" s="20">
        <f>EXP(D25+$M$9*Data!I22)</f>
        <v/>
      </c>
      <c r="H25" s="20">
        <f>EXP($M$10+(D25-$M$10)/SQRT($M$8))</f>
        <v/>
      </c>
      <c r="I25" s="20">
        <f>Data!H22</f>
        <v/>
      </c>
      <c r="L25" t="inlineStr">
        <is>
          <t>P99</t>
        </is>
      </c>
      <c r="M25" s="20">
        <f>PERCENTILE.INC(I165:I284,0.99)</f>
        <v/>
      </c>
      <c r="N25" s="20">
        <f>PERCENTILE.INC(F165:F284,0.99)</f>
        <v/>
      </c>
      <c r="O25" s="20">
        <f>PERCENTILE.INC(G165:G284,0.99)</f>
        <v/>
      </c>
      <c r="P25" s="20">
        <f>PERCENTILE.INC(H165:H284,0.99)</f>
        <v/>
      </c>
    </row>
    <row r="26">
      <c r="A26">
        <f>Data!A23</f>
        <v/>
      </c>
      <c r="B26">
        <f>Data!J23</f>
        <v/>
      </c>
      <c r="C26" s="15">
        <f>LN(Data!H23)</f>
        <v/>
      </c>
      <c r="D26" s="15">
        <f>$M$4+$M$5*Data!C23+$M$6*Data!D23+$M$7*Data!E23</f>
        <v/>
      </c>
      <c r="E26" s="15">
        <f>C26-D26</f>
        <v/>
      </c>
      <c r="F26" s="20">
        <f>EXP(D26)</f>
        <v/>
      </c>
      <c r="G26" s="20">
        <f>EXP(D26+$M$9*Data!I23)</f>
        <v/>
      </c>
      <c r="H26" s="20">
        <f>EXP($M$10+(D26-$M$10)/SQRT($M$8))</f>
        <v/>
      </c>
      <c r="I26" s="20">
        <f>Data!H23</f>
        <v/>
      </c>
      <c r="L26" t="inlineStr">
        <is>
          <t>maximum</t>
        </is>
      </c>
      <c r="M26" s="20">
        <f>MAX(I165:I284)</f>
        <v/>
      </c>
      <c r="N26" s="20">
        <f>MAX(F165:F284)</f>
        <v/>
      </c>
      <c r="O26" s="20">
        <f>MAX(G165:G284)</f>
        <v/>
      </c>
      <c r="P26" s="20">
        <f>MAX(H165:H284)</f>
        <v/>
      </c>
    </row>
    <row r="27">
      <c r="A27">
        <f>Data!A24</f>
        <v/>
      </c>
      <c r="B27">
        <f>Data!J24</f>
        <v/>
      </c>
      <c r="C27" s="15">
        <f>LN(Data!H24)</f>
        <v/>
      </c>
      <c r="D27" s="15">
        <f>$M$4+$M$5*Data!C24+$M$6*Data!D24+$M$7*Data!E24</f>
        <v/>
      </c>
      <c r="E27" s="15">
        <f>C27-D27</f>
        <v/>
      </c>
      <c r="F27" s="20">
        <f>EXP(D27)</f>
        <v/>
      </c>
      <c r="G27" s="20">
        <f>EXP(D27+$M$9*Data!I24)</f>
        <v/>
      </c>
      <c r="H27" s="20">
        <f>EXP($M$10+(D27-$M$10)/SQRT($M$8))</f>
        <v/>
      </c>
      <c r="I27" s="20">
        <f>Data!H24</f>
        <v/>
      </c>
      <c r="L27" t="inlineStr">
        <is>
          <t>Share of months above the observed P90 [%]</t>
        </is>
      </c>
      <c r="M27" s="20">
        <f>100*COUNTIF(I165:I284,"&gt;"&amp;$M$24)/COUNT(I165:I284)</f>
        <v/>
      </c>
      <c r="N27" s="20">
        <f>100*COUNTIF(F165:F284,"&gt;"&amp;$M$24)/COUNT(F165:F284)</f>
        <v/>
      </c>
      <c r="O27" s="20">
        <f>100*COUNTIF(G165:G284,"&gt;"&amp;$M$24)/COUNT(G165:G284)</f>
        <v/>
      </c>
      <c r="P27" s="20">
        <f>100*COUNTIF(H165:H284,"&gt;"&amp;$M$24)/COUNT(H165:H284)</f>
        <v/>
      </c>
    </row>
    <row r="28">
      <c r="A28">
        <f>Data!A25</f>
        <v/>
      </c>
      <c r="B28">
        <f>Data!J25</f>
        <v/>
      </c>
      <c r="C28" s="15">
        <f>LN(Data!H25)</f>
        <v/>
      </c>
      <c r="D28" s="15">
        <f>$M$4+$M$5*Data!C25+$M$6*Data!D25+$M$7*Data!E25</f>
        <v/>
      </c>
      <c r="E28" s="15">
        <f>C28-D28</f>
        <v/>
      </c>
      <c r="F28" s="20">
        <f>EXP(D28)</f>
        <v/>
      </c>
      <c r="G28" s="20">
        <f>EXP(D28+$M$9*Data!I25)</f>
        <v/>
      </c>
      <c r="H28" s="20">
        <f>EXP($M$10+(D28-$M$10)/SQRT($M$8))</f>
        <v/>
      </c>
      <c r="I28" s="20">
        <f>Data!H25</f>
        <v/>
      </c>
      <c r="L28" t="inlineStr">
        <is>
          <t>Share of months above the observed P99 [%]</t>
        </is>
      </c>
      <c r="M28" s="20">
        <f>100*COUNTIF(I165:I284,"&gt;"&amp;$M$25)/COUNT(I165:I284)</f>
        <v/>
      </c>
      <c r="N28" s="20">
        <f>100*COUNTIF(F165:F284,"&gt;"&amp;$M$25)/COUNT(F165:F284)</f>
        <v/>
      </c>
      <c r="O28" s="20">
        <f>100*COUNTIF(G165:G284,"&gt;"&amp;$M$25)/COUNT(G165:G284)</f>
        <v/>
      </c>
      <c r="P28" s="20">
        <f>100*COUNTIF(H165:H284,"&gt;"&amp;$M$25)/COUNT(H165:H284)</f>
        <v/>
      </c>
    </row>
    <row r="29">
      <c r="A29">
        <f>Data!A26</f>
        <v/>
      </c>
      <c r="B29">
        <f>Data!J26</f>
        <v/>
      </c>
      <c r="C29" s="15">
        <f>LN(Data!H26)</f>
        <v/>
      </c>
      <c r="D29" s="15">
        <f>$M$4+$M$5*Data!C26+$M$6*Data!D26+$M$7*Data!E26</f>
        <v/>
      </c>
      <c r="E29" s="15">
        <f>C29-D29</f>
        <v/>
      </c>
      <c r="F29" s="20">
        <f>EXP(D29)</f>
        <v/>
      </c>
      <c r="G29" s="20">
        <f>EXP(D29+$M$9*Data!I26)</f>
        <v/>
      </c>
      <c r="H29" s="20">
        <f>EXP($M$10+(D29-$M$10)/SQRT($M$8))</f>
        <v/>
      </c>
      <c r="I29" s="20">
        <f>Data!H26</f>
        <v/>
      </c>
      <c r="L29" t="inlineStr">
        <is>
          <t>Percentile rank of the observed P99 in each series</t>
        </is>
      </c>
      <c r="M29" s="15">
        <f>IF($M$25&gt;=MAX(I165:I284),1,PERCENTRANK.INC(I165:I284,$M$25))</f>
        <v/>
      </c>
      <c r="N29" s="15">
        <f>IF($M$25&gt;=MAX(F165:F284),1,PERCENTRANK.INC(F165:F284,$M$25))</f>
        <v/>
      </c>
      <c r="O29" s="15">
        <f>IF($M$25&gt;=MAX(G165:G284),1,PERCENTRANK.INC(G165:G284,$M$25))</f>
        <v/>
      </c>
      <c r="P29" s="15">
        <f>IF($M$25&gt;=MAX(H165:H284),1,PERCENTRANK.INC(H165:H284,$M$25))</f>
        <v/>
      </c>
    </row>
    <row r="30">
      <c r="A30">
        <f>Data!A27</f>
        <v/>
      </c>
      <c r="B30">
        <f>Data!J27</f>
        <v/>
      </c>
      <c r="C30" s="15">
        <f>LN(Data!H27)</f>
        <v/>
      </c>
      <c r="D30" s="15">
        <f>$M$4+$M$5*Data!C27+$M$6*Data!D27+$M$7*Data!E27</f>
        <v/>
      </c>
      <c r="E30" s="15">
        <f>C30-D30</f>
        <v/>
      </c>
      <c r="F30" s="20">
        <f>EXP(D30)</f>
        <v/>
      </c>
      <c r="G30" s="20">
        <f>EXP(D30+$M$9*Data!I27)</f>
        <v/>
      </c>
      <c r="H30" s="20">
        <f>EXP($M$10+(D30-$M$10)/SQRT($M$8))</f>
        <v/>
      </c>
      <c r="I30" s="20">
        <f>Data!H27</f>
        <v/>
      </c>
    </row>
    <row r="31">
      <c r="A31">
        <f>Data!A28</f>
        <v/>
      </c>
      <c r="B31">
        <f>Data!J28</f>
        <v/>
      </c>
      <c r="C31" s="15">
        <f>LN(Data!H28)</f>
        <v/>
      </c>
      <c r="D31" s="15">
        <f>$M$4+$M$5*Data!C28+$M$6*Data!D28+$M$7*Data!E28</f>
        <v/>
      </c>
      <c r="E31" s="15">
        <f>C31-D31</f>
        <v/>
      </c>
      <c r="F31" s="20">
        <f>EXP(D31)</f>
        <v/>
      </c>
      <c r="G31" s="20">
        <f>EXP(D31+$M$9*Data!I28)</f>
        <v/>
      </c>
      <c r="H31" s="20">
        <f>EXP($M$10+(D31-$M$10)/SQRT($M$8))</f>
        <v/>
      </c>
      <c r="I31" s="20">
        <f>Data!H28</f>
        <v/>
      </c>
      <c r="L31" t="inlineStr">
        <is>
          <t>Reading: the deterministic fit (column N) has too small a spread and almost no months above the observed P99. Adding noise or inflating the variance restores the spread.</t>
        </is>
      </c>
    </row>
    <row r="32">
      <c r="A32">
        <f>Data!A29</f>
        <v/>
      </c>
      <c r="B32">
        <f>Data!J29</f>
        <v/>
      </c>
      <c r="C32" s="15">
        <f>LN(Data!H29)</f>
        <v/>
      </c>
      <c r="D32" s="15">
        <f>$M$4+$M$5*Data!C29+$M$6*Data!D29+$M$7*Data!E29</f>
        <v/>
      </c>
      <c r="E32" s="15">
        <f>C32-D32</f>
        <v/>
      </c>
      <c r="F32" s="20">
        <f>EXP(D32)</f>
        <v/>
      </c>
      <c r="G32" s="20">
        <f>EXP(D32+$M$9*Data!I29)</f>
        <v/>
      </c>
      <c r="H32" s="20">
        <f>EXP($M$10+(D32-$M$10)/SQRT($M$8))</f>
        <v/>
      </c>
      <c r="I32" s="20">
        <f>Data!H29</f>
        <v/>
      </c>
      <c r="L32" t="inlineStr">
        <is>
          <t>Note: exp(fitted ln rain) estimates the median of the lognormal, so the noise version has a larger mean, by about exp(s_e^2/2).</t>
        </is>
      </c>
    </row>
    <row r="33">
      <c r="A33">
        <f>Data!A30</f>
        <v/>
      </c>
      <c r="B33">
        <f>Data!J30</f>
        <v/>
      </c>
      <c r="C33" s="15">
        <f>LN(Data!H30)</f>
        <v/>
      </c>
      <c r="D33" s="15">
        <f>$M$4+$M$5*Data!C30+$M$6*Data!D30+$M$7*Data!E30</f>
        <v/>
      </c>
      <c r="E33" s="15">
        <f>C33-D33</f>
        <v/>
      </c>
      <c r="F33" s="20">
        <f>EXP(D33)</f>
        <v/>
      </c>
      <c r="G33" s="20">
        <f>EXP(D33+$M$9*Data!I30)</f>
        <v/>
      </c>
      <c r="H33" s="20">
        <f>EXP($M$10+(D33-$M$10)/SQRT($M$8))</f>
        <v/>
      </c>
      <c r="I33" s="20">
        <f>Data!H30</f>
        <v/>
      </c>
    </row>
    <row r="34">
      <c r="A34">
        <f>Data!A31</f>
        <v/>
      </c>
      <c r="B34">
        <f>Data!J31</f>
        <v/>
      </c>
      <c r="C34" s="15">
        <f>LN(Data!H31)</f>
        <v/>
      </c>
      <c r="D34" s="15">
        <f>$M$4+$M$5*Data!C31+$M$6*Data!D31+$M$7*Data!E31</f>
        <v/>
      </c>
      <c r="E34" s="15">
        <f>C34-D34</f>
        <v/>
      </c>
      <c r="F34" s="20">
        <f>EXP(D34)</f>
        <v/>
      </c>
      <c r="G34" s="20">
        <f>EXP(D34+$M$9*Data!I31)</f>
        <v/>
      </c>
      <c r="H34" s="20">
        <f>EXP($M$10+(D34-$M$10)/SQRT($M$8))</f>
        <v/>
      </c>
      <c r="I34" s="20">
        <f>Data!H31</f>
        <v/>
      </c>
    </row>
    <row r="35">
      <c r="A35">
        <f>Data!A32</f>
        <v/>
      </c>
      <c r="B35">
        <f>Data!J32</f>
        <v/>
      </c>
      <c r="C35" s="15">
        <f>LN(Data!H32)</f>
        <v/>
      </c>
      <c r="D35" s="15">
        <f>$M$4+$M$5*Data!C32+$M$6*Data!D32+$M$7*Data!E32</f>
        <v/>
      </c>
      <c r="E35" s="15">
        <f>C35-D35</f>
        <v/>
      </c>
      <c r="F35" s="20">
        <f>EXP(D35)</f>
        <v/>
      </c>
      <c r="G35" s="20">
        <f>EXP(D35+$M$9*Data!I32)</f>
        <v/>
      </c>
      <c r="H35" s="20">
        <f>EXP($M$10+(D35-$M$10)/SQRT($M$8))</f>
        <v/>
      </c>
      <c r="I35" s="20">
        <f>Data!H32</f>
        <v/>
      </c>
    </row>
    <row r="36">
      <c r="A36">
        <f>Data!A33</f>
        <v/>
      </c>
      <c r="B36">
        <f>Data!J33</f>
        <v/>
      </c>
      <c r="C36" s="15">
        <f>LN(Data!H33)</f>
        <v/>
      </c>
      <c r="D36" s="15">
        <f>$M$4+$M$5*Data!C33+$M$6*Data!D33+$M$7*Data!E33</f>
        <v/>
      </c>
      <c r="E36" s="15">
        <f>C36-D36</f>
        <v/>
      </c>
      <c r="F36" s="20">
        <f>EXP(D36)</f>
        <v/>
      </c>
      <c r="G36" s="20">
        <f>EXP(D36+$M$9*Data!I33)</f>
        <v/>
      </c>
      <c r="H36" s="20">
        <f>EXP($M$10+(D36-$M$10)/SQRT($M$8))</f>
        <v/>
      </c>
      <c r="I36" s="20">
        <f>Data!H33</f>
        <v/>
      </c>
    </row>
    <row r="37">
      <c r="A37">
        <f>Data!A34</f>
        <v/>
      </c>
      <c r="B37">
        <f>Data!J34</f>
        <v/>
      </c>
      <c r="C37" s="15">
        <f>LN(Data!H34)</f>
        <v/>
      </c>
      <c r="D37" s="15">
        <f>$M$4+$M$5*Data!C34+$M$6*Data!D34+$M$7*Data!E34</f>
        <v/>
      </c>
      <c r="E37" s="15">
        <f>C37-D37</f>
        <v/>
      </c>
      <c r="F37" s="20">
        <f>EXP(D37)</f>
        <v/>
      </c>
      <c r="G37" s="20">
        <f>EXP(D37+$M$9*Data!I34)</f>
        <v/>
      </c>
      <c r="H37" s="20">
        <f>EXP($M$10+(D37-$M$10)/SQRT($M$8))</f>
        <v/>
      </c>
      <c r="I37" s="20">
        <f>Data!H34</f>
        <v/>
      </c>
    </row>
    <row r="38">
      <c r="A38">
        <f>Data!A35</f>
        <v/>
      </c>
      <c r="B38">
        <f>Data!J35</f>
        <v/>
      </c>
      <c r="C38" s="15">
        <f>LN(Data!H35)</f>
        <v/>
      </c>
      <c r="D38" s="15">
        <f>$M$4+$M$5*Data!C35+$M$6*Data!D35+$M$7*Data!E35</f>
        <v/>
      </c>
      <c r="E38" s="15">
        <f>C38-D38</f>
        <v/>
      </c>
      <c r="F38" s="20">
        <f>EXP(D38)</f>
        <v/>
      </c>
      <c r="G38" s="20">
        <f>EXP(D38+$M$9*Data!I35)</f>
        <v/>
      </c>
      <c r="H38" s="20">
        <f>EXP($M$10+(D38-$M$10)/SQRT($M$8))</f>
        <v/>
      </c>
      <c r="I38" s="20">
        <f>Data!H35</f>
        <v/>
      </c>
    </row>
    <row r="39">
      <c r="A39">
        <f>Data!A36</f>
        <v/>
      </c>
      <c r="B39">
        <f>Data!J36</f>
        <v/>
      </c>
      <c r="C39" s="15">
        <f>LN(Data!H36)</f>
        <v/>
      </c>
      <c r="D39" s="15">
        <f>$M$4+$M$5*Data!C36+$M$6*Data!D36+$M$7*Data!E36</f>
        <v/>
      </c>
      <c r="E39" s="15">
        <f>C39-D39</f>
        <v/>
      </c>
      <c r="F39" s="20">
        <f>EXP(D39)</f>
        <v/>
      </c>
      <c r="G39" s="20">
        <f>EXP(D39+$M$9*Data!I36)</f>
        <v/>
      </c>
      <c r="H39" s="20">
        <f>EXP($M$10+(D39-$M$10)/SQRT($M$8))</f>
        <v/>
      </c>
      <c r="I39" s="20">
        <f>Data!H36</f>
        <v/>
      </c>
    </row>
    <row r="40">
      <c r="A40">
        <f>Data!A37</f>
        <v/>
      </c>
      <c r="B40">
        <f>Data!J37</f>
        <v/>
      </c>
      <c r="C40" s="15">
        <f>LN(Data!H37)</f>
        <v/>
      </c>
      <c r="D40" s="15">
        <f>$M$4+$M$5*Data!C37+$M$6*Data!D37+$M$7*Data!E37</f>
        <v/>
      </c>
      <c r="E40" s="15">
        <f>C40-D40</f>
        <v/>
      </c>
      <c r="F40" s="20">
        <f>EXP(D40)</f>
        <v/>
      </c>
      <c r="G40" s="20">
        <f>EXP(D40+$M$9*Data!I37)</f>
        <v/>
      </c>
      <c r="H40" s="20">
        <f>EXP($M$10+(D40-$M$10)/SQRT($M$8))</f>
        <v/>
      </c>
      <c r="I40" s="20">
        <f>Data!H37</f>
        <v/>
      </c>
    </row>
    <row r="41">
      <c r="A41">
        <f>Data!A38</f>
        <v/>
      </c>
      <c r="B41">
        <f>Data!J38</f>
        <v/>
      </c>
      <c r="C41" s="15">
        <f>LN(Data!H38)</f>
        <v/>
      </c>
      <c r="D41" s="15">
        <f>$M$4+$M$5*Data!C38+$M$6*Data!D38+$M$7*Data!E38</f>
        <v/>
      </c>
      <c r="E41" s="15">
        <f>C41-D41</f>
        <v/>
      </c>
      <c r="F41" s="20">
        <f>EXP(D41)</f>
        <v/>
      </c>
      <c r="G41" s="20">
        <f>EXP(D41+$M$9*Data!I38)</f>
        <v/>
      </c>
      <c r="H41" s="20">
        <f>EXP($M$10+(D41-$M$10)/SQRT($M$8))</f>
        <v/>
      </c>
      <c r="I41" s="20">
        <f>Data!H38</f>
        <v/>
      </c>
    </row>
    <row r="42">
      <c r="A42">
        <f>Data!A39</f>
        <v/>
      </c>
      <c r="B42">
        <f>Data!J39</f>
        <v/>
      </c>
      <c r="C42" s="15">
        <f>LN(Data!H39)</f>
        <v/>
      </c>
      <c r="D42" s="15">
        <f>$M$4+$M$5*Data!C39+$M$6*Data!D39+$M$7*Data!E39</f>
        <v/>
      </c>
      <c r="E42" s="15">
        <f>C42-D42</f>
        <v/>
      </c>
      <c r="F42" s="20">
        <f>EXP(D42)</f>
        <v/>
      </c>
      <c r="G42" s="20">
        <f>EXP(D42+$M$9*Data!I39)</f>
        <v/>
      </c>
      <c r="H42" s="20">
        <f>EXP($M$10+(D42-$M$10)/SQRT($M$8))</f>
        <v/>
      </c>
      <c r="I42" s="20">
        <f>Data!H39</f>
        <v/>
      </c>
    </row>
    <row r="43">
      <c r="A43">
        <f>Data!A40</f>
        <v/>
      </c>
      <c r="B43">
        <f>Data!J40</f>
        <v/>
      </c>
      <c r="C43" s="15">
        <f>LN(Data!H40)</f>
        <v/>
      </c>
      <c r="D43" s="15">
        <f>$M$4+$M$5*Data!C40+$M$6*Data!D40+$M$7*Data!E40</f>
        <v/>
      </c>
      <c r="E43" s="15">
        <f>C43-D43</f>
        <v/>
      </c>
      <c r="F43" s="20">
        <f>EXP(D43)</f>
        <v/>
      </c>
      <c r="G43" s="20">
        <f>EXP(D43+$M$9*Data!I40)</f>
        <v/>
      </c>
      <c r="H43" s="20">
        <f>EXP($M$10+(D43-$M$10)/SQRT($M$8))</f>
        <v/>
      </c>
      <c r="I43" s="20">
        <f>Data!H40</f>
        <v/>
      </c>
    </row>
    <row r="44">
      <c r="A44">
        <f>Data!A41</f>
        <v/>
      </c>
      <c r="B44">
        <f>Data!J41</f>
        <v/>
      </c>
      <c r="C44" s="15">
        <f>LN(Data!H41)</f>
        <v/>
      </c>
      <c r="D44" s="15">
        <f>$M$4+$M$5*Data!C41+$M$6*Data!D41+$M$7*Data!E41</f>
        <v/>
      </c>
      <c r="E44" s="15">
        <f>C44-D44</f>
        <v/>
      </c>
      <c r="F44" s="20">
        <f>EXP(D44)</f>
        <v/>
      </c>
      <c r="G44" s="20">
        <f>EXP(D44+$M$9*Data!I41)</f>
        <v/>
      </c>
      <c r="H44" s="20">
        <f>EXP($M$10+(D44-$M$10)/SQRT($M$8))</f>
        <v/>
      </c>
      <c r="I44" s="20">
        <f>Data!H41</f>
        <v/>
      </c>
    </row>
    <row r="45">
      <c r="A45">
        <f>Data!A42</f>
        <v/>
      </c>
      <c r="B45">
        <f>Data!J42</f>
        <v/>
      </c>
      <c r="C45" s="15">
        <f>LN(Data!H42)</f>
        <v/>
      </c>
      <c r="D45" s="15">
        <f>$M$4+$M$5*Data!C42+$M$6*Data!D42+$M$7*Data!E42</f>
        <v/>
      </c>
      <c r="E45" s="15">
        <f>C45-D45</f>
        <v/>
      </c>
      <c r="F45" s="20">
        <f>EXP(D45)</f>
        <v/>
      </c>
      <c r="G45" s="20">
        <f>EXP(D45+$M$9*Data!I42)</f>
        <v/>
      </c>
      <c r="H45" s="20">
        <f>EXP($M$10+(D45-$M$10)/SQRT($M$8))</f>
        <v/>
      </c>
      <c r="I45" s="20">
        <f>Data!H42</f>
        <v/>
      </c>
    </row>
    <row r="46">
      <c r="A46">
        <f>Data!A43</f>
        <v/>
      </c>
      <c r="B46">
        <f>Data!J43</f>
        <v/>
      </c>
      <c r="C46" s="15">
        <f>LN(Data!H43)</f>
        <v/>
      </c>
      <c r="D46" s="15">
        <f>$M$4+$M$5*Data!C43+$M$6*Data!D43+$M$7*Data!E43</f>
        <v/>
      </c>
      <c r="E46" s="15">
        <f>C46-D46</f>
        <v/>
      </c>
      <c r="F46" s="20">
        <f>EXP(D46)</f>
        <v/>
      </c>
      <c r="G46" s="20">
        <f>EXP(D46+$M$9*Data!I43)</f>
        <v/>
      </c>
      <c r="H46" s="20">
        <f>EXP($M$10+(D46-$M$10)/SQRT($M$8))</f>
        <v/>
      </c>
      <c r="I46" s="20">
        <f>Data!H43</f>
        <v/>
      </c>
    </row>
    <row r="47">
      <c r="A47">
        <f>Data!A44</f>
        <v/>
      </c>
      <c r="B47">
        <f>Data!J44</f>
        <v/>
      </c>
      <c r="C47" s="15">
        <f>LN(Data!H44)</f>
        <v/>
      </c>
      <c r="D47" s="15">
        <f>$M$4+$M$5*Data!C44+$M$6*Data!D44+$M$7*Data!E44</f>
        <v/>
      </c>
      <c r="E47" s="15">
        <f>C47-D47</f>
        <v/>
      </c>
      <c r="F47" s="20">
        <f>EXP(D47)</f>
        <v/>
      </c>
      <c r="G47" s="20">
        <f>EXP(D47+$M$9*Data!I44)</f>
        <v/>
      </c>
      <c r="H47" s="20">
        <f>EXP($M$10+(D47-$M$10)/SQRT($M$8))</f>
        <v/>
      </c>
      <c r="I47" s="20">
        <f>Data!H44</f>
        <v/>
      </c>
    </row>
    <row r="48">
      <c r="A48">
        <f>Data!A45</f>
        <v/>
      </c>
      <c r="B48">
        <f>Data!J45</f>
        <v/>
      </c>
      <c r="C48" s="15">
        <f>LN(Data!H45)</f>
        <v/>
      </c>
      <c r="D48" s="15">
        <f>$M$4+$M$5*Data!C45+$M$6*Data!D45+$M$7*Data!E45</f>
        <v/>
      </c>
      <c r="E48" s="15">
        <f>C48-D48</f>
        <v/>
      </c>
      <c r="F48" s="20">
        <f>EXP(D48)</f>
        <v/>
      </c>
      <c r="G48" s="20">
        <f>EXP(D48+$M$9*Data!I45)</f>
        <v/>
      </c>
      <c r="H48" s="20">
        <f>EXP($M$10+(D48-$M$10)/SQRT($M$8))</f>
        <v/>
      </c>
      <c r="I48" s="20">
        <f>Data!H45</f>
        <v/>
      </c>
    </row>
    <row r="49">
      <c r="A49">
        <f>Data!A46</f>
        <v/>
      </c>
      <c r="B49">
        <f>Data!J46</f>
        <v/>
      </c>
      <c r="C49" s="15">
        <f>LN(Data!H46)</f>
        <v/>
      </c>
      <c r="D49" s="15">
        <f>$M$4+$M$5*Data!C46+$M$6*Data!D46+$M$7*Data!E46</f>
        <v/>
      </c>
      <c r="E49" s="15">
        <f>C49-D49</f>
        <v/>
      </c>
      <c r="F49" s="20">
        <f>EXP(D49)</f>
        <v/>
      </c>
      <c r="G49" s="20">
        <f>EXP(D49+$M$9*Data!I46)</f>
        <v/>
      </c>
      <c r="H49" s="20">
        <f>EXP($M$10+(D49-$M$10)/SQRT($M$8))</f>
        <v/>
      </c>
      <c r="I49" s="20">
        <f>Data!H46</f>
        <v/>
      </c>
    </row>
    <row r="50">
      <c r="A50">
        <f>Data!A47</f>
        <v/>
      </c>
      <c r="B50">
        <f>Data!J47</f>
        <v/>
      </c>
      <c r="C50" s="15">
        <f>LN(Data!H47)</f>
        <v/>
      </c>
      <c r="D50" s="15">
        <f>$M$4+$M$5*Data!C47+$M$6*Data!D47+$M$7*Data!E47</f>
        <v/>
      </c>
      <c r="E50" s="15">
        <f>C50-D50</f>
        <v/>
      </c>
      <c r="F50" s="20">
        <f>EXP(D50)</f>
        <v/>
      </c>
      <c r="G50" s="20">
        <f>EXP(D50+$M$9*Data!I47)</f>
        <v/>
      </c>
      <c r="H50" s="20">
        <f>EXP($M$10+(D50-$M$10)/SQRT($M$8))</f>
        <v/>
      </c>
      <c r="I50" s="20">
        <f>Data!H47</f>
        <v/>
      </c>
    </row>
    <row r="51">
      <c r="A51">
        <f>Data!A48</f>
        <v/>
      </c>
      <c r="B51">
        <f>Data!J48</f>
        <v/>
      </c>
      <c r="C51" s="15">
        <f>LN(Data!H48)</f>
        <v/>
      </c>
      <c r="D51" s="15">
        <f>$M$4+$M$5*Data!C48+$M$6*Data!D48+$M$7*Data!E48</f>
        <v/>
      </c>
      <c r="E51" s="15">
        <f>C51-D51</f>
        <v/>
      </c>
      <c r="F51" s="20">
        <f>EXP(D51)</f>
        <v/>
      </c>
      <c r="G51" s="20">
        <f>EXP(D51+$M$9*Data!I48)</f>
        <v/>
      </c>
      <c r="H51" s="20">
        <f>EXP($M$10+(D51-$M$10)/SQRT($M$8))</f>
        <v/>
      </c>
      <c r="I51" s="20">
        <f>Data!H48</f>
        <v/>
      </c>
    </row>
    <row r="52">
      <c r="A52">
        <f>Data!A49</f>
        <v/>
      </c>
      <c r="B52">
        <f>Data!J49</f>
        <v/>
      </c>
      <c r="C52" s="15">
        <f>LN(Data!H49)</f>
        <v/>
      </c>
      <c r="D52" s="15">
        <f>$M$4+$M$5*Data!C49+$M$6*Data!D49+$M$7*Data!E49</f>
        <v/>
      </c>
      <c r="E52" s="15">
        <f>C52-D52</f>
        <v/>
      </c>
      <c r="F52" s="20">
        <f>EXP(D52)</f>
        <v/>
      </c>
      <c r="G52" s="20">
        <f>EXP(D52+$M$9*Data!I49)</f>
        <v/>
      </c>
      <c r="H52" s="20">
        <f>EXP($M$10+(D52-$M$10)/SQRT($M$8))</f>
        <v/>
      </c>
      <c r="I52" s="20">
        <f>Data!H49</f>
        <v/>
      </c>
    </row>
    <row r="53">
      <c r="A53">
        <f>Data!A50</f>
        <v/>
      </c>
      <c r="B53">
        <f>Data!J50</f>
        <v/>
      </c>
      <c r="C53" s="15">
        <f>LN(Data!H50)</f>
        <v/>
      </c>
      <c r="D53" s="15">
        <f>$M$4+$M$5*Data!C50+$M$6*Data!D50+$M$7*Data!E50</f>
        <v/>
      </c>
      <c r="E53" s="15">
        <f>C53-D53</f>
        <v/>
      </c>
      <c r="F53" s="20">
        <f>EXP(D53)</f>
        <v/>
      </c>
      <c r="G53" s="20">
        <f>EXP(D53+$M$9*Data!I50)</f>
        <v/>
      </c>
      <c r="H53" s="20">
        <f>EXP($M$10+(D53-$M$10)/SQRT($M$8))</f>
        <v/>
      </c>
      <c r="I53" s="20">
        <f>Data!H50</f>
        <v/>
      </c>
    </row>
    <row r="54">
      <c r="A54">
        <f>Data!A51</f>
        <v/>
      </c>
      <c r="B54">
        <f>Data!J51</f>
        <v/>
      </c>
      <c r="C54" s="15">
        <f>LN(Data!H51)</f>
        <v/>
      </c>
      <c r="D54" s="15">
        <f>$M$4+$M$5*Data!C51+$M$6*Data!D51+$M$7*Data!E51</f>
        <v/>
      </c>
      <c r="E54" s="15">
        <f>C54-D54</f>
        <v/>
      </c>
      <c r="F54" s="20">
        <f>EXP(D54)</f>
        <v/>
      </c>
      <c r="G54" s="20">
        <f>EXP(D54+$M$9*Data!I51)</f>
        <v/>
      </c>
      <c r="H54" s="20">
        <f>EXP($M$10+(D54-$M$10)/SQRT($M$8))</f>
        <v/>
      </c>
      <c r="I54" s="20">
        <f>Data!H51</f>
        <v/>
      </c>
    </row>
    <row r="55">
      <c r="A55">
        <f>Data!A52</f>
        <v/>
      </c>
      <c r="B55">
        <f>Data!J52</f>
        <v/>
      </c>
      <c r="C55" s="15">
        <f>LN(Data!H52)</f>
        <v/>
      </c>
      <c r="D55" s="15">
        <f>$M$4+$M$5*Data!C52+$M$6*Data!D52+$M$7*Data!E52</f>
        <v/>
      </c>
      <c r="E55" s="15">
        <f>C55-D55</f>
        <v/>
      </c>
      <c r="F55" s="20">
        <f>EXP(D55)</f>
        <v/>
      </c>
      <c r="G55" s="20">
        <f>EXP(D55+$M$9*Data!I52)</f>
        <v/>
      </c>
      <c r="H55" s="20">
        <f>EXP($M$10+(D55-$M$10)/SQRT($M$8))</f>
        <v/>
      </c>
      <c r="I55" s="20">
        <f>Data!H52</f>
        <v/>
      </c>
    </row>
    <row r="56">
      <c r="A56">
        <f>Data!A53</f>
        <v/>
      </c>
      <c r="B56">
        <f>Data!J53</f>
        <v/>
      </c>
      <c r="C56" s="15">
        <f>LN(Data!H53)</f>
        <v/>
      </c>
      <c r="D56" s="15">
        <f>$M$4+$M$5*Data!C53+$M$6*Data!D53+$M$7*Data!E53</f>
        <v/>
      </c>
      <c r="E56" s="15">
        <f>C56-D56</f>
        <v/>
      </c>
      <c r="F56" s="20">
        <f>EXP(D56)</f>
        <v/>
      </c>
      <c r="G56" s="20">
        <f>EXP(D56+$M$9*Data!I53)</f>
        <v/>
      </c>
      <c r="H56" s="20">
        <f>EXP($M$10+(D56-$M$10)/SQRT($M$8))</f>
        <v/>
      </c>
      <c r="I56" s="20">
        <f>Data!H53</f>
        <v/>
      </c>
    </row>
    <row r="57">
      <c r="A57">
        <f>Data!A54</f>
        <v/>
      </c>
      <c r="B57">
        <f>Data!J54</f>
        <v/>
      </c>
      <c r="C57" s="15">
        <f>LN(Data!H54)</f>
        <v/>
      </c>
      <c r="D57" s="15">
        <f>$M$4+$M$5*Data!C54+$M$6*Data!D54+$M$7*Data!E54</f>
        <v/>
      </c>
      <c r="E57" s="15">
        <f>C57-D57</f>
        <v/>
      </c>
      <c r="F57" s="20">
        <f>EXP(D57)</f>
        <v/>
      </c>
      <c r="G57" s="20">
        <f>EXP(D57+$M$9*Data!I54)</f>
        <v/>
      </c>
      <c r="H57" s="20">
        <f>EXP($M$10+(D57-$M$10)/SQRT($M$8))</f>
        <v/>
      </c>
      <c r="I57" s="20">
        <f>Data!H54</f>
        <v/>
      </c>
    </row>
    <row r="58">
      <c r="A58">
        <f>Data!A55</f>
        <v/>
      </c>
      <c r="B58">
        <f>Data!J55</f>
        <v/>
      </c>
      <c r="C58" s="15">
        <f>LN(Data!H55)</f>
        <v/>
      </c>
      <c r="D58" s="15">
        <f>$M$4+$M$5*Data!C55+$M$6*Data!D55+$M$7*Data!E55</f>
        <v/>
      </c>
      <c r="E58" s="15">
        <f>C58-D58</f>
        <v/>
      </c>
      <c r="F58" s="20">
        <f>EXP(D58)</f>
        <v/>
      </c>
      <c r="G58" s="20">
        <f>EXP(D58+$M$9*Data!I55)</f>
        <v/>
      </c>
      <c r="H58" s="20">
        <f>EXP($M$10+(D58-$M$10)/SQRT($M$8))</f>
        <v/>
      </c>
      <c r="I58" s="20">
        <f>Data!H55</f>
        <v/>
      </c>
    </row>
    <row r="59">
      <c r="A59">
        <f>Data!A56</f>
        <v/>
      </c>
      <c r="B59">
        <f>Data!J56</f>
        <v/>
      </c>
      <c r="C59" s="15">
        <f>LN(Data!H56)</f>
        <v/>
      </c>
      <c r="D59" s="15">
        <f>$M$4+$M$5*Data!C56+$M$6*Data!D56+$M$7*Data!E56</f>
        <v/>
      </c>
      <c r="E59" s="15">
        <f>C59-D59</f>
        <v/>
      </c>
      <c r="F59" s="20">
        <f>EXP(D59)</f>
        <v/>
      </c>
      <c r="G59" s="20">
        <f>EXP(D59+$M$9*Data!I56)</f>
        <v/>
      </c>
      <c r="H59" s="20">
        <f>EXP($M$10+(D59-$M$10)/SQRT($M$8))</f>
        <v/>
      </c>
      <c r="I59" s="20">
        <f>Data!H56</f>
        <v/>
      </c>
    </row>
    <row r="60">
      <c r="A60">
        <f>Data!A57</f>
        <v/>
      </c>
      <c r="B60">
        <f>Data!J57</f>
        <v/>
      </c>
      <c r="C60" s="15">
        <f>LN(Data!H57)</f>
        <v/>
      </c>
      <c r="D60" s="15">
        <f>$M$4+$M$5*Data!C57+$M$6*Data!D57+$M$7*Data!E57</f>
        <v/>
      </c>
      <c r="E60" s="15">
        <f>C60-D60</f>
        <v/>
      </c>
      <c r="F60" s="20">
        <f>EXP(D60)</f>
        <v/>
      </c>
      <c r="G60" s="20">
        <f>EXP(D60+$M$9*Data!I57)</f>
        <v/>
      </c>
      <c r="H60" s="20">
        <f>EXP($M$10+(D60-$M$10)/SQRT($M$8))</f>
        <v/>
      </c>
      <c r="I60" s="20">
        <f>Data!H57</f>
        <v/>
      </c>
    </row>
    <row r="61">
      <c r="A61">
        <f>Data!A58</f>
        <v/>
      </c>
      <c r="B61">
        <f>Data!J58</f>
        <v/>
      </c>
      <c r="C61" s="15">
        <f>LN(Data!H58)</f>
        <v/>
      </c>
      <c r="D61" s="15">
        <f>$M$4+$M$5*Data!C58+$M$6*Data!D58+$M$7*Data!E58</f>
        <v/>
      </c>
      <c r="E61" s="15">
        <f>C61-D61</f>
        <v/>
      </c>
      <c r="F61" s="20">
        <f>EXP(D61)</f>
        <v/>
      </c>
      <c r="G61" s="20">
        <f>EXP(D61+$M$9*Data!I58)</f>
        <v/>
      </c>
      <c r="H61" s="20">
        <f>EXP($M$10+(D61-$M$10)/SQRT($M$8))</f>
        <v/>
      </c>
      <c r="I61" s="20">
        <f>Data!H58</f>
        <v/>
      </c>
    </row>
    <row r="62">
      <c r="A62">
        <f>Data!A59</f>
        <v/>
      </c>
      <c r="B62">
        <f>Data!J59</f>
        <v/>
      </c>
      <c r="C62" s="15">
        <f>LN(Data!H59)</f>
        <v/>
      </c>
      <c r="D62" s="15">
        <f>$M$4+$M$5*Data!C59+$M$6*Data!D59+$M$7*Data!E59</f>
        <v/>
      </c>
      <c r="E62" s="15">
        <f>C62-D62</f>
        <v/>
      </c>
      <c r="F62" s="20">
        <f>EXP(D62)</f>
        <v/>
      </c>
      <c r="G62" s="20">
        <f>EXP(D62+$M$9*Data!I59)</f>
        <v/>
      </c>
      <c r="H62" s="20">
        <f>EXP($M$10+(D62-$M$10)/SQRT($M$8))</f>
        <v/>
      </c>
      <c r="I62" s="20">
        <f>Data!H59</f>
        <v/>
      </c>
    </row>
    <row r="63">
      <c r="A63">
        <f>Data!A60</f>
        <v/>
      </c>
      <c r="B63">
        <f>Data!J60</f>
        <v/>
      </c>
      <c r="C63" s="15">
        <f>LN(Data!H60)</f>
        <v/>
      </c>
      <c r="D63" s="15">
        <f>$M$4+$M$5*Data!C60+$M$6*Data!D60+$M$7*Data!E60</f>
        <v/>
      </c>
      <c r="E63" s="15">
        <f>C63-D63</f>
        <v/>
      </c>
      <c r="F63" s="20">
        <f>EXP(D63)</f>
        <v/>
      </c>
      <c r="G63" s="20">
        <f>EXP(D63+$M$9*Data!I60)</f>
        <v/>
      </c>
      <c r="H63" s="20">
        <f>EXP($M$10+(D63-$M$10)/SQRT($M$8))</f>
        <v/>
      </c>
      <c r="I63" s="20">
        <f>Data!H60</f>
        <v/>
      </c>
    </row>
    <row r="64">
      <c r="A64">
        <f>Data!A61</f>
        <v/>
      </c>
      <c r="B64">
        <f>Data!J61</f>
        <v/>
      </c>
      <c r="C64" s="15">
        <f>LN(Data!H61)</f>
        <v/>
      </c>
      <c r="D64" s="15">
        <f>$M$4+$M$5*Data!C61+$M$6*Data!D61+$M$7*Data!E61</f>
        <v/>
      </c>
      <c r="E64" s="15">
        <f>C64-D64</f>
        <v/>
      </c>
      <c r="F64" s="20">
        <f>EXP(D64)</f>
        <v/>
      </c>
      <c r="G64" s="20">
        <f>EXP(D64+$M$9*Data!I61)</f>
        <v/>
      </c>
      <c r="H64" s="20">
        <f>EXP($M$10+(D64-$M$10)/SQRT($M$8))</f>
        <v/>
      </c>
      <c r="I64" s="20">
        <f>Data!H61</f>
        <v/>
      </c>
    </row>
    <row r="65">
      <c r="A65">
        <f>Data!A62</f>
        <v/>
      </c>
      <c r="B65">
        <f>Data!J62</f>
        <v/>
      </c>
      <c r="C65" s="15">
        <f>LN(Data!H62)</f>
        <v/>
      </c>
      <c r="D65" s="15">
        <f>$M$4+$M$5*Data!C62+$M$6*Data!D62+$M$7*Data!E62</f>
        <v/>
      </c>
      <c r="E65" s="15">
        <f>C65-D65</f>
        <v/>
      </c>
      <c r="F65" s="20">
        <f>EXP(D65)</f>
        <v/>
      </c>
      <c r="G65" s="20">
        <f>EXP(D65+$M$9*Data!I62)</f>
        <v/>
      </c>
      <c r="H65" s="20">
        <f>EXP($M$10+(D65-$M$10)/SQRT($M$8))</f>
        <v/>
      </c>
      <c r="I65" s="20">
        <f>Data!H62</f>
        <v/>
      </c>
    </row>
    <row r="66">
      <c r="A66">
        <f>Data!A63</f>
        <v/>
      </c>
      <c r="B66">
        <f>Data!J63</f>
        <v/>
      </c>
      <c r="C66" s="15">
        <f>LN(Data!H63)</f>
        <v/>
      </c>
      <c r="D66" s="15">
        <f>$M$4+$M$5*Data!C63+$M$6*Data!D63+$M$7*Data!E63</f>
        <v/>
      </c>
      <c r="E66" s="15">
        <f>C66-D66</f>
        <v/>
      </c>
      <c r="F66" s="20">
        <f>EXP(D66)</f>
        <v/>
      </c>
      <c r="G66" s="20">
        <f>EXP(D66+$M$9*Data!I63)</f>
        <v/>
      </c>
      <c r="H66" s="20">
        <f>EXP($M$10+(D66-$M$10)/SQRT($M$8))</f>
        <v/>
      </c>
      <c r="I66" s="20">
        <f>Data!H63</f>
        <v/>
      </c>
    </row>
    <row r="67">
      <c r="A67">
        <f>Data!A64</f>
        <v/>
      </c>
      <c r="B67">
        <f>Data!J64</f>
        <v/>
      </c>
      <c r="C67" s="15">
        <f>LN(Data!H64)</f>
        <v/>
      </c>
      <c r="D67" s="15">
        <f>$M$4+$M$5*Data!C64+$M$6*Data!D64+$M$7*Data!E64</f>
        <v/>
      </c>
      <c r="E67" s="15">
        <f>C67-D67</f>
        <v/>
      </c>
      <c r="F67" s="20">
        <f>EXP(D67)</f>
        <v/>
      </c>
      <c r="G67" s="20">
        <f>EXP(D67+$M$9*Data!I64)</f>
        <v/>
      </c>
      <c r="H67" s="20">
        <f>EXP($M$10+(D67-$M$10)/SQRT($M$8))</f>
        <v/>
      </c>
      <c r="I67" s="20">
        <f>Data!H64</f>
        <v/>
      </c>
    </row>
    <row r="68">
      <c r="A68">
        <f>Data!A65</f>
        <v/>
      </c>
      <c r="B68">
        <f>Data!J65</f>
        <v/>
      </c>
      <c r="C68" s="15">
        <f>LN(Data!H65)</f>
        <v/>
      </c>
      <c r="D68" s="15">
        <f>$M$4+$M$5*Data!C65+$M$6*Data!D65+$M$7*Data!E65</f>
        <v/>
      </c>
      <c r="E68" s="15">
        <f>C68-D68</f>
        <v/>
      </c>
      <c r="F68" s="20">
        <f>EXP(D68)</f>
        <v/>
      </c>
      <c r="G68" s="20">
        <f>EXP(D68+$M$9*Data!I65)</f>
        <v/>
      </c>
      <c r="H68" s="20">
        <f>EXP($M$10+(D68-$M$10)/SQRT($M$8))</f>
        <v/>
      </c>
      <c r="I68" s="20">
        <f>Data!H65</f>
        <v/>
      </c>
    </row>
    <row r="69">
      <c r="A69">
        <f>Data!A66</f>
        <v/>
      </c>
      <c r="B69">
        <f>Data!J66</f>
        <v/>
      </c>
      <c r="C69" s="15">
        <f>LN(Data!H66)</f>
        <v/>
      </c>
      <c r="D69" s="15">
        <f>$M$4+$M$5*Data!C66+$M$6*Data!D66+$M$7*Data!E66</f>
        <v/>
      </c>
      <c r="E69" s="15">
        <f>C69-D69</f>
        <v/>
      </c>
      <c r="F69" s="20">
        <f>EXP(D69)</f>
        <v/>
      </c>
      <c r="G69" s="20">
        <f>EXP(D69+$M$9*Data!I66)</f>
        <v/>
      </c>
      <c r="H69" s="20">
        <f>EXP($M$10+(D69-$M$10)/SQRT($M$8))</f>
        <v/>
      </c>
      <c r="I69" s="20">
        <f>Data!H66</f>
        <v/>
      </c>
    </row>
    <row r="70">
      <c r="A70">
        <f>Data!A67</f>
        <v/>
      </c>
      <c r="B70">
        <f>Data!J67</f>
        <v/>
      </c>
      <c r="C70" s="15">
        <f>LN(Data!H67)</f>
        <v/>
      </c>
      <c r="D70" s="15">
        <f>$M$4+$M$5*Data!C67+$M$6*Data!D67+$M$7*Data!E67</f>
        <v/>
      </c>
      <c r="E70" s="15">
        <f>C70-D70</f>
        <v/>
      </c>
      <c r="F70" s="20">
        <f>EXP(D70)</f>
        <v/>
      </c>
      <c r="G70" s="20">
        <f>EXP(D70+$M$9*Data!I67)</f>
        <v/>
      </c>
      <c r="H70" s="20">
        <f>EXP($M$10+(D70-$M$10)/SQRT($M$8))</f>
        <v/>
      </c>
      <c r="I70" s="20">
        <f>Data!H67</f>
        <v/>
      </c>
    </row>
    <row r="71">
      <c r="A71">
        <f>Data!A68</f>
        <v/>
      </c>
      <c r="B71">
        <f>Data!J68</f>
        <v/>
      </c>
      <c r="C71" s="15">
        <f>LN(Data!H68)</f>
        <v/>
      </c>
      <c r="D71" s="15">
        <f>$M$4+$M$5*Data!C68+$M$6*Data!D68+$M$7*Data!E68</f>
        <v/>
      </c>
      <c r="E71" s="15">
        <f>C71-D71</f>
        <v/>
      </c>
      <c r="F71" s="20">
        <f>EXP(D71)</f>
        <v/>
      </c>
      <c r="G71" s="20">
        <f>EXP(D71+$M$9*Data!I68)</f>
        <v/>
      </c>
      <c r="H71" s="20">
        <f>EXP($M$10+(D71-$M$10)/SQRT($M$8))</f>
        <v/>
      </c>
      <c r="I71" s="20">
        <f>Data!H68</f>
        <v/>
      </c>
    </row>
    <row r="72">
      <c r="A72">
        <f>Data!A69</f>
        <v/>
      </c>
      <c r="B72">
        <f>Data!J69</f>
        <v/>
      </c>
      <c r="C72" s="15">
        <f>LN(Data!H69)</f>
        <v/>
      </c>
      <c r="D72" s="15">
        <f>$M$4+$M$5*Data!C69+$M$6*Data!D69+$M$7*Data!E69</f>
        <v/>
      </c>
      <c r="E72" s="15">
        <f>C72-D72</f>
        <v/>
      </c>
      <c r="F72" s="20">
        <f>EXP(D72)</f>
        <v/>
      </c>
      <c r="G72" s="20">
        <f>EXP(D72+$M$9*Data!I69)</f>
        <v/>
      </c>
      <c r="H72" s="20">
        <f>EXP($M$10+(D72-$M$10)/SQRT($M$8))</f>
        <v/>
      </c>
      <c r="I72" s="20">
        <f>Data!H69</f>
        <v/>
      </c>
    </row>
    <row r="73">
      <c r="A73">
        <f>Data!A70</f>
        <v/>
      </c>
      <c r="B73">
        <f>Data!J70</f>
        <v/>
      </c>
      <c r="C73" s="15">
        <f>LN(Data!H70)</f>
        <v/>
      </c>
      <c r="D73" s="15">
        <f>$M$4+$M$5*Data!C70+$M$6*Data!D70+$M$7*Data!E70</f>
        <v/>
      </c>
      <c r="E73" s="15">
        <f>C73-D73</f>
        <v/>
      </c>
      <c r="F73" s="20">
        <f>EXP(D73)</f>
        <v/>
      </c>
      <c r="G73" s="20">
        <f>EXP(D73+$M$9*Data!I70)</f>
        <v/>
      </c>
      <c r="H73" s="20">
        <f>EXP($M$10+(D73-$M$10)/SQRT($M$8))</f>
        <v/>
      </c>
      <c r="I73" s="20">
        <f>Data!H70</f>
        <v/>
      </c>
    </row>
    <row r="74">
      <c r="A74">
        <f>Data!A71</f>
        <v/>
      </c>
      <c r="B74">
        <f>Data!J71</f>
        <v/>
      </c>
      <c r="C74" s="15">
        <f>LN(Data!H71)</f>
        <v/>
      </c>
      <c r="D74" s="15">
        <f>$M$4+$M$5*Data!C71+$M$6*Data!D71+$M$7*Data!E71</f>
        <v/>
      </c>
      <c r="E74" s="15">
        <f>C74-D74</f>
        <v/>
      </c>
      <c r="F74" s="20">
        <f>EXP(D74)</f>
        <v/>
      </c>
      <c r="G74" s="20">
        <f>EXP(D74+$M$9*Data!I71)</f>
        <v/>
      </c>
      <c r="H74" s="20">
        <f>EXP($M$10+(D74-$M$10)/SQRT($M$8))</f>
        <v/>
      </c>
      <c r="I74" s="20">
        <f>Data!H71</f>
        <v/>
      </c>
    </row>
    <row r="75">
      <c r="A75">
        <f>Data!A72</f>
        <v/>
      </c>
      <c r="B75">
        <f>Data!J72</f>
        <v/>
      </c>
      <c r="C75" s="15">
        <f>LN(Data!H72)</f>
        <v/>
      </c>
      <c r="D75" s="15">
        <f>$M$4+$M$5*Data!C72+$M$6*Data!D72+$M$7*Data!E72</f>
        <v/>
      </c>
      <c r="E75" s="15">
        <f>C75-D75</f>
        <v/>
      </c>
      <c r="F75" s="20">
        <f>EXP(D75)</f>
        <v/>
      </c>
      <c r="G75" s="20">
        <f>EXP(D75+$M$9*Data!I72)</f>
        <v/>
      </c>
      <c r="H75" s="20">
        <f>EXP($M$10+(D75-$M$10)/SQRT($M$8))</f>
        <v/>
      </c>
      <c r="I75" s="20">
        <f>Data!H72</f>
        <v/>
      </c>
    </row>
    <row r="76">
      <c r="A76">
        <f>Data!A73</f>
        <v/>
      </c>
      <c r="B76">
        <f>Data!J73</f>
        <v/>
      </c>
      <c r="C76" s="15">
        <f>LN(Data!H73)</f>
        <v/>
      </c>
      <c r="D76" s="15">
        <f>$M$4+$M$5*Data!C73+$M$6*Data!D73+$M$7*Data!E73</f>
        <v/>
      </c>
      <c r="E76" s="15">
        <f>C76-D76</f>
        <v/>
      </c>
      <c r="F76" s="20">
        <f>EXP(D76)</f>
        <v/>
      </c>
      <c r="G76" s="20">
        <f>EXP(D76+$M$9*Data!I73)</f>
        <v/>
      </c>
      <c r="H76" s="20">
        <f>EXP($M$10+(D76-$M$10)/SQRT($M$8))</f>
        <v/>
      </c>
      <c r="I76" s="20">
        <f>Data!H73</f>
        <v/>
      </c>
    </row>
    <row r="77">
      <c r="A77">
        <f>Data!A74</f>
        <v/>
      </c>
      <c r="B77">
        <f>Data!J74</f>
        <v/>
      </c>
      <c r="C77" s="15">
        <f>LN(Data!H74)</f>
        <v/>
      </c>
      <c r="D77" s="15">
        <f>$M$4+$M$5*Data!C74+$M$6*Data!D74+$M$7*Data!E74</f>
        <v/>
      </c>
      <c r="E77" s="15">
        <f>C77-D77</f>
        <v/>
      </c>
      <c r="F77" s="20">
        <f>EXP(D77)</f>
        <v/>
      </c>
      <c r="G77" s="20">
        <f>EXP(D77+$M$9*Data!I74)</f>
        <v/>
      </c>
      <c r="H77" s="20">
        <f>EXP($M$10+(D77-$M$10)/SQRT($M$8))</f>
        <v/>
      </c>
      <c r="I77" s="20">
        <f>Data!H74</f>
        <v/>
      </c>
    </row>
    <row r="78">
      <c r="A78">
        <f>Data!A75</f>
        <v/>
      </c>
      <c r="B78">
        <f>Data!J75</f>
        <v/>
      </c>
      <c r="C78" s="15">
        <f>LN(Data!H75)</f>
        <v/>
      </c>
      <c r="D78" s="15">
        <f>$M$4+$M$5*Data!C75+$M$6*Data!D75+$M$7*Data!E75</f>
        <v/>
      </c>
      <c r="E78" s="15">
        <f>C78-D78</f>
        <v/>
      </c>
      <c r="F78" s="20">
        <f>EXP(D78)</f>
        <v/>
      </c>
      <c r="G78" s="20">
        <f>EXP(D78+$M$9*Data!I75)</f>
        <v/>
      </c>
      <c r="H78" s="20">
        <f>EXP($M$10+(D78-$M$10)/SQRT($M$8))</f>
        <v/>
      </c>
      <c r="I78" s="20">
        <f>Data!H75</f>
        <v/>
      </c>
    </row>
    <row r="79">
      <c r="A79">
        <f>Data!A76</f>
        <v/>
      </c>
      <c r="B79">
        <f>Data!J76</f>
        <v/>
      </c>
      <c r="C79" s="15">
        <f>LN(Data!H76)</f>
        <v/>
      </c>
      <c r="D79" s="15">
        <f>$M$4+$M$5*Data!C76+$M$6*Data!D76+$M$7*Data!E76</f>
        <v/>
      </c>
      <c r="E79" s="15">
        <f>C79-D79</f>
        <v/>
      </c>
      <c r="F79" s="20">
        <f>EXP(D79)</f>
        <v/>
      </c>
      <c r="G79" s="20">
        <f>EXP(D79+$M$9*Data!I76)</f>
        <v/>
      </c>
      <c r="H79" s="20">
        <f>EXP($M$10+(D79-$M$10)/SQRT($M$8))</f>
        <v/>
      </c>
      <c r="I79" s="20">
        <f>Data!H76</f>
        <v/>
      </c>
    </row>
    <row r="80">
      <c r="A80">
        <f>Data!A77</f>
        <v/>
      </c>
      <c r="B80">
        <f>Data!J77</f>
        <v/>
      </c>
      <c r="C80" s="15">
        <f>LN(Data!H77)</f>
        <v/>
      </c>
      <c r="D80" s="15">
        <f>$M$4+$M$5*Data!C77+$M$6*Data!D77+$M$7*Data!E77</f>
        <v/>
      </c>
      <c r="E80" s="15">
        <f>C80-D80</f>
        <v/>
      </c>
      <c r="F80" s="20">
        <f>EXP(D80)</f>
        <v/>
      </c>
      <c r="G80" s="20">
        <f>EXP(D80+$M$9*Data!I77)</f>
        <v/>
      </c>
      <c r="H80" s="20">
        <f>EXP($M$10+(D80-$M$10)/SQRT($M$8))</f>
        <v/>
      </c>
      <c r="I80" s="20">
        <f>Data!H77</f>
        <v/>
      </c>
    </row>
    <row r="81">
      <c r="A81">
        <f>Data!A78</f>
        <v/>
      </c>
      <c r="B81">
        <f>Data!J78</f>
        <v/>
      </c>
      <c r="C81" s="15">
        <f>LN(Data!H78)</f>
        <v/>
      </c>
      <c r="D81" s="15">
        <f>$M$4+$M$5*Data!C78+$M$6*Data!D78+$M$7*Data!E78</f>
        <v/>
      </c>
      <c r="E81" s="15">
        <f>C81-D81</f>
        <v/>
      </c>
      <c r="F81" s="20">
        <f>EXP(D81)</f>
        <v/>
      </c>
      <c r="G81" s="20">
        <f>EXP(D81+$M$9*Data!I78)</f>
        <v/>
      </c>
      <c r="H81" s="20">
        <f>EXP($M$10+(D81-$M$10)/SQRT($M$8))</f>
        <v/>
      </c>
      <c r="I81" s="20">
        <f>Data!H78</f>
        <v/>
      </c>
    </row>
    <row r="82">
      <c r="A82">
        <f>Data!A79</f>
        <v/>
      </c>
      <c r="B82">
        <f>Data!J79</f>
        <v/>
      </c>
      <c r="C82" s="15">
        <f>LN(Data!H79)</f>
        <v/>
      </c>
      <c r="D82" s="15">
        <f>$M$4+$M$5*Data!C79+$M$6*Data!D79+$M$7*Data!E79</f>
        <v/>
      </c>
      <c r="E82" s="15">
        <f>C82-D82</f>
        <v/>
      </c>
      <c r="F82" s="20">
        <f>EXP(D82)</f>
        <v/>
      </c>
      <c r="G82" s="20">
        <f>EXP(D82+$M$9*Data!I79)</f>
        <v/>
      </c>
      <c r="H82" s="20">
        <f>EXP($M$10+(D82-$M$10)/SQRT($M$8))</f>
        <v/>
      </c>
      <c r="I82" s="20">
        <f>Data!H79</f>
        <v/>
      </c>
    </row>
    <row r="83">
      <c r="A83">
        <f>Data!A80</f>
        <v/>
      </c>
      <c r="B83">
        <f>Data!J80</f>
        <v/>
      </c>
      <c r="C83" s="15">
        <f>LN(Data!H80)</f>
        <v/>
      </c>
      <c r="D83" s="15">
        <f>$M$4+$M$5*Data!C80+$M$6*Data!D80+$M$7*Data!E80</f>
        <v/>
      </c>
      <c r="E83" s="15">
        <f>C83-D83</f>
        <v/>
      </c>
      <c r="F83" s="20">
        <f>EXP(D83)</f>
        <v/>
      </c>
      <c r="G83" s="20">
        <f>EXP(D83+$M$9*Data!I80)</f>
        <v/>
      </c>
      <c r="H83" s="20">
        <f>EXP($M$10+(D83-$M$10)/SQRT($M$8))</f>
        <v/>
      </c>
      <c r="I83" s="20">
        <f>Data!H80</f>
        <v/>
      </c>
    </row>
    <row r="84">
      <c r="A84">
        <f>Data!A81</f>
        <v/>
      </c>
      <c r="B84">
        <f>Data!J81</f>
        <v/>
      </c>
      <c r="C84" s="15">
        <f>LN(Data!H81)</f>
        <v/>
      </c>
      <c r="D84" s="15">
        <f>$M$4+$M$5*Data!C81+$M$6*Data!D81+$M$7*Data!E81</f>
        <v/>
      </c>
      <c r="E84" s="15">
        <f>C84-D84</f>
        <v/>
      </c>
      <c r="F84" s="20">
        <f>EXP(D84)</f>
        <v/>
      </c>
      <c r="G84" s="20">
        <f>EXP(D84+$M$9*Data!I81)</f>
        <v/>
      </c>
      <c r="H84" s="20">
        <f>EXP($M$10+(D84-$M$10)/SQRT($M$8))</f>
        <v/>
      </c>
      <c r="I84" s="20">
        <f>Data!H81</f>
        <v/>
      </c>
    </row>
    <row r="85">
      <c r="A85">
        <f>Data!A82</f>
        <v/>
      </c>
      <c r="B85">
        <f>Data!J82</f>
        <v/>
      </c>
      <c r="C85" s="15">
        <f>LN(Data!H82)</f>
        <v/>
      </c>
      <c r="D85" s="15">
        <f>$M$4+$M$5*Data!C82+$M$6*Data!D82+$M$7*Data!E82</f>
        <v/>
      </c>
      <c r="E85" s="15">
        <f>C85-D85</f>
        <v/>
      </c>
      <c r="F85" s="20">
        <f>EXP(D85)</f>
        <v/>
      </c>
      <c r="G85" s="20">
        <f>EXP(D85+$M$9*Data!I82)</f>
        <v/>
      </c>
      <c r="H85" s="20">
        <f>EXP($M$10+(D85-$M$10)/SQRT($M$8))</f>
        <v/>
      </c>
      <c r="I85" s="20">
        <f>Data!H82</f>
        <v/>
      </c>
    </row>
    <row r="86">
      <c r="A86">
        <f>Data!A83</f>
        <v/>
      </c>
      <c r="B86">
        <f>Data!J83</f>
        <v/>
      </c>
      <c r="C86" s="15">
        <f>LN(Data!H83)</f>
        <v/>
      </c>
      <c r="D86" s="15">
        <f>$M$4+$M$5*Data!C83+$M$6*Data!D83+$M$7*Data!E83</f>
        <v/>
      </c>
      <c r="E86" s="15">
        <f>C86-D86</f>
        <v/>
      </c>
      <c r="F86" s="20">
        <f>EXP(D86)</f>
        <v/>
      </c>
      <c r="G86" s="20">
        <f>EXP(D86+$M$9*Data!I83)</f>
        <v/>
      </c>
      <c r="H86" s="20">
        <f>EXP($M$10+(D86-$M$10)/SQRT($M$8))</f>
        <v/>
      </c>
      <c r="I86" s="20">
        <f>Data!H83</f>
        <v/>
      </c>
    </row>
    <row r="87">
      <c r="A87">
        <f>Data!A84</f>
        <v/>
      </c>
      <c r="B87">
        <f>Data!J84</f>
        <v/>
      </c>
      <c r="C87" s="15">
        <f>LN(Data!H84)</f>
        <v/>
      </c>
      <c r="D87" s="15">
        <f>$M$4+$M$5*Data!C84+$M$6*Data!D84+$M$7*Data!E84</f>
        <v/>
      </c>
      <c r="E87" s="15">
        <f>C87-D87</f>
        <v/>
      </c>
      <c r="F87" s="20">
        <f>EXP(D87)</f>
        <v/>
      </c>
      <c r="G87" s="20">
        <f>EXP(D87+$M$9*Data!I84)</f>
        <v/>
      </c>
      <c r="H87" s="20">
        <f>EXP($M$10+(D87-$M$10)/SQRT($M$8))</f>
        <v/>
      </c>
      <c r="I87" s="20">
        <f>Data!H84</f>
        <v/>
      </c>
    </row>
    <row r="88">
      <c r="A88">
        <f>Data!A85</f>
        <v/>
      </c>
      <c r="B88">
        <f>Data!J85</f>
        <v/>
      </c>
      <c r="C88" s="15">
        <f>LN(Data!H85)</f>
        <v/>
      </c>
      <c r="D88" s="15">
        <f>$M$4+$M$5*Data!C85+$M$6*Data!D85+$M$7*Data!E85</f>
        <v/>
      </c>
      <c r="E88" s="15">
        <f>C88-D88</f>
        <v/>
      </c>
      <c r="F88" s="20">
        <f>EXP(D88)</f>
        <v/>
      </c>
      <c r="G88" s="20">
        <f>EXP(D88+$M$9*Data!I85)</f>
        <v/>
      </c>
      <c r="H88" s="20">
        <f>EXP($M$10+(D88-$M$10)/SQRT($M$8))</f>
        <v/>
      </c>
      <c r="I88" s="20">
        <f>Data!H85</f>
        <v/>
      </c>
    </row>
    <row r="89">
      <c r="A89">
        <f>Data!A86</f>
        <v/>
      </c>
      <c r="B89">
        <f>Data!J86</f>
        <v/>
      </c>
      <c r="C89" s="15">
        <f>LN(Data!H86)</f>
        <v/>
      </c>
      <c r="D89" s="15">
        <f>$M$4+$M$5*Data!C86+$M$6*Data!D86+$M$7*Data!E86</f>
        <v/>
      </c>
      <c r="E89" s="15">
        <f>C89-D89</f>
        <v/>
      </c>
      <c r="F89" s="20">
        <f>EXP(D89)</f>
        <v/>
      </c>
      <c r="G89" s="20">
        <f>EXP(D89+$M$9*Data!I86)</f>
        <v/>
      </c>
      <c r="H89" s="20">
        <f>EXP($M$10+(D89-$M$10)/SQRT($M$8))</f>
        <v/>
      </c>
      <c r="I89" s="20">
        <f>Data!H86</f>
        <v/>
      </c>
    </row>
    <row r="90">
      <c r="A90">
        <f>Data!A87</f>
        <v/>
      </c>
      <c r="B90">
        <f>Data!J87</f>
        <v/>
      </c>
      <c r="C90" s="15">
        <f>LN(Data!H87)</f>
        <v/>
      </c>
      <c r="D90" s="15">
        <f>$M$4+$M$5*Data!C87+$M$6*Data!D87+$M$7*Data!E87</f>
        <v/>
      </c>
      <c r="E90" s="15">
        <f>C90-D90</f>
        <v/>
      </c>
      <c r="F90" s="20">
        <f>EXP(D90)</f>
        <v/>
      </c>
      <c r="G90" s="20">
        <f>EXP(D90+$M$9*Data!I87)</f>
        <v/>
      </c>
      <c r="H90" s="20">
        <f>EXP($M$10+(D90-$M$10)/SQRT($M$8))</f>
        <v/>
      </c>
      <c r="I90" s="20">
        <f>Data!H87</f>
        <v/>
      </c>
    </row>
    <row r="91">
      <c r="A91">
        <f>Data!A88</f>
        <v/>
      </c>
      <c r="B91">
        <f>Data!J88</f>
        <v/>
      </c>
      <c r="C91" s="15">
        <f>LN(Data!H88)</f>
        <v/>
      </c>
      <c r="D91" s="15">
        <f>$M$4+$M$5*Data!C88+$M$6*Data!D88+$M$7*Data!E88</f>
        <v/>
      </c>
      <c r="E91" s="15">
        <f>C91-D91</f>
        <v/>
      </c>
      <c r="F91" s="20">
        <f>EXP(D91)</f>
        <v/>
      </c>
      <c r="G91" s="20">
        <f>EXP(D91+$M$9*Data!I88)</f>
        <v/>
      </c>
      <c r="H91" s="20">
        <f>EXP($M$10+(D91-$M$10)/SQRT($M$8))</f>
        <v/>
      </c>
      <c r="I91" s="20">
        <f>Data!H88</f>
        <v/>
      </c>
    </row>
    <row r="92">
      <c r="A92">
        <f>Data!A89</f>
        <v/>
      </c>
      <c r="B92">
        <f>Data!J89</f>
        <v/>
      </c>
      <c r="C92" s="15">
        <f>LN(Data!H89)</f>
        <v/>
      </c>
      <c r="D92" s="15">
        <f>$M$4+$M$5*Data!C89+$M$6*Data!D89+$M$7*Data!E89</f>
        <v/>
      </c>
      <c r="E92" s="15">
        <f>C92-D92</f>
        <v/>
      </c>
      <c r="F92" s="20">
        <f>EXP(D92)</f>
        <v/>
      </c>
      <c r="G92" s="20">
        <f>EXP(D92+$M$9*Data!I89)</f>
        <v/>
      </c>
      <c r="H92" s="20">
        <f>EXP($M$10+(D92-$M$10)/SQRT($M$8))</f>
        <v/>
      </c>
      <c r="I92" s="20">
        <f>Data!H89</f>
        <v/>
      </c>
    </row>
    <row r="93">
      <c r="A93">
        <f>Data!A90</f>
        <v/>
      </c>
      <c r="B93">
        <f>Data!J90</f>
        <v/>
      </c>
      <c r="C93" s="15">
        <f>LN(Data!H90)</f>
        <v/>
      </c>
      <c r="D93" s="15">
        <f>$M$4+$M$5*Data!C90+$M$6*Data!D90+$M$7*Data!E90</f>
        <v/>
      </c>
      <c r="E93" s="15">
        <f>C93-D93</f>
        <v/>
      </c>
      <c r="F93" s="20">
        <f>EXP(D93)</f>
        <v/>
      </c>
      <c r="G93" s="20">
        <f>EXP(D93+$M$9*Data!I90)</f>
        <v/>
      </c>
      <c r="H93" s="20">
        <f>EXP($M$10+(D93-$M$10)/SQRT($M$8))</f>
        <v/>
      </c>
      <c r="I93" s="20">
        <f>Data!H90</f>
        <v/>
      </c>
    </row>
    <row r="94">
      <c r="A94">
        <f>Data!A91</f>
        <v/>
      </c>
      <c r="B94">
        <f>Data!J91</f>
        <v/>
      </c>
      <c r="C94" s="15">
        <f>LN(Data!H91)</f>
        <v/>
      </c>
      <c r="D94" s="15">
        <f>$M$4+$M$5*Data!C91+$M$6*Data!D91+$M$7*Data!E91</f>
        <v/>
      </c>
      <c r="E94" s="15">
        <f>C94-D94</f>
        <v/>
      </c>
      <c r="F94" s="20">
        <f>EXP(D94)</f>
        <v/>
      </c>
      <c r="G94" s="20">
        <f>EXP(D94+$M$9*Data!I91)</f>
        <v/>
      </c>
      <c r="H94" s="20">
        <f>EXP($M$10+(D94-$M$10)/SQRT($M$8))</f>
        <v/>
      </c>
      <c r="I94" s="20">
        <f>Data!H91</f>
        <v/>
      </c>
    </row>
    <row r="95">
      <c r="A95">
        <f>Data!A92</f>
        <v/>
      </c>
      <c r="B95">
        <f>Data!J92</f>
        <v/>
      </c>
      <c r="C95" s="15">
        <f>LN(Data!H92)</f>
        <v/>
      </c>
      <c r="D95" s="15">
        <f>$M$4+$M$5*Data!C92+$M$6*Data!D92+$M$7*Data!E92</f>
        <v/>
      </c>
      <c r="E95" s="15">
        <f>C95-D95</f>
        <v/>
      </c>
      <c r="F95" s="20">
        <f>EXP(D95)</f>
        <v/>
      </c>
      <c r="G95" s="20">
        <f>EXP(D95+$M$9*Data!I92)</f>
        <v/>
      </c>
      <c r="H95" s="20">
        <f>EXP($M$10+(D95-$M$10)/SQRT($M$8))</f>
        <v/>
      </c>
      <c r="I95" s="20">
        <f>Data!H92</f>
        <v/>
      </c>
    </row>
    <row r="96">
      <c r="A96">
        <f>Data!A93</f>
        <v/>
      </c>
      <c r="B96">
        <f>Data!J93</f>
        <v/>
      </c>
      <c r="C96" s="15">
        <f>LN(Data!H93)</f>
        <v/>
      </c>
      <c r="D96" s="15">
        <f>$M$4+$M$5*Data!C93+$M$6*Data!D93+$M$7*Data!E93</f>
        <v/>
      </c>
      <c r="E96" s="15">
        <f>C96-D96</f>
        <v/>
      </c>
      <c r="F96" s="20">
        <f>EXP(D96)</f>
        <v/>
      </c>
      <c r="G96" s="20">
        <f>EXP(D96+$M$9*Data!I93)</f>
        <v/>
      </c>
      <c r="H96" s="20">
        <f>EXP($M$10+(D96-$M$10)/SQRT($M$8))</f>
        <v/>
      </c>
      <c r="I96" s="20">
        <f>Data!H93</f>
        <v/>
      </c>
    </row>
    <row r="97">
      <c r="A97">
        <f>Data!A94</f>
        <v/>
      </c>
      <c r="B97">
        <f>Data!J94</f>
        <v/>
      </c>
      <c r="C97" s="15">
        <f>LN(Data!H94)</f>
        <v/>
      </c>
      <c r="D97" s="15">
        <f>$M$4+$M$5*Data!C94+$M$6*Data!D94+$M$7*Data!E94</f>
        <v/>
      </c>
      <c r="E97" s="15">
        <f>C97-D97</f>
        <v/>
      </c>
      <c r="F97" s="20">
        <f>EXP(D97)</f>
        <v/>
      </c>
      <c r="G97" s="20">
        <f>EXP(D97+$M$9*Data!I94)</f>
        <v/>
      </c>
      <c r="H97" s="20">
        <f>EXP($M$10+(D97-$M$10)/SQRT($M$8))</f>
        <v/>
      </c>
      <c r="I97" s="20">
        <f>Data!H94</f>
        <v/>
      </c>
    </row>
    <row r="98">
      <c r="A98">
        <f>Data!A95</f>
        <v/>
      </c>
      <c r="B98">
        <f>Data!J95</f>
        <v/>
      </c>
      <c r="C98" s="15">
        <f>LN(Data!H95)</f>
        <v/>
      </c>
      <c r="D98" s="15">
        <f>$M$4+$M$5*Data!C95+$M$6*Data!D95+$M$7*Data!E95</f>
        <v/>
      </c>
      <c r="E98" s="15">
        <f>C98-D98</f>
        <v/>
      </c>
      <c r="F98" s="20">
        <f>EXP(D98)</f>
        <v/>
      </c>
      <c r="G98" s="20">
        <f>EXP(D98+$M$9*Data!I95)</f>
        <v/>
      </c>
      <c r="H98" s="20">
        <f>EXP($M$10+(D98-$M$10)/SQRT($M$8))</f>
        <v/>
      </c>
      <c r="I98" s="20">
        <f>Data!H95</f>
        <v/>
      </c>
    </row>
    <row r="99">
      <c r="A99">
        <f>Data!A96</f>
        <v/>
      </c>
      <c r="B99">
        <f>Data!J96</f>
        <v/>
      </c>
      <c r="C99" s="15">
        <f>LN(Data!H96)</f>
        <v/>
      </c>
      <c r="D99" s="15">
        <f>$M$4+$M$5*Data!C96+$M$6*Data!D96+$M$7*Data!E96</f>
        <v/>
      </c>
      <c r="E99" s="15">
        <f>C99-D99</f>
        <v/>
      </c>
      <c r="F99" s="20">
        <f>EXP(D99)</f>
        <v/>
      </c>
      <c r="G99" s="20">
        <f>EXP(D99+$M$9*Data!I96)</f>
        <v/>
      </c>
      <c r="H99" s="20">
        <f>EXP($M$10+(D99-$M$10)/SQRT($M$8))</f>
        <v/>
      </c>
      <c r="I99" s="20">
        <f>Data!H96</f>
        <v/>
      </c>
    </row>
    <row r="100">
      <c r="A100">
        <f>Data!A97</f>
        <v/>
      </c>
      <c r="B100">
        <f>Data!J97</f>
        <v/>
      </c>
      <c r="C100" s="15">
        <f>LN(Data!H97)</f>
        <v/>
      </c>
      <c r="D100" s="15">
        <f>$M$4+$M$5*Data!C97+$M$6*Data!D97+$M$7*Data!E97</f>
        <v/>
      </c>
      <c r="E100" s="15">
        <f>C100-D100</f>
        <v/>
      </c>
      <c r="F100" s="20">
        <f>EXP(D100)</f>
        <v/>
      </c>
      <c r="G100" s="20">
        <f>EXP(D100+$M$9*Data!I97)</f>
        <v/>
      </c>
      <c r="H100" s="20">
        <f>EXP($M$10+(D100-$M$10)/SQRT($M$8))</f>
        <v/>
      </c>
      <c r="I100" s="20">
        <f>Data!H97</f>
        <v/>
      </c>
    </row>
    <row r="101">
      <c r="A101">
        <f>Data!A98</f>
        <v/>
      </c>
      <c r="B101">
        <f>Data!J98</f>
        <v/>
      </c>
      <c r="C101" s="15">
        <f>LN(Data!H98)</f>
        <v/>
      </c>
      <c r="D101" s="15">
        <f>$M$4+$M$5*Data!C98+$M$6*Data!D98+$M$7*Data!E98</f>
        <v/>
      </c>
      <c r="E101" s="15">
        <f>C101-D101</f>
        <v/>
      </c>
      <c r="F101" s="20">
        <f>EXP(D101)</f>
        <v/>
      </c>
      <c r="G101" s="20">
        <f>EXP(D101+$M$9*Data!I98)</f>
        <v/>
      </c>
      <c r="H101" s="20">
        <f>EXP($M$10+(D101-$M$10)/SQRT($M$8))</f>
        <v/>
      </c>
      <c r="I101" s="20">
        <f>Data!H98</f>
        <v/>
      </c>
    </row>
    <row r="102">
      <c r="A102">
        <f>Data!A99</f>
        <v/>
      </c>
      <c r="B102">
        <f>Data!J99</f>
        <v/>
      </c>
      <c r="C102" s="15">
        <f>LN(Data!H99)</f>
        <v/>
      </c>
      <c r="D102" s="15">
        <f>$M$4+$M$5*Data!C99+$M$6*Data!D99+$M$7*Data!E99</f>
        <v/>
      </c>
      <c r="E102" s="15">
        <f>C102-D102</f>
        <v/>
      </c>
      <c r="F102" s="20">
        <f>EXP(D102)</f>
        <v/>
      </c>
      <c r="G102" s="20">
        <f>EXP(D102+$M$9*Data!I99)</f>
        <v/>
      </c>
      <c r="H102" s="20">
        <f>EXP($M$10+(D102-$M$10)/SQRT($M$8))</f>
        <v/>
      </c>
      <c r="I102" s="20">
        <f>Data!H99</f>
        <v/>
      </c>
    </row>
    <row r="103">
      <c r="A103">
        <f>Data!A100</f>
        <v/>
      </c>
      <c r="B103">
        <f>Data!J100</f>
        <v/>
      </c>
      <c r="C103" s="15">
        <f>LN(Data!H100)</f>
        <v/>
      </c>
      <c r="D103" s="15">
        <f>$M$4+$M$5*Data!C100+$M$6*Data!D100+$M$7*Data!E100</f>
        <v/>
      </c>
      <c r="E103" s="15">
        <f>C103-D103</f>
        <v/>
      </c>
      <c r="F103" s="20">
        <f>EXP(D103)</f>
        <v/>
      </c>
      <c r="G103" s="20">
        <f>EXP(D103+$M$9*Data!I100)</f>
        <v/>
      </c>
      <c r="H103" s="20">
        <f>EXP($M$10+(D103-$M$10)/SQRT($M$8))</f>
        <v/>
      </c>
      <c r="I103" s="20">
        <f>Data!H100</f>
        <v/>
      </c>
    </row>
    <row r="104">
      <c r="A104">
        <f>Data!A101</f>
        <v/>
      </c>
      <c r="B104">
        <f>Data!J101</f>
        <v/>
      </c>
      <c r="C104" s="15">
        <f>LN(Data!H101)</f>
        <v/>
      </c>
      <c r="D104" s="15">
        <f>$M$4+$M$5*Data!C101+$M$6*Data!D101+$M$7*Data!E101</f>
        <v/>
      </c>
      <c r="E104" s="15">
        <f>C104-D104</f>
        <v/>
      </c>
      <c r="F104" s="20">
        <f>EXP(D104)</f>
        <v/>
      </c>
      <c r="G104" s="20">
        <f>EXP(D104+$M$9*Data!I101)</f>
        <v/>
      </c>
      <c r="H104" s="20">
        <f>EXP($M$10+(D104-$M$10)/SQRT($M$8))</f>
        <v/>
      </c>
      <c r="I104" s="20">
        <f>Data!H101</f>
        <v/>
      </c>
    </row>
    <row r="105">
      <c r="A105">
        <f>Data!A102</f>
        <v/>
      </c>
      <c r="B105">
        <f>Data!J102</f>
        <v/>
      </c>
      <c r="C105" s="15">
        <f>LN(Data!H102)</f>
        <v/>
      </c>
      <c r="D105" s="15">
        <f>$M$4+$M$5*Data!C102+$M$6*Data!D102+$M$7*Data!E102</f>
        <v/>
      </c>
      <c r="E105" s="15">
        <f>C105-D105</f>
        <v/>
      </c>
      <c r="F105" s="20">
        <f>EXP(D105)</f>
        <v/>
      </c>
      <c r="G105" s="20">
        <f>EXP(D105+$M$9*Data!I102)</f>
        <v/>
      </c>
      <c r="H105" s="20">
        <f>EXP($M$10+(D105-$M$10)/SQRT($M$8))</f>
        <v/>
      </c>
      <c r="I105" s="20">
        <f>Data!H102</f>
        <v/>
      </c>
    </row>
    <row r="106">
      <c r="A106">
        <f>Data!A103</f>
        <v/>
      </c>
      <c r="B106">
        <f>Data!J103</f>
        <v/>
      </c>
      <c r="C106" s="15">
        <f>LN(Data!H103)</f>
        <v/>
      </c>
      <c r="D106" s="15">
        <f>$M$4+$M$5*Data!C103+$M$6*Data!D103+$M$7*Data!E103</f>
        <v/>
      </c>
      <c r="E106" s="15">
        <f>C106-D106</f>
        <v/>
      </c>
      <c r="F106" s="20">
        <f>EXP(D106)</f>
        <v/>
      </c>
      <c r="G106" s="20">
        <f>EXP(D106+$M$9*Data!I103)</f>
        <v/>
      </c>
      <c r="H106" s="20">
        <f>EXP($M$10+(D106-$M$10)/SQRT($M$8))</f>
        <v/>
      </c>
      <c r="I106" s="20">
        <f>Data!H103</f>
        <v/>
      </c>
    </row>
    <row r="107">
      <c r="A107">
        <f>Data!A104</f>
        <v/>
      </c>
      <c r="B107">
        <f>Data!J104</f>
        <v/>
      </c>
      <c r="C107" s="15">
        <f>LN(Data!H104)</f>
        <v/>
      </c>
      <c r="D107" s="15">
        <f>$M$4+$M$5*Data!C104+$M$6*Data!D104+$M$7*Data!E104</f>
        <v/>
      </c>
      <c r="E107" s="15">
        <f>C107-D107</f>
        <v/>
      </c>
      <c r="F107" s="20">
        <f>EXP(D107)</f>
        <v/>
      </c>
      <c r="G107" s="20">
        <f>EXP(D107+$M$9*Data!I104)</f>
        <v/>
      </c>
      <c r="H107" s="20">
        <f>EXP($M$10+(D107-$M$10)/SQRT($M$8))</f>
        <v/>
      </c>
      <c r="I107" s="20">
        <f>Data!H104</f>
        <v/>
      </c>
    </row>
    <row r="108">
      <c r="A108">
        <f>Data!A105</f>
        <v/>
      </c>
      <c r="B108">
        <f>Data!J105</f>
        <v/>
      </c>
      <c r="C108" s="15">
        <f>LN(Data!H105)</f>
        <v/>
      </c>
      <c r="D108" s="15">
        <f>$M$4+$M$5*Data!C105+$M$6*Data!D105+$M$7*Data!E105</f>
        <v/>
      </c>
      <c r="E108" s="15">
        <f>C108-D108</f>
        <v/>
      </c>
      <c r="F108" s="20">
        <f>EXP(D108)</f>
        <v/>
      </c>
      <c r="G108" s="20">
        <f>EXP(D108+$M$9*Data!I105)</f>
        <v/>
      </c>
      <c r="H108" s="20">
        <f>EXP($M$10+(D108-$M$10)/SQRT($M$8))</f>
        <v/>
      </c>
      <c r="I108" s="20">
        <f>Data!H105</f>
        <v/>
      </c>
    </row>
    <row r="109">
      <c r="A109">
        <f>Data!A106</f>
        <v/>
      </c>
      <c r="B109">
        <f>Data!J106</f>
        <v/>
      </c>
      <c r="C109" s="15">
        <f>LN(Data!H106)</f>
        <v/>
      </c>
      <c r="D109" s="15">
        <f>$M$4+$M$5*Data!C106+$M$6*Data!D106+$M$7*Data!E106</f>
        <v/>
      </c>
      <c r="E109" s="15">
        <f>C109-D109</f>
        <v/>
      </c>
      <c r="F109" s="20">
        <f>EXP(D109)</f>
        <v/>
      </c>
      <c r="G109" s="20">
        <f>EXP(D109+$M$9*Data!I106)</f>
        <v/>
      </c>
      <c r="H109" s="20">
        <f>EXP($M$10+(D109-$M$10)/SQRT($M$8))</f>
        <v/>
      </c>
      <c r="I109" s="20">
        <f>Data!H106</f>
        <v/>
      </c>
    </row>
    <row r="110">
      <c r="A110">
        <f>Data!A107</f>
        <v/>
      </c>
      <c r="B110">
        <f>Data!J107</f>
        <v/>
      </c>
      <c r="C110" s="15">
        <f>LN(Data!H107)</f>
        <v/>
      </c>
      <c r="D110" s="15">
        <f>$M$4+$M$5*Data!C107+$M$6*Data!D107+$M$7*Data!E107</f>
        <v/>
      </c>
      <c r="E110" s="15">
        <f>C110-D110</f>
        <v/>
      </c>
      <c r="F110" s="20">
        <f>EXP(D110)</f>
        <v/>
      </c>
      <c r="G110" s="20">
        <f>EXP(D110+$M$9*Data!I107)</f>
        <v/>
      </c>
      <c r="H110" s="20">
        <f>EXP($M$10+(D110-$M$10)/SQRT($M$8))</f>
        <v/>
      </c>
      <c r="I110" s="20">
        <f>Data!H107</f>
        <v/>
      </c>
    </row>
    <row r="111">
      <c r="A111">
        <f>Data!A108</f>
        <v/>
      </c>
      <c r="B111">
        <f>Data!J108</f>
        <v/>
      </c>
      <c r="C111" s="15">
        <f>LN(Data!H108)</f>
        <v/>
      </c>
      <c r="D111" s="15">
        <f>$M$4+$M$5*Data!C108+$M$6*Data!D108+$M$7*Data!E108</f>
        <v/>
      </c>
      <c r="E111" s="15">
        <f>C111-D111</f>
        <v/>
      </c>
      <c r="F111" s="20">
        <f>EXP(D111)</f>
        <v/>
      </c>
      <c r="G111" s="20">
        <f>EXP(D111+$M$9*Data!I108)</f>
        <v/>
      </c>
      <c r="H111" s="20">
        <f>EXP($M$10+(D111-$M$10)/SQRT($M$8))</f>
        <v/>
      </c>
      <c r="I111" s="20">
        <f>Data!H108</f>
        <v/>
      </c>
    </row>
    <row r="112">
      <c r="A112">
        <f>Data!A109</f>
        <v/>
      </c>
      <c r="B112">
        <f>Data!J109</f>
        <v/>
      </c>
      <c r="C112" s="15">
        <f>LN(Data!H109)</f>
        <v/>
      </c>
      <c r="D112" s="15">
        <f>$M$4+$M$5*Data!C109+$M$6*Data!D109+$M$7*Data!E109</f>
        <v/>
      </c>
      <c r="E112" s="15">
        <f>C112-D112</f>
        <v/>
      </c>
      <c r="F112" s="20">
        <f>EXP(D112)</f>
        <v/>
      </c>
      <c r="G112" s="20">
        <f>EXP(D112+$M$9*Data!I109)</f>
        <v/>
      </c>
      <c r="H112" s="20">
        <f>EXP($M$10+(D112-$M$10)/SQRT($M$8))</f>
        <v/>
      </c>
      <c r="I112" s="20">
        <f>Data!H109</f>
        <v/>
      </c>
    </row>
    <row r="113">
      <c r="A113">
        <f>Data!A110</f>
        <v/>
      </c>
      <c r="B113">
        <f>Data!J110</f>
        <v/>
      </c>
      <c r="C113" s="15">
        <f>LN(Data!H110)</f>
        <v/>
      </c>
      <c r="D113" s="15">
        <f>$M$4+$M$5*Data!C110+$M$6*Data!D110+$M$7*Data!E110</f>
        <v/>
      </c>
      <c r="E113" s="15">
        <f>C113-D113</f>
        <v/>
      </c>
      <c r="F113" s="20">
        <f>EXP(D113)</f>
        <v/>
      </c>
      <c r="G113" s="20">
        <f>EXP(D113+$M$9*Data!I110)</f>
        <v/>
      </c>
      <c r="H113" s="20">
        <f>EXP($M$10+(D113-$M$10)/SQRT($M$8))</f>
        <v/>
      </c>
      <c r="I113" s="20">
        <f>Data!H110</f>
        <v/>
      </c>
    </row>
    <row r="114">
      <c r="A114">
        <f>Data!A111</f>
        <v/>
      </c>
      <c r="B114">
        <f>Data!J111</f>
        <v/>
      </c>
      <c r="C114" s="15">
        <f>LN(Data!H111)</f>
        <v/>
      </c>
      <c r="D114" s="15">
        <f>$M$4+$M$5*Data!C111+$M$6*Data!D111+$M$7*Data!E111</f>
        <v/>
      </c>
      <c r="E114" s="15">
        <f>C114-D114</f>
        <v/>
      </c>
      <c r="F114" s="20">
        <f>EXP(D114)</f>
        <v/>
      </c>
      <c r="G114" s="20">
        <f>EXP(D114+$M$9*Data!I111)</f>
        <v/>
      </c>
      <c r="H114" s="20">
        <f>EXP($M$10+(D114-$M$10)/SQRT($M$8))</f>
        <v/>
      </c>
      <c r="I114" s="20">
        <f>Data!H111</f>
        <v/>
      </c>
    </row>
    <row r="115">
      <c r="A115">
        <f>Data!A112</f>
        <v/>
      </c>
      <c r="B115">
        <f>Data!J112</f>
        <v/>
      </c>
      <c r="C115" s="15">
        <f>LN(Data!H112)</f>
        <v/>
      </c>
      <c r="D115" s="15">
        <f>$M$4+$M$5*Data!C112+$M$6*Data!D112+$M$7*Data!E112</f>
        <v/>
      </c>
      <c r="E115" s="15">
        <f>C115-D115</f>
        <v/>
      </c>
      <c r="F115" s="20">
        <f>EXP(D115)</f>
        <v/>
      </c>
      <c r="G115" s="20">
        <f>EXP(D115+$M$9*Data!I112)</f>
        <v/>
      </c>
      <c r="H115" s="20">
        <f>EXP($M$10+(D115-$M$10)/SQRT($M$8))</f>
        <v/>
      </c>
      <c r="I115" s="20">
        <f>Data!H112</f>
        <v/>
      </c>
    </row>
    <row r="116">
      <c r="A116">
        <f>Data!A113</f>
        <v/>
      </c>
      <c r="B116">
        <f>Data!J113</f>
        <v/>
      </c>
      <c r="C116" s="15">
        <f>LN(Data!H113)</f>
        <v/>
      </c>
      <c r="D116" s="15">
        <f>$M$4+$M$5*Data!C113+$M$6*Data!D113+$M$7*Data!E113</f>
        <v/>
      </c>
      <c r="E116" s="15">
        <f>C116-D116</f>
        <v/>
      </c>
      <c r="F116" s="20">
        <f>EXP(D116)</f>
        <v/>
      </c>
      <c r="G116" s="20">
        <f>EXP(D116+$M$9*Data!I113)</f>
        <v/>
      </c>
      <c r="H116" s="20">
        <f>EXP($M$10+(D116-$M$10)/SQRT($M$8))</f>
        <v/>
      </c>
      <c r="I116" s="20">
        <f>Data!H113</f>
        <v/>
      </c>
    </row>
    <row r="117">
      <c r="A117">
        <f>Data!A114</f>
        <v/>
      </c>
      <c r="B117">
        <f>Data!J114</f>
        <v/>
      </c>
      <c r="C117" s="15">
        <f>LN(Data!H114)</f>
        <v/>
      </c>
      <c r="D117" s="15">
        <f>$M$4+$M$5*Data!C114+$M$6*Data!D114+$M$7*Data!E114</f>
        <v/>
      </c>
      <c r="E117" s="15">
        <f>C117-D117</f>
        <v/>
      </c>
      <c r="F117" s="20">
        <f>EXP(D117)</f>
        <v/>
      </c>
      <c r="G117" s="20">
        <f>EXP(D117+$M$9*Data!I114)</f>
        <v/>
      </c>
      <c r="H117" s="20">
        <f>EXP($M$10+(D117-$M$10)/SQRT($M$8))</f>
        <v/>
      </c>
      <c r="I117" s="20">
        <f>Data!H114</f>
        <v/>
      </c>
    </row>
    <row r="118">
      <c r="A118">
        <f>Data!A115</f>
        <v/>
      </c>
      <c r="B118">
        <f>Data!J115</f>
        <v/>
      </c>
      <c r="C118" s="15">
        <f>LN(Data!H115)</f>
        <v/>
      </c>
      <c r="D118" s="15">
        <f>$M$4+$M$5*Data!C115+$M$6*Data!D115+$M$7*Data!E115</f>
        <v/>
      </c>
      <c r="E118" s="15">
        <f>C118-D118</f>
        <v/>
      </c>
      <c r="F118" s="20">
        <f>EXP(D118)</f>
        <v/>
      </c>
      <c r="G118" s="20">
        <f>EXP(D118+$M$9*Data!I115)</f>
        <v/>
      </c>
      <c r="H118" s="20">
        <f>EXP($M$10+(D118-$M$10)/SQRT($M$8))</f>
        <v/>
      </c>
      <c r="I118" s="20">
        <f>Data!H115</f>
        <v/>
      </c>
    </row>
    <row r="119">
      <c r="A119">
        <f>Data!A116</f>
        <v/>
      </c>
      <c r="B119">
        <f>Data!J116</f>
        <v/>
      </c>
      <c r="C119" s="15">
        <f>LN(Data!H116)</f>
        <v/>
      </c>
      <c r="D119" s="15">
        <f>$M$4+$M$5*Data!C116+$M$6*Data!D116+$M$7*Data!E116</f>
        <v/>
      </c>
      <c r="E119" s="15">
        <f>C119-D119</f>
        <v/>
      </c>
      <c r="F119" s="20">
        <f>EXP(D119)</f>
        <v/>
      </c>
      <c r="G119" s="20">
        <f>EXP(D119+$M$9*Data!I116)</f>
        <v/>
      </c>
      <c r="H119" s="20">
        <f>EXP($M$10+(D119-$M$10)/SQRT($M$8))</f>
        <v/>
      </c>
      <c r="I119" s="20">
        <f>Data!H116</f>
        <v/>
      </c>
    </row>
    <row r="120">
      <c r="A120">
        <f>Data!A117</f>
        <v/>
      </c>
      <c r="B120">
        <f>Data!J117</f>
        <v/>
      </c>
      <c r="C120" s="15">
        <f>LN(Data!H117)</f>
        <v/>
      </c>
      <c r="D120" s="15">
        <f>$M$4+$M$5*Data!C117+$M$6*Data!D117+$M$7*Data!E117</f>
        <v/>
      </c>
      <c r="E120" s="15">
        <f>C120-D120</f>
        <v/>
      </c>
      <c r="F120" s="20">
        <f>EXP(D120)</f>
        <v/>
      </c>
      <c r="G120" s="20">
        <f>EXP(D120+$M$9*Data!I117)</f>
        <v/>
      </c>
      <c r="H120" s="20">
        <f>EXP($M$10+(D120-$M$10)/SQRT($M$8))</f>
        <v/>
      </c>
      <c r="I120" s="20">
        <f>Data!H117</f>
        <v/>
      </c>
    </row>
    <row r="121">
      <c r="A121">
        <f>Data!A118</f>
        <v/>
      </c>
      <c r="B121">
        <f>Data!J118</f>
        <v/>
      </c>
      <c r="C121" s="15">
        <f>LN(Data!H118)</f>
        <v/>
      </c>
      <c r="D121" s="15">
        <f>$M$4+$M$5*Data!C118+$M$6*Data!D118+$M$7*Data!E118</f>
        <v/>
      </c>
      <c r="E121" s="15">
        <f>C121-D121</f>
        <v/>
      </c>
      <c r="F121" s="20">
        <f>EXP(D121)</f>
        <v/>
      </c>
      <c r="G121" s="20">
        <f>EXP(D121+$M$9*Data!I118)</f>
        <v/>
      </c>
      <c r="H121" s="20">
        <f>EXP($M$10+(D121-$M$10)/SQRT($M$8))</f>
        <v/>
      </c>
      <c r="I121" s="20">
        <f>Data!H118</f>
        <v/>
      </c>
    </row>
    <row r="122">
      <c r="A122">
        <f>Data!A119</f>
        <v/>
      </c>
      <c r="B122">
        <f>Data!J119</f>
        <v/>
      </c>
      <c r="C122" s="15">
        <f>LN(Data!H119)</f>
        <v/>
      </c>
      <c r="D122" s="15">
        <f>$M$4+$M$5*Data!C119+$M$6*Data!D119+$M$7*Data!E119</f>
        <v/>
      </c>
      <c r="E122" s="15">
        <f>C122-D122</f>
        <v/>
      </c>
      <c r="F122" s="20">
        <f>EXP(D122)</f>
        <v/>
      </c>
      <c r="G122" s="20">
        <f>EXP(D122+$M$9*Data!I119)</f>
        <v/>
      </c>
      <c r="H122" s="20">
        <f>EXP($M$10+(D122-$M$10)/SQRT($M$8))</f>
        <v/>
      </c>
      <c r="I122" s="20">
        <f>Data!H119</f>
        <v/>
      </c>
    </row>
    <row r="123">
      <c r="A123">
        <f>Data!A120</f>
        <v/>
      </c>
      <c r="B123">
        <f>Data!J120</f>
        <v/>
      </c>
      <c r="C123" s="15">
        <f>LN(Data!H120)</f>
        <v/>
      </c>
      <c r="D123" s="15">
        <f>$M$4+$M$5*Data!C120+$M$6*Data!D120+$M$7*Data!E120</f>
        <v/>
      </c>
      <c r="E123" s="15">
        <f>C123-D123</f>
        <v/>
      </c>
      <c r="F123" s="20">
        <f>EXP(D123)</f>
        <v/>
      </c>
      <c r="G123" s="20">
        <f>EXP(D123+$M$9*Data!I120)</f>
        <v/>
      </c>
      <c r="H123" s="20">
        <f>EXP($M$10+(D123-$M$10)/SQRT($M$8))</f>
        <v/>
      </c>
      <c r="I123" s="20">
        <f>Data!H120</f>
        <v/>
      </c>
    </row>
    <row r="124">
      <c r="A124">
        <f>Data!A121</f>
        <v/>
      </c>
      <c r="B124">
        <f>Data!J121</f>
        <v/>
      </c>
      <c r="C124" s="15">
        <f>LN(Data!H121)</f>
        <v/>
      </c>
      <c r="D124" s="15">
        <f>$M$4+$M$5*Data!C121+$M$6*Data!D121+$M$7*Data!E121</f>
        <v/>
      </c>
      <c r="E124" s="15">
        <f>C124-D124</f>
        <v/>
      </c>
      <c r="F124" s="20">
        <f>EXP(D124)</f>
        <v/>
      </c>
      <c r="G124" s="20">
        <f>EXP(D124+$M$9*Data!I121)</f>
        <v/>
      </c>
      <c r="H124" s="20">
        <f>EXP($M$10+(D124-$M$10)/SQRT($M$8))</f>
        <v/>
      </c>
      <c r="I124" s="20">
        <f>Data!H121</f>
        <v/>
      </c>
    </row>
    <row r="125">
      <c r="A125">
        <f>Data!A122</f>
        <v/>
      </c>
      <c r="B125">
        <f>Data!J122</f>
        <v/>
      </c>
      <c r="C125" s="15">
        <f>LN(Data!H122)</f>
        <v/>
      </c>
      <c r="D125" s="15">
        <f>$M$4+$M$5*Data!C122+$M$6*Data!D122+$M$7*Data!E122</f>
        <v/>
      </c>
      <c r="E125" s="15">
        <f>C125-D125</f>
        <v/>
      </c>
      <c r="F125" s="20">
        <f>EXP(D125)</f>
        <v/>
      </c>
      <c r="G125" s="20">
        <f>EXP(D125+$M$9*Data!I122)</f>
        <v/>
      </c>
      <c r="H125" s="20">
        <f>EXP($M$10+(D125-$M$10)/SQRT($M$8))</f>
        <v/>
      </c>
      <c r="I125" s="20">
        <f>Data!H122</f>
        <v/>
      </c>
    </row>
    <row r="126">
      <c r="A126">
        <f>Data!A123</f>
        <v/>
      </c>
      <c r="B126">
        <f>Data!J123</f>
        <v/>
      </c>
      <c r="C126" s="15">
        <f>LN(Data!H123)</f>
        <v/>
      </c>
      <c r="D126" s="15">
        <f>$M$4+$M$5*Data!C123+$M$6*Data!D123+$M$7*Data!E123</f>
        <v/>
      </c>
      <c r="E126" s="15">
        <f>C126-D126</f>
        <v/>
      </c>
      <c r="F126" s="20">
        <f>EXP(D126)</f>
        <v/>
      </c>
      <c r="G126" s="20">
        <f>EXP(D126+$M$9*Data!I123)</f>
        <v/>
      </c>
      <c r="H126" s="20">
        <f>EXP($M$10+(D126-$M$10)/SQRT($M$8))</f>
        <v/>
      </c>
      <c r="I126" s="20">
        <f>Data!H123</f>
        <v/>
      </c>
    </row>
    <row r="127">
      <c r="A127">
        <f>Data!A124</f>
        <v/>
      </c>
      <c r="B127">
        <f>Data!J124</f>
        <v/>
      </c>
      <c r="C127" s="15">
        <f>LN(Data!H124)</f>
        <v/>
      </c>
      <c r="D127" s="15">
        <f>$M$4+$M$5*Data!C124+$M$6*Data!D124+$M$7*Data!E124</f>
        <v/>
      </c>
      <c r="E127" s="15">
        <f>C127-D127</f>
        <v/>
      </c>
      <c r="F127" s="20">
        <f>EXP(D127)</f>
        <v/>
      </c>
      <c r="G127" s="20">
        <f>EXP(D127+$M$9*Data!I124)</f>
        <v/>
      </c>
      <c r="H127" s="20">
        <f>EXP($M$10+(D127-$M$10)/SQRT($M$8))</f>
        <v/>
      </c>
      <c r="I127" s="20">
        <f>Data!H124</f>
        <v/>
      </c>
    </row>
    <row r="128">
      <c r="A128">
        <f>Data!A125</f>
        <v/>
      </c>
      <c r="B128">
        <f>Data!J125</f>
        <v/>
      </c>
      <c r="C128" s="15">
        <f>LN(Data!H125)</f>
        <v/>
      </c>
      <c r="D128" s="15">
        <f>$M$4+$M$5*Data!C125+$M$6*Data!D125+$M$7*Data!E125</f>
        <v/>
      </c>
      <c r="E128" s="15">
        <f>C128-D128</f>
        <v/>
      </c>
      <c r="F128" s="20">
        <f>EXP(D128)</f>
        <v/>
      </c>
      <c r="G128" s="20">
        <f>EXP(D128+$M$9*Data!I125)</f>
        <v/>
      </c>
      <c r="H128" s="20">
        <f>EXP($M$10+(D128-$M$10)/SQRT($M$8))</f>
        <v/>
      </c>
      <c r="I128" s="20">
        <f>Data!H125</f>
        <v/>
      </c>
    </row>
    <row r="129">
      <c r="A129">
        <f>Data!A126</f>
        <v/>
      </c>
      <c r="B129">
        <f>Data!J126</f>
        <v/>
      </c>
      <c r="C129" s="15">
        <f>LN(Data!H126)</f>
        <v/>
      </c>
      <c r="D129" s="15">
        <f>$M$4+$M$5*Data!C126+$M$6*Data!D126+$M$7*Data!E126</f>
        <v/>
      </c>
      <c r="E129" s="15">
        <f>C129-D129</f>
        <v/>
      </c>
      <c r="F129" s="20">
        <f>EXP(D129)</f>
        <v/>
      </c>
      <c r="G129" s="20">
        <f>EXP(D129+$M$9*Data!I126)</f>
        <v/>
      </c>
      <c r="H129" s="20">
        <f>EXP($M$10+(D129-$M$10)/SQRT($M$8))</f>
        <v/>
      </c>
      <c r="I129" s="20">
        <f>Data!H126</f>
        <v/>
      </c>
    </row>
    <row r="130">
      <c r="A130">
        <f>Data!A127</f>
        <v/>
      </c>
      <c r="B130">
        <f>Data!J127</f>
        <v/>
      </c>
      <c r="C130" s="15">
        <f>LN(Data!H127)</f>
        <v/>
      </c>
      <c r="D130" s="15">
        <f>$M$4+$M$5*Data!C127+$M$6*Data!D127+$M$7*Data!E127</f>
        <v/>
      </c>
      <c r="E130" s="15">
        <f>C130-D130</f>
        <v/>
      </c>
      <c r="F130" s="20">
        <f>EXP(D130)</f>
        <v/>
      </c>
      <c r="G130" s="20">
        <f>EXP(D130+$M$9*Data!I127)</f>
        <v/>
      </c>
      <c r="H130" s="20">
        <f>EXP($M$10+(D130-$M$10)/SQRT($M$8))</f>
        <v/>
      </c>
      <c r="I130" s="20">
        <f>Data!H127</f>
        <v/>
      </c>
    </row>
    <row r="131">
      <c r="A131">
        <f>Data!A128</f>
        <v/>
      </c>
      <c r="B131">
        <f>Data!J128</f>
        <v/>
      </c>
      <c r="C131" s="15">
        <f>LN(Data!H128)</f>
        <v/>
      </c>
      <c r="D131" s="15">
        <f>$M$4+$M$5*Data!C128+$M$6*Data!D128+$M$7*Data!E128</f>
        <v/>
      </c>
      <c r="E131" s="15">
        <f>C131-D131</f>
        <v/>
      </c>
      <c r="F131" s="20">
        <f>EXP(D131)</f>
        <v/>
      </c>
      <c r="G131" s="20">
        <f>EXP(D131+$M$9*Data!I128)</f>
        <v/>
      </c>
      <c r="H131" s="20">
        <f>EXP($M$10+(D131-$M$10)/SQRT($M$8))</f>
        <v/>
      </c>
      <c r="I131" s="20">
        <f>Data!H128</f>
        <v/>
      </c>
    </row>
    <row r="132">
      <c r="A132">
        <f>Data!A129</f>
        <v/>
      </c>
      <c r="B132">
        <f>Data!J129</f>
        <v/>
      </c>
      <c r="C132" s="15">
        <f>LN(Data!H129)</f>
        <v/>
      </c>
      <c r="D132" s="15">
        <f>$M$4+$M$5*Data!C129+$M$6*Data!D129+$M$7*Data!E129</f>
        <v/>
      </c>
      <c r="E132" s="15">
        <f>C132-D132</f>
        <v/>
      </c>
      <c r="F132" s="20">
        <f>EXP(D132)</f>
        <v/>
      </c>
      <c r="G132" s="20">
        <f>EXP(D132+$M$9*Data!I129)</f>
        <v/>
      </c>
      <c r="H132" s="20">
        <f>EXP($M$10+(D132-$M$10)/SQRT($M$8))</f>
        <v/>
      </c>
      <c r="I132" s="20">
        <f>Data!H129</f>
        <v/>
      </c>
    </row>
    <row r="133">
      <c r="A133">
        <f>Data!A130</f>
        <v/>
      </c>
      <c r="B133">
        <f>Data!J130</f>
        <v/>
      </c>
      <c r="C133" s="15">
        <f>LN(Data!H130)</f>
        <v/>
      </c>
      <c r="D133" s="15">
        <f>$M$4+$M$5*Data!C130+$M$6*Data!D130+$M$7*Data!E130</f>
        <v/>
      </c>
      <c r="E133" s="15">
        <f>C133-D133</f>
        <v/>
      </c>
      <c r="F133" s="20">
        <f>EXP(D133)</f>
        <v/>
      </c>
      <c r="G133" s="20">
        <f>EXP(D133+$M$9*Data!I130)</f>
        <v/>
      </c>
      <c r="H133" s="20">
        <f>EXP($M$10+(D133-$M$10)/SQRT($M$8))</f>
        <v/>
      </c>
      <c r="I133" s="20">
        <f>Data!H130</f>
        <v/>
      </c>
    </row>
    <row r="134">
      <c r="A134">
        <f>Data!A131</f>
        <v/>
      </c>
      <c r="B134">
        <f>Data!J131</f>
        <v/>
      </c>
      <c r="C134" s="15">
        <f>LN(Data!H131)</f>
        <v/>
      </c>
      <c r="D134" s="15">
        <f>$M$4+$M$5*Data!C131+$M$6*Data!D131+$M$7*Data!E131</f>
        <v/>
      </c>
      <c r="E134" s="15">
        <f>C134-D134</f>
        <v/>
      </c>
      <c r="F134" s="20">
        <f>EXP(D134)</f>
        <v/>
      </c>
      <c r="G134" s="20">
        <f>EXP(D134+$M$9*Data!I131)</f>
        <v/>
      </c>
      <c r="H134" s="20">
        <f>EXP($M$10+(D134-$M$10)/SQRT($M$8))</f>
        <v/>
      </c>
      <c r="I134" s="20">
        <f>Data!H131</f>
        <v/>
      </c>
    </row>
    <row r="135">
      <c r="A135">
        <f>Data!A132</f>
        <v/>
      </c>
      <c r="B135">
        <f>Data!J132</f>
        <v/>
      </c>
      <c r="C135" s="15">
        <f>LN(Data!H132)</f>
        <v/>
      </c>
      <c r="D135" s="15">
        <f>$M$4+$M$5*Data!C132+$M$6*Data!D132+$M$7*Data!E132</f>
        <v/>
      </c>
      <c r="E135" s="15">
        <f>C135-D135</f>
        <v/>
      </c>
      <c r="F135" s="20">
        <f>EXP(D135)</f>
        <v/>
      </c>
      <c r="G135" s="20">
        <f>EXP(D135+$M$9*Data!I132)</f>
        <v/>
      </c>
      <c r="H135" s="20">
        <f>EXP($M$10+(D135-$M$10)/SQRT($M$8))</f>
        <v/>
      </c>
      <c r="I135" s="20">
        <f>Data!H132</f>
        <v/>
      </c>
    </row>
    <row r="136">
      <c r="A136">
        <f>Data!A133</f>
        <v/>
      </c>
      <c r="B136">
        <f>Data!J133</f>
        <v/>
      </c>
      <c r="C136" s="15">
        <f>LN(Data!H133)</f>
        <v/>
      </c>
      <c r="D136" s="15">
        <f>$M$4+$M$5*Data!C133+$M$6*Data!D133+$M$7*Data!E133</f>
        <v/>
      </c>
      <c r="E136" s="15">
        <f>C136-D136</f>
        <v/>
      </c>
      <c r="F136" s="20">
        <f>EXP(D136)</f>
        <v/>
      </c>
      <c r="G136" s="20">
        <f>EXP(D136+$M$9*Data!I133)</f>
        <v/>
      </c>
      <c r="H136" s="20">
        <f>EXP($M$10+(D136-$M$10)/SQRT($M$8))</f>
        <v/>
      </c>
      <c r="I136" s="20">
        <f>Data!H133</f>
        <v/>
      </c>
    </row>
    <row r="137">
      <c r="A137">
        <f>Data!A134</f>
        <v/>
      </c>
      <c r="B137">
        <f>Data!J134</f>
        <v/>
      </c>
      <c r="C137" s="15">
        <f>LN(Data!H134)</f>
        <v/>
      </c>
      <c r="D137" s="15">
        <f>$M$4+$M$5*Data!C134+$M$6*Data!D134+$M$7*Data!E134</f>
        <v/>
      </c>
      <c r="E137" s="15">
        <f>C137-D137</f>
        <v/>
      </c>
      <c r="F137" s="20">
        <f>EXP(D137)</f>
        <v/>
      </c>
      <c r="G137" s="20">
        <f>EXP(D137+$M$9*Data!I134)</f>
        <v/>
      </c>
      <c r="H137" s="20">
        <f>EXP($M$10+(D137-$M$10)/SQRT($M$8))</f>
        <v/>
      </c>
      <c r="I137" s="20">
        <f>Data!H134</f>
        <v/>
      </c>
    </row>
    <row r="138">
      <c r="A138">
        <f>Data!A135</f>
        <v/>
      </c>
      <c r="B138">
        <f>Data!J135</f>
        <v/>
      </c>
      <c r="C138" s="15">
        <f>LN(Data!H135)</f>
        <v/>
      </c>
      <c r="D138" s="15">
        <f>$M$4+$M$5*Data!C135+$M$6*Data!D135+$M$7*Data!E135</f>
        <v/>
      </c>
      <c r="E138" s="15">
        <f>C138-D138</f>
        <v/>
      </c>
      <c r="F138" s="20">
        <f>EXP(D138)</f>
        <v/>
      </c>
      <c r="G138" s="20">
        <f>EXP(D138+$M$9*Data!I135)</f>
        <v/>
      </c>
      <c r="H138" s="20">
        <f>EXP($M$10+(D138-$M$10)/SQRT($M$8))</f>
        <v/>
      </c>
      <c r="I138" s="20">
        <f>Data!H135</f>
        <v/>
      </c>
    </row>
    <row r="139">
      <c r="A139">
        <f>Data!A136</f>
        <v/>
      </c>
      <c r="B139">
        <f>Data!J136</f>
        <v/>
      </c>
      <c r="C139" s="15">
        <f>LN(Data!H136)</f>
        <v/>
      </c>
      <c r="D139" s="15">
        <f>$M$4+$M$5*Data!C136+$M$6*Data!D136+$M$7*Data!E136</f>
        <v/>
      </c>
      <c r="E139" s="15">
        <f>C139-D139</f>
        <v/>
      </c>
      <c r="F139" s="20">
        <f>EXP(D139)</f>
        <v/>
      </c>
      <c r="G139" s="20">
        <f>EXP(D139+$M$9*Data!I136)</f>
        <v/>
      </c>
      <c r="H139" s="20">
        <f>EXP($M$10+(D139-$M$10)/SQRT($M$8))</f>
        <v/>
      </c>
      <c r="I139" s="20">
        <f>Data!H136</f>
        <v/>
      </c>
    </row>
    <row r="140">
      <c r="A140">
        <f>Data!A137</f>
        <v/>
      </c>
      <c r="B140">
        <f>Data!J137</f>
        <v/>
      </c>
      <c r="C140" s="15">
        <f>LN(Data!H137)</f>
        <v/>
      </c>
      <c r="D140" s="15">
        <f>$M$4+$M$5*Data!C137+$M$6*Data!D137+$M$7*Data!E137</f>
        <v/>
      </c>
      <c r="E140" s="15">
        <f>C140-D140</f>
        <v/>
      </c>
      <c r="F140" s="20">
        <f>EXP(D140)</f>
        <v/>
      </c>
      <c r="G140" s="20">
        <f>EXP(D140+$M$9*Data!I137)</f>
        <v/>
      </c>
      <c r="H140" s="20">
        <f>EXP($M$10+(D140-$M$10)/SQRT($M$8))</f>
        <v/>
      </c>
      <c r="I140" s="20">
        <f>Data!H137</f>
        <v/>
      </c>
    </row>
    <row r="141">
      <c r="A141">
        <f>Data!A138</f>
        <v/>
      </c>
      <c r="B141">
        <f>Data!J138</f>
        <v/>
      </c>
      <c r="C141" s="15">
        <f>LN(Data!H138)</f>
        <v/>
      </c>
      <c r="D141" s="15">
        <f>$M$4+$M$5*Data!C138+$M$6*Data!D138+$M$7*Data!E138</f>
        <v/>
      </c>
      <c r="E141" s="15">
        <f>C141-D141</f>
        <v/>
      </c>
      <c r="F141" s="20">
        <f>EXP(D141)</f>
        <v/>
      </c>
      <c r="G141" s="20">
        <f>EXP(D141+$M$9*Data!I138)</f>
        <v/>
      </c>
      <c r="H141" s="20">
        <f>EXP($M$10+(D141-$M$10)/SQRT($M$8))</f>
        <v/>
      </c>
      <c r="I141" s="20">
        <f>Data!H138</f>
        <v/>
      </c>
    </row>
    <row r="142">
      <c r="A142">
        <f>Data!A139</f>
        <v/>
      </c>
      <c r="B142">
        <f>Data!J139</f>
        <v/>
      </c>
      <c r="C142" s="15">
        <f>LN(Data!H139)</f>
        <v/>
      </c>
      <c r="D142" s="15">
        <f>$M$4+$M$5*Data!C139+$M$6*Data!D139+$M$7*Data!E139</f>
        <v/>
      </c>
      <c r="E142" s="15">
        <f>C142-D142</f>
        <v/>
      </c>
      <c r="F142" s="20">
        <f>EXP(D142)</f>
        <v/>
      </c>
      <c r="G142" s="20">
        <f>EXP(D142+$M$9*Data!I139)</f>
        <v/>
      </c>
      <c r="H142" s="20">
        <f>EXP($M$10+(D142-$M$10)/SQRT($M$8))</f>
        <v/>
      </c>
      <c r="I142" s="20">
        <f>Data!H139</f>
        <v/>
      </c>
    </row>
    <row r="143">
      <c r="A143">
        <f>Data!A140</f>
        <v/>
      </c>
      <c r="B143">
        <f>Data!J140</f>
        <v/>
      </c>
      <c r="C143" s="15">
        <f>LN(Data!H140)</f>
        <v/>
      </c>
      <c r="D143" s="15">
        <f>$M$4+$M$5*Data!C140+$M$6*Data!D140+$M$7*Data!E140</f>
        <v/>
      </c>
      <c r="E143" s="15">
        <f>C143-D143</f>
        <v/>
      </c>
      <c r="F143" s="20">
        <f>EXP(D143)</f>
        <v/>
      </c>
      <c r="G143" s="20">
        <f>EXP(D143+$M$9*Data!I140)</f>
        <v/>
      </c>
      <c r="H143" s="20">
        <f>EXP($M$10+(D143-$M$10)/SQRT($M$8))</f>
        <v/>
      </c>
      <c r="I143" s="20">
        <f>Data!H140</f>
        <v/>
      </c>
    </row>
    <row r="144">
      <c r="A144">
        <f>Data!A141</f>
        <v/>
      </c>
      <c r="B144">
        <f>Data!J141</f>
        <v/>
      </c>
      <c r="C144" s="15">
        <f>LN(Data!H141)</f>
        <v/>
      </c>
      <c r="D144" s="15">
        <f>$M$4+$M$5*Data!C141+$M$6*Data!D141+$M$7*Data!E141</f>
        <v/>
      </c>
      <c r="E144" s="15">
        <f>C144-D144</f>
        <v/>
      </c>
      <c r="F144" s="20">
        <f>EXP(D144)</f>
        <v/>
      </c>
      <c r="G144" s="20">
        <f>EXP(D144+$M$9*Data!I141)</f>
        <v/>
      </c>
      <c r="H144" s="20">
        <f>EXP($M$10+(D144-$M$10)/SQRT($M$8))</f>
        <v/>
      </c>
      <c r="I144" s="20">
        <f>Data!H141</f>
        <v/>
      </c>
    </row>
    <row r="145">
      <c r="A145">
        <f>Data!A142</f>
        <v/>
      </c>
      <c r="B145">
        <f>Data!J142</f>
        <v/>
      </c>
      <c r="C145" s="15">
        <f>LN(Data!H142)</f>
        <v/>
      </c>
      <c r="D145" s="15">
        <f>$M$4+$M$5*Data!C142+$M$6*Data!D142+$M$7*Data!E142</f>
        <v/>
      </c>
      <c r="E145" s="15">
        <f>C145-D145</f>
        <v/>
      </c>
      <c r="F145" s="20">
        <f>EXP(D145)</f>
        <v/>
      </c>
      <c r="G145" s="20">
        <f>EXP(D145+$M$9*Data!I142)</f>
        <v/>
      </c>
      <c r="H145" s="20">
        <f>EXP($M$10+(D145-$M$10)/SQRT($M$8))</f>
        <v/>
      </c>
      <c r="I145" s="20">
        <f>Data!H142</f>
        <v/>
      </c>
    </row>
    <row r="146">
      <c r="A146">
        <f>Data!A143</f>
        <v/>
      </c>
      <c r="B146">
        <f>Data!J143</f>
        <v/>
      </c>
      <c r="C146" s="15">
        <f>LN(Data!H143)</f>
        <v/>
      </c>
      <c r="D146" s="15">
        <f>$M$4+$M$5*Data!C143+$M$6*Data!D143+$M$7*Data!E143</f>
        <v/>
      </c>
      <c r="E146" s="15">
        <f>C146-D146</f>
        <v/>
      </c>
      <c r="F146" s="20">
        <f>EXP(D146)</f>
        <v/>
      </c>
      <c r="G146" s="20">
        <f>EXP(D146+$M$9*Data!I143)</f>
        <v/>
      </c>
      <c r="H146" s="20">
        <f>EXP($M$10+(D146-$M$10)/SQRT($M$8))</f>
        <v/>
      </c>
      <c r="I146" s="20">
        <f>Data!H143</f>
        <v/>
      </c>
    </row>
    <row r="147">
      <c r="A147">
        <f>Data!A144</f>
        <v/>
      </c>
      <c r="B147">
        <f>Data!J144</f>
        <v/>
      </c>
      <c r="C147" s="15">
        <f>LN(Data!H144)</f>
        <v/>
      </c>
      <c r="D147" s="15">
        <f>$M$4+$M$5*Data!C144+$M$6*Data!D144+$M$7*Data!E144</f>
        <v/>
      </c>
      <c r="E147" s="15">
        <f>C147-D147</f>
        <v/>
      </c>
      <c r="F147" s="20">
        <f>EXP(D147)</f>
        <v/>
      </c>
      <c r="G147" s="20">
        <f>EXP(D147+$M$9*Data!I144)</f>
        <v/>
      </c>
      <c r="H147" s="20">
        <f>EXP($M$10+(D147-$M$10)/SQRT($M$8))</f>
        <v/>
      </c>
      <c r="I147" s="20">
        <f>Data!H144</f>
        <v/>
      </c>
    </row>
    <row r="148">
      <c r="A148">
        <f>Data!A145</f>
        <v/>
      </c>
      <c r="B148">
        <f>Data!J145</f>
        <v/>
      </c>
      <c r="C148" s="15">
        <f>LN(Data!H145)</f>
        <v/>
      </c>
      <c r="D148" s="15">
        <f>$M$4+$M$5*Data!C145+$M$6*Data!D145+$M$7*Data!E145</f>
        <v/>
      </c>
      <c r="E148" s="15">
        <f>C148-D148</f>
        <v/>
      </c>
      <c r="F148" s="20">
        <f>EXP(D148)</f>
        <v/>
      </c>
      <c r="G148" s="20">
        <f>EXP(D148+$M$9*Data!I145)</f>
        <v/>
      </c>
      <c r="H148" s="20">
        <f>EXP($M$10+(D148-$M$10)/SQRT($M$8))</f>
        <v/>
      </c>
      <c r="I148" s="20">
        <f>Data!H145</f>
        <v/>
      </c>
    </row>
    <row r="149">
      <c r="A149">
        <f>Data!A146</f>
        <v/>
      </c>
      <c r="B149">
        <f>Data!J146</f>
        <v/>
      </c>
      <c r="C149" s="15">
        <f>LN(Data!H146)</f>
        <v/>
      </c>
      <c r="D149" s="15">
        <f>$M$4+$M$5*Data!C146+$M$6*Data!D146+$M$7*Data!E146</f>
        <v/>
      </c>
      <c r="E149" s="15">
        <f>C149-D149</f>
        <v/>
      </c>
      <c r="F149" s="20">
        <f>EXP(D149)</f>
        <v/>
      </c>
      <c r="G149" s="20">
        <f>EXP(D149+$M$9*Data!I146)</f>
        <v/>
      </c>
      <c r="H149" s="20">
        <f>EXP($M$10+(D149-$M$10)/SQRT($M$8))</f>
        <v/>
      </c>
      <c r="I149" s="20">
        <f>Data!H146</f>
        <v/>
      </c>
    </row>
    <row r="150">
      <c r="A150">
        <f>Data!A147</f>
        <v/>
      </c>
      <c r="B150">
        <f>Data!J147</f>
        <v/>
      </c>
      <c r="C150" s="15">
        <f>LN(Data!H147)</f>
        <v/>
      </c>
      <c r="D150" s="15">
        <f>$M$4+$M$5*Data!C147+$M$6*Data!D147+$M$7*Data!E147</f>
        <v/>
      </c>
      <c r="E150" s="15">
        <f>C150-D150</f>
        <v/>
      </c>
      <c r="F150" s="20">
        <f>EXP(D150)</f>
        <v/>
      </c>
      <c r="G150" s="20">
        <f>EXP(D150+$M$9*Data!I147)</f>
        <v/>
      </c>
      <c r="H150" s="20">
        <f>EXP($M$10+(D150-$M$10)/SQRT($M$8))</f>
        <v/>
      </c>
      <c r="I150" s="20">
        <f>Data!H147</f>
        <v/>
      </c>
    </row>
    <row r="151">
      <c r="A151">
        <f>Data!A148</f>
        <v/>
      </c>
      <c r="B151">
        <f>Data!J148</f>
        <v/>
      </c>
      <c r="C151" s="15">
        <f>LN(Data!H148)</f>
        <v/>
      </c>
      <c r="D151" s="15">
        <f>$M$4+$M$5*Data!C148+$M$6*Data!D148+$M$7*Data!E148</f>
        <v/>
      </c>
      <c r="E151" s="15">
        <f>C151-D151</f>
        <v/>
      </c>
      <c r="F151" s="20">
        <f>EXP(D151)</f>
        <v/>
      </c>
      <c r="G151" s="20">
        <f>EXP(D151+$M$9*Data!I148)</f>
        <v/>
      </c>
      <c r="H151" s="20">
        <f>EXP($M$10+(D151-$M$10)/SQRT($M$8))</f>
        <v/>
      </c>
      <c r="I151" s="20">
        <f>Data!H148</f>
        <v/>
      </c>
    </row>
    <row r="152">
      <c r="A152">
        <f>Data!A149</f>
        <v/>
      </c>
      <c r="B152">
        <f>Data!J149</f>
        <v/>
      </c>
      <c r="C152" s="15">
        <f>LN(Data!H149)</f>
        <v/>
      </c>
      <c r="D152" s="15">
        <f>$M$4+$M$5*Data!C149+$M$6*Data!D149+$M$7*Data!E149</f>
        <v/>
      </c>
      <c r="E152" s="15">
        <f>C152-D152</f>
        <v/>
      </c>
      <c r="F152" s="20">
        <f>EXP(D152)</f>
        <v/>
      </c>
      <c r="G152" s="20">
        <f>EXP(D152+$M$9*Data!I149)</f>
        <v/>
      </c>
      <c r="H152" s="20">
        <f>EXP($M$10+(D152-$M$10)/SQRT($M$8))</f>
        <v/>
      </c>
      <c r="I152" s="20">
        <f>Data!H149</f>
        <v/>
      </c>
    </row>
    <row r="153">
      <c r="A153">
        <f>Data!A150</f>
        <v/>
      </c>
      <c r="B153">
        <f>Data!J150</f>
        <v/>
      </c>
      <c r="C153" s="15">
        <f>LN(Data!H150)</f>
        <v/>
      </c>
      <c r="D153" s="15">
        <f>$M$4+$M$5*Data!C150+$M$6*Data!D150+$M$7*Data!E150</f>
        <v/>
      </c>
      <c r="E153" s="15">
        <f>C153-D153</f>
        <v/>
      </c>
      <c r="F153" s="20">
        <f>EXP(D153)</f>
        <v/>
      </c>
      <c r="G153" s="20">
        <f>EXP(D153+$M$9*Data!I150)</f>
        <v/>
      </c>
      <c r="H153" s="20">
        <f>EXP($M$10+(D153-$M$10)/SQRT($M$8))</f>
        <v/>
      </c>
      <c r="I153" s="20">
        <f>Data!H150</f>
        <v/>
      </c>
    </row>
    <row r="154">
      <c r="A154">
        <f>Data!A151</f>
        <v/>
      </c>
      <c r="B154">
        <f>Data!J151</f>
        <v/>
      </c>
      <c r="C154" s="15">
        <f>LN(Data!H151)</f>
        <v/>
      </c>
      <c r="D154" s="15">
        <f>$M$4+$M$5*Data!C151+$M$6*Data!D151+$M$7*Data!E151</f>
        <v/>
      </c>
      <c r="E154" s="15">
        <f>C154-D154</f>
        <v/>
      </c>
      <c r="F154" s="20">
        <f>EXP(D154)</f>
        <v/>
      </c>
      <c r="G154" s="20">
        <f>EXP(D154+$M$9*Data!I151)</f>
        <v/>
      </c>
      <c r="H154" s="20">
        <f>EXP($M$10+(D154-$M$10)/SQRT($M$8))</f>
        <v/>
      </c>
      <c r="I154" s="20">
        <f>Data!H151</f>
        <v/>
      </c>
    </row>
    <row r="155">
      <c r="A155">
        <f>Data!A152</f>
        <v/>
      </c>
      <c r="B155">
        <f>Data!J152</f>
        <v/>
      </c>
      <c r="C155" s="15">
        <f>LN(Data!H152)</f>
        <v/>
      </c>
      <c r="D155" s="15">
        <f>$M$4+$M$5*Data!C152+$M$6*Data!D152+$M$7*Data!E152</f>
        <v/>
      </c>
      <c r="E155" s="15">
        <f>C155-D155</f>
        <v/>
      </c>
      <c r="F155" s="20">
        <f>EXP(D155)</f>
        <v/>
      </c>
      <c r="G155" s="20">
        <f>EXP(D155+$M$9*Data!I152)</f>
        <v/>
      </c>
      <c r="H155" s="20">
        <f>EXP($M$10+(D155-$M$10)/SQRT($M$8))</f>
        <v/>
      </c>
      <c r="I155" s="20">
        <f>Data!H152</f>
        <v/>
      </c>
    </row>
    <row r="156">
      <c r="A156">
        <f>Data!A153</f>
        <v/>
      </c>
      <c r="B156">
        <f>Data!J153</f>
        <v/>
      </c>
      <c r="C156" s="15">
        <f>LN(Data!H153)</f>
        <v/>
      </c>
      <c r="D156" s="15">
        <f>$M$4+$M$5*Data!C153+$M$6*Data!D153+$M$7*Data!E153</f>
        <v/>
      </c>
      <c r="E156" s="15">
        <f>C156-D156</f>
        <v/>
      </c>
      <c r="F156" s="20">
        <f>EXP(D156)</f>
        <v/>
      </c>
      <c r="G156" s="20">
        <f>EXP(D156+$M$9*Data!I153)</f>
        <v/>
      </c>
      <c r="H156" s="20">
        <f>EXP($M$10+(D156-$M$10)/SQRT($M$8))</f>
        <v/>
      </c>
      <c r="I156" s="20">
        <f>Data!H153</f>
        <v/>
      </c>
    </row>
    <row r="157">
      <c r="A157">
        <f>Data!A154</f>
        <v/>
      </c>
      <c r="B157">
        <f>Data!J154</f>
        <v/>
      </c>
      <c r="C157" s="15">
        <f>LN(Data!H154)</f>
        <v/>
      </c>
      <c r="D157" s="15">
        <f>$M$4+$M$5*Data!C154+$M$6*Data!D154+$M$7*Data!E154</f>
        <v/>
      </c>
      <c r="E157" s="15">
        <f>C157-D157</f>
        <v/>
      </c>
      <c r="F157" s="20">
        <f>EXP(D157)</f>
        <v/>
      </c>
      <c r="G157" s="20">
        <f>EXP(D157+$M$9*Data!I154)</f>
        <v/>
      </c>
      <c r="H157" s="20">
        <f>EXP($M$10+(D157-$M$10)/SQRT($M$8))</f>
        <v/>
      </c>
      <c r="I157" s="20">
        <f>Data!H154</f>
        <v/>
      </c>
    </row>
    <row r="158">
      <c r="A158">
        <f>Data!A155</f>
        <v/>
      </c>
      <c r="B158">
        <f>Data!J155</f>
        <v/>
      </c>
      <c r="C158" s="15">
        <f>LN(Data!H155)</f>
        <v/>
      </c>
      <c r="D158" s="15">
        <f>$M$4+$M$5*Data!C155+$M$6*Data!D155+$M$7*Data!E155</f>
        <v/>
      </c>
      <c r="E158" s="15">
        <f>C158-D158</f>
        <v/>
      </c>
      <c r="F158" s="20">
        <f>EXP(D158)</f>
        <v/>
      </c>
      <c r="G158" s="20">
        <f>EXP(D158+$M$9*Data!I155)</f>
        <v/>
      </c>
      <c r="H158" s="20">
        <f>EXP($M$10+(D158-$M$10)/SQRT($M$8))</f>
        <v/>
      </c>
      <c r="I158" s="20">
        <f>Data!H155</f>
        <v/>
      </c>
    </row>
    <row r="159">
      <c r="A159">
        <f>Data!A156</f>
        <v/>
      </c>
      <c r="B159">
        <f>Data!J156</f>
        <v/>
      </c>
      <c r="C159" s="15">
        <f>LN(Data!H156)</f>
        <v/>
      </c>
      <c r="D159" s="15">
        <f>$M$4+$M$5*Data!C156+$M$6*Data!D156+$M$7*Data!E156</f>
        <v/>
      </c>
      <c r="E159" s="15">
        <f>C159-D159</f>
        <v/>
      </c>
      <c r="F159" s="20">
        <f>EXP(D159)</f>
        <v/>
      </c>
      <c r="G159" s="20">
        <f>EXP(D159+$M$9*Data!I156)</f>
        <v/>
      </c>
      <c r="H159" s="20">
        <f>EXP($M$10+(D159-$M$10)/SQRT($M$8))</f>
        <v/>
      </c>
      <c r="I159" s="20">
        <f>Data!H156</f>
        <v/>
      </c>
    </row>
    <row r="160">
      <c r="A160">
        <f>Data!A157</f>
        <v/>
      </c>
      <c r="B160">
        <f>Data!J157</f>
        <v/>
      </c>
      <c r="C160" s="15">
        <f>LN(Data!H157)</f>
        <v/>
      </c>
      <c r="D160" s="15">
        <f>$M$4+$M$5*Data!C157+$M$6*Data!D157+$M$7*Data!E157</f>
        <v/>
      </c>
      <c r="E160" s="15">
        <f>C160-D160</f>
        <v/>
      </c>
      <c r="F160" s="20">
        <f>EXP(D160)</f>
        <v/>
      </c>
      <c r="G160" s="20">
        <f>EXP(D160+$M$9*Data!I157)</f>
        <v/>
      </c>
      <c r="H160" s="20">
        <f>EXP($M$10+(D160-$M$10)/SQRT($M$8))</f>
        <v/>
      </c>
      <c r="I160" s="20">
        <f>Data!H157</f>
        <v/>
      </c>
    </row>
    <row r="161">
      <c r="A161">
        <f>Data!A158</f>
        <v/>
      </c>
      <c r="B161">
        <f>Data!J158</f>
        <v/>
      </c>
      <c r="C161" s="15">
        <f>LN(Data!H158)</f>
        <v/>
      </c>
      <c r="D161" s="15">
        <f>$M$4+$M$5*Data!C158+$M$6*Data!D158+$M$7*Data!E158</f>
        <v/>
      </c>
      <c r="E161" s="15">
        <f>C161-D161</f>
        <v/>
      </c>
      <c r="F161" s="20">
        <f>EXP(D161)</f>
        <v/>
      </c>
      <c r="G161" s="20">
        <f>EXP(D161+$M$9*Data!I158)</f>
        <v/>
      </c>
      <c r="H161" s="20">
        <f>EXP($M$10+(D161-$M$10)/SQRT($M$8))</f>
        <v/>
      </c>
      <c r="I161" s="20">
        <f>Data!H158</f>
        <v/>
      </c>
    </row>
    <row r="162">
      <c r="A162">
        <f>Data!A159</f>
        <v/>
      </c>
      <c r="B162">
        <f>Data!J159</f>
        <v/>
      </c>
      <c r="C162" s="15">
        <f>LN(Data!H159)</f>
        <v/>
      </c>
      <c r="D162" s="15">
        <f>$M$4+$M$5*Data!C159+$M$6*Data!D159+$M$7*Data!E159</f>
        <v/>
      </c>
      <c r="E162" s="15">
        <f>C162-D162</f>
        <v/>
      </c>
      <c r="F162" s="20">
        <f>EXP(D162)</f>
        <v/>
      </c>
      <c r="G162" s="20">
        <f>EXP(D162+$M$9*Data!I159)</f>
        <v/>
      </c>
      <c r="H162" s="20">
        <f>EXP($M$10+(D162-$M$10)/SQRT($M$8))</f>
        <v/>
      </c>
      <c r="I162" s="20">
        <f>Data!H159</f>
        <v/>
      </c>
    </row>
    <row r="163">
      <c r="A163">
        <f>Data!A160</f>
        <v/>
      </c>
      <c r="B163">
        <f>Data!J160</f>
        <v/>
      </c>
      <c r="C163" s="15">
        <f>LN(Data!H160)</f>
        <v/>
      </c>
      <c r="D163" s="15">
        <f>$M$4+$M$5*Data!C160+$M$6*Data!D160+$M$7*Data!E160</f>
        <v/>
      </c>
      <c r="E163" s="15">
        <f>C163-D163</f>
        <v/>
      </c>
      <c r="F163" s="20">
        <f>EXP(D163)</f>
        <v/>
      </c>
      <c r="G163" s="20">
        <f>EXP(D163+$M$9*Data!I160)</f>
        <v/>
      </c>
      <c r="H163" s="20">
        <f>EXP($M$10+(D163-$M$10)/SQRT($M$8))</f>
        <v/>
      </c>
      <c r="I163" s="20">
        <f>Data!H160</f>
        <v/>
      </c>
    </row>
    <row r="164">
      <c r="A164">
        <f>Data!A161</f>
        <v/>
      </c>
      <c r="B164">
        <f>Data!J161</f>
        <v/>
      </c>
      <c r="C164" s="15">
        <f>LN(Data!H161)</f>
        <v/>
      </c>
      <c r="D164" s="15">
        <f>$M$4+$M$5*Data!C161+$M$6*Data!D161+$M$7*Data!E161</f>
        <v/>
      </c>
      <c r="E164" s="15">
        <f>C164-D164</f>
        <v/>
      </c>
      <c r="F164" s="20">
        <f>EXP(D164)</f>
        <v/>
      </c>
      <c r="G164" s="20">
        <f>EXP(D164+$M$9*Data!I161)</f>
        <v/>
      </c>
      <c r="H164" s="20">
        <f>EXP($M$10+(D164-$M$10)/SQRT($M$8))</f>
        <v/>
      </c>
      <c r="I164" s="20">
        <f>Data!H161</f>
        <v/>
      </c>
    </row>
    <row r="165">
      <c r="A165">
        <f>Data!A162</f>
        <v/>
      </c>
      <c r="B165">
        <f>Data!J162</f>
        <v/>
      </c>
      <c r="C165" s="15">
        <f>LN(Data!H162)</f>
        <v/>
      </c>
      <c r="D165" s="15">
        <f>$M$4+$M$5*Data!C162+$M$6*Data!D162+$M$7*Data!E162</f>
        <v/>
      </c>
      <c r="E165" s="15">
        <f>C165-D165</f>
        <v/>
      </c>
      <c r="F165" s="20">
        <f>EXP(D165)</f>
        <v/>
      </c>
      <c r="G165" s="20">
        <f>EXP(D165+$M$9*Data!I162)</f>
        <v/>
      </c>
      <c r="H165" s="20">
        <f>EXP($M$10+(D165-$M$10)/SQRT($M$8))</f>
        <v/>
      </c>
      <c r="I165" s="20">
        <f>Data!H162</f>
        <v/>
      </c>
    </row>
    <row r="166">
      <c r="A166">
        <f>Data!A163</f>
        <v/>
      </c>
      <c r="B166">
        <f>Data!J163</f>
        <v/>
      </c>
      <c r="C166" s="15">
        <f>LN(Data!H163)</f>
        <v/>
      </c>
      <c r="D166" s="15">
        <f>$M$4+$M$5*Data!C163+$M$6*Data!D163+$M$7*Data!E163</f>
        <v/>
      </c>
      <c r="E166" s="15">
        <f>C166-D166</f>
        <v/>
      </c>
      <c r="F166" s="20">
        <f>EXP(D166)</f>
        <v/>
      </c>
      <c r="G166" s="20">
        <f>EXP(D166+$M$9*Data!I163)</f>
        <v/>
      </c>
      <c r="H166" s="20">
        <f>EXP($M$10+(D166-$M$10)/SQRT($M$8))</f>
        <v/>
      </c>
      <c r="I166" s="20">
        <f>Data!H163</f>
        <v/>
      </c>
    </row>
    <row r="167">
      <c r="A167">
        <f>Data!A164</f>
        <v/>
      </c>
      <c r="B167">
        <f>Data!J164</f>
        <v/>
      </c>
      <c r="C167" s="15">
        <f>LN(Data!H164)</f>
        <v/>
      </c>
      <c r="D167" s="15">
        <f>$M$4+$M$5*Data!C164+$M$6*Data!D164+$M$7*Data!E164</f>
        <v/>
      </c>
      <c r="E167" s="15">
        <f>C167-D167</f>
        <v/>
      </c>
      <c r="F167" s="20">
        <f>EXP(D167)</f>
        <v/>
      </c>
      <c r="G167" s="20">
        <f>EXP(D167+$M$9*Data!I164)</f>
        <v/>
      </c>
      <c r="H167" s="20">
        <f>EXP($M$10+(D167-$M$10)/SQRT($M$8))</f>
        <v/>
      </c>
      <c r="I167" s="20">
        <f>Data!H164</f>
        <v/>
      </c>
    </row>
    <row r="168">
      <c r="A168">
        <f>Data!A165</f>
        <v/>
      </c>
      <c r="B168">
        <f>Data!J165</f>
        <v/>
      </c>
      <c r="C168" s="15">
        <f>LN(Data!H165)</f>
        <v/>
      </c>
      <c r="D168" s="15">
        <f>$M$4+$M$5*Data!C165+$M$6*Data!D165+$M$7*Data!E165</f>
        <v/>
      </c>
      <c r="E168" s="15">
        <f>C168-D168</f>
        <v/>
      </c>
      <c r="F168" s="20">
        <f>EXP(D168)</f>
        <v/>
      </c>
      <c r="G168" s="20">
        <f>EXP(D168+$M$9*Data!I165)</f>
        <v/>
      </c>
      <c r="H168" s="20">
        <f>EXP($M$10+(D168-$M$10)/SQRT($M$8))</f>
        <v/>
      </c>
      <c r="I168" s="20">
        <f>Data!H165</f>
        <v/>
      </c>
    </row>
    <row r="169">
      <c r="A169">
        <f>Data!A166</f>
        <v/>
      </c>
      <c r="B169">
        <f>Data!J166</f>
        <v/>
      </c>
      <c r="C169" s="15">
        <f>LN(Data!H166)</f>
        <v/>
      </c>
      <c r="D169" s="15">
        <f>$M$4+$M$5*Data!C166+$M$6*Data!D166+$M$7*Data!E166</f>
        <v/>
      </c>
      <c r="E169" s="15">
        <f>C169-D169</f>
        <v/>
      </c>
      <c r="F169" s="20">
        <f>EXP(D169)</f>
        <v/>
      </c>
      <c r="G169" s="20">
        <f>EXP(D169+$M$9*Data!I166)</f>
        <v/>
      </c>
      <c r="H169" s="20">
        <f>EXP($M$10+(D169-$M$10)/SQRT($M$8))</f>
        <v/>
      </c>
      <c r="I169" s="20">
        <f>Data!H166</f>
        <v/>
      </c>
    </row>
    <row r="170">
      <c r="A170">
        <f>Data!A167</f>
        <v/>
      </c>
      <c r="B170">
        <f>Data!J167</f>
        <v/>
      </c>
      <c r="C170" s="15">
        <f>LN(Data!H167)</f>
        <v/>
      </c>
      <c r="D170" s="15">
        <f>$M$4+$M$5*Data!C167+$M$6*Data!D167+$M$7*Data!E167</f>
        <v/>
      </c>
      <c r="E170" s="15">
        <f>C170-D170</f>
        <v/>
      </c>
      <c r="F170" s="20">
        <f>EXP(D170)</f>
        <v/>
      </c>
      <c r="G170" s="20">
        <f>EXP(D170+$M$9*Data!I167)</f>
        <v/>
      </c>
      <c r="H170" s="20">
        <f>EXP($M$10+(D170-$M$10)/SQRT($M$8))</f>
        <v/>
      </c>
      <c r="I170" s="20">
        <f>Data!H167</f>
        <v/>
      </c>
    </row>
    <row r="171">
      <c r="A171">
        <f>Data!A168</f>
        <v/>
      </c>
      <c r="B171">
        <f>Data!J168</f>
        <v/>
      </c>
      <c r="C171" s="15">
        <f>LN(Data!H168)</f>
        <v/>
      </c>
      <c r="D171" s="15">
        <f>$M$4+$M$5*Data!C168+$M$6*Data!D168+$M$7*Data!E168</f>
        <v/>
      </c>
      <c r="E171" s="15">
        <f>C171-D171</f>
        <v/>
      </c>
      <c r="F171" s="20">
        <f>EXP(D171)</f>
        <v/>
      </c>
      <c r="G171" s="20">
        <f>EXP(D171+$M$9*Data!I168)</f>
        <v/>
      </c>
      <c r="H171" s="20">
        <f>EXP($M$10+(D171-$M$10)/SQRT($M$8))</f>
        <v/>
      </c>
      <c r="I171" s="20">
        <f>Data!H168</f>
        <v/>
      </c>
    </row>
    <row r="172">
      <c r="A172">
        <f>Data!A169</f>
        <v/>
      </c>
      <c r="B172">
        <f>Data!J169</f>
        <v/>
      </c>
      <c r="C172" s="15">
        <f>LN(Data!H169)</f>
        <v/>
      </c>
      <c r="D172" s="15">
        <f>$M$4+$M$5*Data!C169+$M$6*Data!D169+$M$7*Data!E169</f>
        <v/>
      </c>
      <c r="E172" s="15">
        <f>C172-D172</f>
        <v/>
      </c>
      <c r="F172" s="20">
        <f>EXP(D172)</f>
        <v/>
      </c>
      <c r="G172" s="20">
        <f>EXP(D172+$M$9*Data!I169)</f>
        <v/>
      </c>
      <c r="H172" s="20">
        <f>EXP($M$10+(D172-$M$10)/SQRT($M$8))</f>
        <v/>
      </c>
      <c r="I172" s="20">
        <f>Data!H169</f>
        <v/>
      </c>
    </row>
    <row r="173">
      <c r="A173">
        <f>Data!A170</f>
        <v/>
      </c>
      <c r="B173">
        <f>Data!J170</f>
        <v/>
      </c>
      <c r="C173" s="15">
        <f>LN(Data!H170)</f>
        <v/>
      </c>
      <c r="D173" s="15">
        <f>$M$4+$M$5*Data!C170+$M$6*Data!D170+$M$7*Data!E170</f>
        <v/>
      </c>
      <c r="E173" s="15">
        <f>C173-D173</f>
        <v/>
      </c>
      <c r="F173" s="20">
        <f>EXP(D173)</f>
        <v/>
      </c>
      <c r="G173" s="20">
        <f>EXP(D173+$M$9*Data!I170)</f>
        <v/>
      </c>
      <c r="H173" s="20">
        <f>EXP($M$10+(D173-$M$10)/SQRT($M$8))</f>
        <v/>
      </c>
      <c r="I173" s="20">
        <f>Data!H170</f>
        <v/>
      </c>
    </row>
    <row r="174">
      <c r="A174">
        <f>Data!A171</f>
        <v/>
      </c>
      <c r="B174">
        <f>Data!J171</f>
        <v/>
      </c>
      <c r="C174" s="15">
        <f>LN(Data!H171)</f>
        <v/>
      </c>
      <c r="D174" s="15">
        <f>$M$4+$M$5*Data!C171+$M$6*Data!D171+$M$7*Data!E171</f>
        <v/>
      </c>
      <c r="E174" s="15">
        <f>C174-D174</f>
        <v/>
      </c>
      <c r="F174" s="20">
        <f>EXP(D174)</f>
        <v/>
      </c>
      <c r="G174" s="20">
        <f>EXP(D174+$M$9*Data!I171)</f>
        <v/>
      </c>
      <c r="H174" s="20">
        <f>EXP($M$10+(D174-$M$10)/SQRT($M$8))</f>
        <v/>
      </c>
      <c r="I174" s="20">
        <f>Data!H171</f>
        <v/>
      </c>
    </row>
    <row r="175">
      <c r="A175">
        <f>Data!A172</f>
        <v/>
      </c>
      <c r="B175">
        <f>Data!J172</f>
        <v/>
      </c>
      <c r="C175" s="15">
        <f>LN(Data!H172)</f>
        <v/>
      </c>
      <c r="D175" s="15">
        <f>$M$4+$M$5*Data!C172+$M$6*Data!D172+$M$7*Data!E172</f>
        <v/>
      </c>
      <c r="E175" s="15">
        <f>C175-D175</f>
        <v/>
      </c>
      <c r="F175" s="20">
        <f>EXP(D175)</f>
        <v/>
      </c>
      <c r="G175" s="20">
        <f>EXP(D175+$M$9*Data!I172)</f>
        <v/>
      </c>
      <c r="H175" s="20">
        <f>EXP($M$10+(D175-$M$10)/SQRT($M$8))</f>
        <v/>
      </c>
      <c r="I175" s="20">
        <f>Data!H172</f>
        <v/>
      </c>
    </row>
    <row r="176">
      <c r="A176">
        <f>Data!A173</f>
        <v/>
      </c>
      <c r="B176">
        <f>Data!J173</f>
        <v/>
      </c>
      <c r="C176" s="15">
        <f>LN(Data!H173)</f>
        <v/>
      </c>
      <c r="D176" s="15">
        <f>$M$4+$M$5*Data!C173+$M$6*Data!D173+$M$7*Data!E173</f>
        <v/>
      </c>
      <c r="E176" s="15">
        <f>C176-D176</f>
        <v/>
      </c>
      <c r="F176" s="20">
        <f>EXP(D176)</f>
        <v/>
      </c>
      <c r="G176" s="20">
        <f>EXP(D176+$M$9*Data!I173)</f>
        <v/>
      </c>
      <c r="H176" s="20">
        <f>EXP($M$10+(D176-$M$10)/SQRT($M$8))</f>
        <v/>
      </c>
      <c r="I176" s="20">
        <f>Data!H173</f>
        <v/>
      </c>
    </row>
    <row r="177">
      <c r="A177">
        <f>Data!A174</f>
        <v/>
      </c>
      <c r="B177">
        <f>Data!J174</f>
        <v/>
      </c>
      <c r="C177" s="15">
        <f>LN(Data!H174)</f>
        <v/>
      </c>
      <c r="D177" s="15">
        <f>$M$4+$M$5*Data!C174+$M$6*Data!D174+$M$7*Data!E174</f>
        <v/>
      </c>
      <c r="E177" s="15">
        <f>C177-D177</f>
        <v/>
      </c>
      <c r="F177" s="20">
        <f>EXP(D177)</f>
        <v/>
      </c>
      <c r="G177" s="20">
        <f>EXP(D177+$M$9*Data!I174)</f>
        <v/>
      </c>
      <c r="H177" s="20">
        <f>EXP($M$10+(D177-$M$10)/SQRT($M$8))</f>
        <v/>
      </c>
      <c r="I177" s="20">
        <f>Data!H174</f>
        <v/>
      </c>
    </row>
    <row r="178">
      <c r="A178">
        <f>Data!A175</f>
        <v/>
      </c>
      <c r="B178">
        <f>Data!J175</f>
        <v/>
      </c>
      <c r="C178" s="15">
        <f>LN(Data!H175)</f>
        <v/>
      </c>
      <c r="D178" s="15">
        <f>$M$4+$M$5*Data!C175+$M$6*Data!D175+$M$7*Data!E175</f>
        <v/>
      </c>
      <c r="E178" s="15">
        <f>C178-D178</f>
        <v/>
      </c>
      <c r="F178" s="20">
        <f>EXP(D178)</f>
        <v/>
      </c>
      <c r="G178" s="20">
        <f>EXP(D178+$M$9*Data!I175)</f>
        <v/>
      </c>
      <c r="H178" s="20">
        <f>EXP($M$10+(D178-$M$10)/SQRT($M$8))</f>
        <v/>
      </c>
      <c r="I178" s="20">
        <f>Data!H175</f>
        <v/>
      </c>
    </row>
    <row r="179">
      <c r="A179">
        <f>Data!A176</f>
        <v/>
      </c>
      <c r="B179">
        <f>Data!J176</f>
        <v/>
      </c>
      <c r="C179" s="15">
        <f>LN(Data!H176)</f>
        <v/>
      </c>
      <c r="D179" s="15">
        <f>$M$4+$M$5*Data!C176+$M$6*Data!D176+$M$7*Data!E176</f>
        <v/>
      </c>
      <c r="E179" s="15">
        <f>C179-D179</f>
        <v/>
      </c>
      <c r="F179" s="20">
        <f>EXP(D179)</f>
        <v/>
      </c>
      <c r="G179" s="20">
        <f>EXP(D179+$M$9*Data!I176)</f>
        <v/>
      </c>
      <c r="H179" s="20">
        <f>EXP($M$10+(D179-$M$10)/SQRT($M$8))</f>
        <v/>
      </c>
      <c r="I179" s="20">
        <f>Data!H176</f>
        <v/>
      </c>
    </row>
    <row r="180">
      <c r="A180">
        <f>Data!A177</f>
        <v/>
      </c>
      <c r="B180">
        <f>Data!J177</f>
        <v/>
      </c>
      <c r="C180" s="15">
        <f>LN(Data!H177)</f>
        <v/>
      </c>
      <c r="D180" s="15">
        <f>$M$4+$M$5*Data!C177+$M$6*Data!D177+$M$7*Data!E177</f>
        <v/>
      </c>
      <c r="E180" s="15">
        <f>C180-D180</f>
        <v/>
      </c>
      <c r="F180" s="20">
        <f>EXP(D180)</f>
        <v/>
      </c>
      <c r="G180" s="20">
        <f>EXP(D180+$M$9*Data!I177)</f>
        <v/>
      </c>
      <c r="H180" s="20">
        <f>EXP($M$10+(D180-$M$10)/SQRT($M$8))</f>
        <v/>
      </c>
      <c r="I180" s="20">
        <f>Data!H177</f>
        <v/>
      </c>
    </row>
    <row r="181">
      <c r="A181">
        <f>Data!A178</f>
        <v/>
      </c>
      <c r="B181">
        <f>Data!J178</f>
        <v/>
      </c>
      <c r="C181" s="15">
        <f>LN(Data!H178)</f>
        <v/>
      </c>
      <c r="D181" s="15">
        <f>$M$4+$M$5*Data!C178+$M$6*Data!D178+$M$7*Data!E178</f>
        <v/>
      </c>
      <c r="E181" s="15">
        <f>C181-D181</f>
        <v/>
      </c>
      <c r="F181" s="20">
        <f>EXP(D181)</f>
        <v/>
      </c>
      <c r="G181" s="20">
        <f>EXP(D181+$M$9*Data!I178)</f>
        <v/>
      </c>
      <c r="H181" s="20">
        <f>EXP($M$10+(D181-$M$10)/SQRT($M$8))</f>
        <v/>
      </c>
      <c r="I181" s="20">
        <f>Data!H178</f>
        <v/>
      </c>
    </row>
    <row r="182">
      <c r="A182">
        <f>Data!A179</f>
        <v/>
      </c>
      <c r="B182">
        <f>Data!J179</f>
        <v/>
      </c>
      <c r="C182" s="15">
        <f>LN(Data!H179)</f>
        <v/>
      </c>
      <c r="D182" s="15">
        <f>$M$4+$M$5*Data!C179+$M$6*Data!D179+$M$7*Data!E179</f>
        <v/>
      </c>
      <c r="E182" s="15">
        <f>C182-D182</f>
        <v/>
      </c>
      <c r="F182" s="20">
        <f>EXP(D182)</f>
        <v/>
      </c>
      <c r="G182" s="20">
        <f>EXP(D182+$M$9*Data!I179)</f>
        <v/>
      </c>
      <c r="H182" s="20">
        <f>EXP($M$10+(D182-$M$10)/SQRT($M$8))</f>
        <v/>
      </c>
      <c r="I182" s="20">
        <f>Data!H179</f>
        <v/>
      </c>
    </row>
    <row r="183">
      <c r="A183">
        <f>Data!A180</f>
        <v/>
      </c>
      <c r="B183">
        <f>Data!J180</f>
        <v/>
      </c>
      <c r="C183" s="15">
        <f>LN(Data!H180)</f>
        <v/>
      </c>
      <c r="D183" s="15">
        <f>$M$4+$M$5*Data!C180+$M$6*Data!D180+$M$7*Data!E180</f>
        <v/>
      </c>
      <c r="E183" s="15">
        <f>C183-D183</f>
        <v/>
      </c>
      <c r="F183" s="20">
        <f>EXP(D183)</f>
        <v/>
      </c>
      <c r="G183" s="20">
        <f>EXP(D183+$M$9*Data!I180)</f>
        <v/>
      </c>
      <c r="H183" s="20">
        <f>EXP($M$10+(D183-$M$10)/SQRT($M$8))</f>
        <v/>
      </c>
      <c r="I183" s="20">
        <f>Data!H180</f>
        <v/>
      </c>
    </row>
    <row r="184">
      <c r="A184">
        <f>Data!A181</f>
        <v/>
      </c>
      <c r="B184">
        <f>Data!J181</f>
        <v/>
      </c>
      <c r="C184" s="15">
        <f>LN(Data!H181)</f>
        <v/>
      </c>
      <c r="D184" s="15">
        <f>$M$4+$M$5*Data!C181+$M$6*Data!D181+$M$7*Data!E181</f>
        <v/>
      </c>
      <c r="E184" s="15">
        <f>C184-D184</f>
        <v/>
      </c>
      <c r="F184" s="20">
        <f>EXP(D184)</f>
        <v/>
      </c>
      <c r="G184" s="20">
        <f>EXP(D184+$M$9*Data!I181)</f>
        <v/>
      </c>
      <c r="H184" s="20">
        <f>EXP($M$10+(D184-$M$10)/SQRT($M$8))</f>
        <v/>
      </c>
      <c r="I184" s="20">
        <f>Data!H181</f>
        <v/>
      </c>
    </row>
    <row r="185">
      <c r="A185">
        <f>Data!A182</f>
        <v/>
      </c>
      <c r="B185">
        <f>Data!J182</f>
        <v/>
      </c>
      <c r="C185" s="15">
        <f>LN(Data!H182)</f>
        <v/>
      </c>
      <c r="D185" s="15">
        <f>$M$4+$M$5*Data!C182+$M$6*Data!D182+$M$7*Data!E182</f>
        <v/>
      </c>
      <c r="E185" s="15">
        <f>C185-D185</f>
        <v/>
      </c>
      <c r="F185" s="20">
        <f>EXP(D185)</f>
        <v/>
      </c>
      <c r="G185" s="20">
        <f>EXP(D185+$M$9*Data!I182)</f>
        <v/>
      </c>
      <c r="H185" s="20">
        <f>EXP($M$10+(D185-$M$10)/SQRT($M$8))</f>
        <v/>
      </c>
      <c r="I185" s="20">
        <f>Data!H182</f>
        <v/>
      </c>
    </row>
    <row r="186">
      <c r="A186">
        <f>Data!A183</f>
        <v/>
      </c>
      <c r="B186">
        <f>Data!J183</f>
        <v/>
      </c>
      <c r="C186" s="15">
        <f>LN(Data!H183)</f>
        <v/>
      </c>
      <c r="D186" s="15">
        <f>$M$4+$M$5*Data!C183+$M$6*Data!D183+$M$7*Data!E183</f>
        <v/>
      </c>
      <c r="E186" s="15">
        <f>C186-D186</f>
        <v/>
      </c>
      <c r="F186" s="20">
        <f>EXP(D186)</f>
        <v/>
      </c>
      <c r="G186" s="20">
        <f>EXP(D186+$M$9*Data!I183)</f>
        <v/>
      </c>
      <c r="H186" s="20">
        <f>EXP($M$10+(D186-$M$10)/SQRT($M$8))</f>
        <v/>
      </c>
      <c r="I186" s="20">
        <f>Data!H183</f>
        <v/>
      </c>
    </row>
    <row r="187">
      <c r="A187">
        <f>Data!A184</f>
        <v/>
      </c>
      <c r="B187">
        <f>Data!J184</f>
        <v/>
      </c>
      <c r="C187" s="15">
        <f>LN(Data!H184)</f>
        <v/>
      </c>
      <c r="D187" s="15">
        <f>$M$4+$M$5*Data!C184+$M$6*Data!D184+$M$7*Data!E184</f>
        <v/>
      </c>
      <c r="E187" s="15">
        <f>C187-D187</f>
        <v/>
      </c>
      <c r="F187" s="20">
        <f>EXP(D187)</f>
        <v/>
      </c>
      <c r="G187" s="20">
        <f>EXP(D187+$M$9*Data!I184)</f>
        <v/>
      </c>
      <c r="H187" s="20">
        <f>EXP($M$10+(D187-$M$10)/SQRT($M$8))</f>
        <v/>
      </c>
      <c r="I187" s="20">
        <f>Data!H184</f>
        <v/>
      </c>
    </row>
    <row r="188">
      <c r="A188">
        <f>Data!A185</f>
        <v/>
      </c>
      <c r="B188">
        <f>Data!J185</f>
        <v/>
      </c>
      <c r="C188" s="15">
        <f>LN(Data!H185)</f>
        <v/>
      </c>
      <c r="D188" s="15">
        <f>$M$4+$M$5*Data!C185+$M$6*Data!D185+$M$7*Data!E185</f>
        <v/>
      </c>
      <c r="E188" s="15">
        <f>C188-D188</f>
        <v/>
      </c>
      <c r="F188" s="20">
        <f>EXP(D188)</f>
        <v/>
      </c>
      <c r="G188" s="20">
        <f>EXP(D188+$M$9*Data!I185)</f>
        <v/>
      </c>
      <c r="H188" s="20">
        <f>EXP($M$10+(D188-$M$10)/SQRT($M$8))</f>
        <v/>
      </c>
      <c r="I188" s="20">
        <f>Data!H185</f>
        <v/>
      </c>
    </row>
    <row r="189">
      <c r="A189">
        <f>Data!A186</f>
        <v/>
      </c>
      <c r="B189">
        <f>Data!J186</f>
        <v/>
      </c>
      <c r="C189" s="15">
        <f>LN(Data!H186)</f>
        <v/>
      </c>
      <c r="D189" s="15">
        <f>$M$4+$M$5*Data!C186+$M$6*Data!D186+$M$7*Data!E186</f>
        <v/>
      </c>
      <c r="E189" s="15">
        <f>C189-D189</f>
        <v/>
      </c>
      <c r="F189" s="20">
        <f>EXP(D189)</f>
        <v/>
      </c>
      <c r="G189" s="20">
        <f>EXP(D189+$M$9*Data!I186)</f>
        <v/>
      </c>
      <c r="H189" s="20">
        <f>EXP($M$10+(D189-$M$10)/SQRT($M$8))</f>
        <v/>
      </c>
      <c r="I189" s="20">
        <f>Data!H186</f>
        <v/>
      </c>
    </row>
    <row r="190">
      <c r="A190">
        <f>Data!A187</f>
        <v/>
      </c>
      <c r="B190">
        <f>Data!J187</f>
        <v/>
      </c>
      <c r="C190" s="15">
        <f>LN(Data!H187)</f>
        <v/>
      </c>
      <c r="D190" s="15">
        <f>$M$4+$M$5*Data!C187+$M$6*Data!D187+$M$7*Data!E187</f>
        <v/>
      </c>
      <c r="E190" s="15">
        <f>C190-D190</f>
        <v/>
      </c>
      <c r="F190" s="20">
        <f>EXP(D190)</f>
        <v/>
      </c>
      <c r="G190" s="20">
        <f>EXP(D190+$M$9*Data!I187)</f>
        <v/>
      </c>
      <c r="H190" s="20">
        <f>EXP($M$10+(D190-$M$10)/SQRT($M$8))</f>
        <v/>
      </c>
      <c r="I190" s="20">
        <f>Data!H187</f>
        <v/>
      </c>
    </row>
    <row r="191">
      <c r="A191">
        <f>Data!A188</f>
        <v/>
      </c>
      <c r="B191">
        <f>Data!J188</f>
        <v/>
      </c>
      <c r="C191" s="15">
        <f>LN(Data!H188)</f>
        <v/>
      </c>
      <c r="D191" s="15">
        <f>$M$4+$M$5*Data!C188+$M$6*Data!D188+$M$7*Data!E188</f>
        <v/>
      </c>
      <c r="E191" s="15">
        <f>C191-D191</f>
        <v/>
      </c>
      <c r="F191" s="20">
        <f>EXP(D191)</f>
        <v/>
      </c>
      <c r="G191" s="20">
        <f>EXP(D191+$M$9*Data!I188)</f>
        <v/>
      </c>
      <c r="H191" s="20">
        <f>EXP($M$10+(D191-$M$10)/SQRT($M$8))</f>
        <v/>
      </c>
      <c r="I191" s="20">
        <f>Data!H188</f>
        <v/>
      </c>
    </row>
    <row r="192">
      <c r="A192">
        <f>Data!A189</f>
        <v/>
      </c>
      <c r="B192">
        <f>Data!J189</f>
        <v/>
      </c>
      <c r="C192" s="15">
        <f>LN(Data!H189)</f>
        <v/>
      </c>
      <c r="D192" s="15">
        <f>$M$4+$M$5*Data!C189+$M$6*Data!D189+$M$7*Data!E189</f>
        <v/>
      </c>
      <c r="E192" s="15">
        <f>C192-D192</f>
        <v/>
      </c>
      <c r="F192" s="20">
        <f>EXP(D192)</f>
        <v/>
      </c>
      <c r="G192" s="20">
        <f>EXP(D192+$M$9*Data!I189)</f>
        <v/>
      </c>
      <c r="H192" s="20">
        <f>EXP($M$10+(D192-$M$10)/SQRT($M$8))</f>
        <v/>
      </c>
      <c r="I192" s="20">
        <f>Data!H189</f>
        <v/>
      </c>
    </row>
    <row r="193">
      <c r="A193">
        <f>Data!A190</f>
        <v/>
      </c>
      <c r="B193">
        <f>Data!J190</f>
        <v/>
      </c>
      <c r="C193" s="15">
        <f>LN(Data!H190)</f>
        <v/>
      </c>
      <c r="D193" s="15">
        <f>$M$4+$M$5*Data!C190+$M$6*Data!D190+$M$7*Data!E190</f>
        <v/>
      </c>
      <c r="E193" s="15">
        <f>C193-D193</f>
        <v/>
      </c>
      <c r="F193" s="20">
        <f>EXP(D193)</f>
        <v/>
      </c>
      <c r="G193" s="20">
        <f>EXP(D193+$M$9*Data!I190)</f>
        <v/>
      </c>
      <c r="H193" s="20">
        <f>EXP($M$10+(D193-$M$10)/SQRT($M$8))</f>
        <v/>
      </c>
      <c r="I193" s="20">
        <f>Data!H190</f>
        <v/>
      </c>
    </row>
    <row r="194">
      <c r="A194">
        <f>Data!A191</f>
        <v/>
      </c>
      <c r="B194">
        <f>Data!J191</f>
        <v/>
      </c>
      <c r="C194" s="15">
        <f>LN(Data!H191)</f>
        <v/>
      </c>
      <c r="D194" s="15">
        <f>$M$4+$M$5*Data!C191+$M$6*Data!D191+$M$7*Data!E191</f>
        <v/>
      </c>
      <c r="E194" s="15">
        <f>C194-D194</f>
        <v/>
      </c>
      <c r="F194" s="20">
        <f>EXP(D194)</f>
        <v/>
      </c>
      <c r="G194" s="20">
        <f>EXP(D194+$M$9*Data!I191)</f>
        <v/>
      </c>
      <c r="H194" s="20">
        <f>EXP($M$10+(D194-$M$10)/SQRT($M$8))</f>
        <v/>
      </c>
      <c r="I194" s="20">
        <f>Data!H191</f>
        <v/>
      </c>
    </row>
    <row r="195">
      <c r="A195">
        <f>Data!A192</f>
        <v/>
      </c>
      <c r="B195">
        <f>Data!J192</f>
        <v/>
      </c>
      <c r="C195" s="15">
        <f>LN(Data!H192)</f>
        <v/>
      </c>
      <c r="D195" s="15">
        <f>$M$4+$M$5*Data!C192+$M$6*Data!D192+$M$7*Data!E192</f>
        <v/>
      </c>
      <c r="E195" s="15">
        <f>C195-D195</f>
        <v/>
      </c>
      <c r="F195" s="20">
        <f>EXP(D195)</f>
        <v/>
      </c>
      <c r="G195" s="20">
        <f>EXP(D195+$M$9*Data!I192)</f>
        <v/>
      </c>
      <c r="H195" s="20">
        <f>EXP($M$10+(D195-$M$10)/SQRT($M$8))</f>
        <v/>
      </c>
      <c r="I195" s="20">
        <f>Data!H192</f>
        <v/>
      </c>
    </row>
    <row r="196">
      <c r="A196">
        <f>Data!A193</f>
        <v/>
      </c>
      <c r="B196">
        <f>Data!J193</f>
        <v/>
      </c>
      <c r="C196" s="15">
        <f>LN(Data!H193)</f>
        <v/>
      </c>
      <c r="D196" s="15">
        <f>$M$4+$M$5*Data!C193+$M$6*Data!D193+$M$7*Data!E193</f>
        <v/>
      </c>
      <c r="E196" s="15">
        <f>C196-D196</f>
        <v/>
      </c>
      <c r="F196" s="20">
        <f>EXP(D196)</f>
        <v/>
      </c>
      <c r="G196" s="20">
        <f>EXP(D196+$M$9*Data!I193)</f>
        <v/>
      </c>
      <c r="H196" s="20">
        <f>EXP($M$10+(D196-$M$10)/SQRT($M$8))</f>
        <v/>
      </c>
      <c r="I196" s="20">
        <f>Data!H193</f>
        <v/>
      </c>
    </row>
    <row r="197">
      <c r="A197">
        <f>Data!A194</f>
        <v/>
      </c>
      <c r="B197">
        <f>Data!J194</f>
        <v/>
      </c>
      <c r="C197" s="15">
        <f>LN(Data!H194)</f>
        <v/>
      </c>
      <c r="D197" s="15">
        <f>$M$4+$M$5*Data!C194+$M$6*Data!D194+$M$7*Data!E194</f>
        <v/>
      </c>
      <c r="E197" s="15">
        <f>C197-D197</f>
        <v/>
      </c>
      <c r="F197" s="20">
        <f>EXP(D197)</f>
        <v/>
      </c>
      <c r="G197" s="20">
        <f>EXP(D197+$M$9*Data!I194)</f>
        <v/>
      </c>
      <c r="H197" s="20">
        <f>EXP($M$10+(D197-$M$10)/SQRT($M$8))</f>
        <v/>
      </c>
      <c r="I197" s="20">
        <f>Data!H194</f>
        <v/>
      </c>
    </row>
    <row r="198">
      <c r="A198">
        <f>Data!A195</f>
        <v/>
      </c>
      <c r="B198">
        <f>Data!J195</f>
        <v/>
      </c>
      <c r="C198" s="15">
        <f>LN(Data!H195)</f>
        <v/>
      </c>
      <c r="D198" s="15">
        <f>$M$4+$M$5*Data!C195+$M$6*Data!D195+$M$7*Data!E195</f>
        <v/>
      </c>
      <c r="E198" s="15">
        <f>C198-D198</f>
        <v/>
      </c>
      <c r="F198" s="20">
        <f>EXP(D198)</f>
        <v/>
      </c>
      <c r="G198" s="20">
        <f>EXP(D198+$M$9*Data!I195)</f>
        <v/>
      </c>
      <c r="H198" s="20">
        <f>EXP($M$10+(D198-$M$10)/SQRT($M$8))</f>
        <v/>
      </c>
      <c r="I198" s="20">
        <f>Data!H195</f>
        <v/>
      </c>
    </row>
    <row r="199">
      <c r="A199">
        <f>Data!A196</f>
        <v/>
      </c>
      <c r="B199">
        <f>Data!J196</f>
        <v/>
      </c>
      <c r="C199" s="15">
        <f>LN(Data!H196)</f>
        <v/>
      </c>
      <c r="D199" s="15">
        <f>$M$4+$M$5*Data!C196+$M$6*Data!D196+$M$7*Data!E196</f>
        <v/>
      </c>
      <c r="E199" s="15">
        <f>C199-D199</f>
        <v/>
      </c>
      <c r="F199" s="20">
        <f>EXP(D199)</f>
        <v/>
      </c>
      <c r="G199" s="20">
        <f>EXP(D199+$M$9*Data!I196)</f>
        <v/>
      </c>
      <c r="H199" s="20">
        <f>EXP($M$10+(D199-$M$10)/SQRT($M$8))</f>
        <v/>
      </c>
      <c r="I199" s="20">
        <f>Data!H196</f>
        <v/>
      </c>
    </row>
    <row r="200">
      <c r="A200">
        <f>Data!A197</f>
        <v/>
      </c>
      <c r="B200">
        <f>Data!J197</f>
        <v/>
      </c>
      <c r="C200" s="15">
        <f>LN(Data!H197)</f>
        <v/>
      </c>
      <c r="D200" s="15">
        <f>$M$4+$M$5*Data!C197+$M$6*Data!D197+$M$7*Data!E197</f>
        <v/>
      </c>
      <c r="E200" s="15">
        <f>C200-D200</f>
        <v/>
      </c>
      <c r="F200" s="20">
        <f>EXP(D200)</f>
        <v/>
      </c>
      <c r="G200" s="20">
        <f>EXP(D200+$M$9*Data!I197)</f>
        <v/>
      </c>
      <c r="H200" s="20">
        <f>EXP($M$10+(D200-$M$10)/SQRT($M$8))</f>
        <v/>
      </c>
      <c r="I200" s="20">
        <f>Data!H197</f>
        <v/>
      </c>
    </row>
    <row r="201">
      <c r="A201">
        <f>Data!A198</f>
        <v/>
      </c>
      <c r="B201">
        <f>Data!J198</f>
        <v/>
      </c>
      <c r="C201" s="15">
        <f>LN(Data!H198)</f>
        <v/>
      </c>
      <c r="D201" s="15">
        <f>$M$4+$M$5*Data!C198+$M$6*Data!D198+$M$7*Data!E198</f>
        <v/>
      </c>
      <c r="E201" s="15">
        <f>C201-D201</f>
        <v/>
      </c>
      <c r="F201" s="20">
        <f>EXP(D201)</f>
        <v/>
      </c>
      <c r="G201" s="20">
        <f>EXP(D201+$M$9*Data!I198)</f>
        <v/>
      </c>
      <c r="H201" s="20">
        <f>EXP($M$10+(D201-$M$10)/SQRT($M$8))</f>
        <v/>
      </c>
      <c r="I201" s="20">
        <f>Data!H198</f>
        <v/>
      </c>
    </row>
    <row r="202">
      <c r="A202">
        <f>Data!A199</f>
        <v/>
      </c>
      <c r="B202">
        <f>Data!J199</f>
        <v/>
      </c>
      <c r="C202" s="15">
        <f>LN(Data!H199)</f>
        <v/>
      </c>
      <c r="D202" s="15">
        <f>$M$4+$M$5*Data!C199+$M$6*Data!D199+$M$7*Data!E199</f>
        <v/>
      </c>
      <c r="E202" s="15">
        <f>C202-D202</f>
        <v/>
      </c>
      <c r="F202" s="20">
        <f>EXP(D202)</f>
        <v/>
      </c>
      <c r="G202" s="20">
        <f>EXP(D202+$M$9*Data!I199)</f>
        <v/>
      </c>
      <c r="H202" s="20">
        <f>EXP($M$10+(D202-$M$10)/SQRT($M$8))</f>
        <v/>
      </c>
      <c r="I202" s="20">
        <f>Data!H199</f>
        <v/>
      </c>
    </row>
    <row r="203">
      <c r="A203">
        <f>Data!A200</f>
        <v/>
      </c>
      <c r="B203">
        <f>Data!J200</f>
        <v/>
      </c>
      <c r="C203" s="15">
        <f>LN(Data!H200)</f>
        <v/>
      </c>
      <c r="D203" s="15">
        <f>$M$4+$M$5*Data!C200+$M$6*Data!D200+$M$7*Data!E200</f>
        <v/>
      </c>
      <c r="E203" s="15">
        <f>C203-D203</f>
        <v/>
      </c>
      <c r="F203" s="20">
        <f>EXP(D203)</f>
        <v/>
      </c>
      <c r="G203" s="20">
        <f>EXP(D203+$M$9*Data!I200)</f>
        <v/>
      </c>
      <c r="H203" s="20">
        <f>EXP($M$10+(D203-$M$10)/SQRT($M$8))</f>
        <v/>
      </c>
      <c r="I203" s="20">
        <f>Data!H200</f>
        <v/>
      </c>
    </row>
    <row r="204">
      <c r="A204">
        <f>Data!A201</f>
        <v/>
      </c>
      <c r="B204">
        <f>Data!J201</f>
        <v/>
      </c>
      <c r="C204" s="15">
        <f>LN(Data!H201)</f>
        <v/>
      </c>
      <c r="D204" s="15">
        <f>$M$4+$M$5*Data!C201+$M$6*Data!D201+$M$7*Data!E201</f>
        <v/>
      </c>
      <c r="E204" s="15">
        <f>C204-D204</f>
        <v/>
      </c>
      <c r="F204" s="20">
        <f>EXP(D204)</f>
        <v/>
      </c>
      <c r="G204" s="20">
        <f>EXP(D204+$M$9*Data!I201)</f>
        <v/>
      </c>
      <c r="H204" s="20">
        <f>EXP($M$10+(D204-$M$10)/SQRT($M$8))</f>
        <v/>
      </c>
      <c r="I204" s="20">
        <f>Data!H201</f>
        <v/>
      </c>
    </row>
    <row r="205">
      <c r="A205">
        <f>Data!A202</f>
        <v/>
      </c>
      <c r="B205">
        <f>Data!J202</f>
        <v/>
      </c>
      <c r="C205" s="15">
        <f>LN(Data!H202)</f>
        <v/>
      </c>
      <c r="D205" s="15">
        <f>$M$4+$M$5*Data!C202+$M$6*Data!D202+$M$7*Data!E202</f>
        <v/>
      </c>
      <c r="E205" s="15">
        <f>C205-D205</f>
        <v/>
      </c>
      <c r="F205" s="20">
        <f>EXP(D205)</f>
        <v/>
      </c>
      <c r="G205" s="20">
        <f>EXP(D205+$M$9*Data!I202)</f>
        <v/>
      </c>
      <c r="H205" s="20">
        <f>EXP($M$10+(D205-$M$10)/SQRT($M$8))</f>
        <v/>
      </c>
      <c r="I205" s="20">
        <f>Data!H202</f>
        <v/>
      </c>
    </row>
    <row r="206">
      <c r="A206">
        <f>Data!A203</f>
        <v/>
      </c>
      <c r="B206">
        <f>Data!J203</f>
        <v/>
      </c>
      <c r="C206" s="15">
        <f>LN(Data!H203)</f>
        <v/>
      </c>
      <c r="D206" s="15">
        <f>$M$4+$M$5*Data!C203+$M$6*Data!D203+$M$7*Data!E203</f>
        <v/>
      </c>
      <c r="E206" s="15">
        <f>C206-D206</f>
        <v/>
      </c>
      <c r="F206" s="20">
        <f>EXP(D206)</f>
        <v/>
      </c>
      <c r="G206" s="20">
        <f>EXP(D206+$M$9*Data!I203)</f>
        <v/>
      </c>
      <c r="H206" s="20">
        <f>EXP($M$10+(D206-$M$10)/SQRT($M$8))</f>
        <v/>
      </c>
      <c r="I206" s="20">
        <f>Data!H203</f>
        <v/>
      </c>
    </row>
    <row r="207">
      <c r="A207">
        <f>Data!A204</f>
        <v/>
      </c>
      <c r="B207">
        <f>Data!J204</f>
        <v/>
      </c>
      <c r="C207" s="15">
        <f>LN(Data!H204)</f>
        <v/>
      </c>
      <c r="D207" s="15">
        <f>$M$4+$M$5*Data!C204+$M$6*Data!D204+$M$7*Data!E204</f>
        <v/>
      </c>
      <c r="E207" s="15">
        <f>C207-D207</f>
        <v/>
      </c>
      <c r="F207" s="20">
        <f>EXP(D207)</f>
        <v/>
      </c>
      <c r="G207" s="20">
        <f>EXP(D207+$M$9*Data!I204)</f>
        <v/>
      </c>
      <c r="H207" s="20">
        <f>EXP($M$10+(D207-$M$10)/SQRT($M$8))</f>
        <v/>
      </c>
      <c r="I207" s="20">
        <f>Data!H204</f>
        <v/>
      </c>
    </row>
    <row r="208">
      <c r="A208">
        <f>Data!A205</f>
        <v/>
      </c>
      <c r="B208">
        <f>Data!J205</f>
        <v/>
      </c>
      <c r="C208" s="15">
        <f>LN(Data!H205)</f>
        <v/>
      </c>
      <c r="D208" s="15">
        <f>$M$4+$M$5*Data!C205+$M$6*Data!D205+$M$7*Data!E205</f>
        <v/>
      </c>
      <c r="E208" s="15">
        <f>C208-D208</f>
        <v/>
      </c>
      <c r="F208" s="20">
        <f>EXP(D208)</f>
        <v/>
      </c>
      <c r="G208" s="20">
        <f>EXP(D208+$M$9*Data!I205)</f>
        <v/>
      </c>
      <c r="H208" s="20">
        <f>EXP($M$10+(D208-$M$10)/SQRT($M$8))</f>
        <v/>
      </c>
      <c r="I208" s="20">
        <f>Data!H205</f>
        <v/>
      </c>
    </row>
    <row r="209">
      <c r="A209">
        <f>Data!A206</f>
        <v/>
      </c>
      <c r="B209">
        <f>Data!J206</f>
        <v/>
      </c>
      <c r="C209" s="15">
        <f>LN(Data!H206)</f>
        <v/>
      </c>
      <c r="D209" s="15">
        <f>$M$4+$M$5*Data!C206+$M$6*Data!D206+$M$7*Data!E206</f>
        <v/>
      </c>
      <c r="E209" s="15">
        <f>C209-D209</f>
        <v/>
      </c>
      <c r="F209" s="20">
        <f>EXP(D209)</f>
        <v/>
      </c>
      <c r="G209" s="20">
        <f>EXP(D209+$M$9*Data!I206)</f>
        <v/>
      </c>
      <c r="H209" s="20">
        <f>EXP($M$10+(D209-$M$10)/SQRT($M$8))</f>
        <v/>
      </c>
      <c r="I209" s="20">
        <f>Data!H206</f>
        <v/>
      </c>
    </row>
    <row r="210">
      <c r="A210">
        <f>Data!A207</f>
        <v/>
      </c>
      <c r="B210">
        <f>Data!J207</f>
        <v/>
      </c>
      <c r="C210" s="15">
        <f>LN(Data!H207)</f>
        <v/>
      </c>
      <c r="D210" s="15">
        <f>$M$4+$M$5*Data!C207+$M$6*Data!D207+$M$7*Data!E207</f>
        <v/>
      </c>
      <c r="E210" s="15">
        <f>C210-D210</f>
        <v/>
      </c>
      <c r="F210" s="20">
        <f>EXP(D210)</f>
        <v/>
      </c>
      <c r="G210" s="20">
        <f>EXP(D210+$M$9*Data!I207)</f>
        <v/>
      </c>
      <c r="H210" s="20">
        <f>EXP($M$10+(D210-$M$10)/SQRT($M$8))</f>
        <v/>
      </c>
      <c r="I210" s="20">
        <f>Data!H207</f>
        <v/>
      </c>
    </row>
    <row r="211">
      <c r="A211">
        <f>Data!A208</f>
        <v/>
      </c>
      <c r="B211">
        <f>Data!J208</f>
        <v/>
      </c>
      <c r="C211" s="15">
        <f>LN(Data!H208)</f>
        <v/>
      </c>
      <c r="D211" s="15">
        <f>$M$4+$M$5*Data!C208+$M$6*Data!D208+$M$7*Data!E208</f>
        <v/>
      </c>
      <c r="E211" s="15">
        <f>C211-D211</f>
        <v/>
      </c>
      <c r="F211" s="20">
        <f>EXP(D211)</f>
        <v/>
      </c>
      <c r="G211" s="20">
        <f>EXP(D211+$M$9*Data!I208)</f>
        <v/>
      </c>
      <c r="H211" s="20">
        <f>EXP($M$10+(D211-$M$10)/SQRT($M$8))</f>
        <v/>
      </c>
      <c r="I211" s="20">
        <f>Data!H208</f>
        <v/>
      </c>
    </row>
    <row r="212">
      <c r="A212">
        <f>Data!A209</f>
        <v/>
      </c>
      <c r="B212">
        <f>Data!J209</f>
        <v/>
      </c>
      <c r="C212" s="15">
        <f>LN(Data!H209)</f>
        <v/>
      </c>
      <c r="D212" s="15">
        <f>$M$4+$M$5*Data!C209+$M$6*Data!D209+$M$7*Data!E209</f>
        <v/>
      </c>
      <c r="E212" s="15">
        <f>C212-D212</f>
        <v/>
      </c>
      <c r="F212" s="20">
        <f>EXP(D212)</f>
        <v/>
      </c>
      <c r="G212" s="20">
        <f>EXP(D212+$M$9*Data!I209)</f>
        <v/>
      </c>
      <c r="H212" s="20">
        <f>EXP($M$10+(D212-$M$10)/SQRT($M$8))</f>
        <v/>
      </c>
      <c r="I212" s="20">
        <f>Data!H209</f>
        <v/>
      </c>
    </row>
    <row r="213">
      <c r="A213">
        <f>Data!A210</f>
        <v/>
      </c>
      <c r="B213">
        <f>Data!J210</f>
        <v/>
      </c>
      <c r="C213" s="15">
        <f>LN(Data!H210)</f>
        <v/>
      </c>
      <c r="D213" s="15">
        <f>$M$4+$M$5*Data!C210+$M$6*Data!D210+$M$7*Data!E210</f>
        <v/>
      </c>
      <c r="E213" s="15">
        <f>C213-D213</f>
        <v/>
      </c>
      <c r="F213" s="20">
        <f>EXP(D213)</f>
        <v/>
      </c>
      <c r="G213" s="20">
        <f>EXP(D213+$M$9*Data!I210)</f>
        <v/>
      </c>
      <c r="H213" s="20">
        <f>EXP($M$10+(D213-$M$10)/SQRT($M$8))</f>
        <v/>
      </c>
      <c r="I213" s="20">
        <f>Data!H210</f>
        <v/>
      </c>
    </row>
    <row r="214">
      <c r="A214">
        <f>Data!A211</f>
        <v/>
      </c>
      <c r="B214">
        <f>Data!J211</f>
        <v/>
      </c>
      <c r="C214" s="15">
        <f>LN(Data!H211)</f>
        <v/>
      </c>
      <c r="D214" s="15">
        <f>$M$4+$M$5*Data!C211+$M$6*Data!D211+$M$7*Data!E211</f>
        <v/>
      </c>
      <c r="E214" s="15">
        <f>C214-D214</f>
        <v/>
      </c>
      <c r="F214" s="20">
        <f>EXP(D214)</f>
        <v/>
      </c>
      <c r="G214" s="20">
        <f>EXP(D214+$M$9*Data!I211)</f>
        <v/>
      </c>
      <c r="H214" s="20">
        <f>EXP($M$10+(D214-$M$10)/SQRT($M$8))</f>
        <v/>
      </c>
      <c r="I214" s="20">
        <f>Data!H211</f>
        <v/>
      </c>
    </row>
    <row r="215">
      <c r="A215">
        <f>Data!A212</f>
        <v/>
      </c>
      <c r="B215">
        <f>Data!J212</f>
        <v/>
      </c>
      <c r="C215" s="15">
        <f>LN(Data!H212)</f>
        <v/>
      </c>
      <c r="D215" s="15">
        <f>$M$4+$M$5*Data!C212+$M$6*Data!D212+$M$7*Data!E212</f>
        <v/>
      </c>
      <c r="E215" s="15">
        <f>C215-D215</f>
        <v/>
      </c>
      <c r="F215" s="20">
        <f>EXP(D215)</f>
        <v/>
      </c>
      <c r="G215" s="20">
        <f>EXP(D215+$M$9*Data!I212)</f>
        <v/>
      </c>
      <c r="H215" s="20">
        <f>EXP($M$10+(D215-$M$10)/SQRT($M$8))</f>
        <v/>
      </c>
      <c r="I215" s="20">
        <f>Data!H212</f>
        <v/>
      </c>
    </row>
    <row r="216">
      <c r="A216">
        <f>Data!A213</f>
        <v/>
      </c>
      <c r="B216">
        <f>Data!J213</f>
        <v/>
      </c>
      <c r="C216" s="15">
        <f>LN(Data!H213)</f>
        <v/>
      </c>
      <c r="D216" s="15">
        <f>$M$4+$M$5*Data!C213+$M$6*Data!D213+$M$7*Data!E213</f>
        <v/>
      </c>
      <c r="E216" s="15">
        <f>C216-D216</f>
        <v/>
      </c>
      <c r="F216" s="20">
        <f>EXP(D216)</f>
        <v/>
      </c>
      <c r="G216" s="20">
        <f>EXP(D216+$M$9*Data!I213)</f>
        <v/>
      </c>
      <c r="H216" s="20">
        <f>EXP($M$10+(D216-$M$10)/SQRT($M$8))</f>
        <v/>
      </c>
      <c r="I216" s="20">
        <f>Data!H213</f>
        <v/>
      </c>
    </row>
    <row r="217">
      <c r="A217">
        <f>Data!A214</f>
        <v/>
      </c>
      <c r="B217">
        <f>Data!J214</f>
        <v/>
      </c>
      <c r="C217" s="15">
        <f>LN(Data!H214)</f>
        <v/>
      </c>
      <c r="D217" s="15">
        <f>$M$4+$M$5*Data!C214+$M$6*Data!D214+$M$7*Data!E214</f>
        <v/>
      </c>
      <c r="E217" s="15">
        <f>C217-D217</f>
        <v/>
      </c>
      <c r="F217" s="20">
        <f>EXP(D217)</f>
        <v/>
      </c>
      <c r="G217" s="20">
        <f>EXP(D217+$M$9*Data!I214)</f>
        <v/>
      </c>
      <c r="H217" s="20">
        <f>EXP($M$10+(D217-$M$10)/SQRT($M$8))</f>
        <v/>
      </c>
      <c r="I217" s="20">
        <f>Data!H214</f>
        <v/>
      </c>
    </row>
    <row r="218">
      <c r="A218">
        <f>Data!A215</f>
        <v/>
      </c>
      <c r="B218">
        <f>Data!J215</f>
        <v/>
      </c>
      <c r="C218" s="15">
        <f>LN(Data!H215)</f>
        <v/>
      </c>
      <c r="D218" s="15">
        <f>$M$4+$M$5*Data!C215+$M$6*Data!D215+$M$7*Data!E215</f>
        <v/>
      </c>
      <c r="E218" s="15">
        <f>C218-D218</f>
        <v/>
      </c>
      <c r="F218" s="20">
        <f>EXP(D218)</f>
        <v/>
      </c>
      <c r="G218" s="20">
        <f>EXP(D218+$M$9*Data!I215)</f>
        <v/>
      </c>
      <c r="H218" s="20">
        <f>EXP($M$10+(D218-$M$10)/SQRT($M$8))</f>
        <v/>
      </c>
      <c r="I218" s="20">
        <f>Data!H215</f>
        <v/>
      </c>
    </row>
    <row r="219">
      <c r="A219">
        <f>Data!A216</f>
        <v/>
      </c>
      <c r="B219">
        <f>Data!J216</f>
        <v/>
      </c>
      <c r="C219" s="15">
        <f>LN(Data!H216)</f>
        <v/>
      </c>
      <c r="D219" s="15">
        <f>$M$4+$M$5*Data!C216+$M$6*Data!D216+$M$7*Data!E216</f>
        <v/>
      </c>
      <c r="E219" s="15">
        <f>C219-D219</f>
        <v/>
      </c>
      <c r="F219" s="20">
        <f>EXP(D219)</f>
        <v/>
      </c>
      <c r="G219" s="20">
        <f>EXP(D219+$M$9*Data!I216)</f>
        <v/>
      </c>
      <c r="H219" s="20">
        <f>EXP($M$10+(D219-$M$10)/SQRT($M$8))</f>
        <v/>
      </c>
      <c r="I219" s="20">
        <f>Data!H216</f>
        <v/>
      </c>
    </row>
    <row r="220">
      <c r="A220">
        <f>Data!A217</f>
        <v/>
      </c>
      <c r="B220">
        <f>Data!J217</f>
        <v/>
      </c>
      <c r="C220" s="15">
        <f>LN(Data!H217)</f>
        <v/>
      </c>
      <c r="D220" s="15">
        <f>$M$4+$M$5*Data!C217+$M$6*Data!D217+$M$7*Data!E217</f>
        <v/>
      </c>
      <c r="E220" s="15">
        <f>C220-D220</f>
        <v/>
      </c>
      <c r="F220" s="20">
        <f>EXP(D220)</f>
        <v/>
      </c>
      <c r="G220" s="20">
        <f>EXP(D220+$M$9*Data!I217)</f>
        <v/>
      </c>
      <c r="H220" s="20">
        <f>EXP($M$10+(D220-$M$10)/SQRT($M$8))</f>
        <v/>
      </c>
      <c r="I220" s="20">
        <f>Data!H217</f>
        <v/>
      </c>
    </row>
    <row r="221">
      <c r="A221">
        <f>Data!A218</f>
        <v/>
      </c>
      <c r="B221">
        <f>Data!J218</f>
        <v/>
      </c>
      <c r="C221" s="15">
        <f>LN(Data!H218)</f>
        <v/>
      </c>
      <c r="D221" s="15">
        <f>$M$4+$M$5*Data!C218+$M$6*Data!D218+$M$7*Data!E218</f>
        <v/>
      </c>
      <c r="E221" s="15">
        <f>C221-D221</f>
        <v/>
      </c>
      <c r="F221" s="20">
        <f>EXP(D221)</f>
        <v/>
      </c>
      <c r="G221" s="20">
        <f>EXP(D221+$M$9*Data!I218)</f>
        <v/>
      </c>
      <c r="H221" s="20">
        <f>EXP($M$10+(D221-$M$10)/SQRT($M$8))</f>
        <v/>
      </c>
      <c r="I221" s="20">
        <f>Data!H218</f>
        <v/>
      </c>
    </row>
    <row r="222">
      <c r="A222">
        <f>Data!A219</f>
        <v/>
      </c>
      <c r="B222">
        <f>Data!J219</f>
        <v/>
      </c>
      <c r="C222" s="15">
        <f>LN(Data!H219)</f>
        <v/>
      </c>
      <c r="D222" s="15">
        <f>$M$4+$M$5*Data!C219+$M$6*Data!D219+$M$7*Data!E219</f>
        <v/>
      </c>
      <c r="E222" s="15">
        <f>C222-D222</f>
        <v/>
      </c>
      <c r="F222" s="20">
        <f>EXP(D222)</f>
        <v/>
      </c>
      <c r="G222" s="20">
        <f>EXP(D222+$M$9*Data!I219)</f>
        <v/>
      </c>
      <c r="H222" s="20">
        <f>EXP($M$10+(D222-$M$10)/SQRT($M$8))</f>
        <v/>
      </c>
      <c r="I222" s="20">
        <f>Data!H219</f>
        <v/>
      </c>
    </row>
    <row r="223">
      <c r="A223">
        <f>Data!A220</f>
        <v/>
      </c>
      <c r="B223">
        <f>Data!J220</f>
        <v/>
      </c>
      <c r="C223" s="15">
        <f>LN(Data!H220)</f>
        <v/>
      </c>
      <c r="D223" s="15">
        <f>$M$4+$M$5*Data!C220+$M$6*Data!D220+$M$7*Data!E220</f>
        <v/>
      </c>
      <c r="E223" s="15">
        <f>C223-D223</f>
        <v/>
      </c>
      <c r="F223" s="20">
        <f>EXP(D223)</f>
        <v/>
      </c>
      <c r="G223" s="20">
        <f>EXP(D223+$M$9*Data!I220)</f>
        <v/>
      </c>
      <c r="H223" s="20">
        <f>EXP($M$10+(D223-$M$10)/SQRT($M$8))</f>
        <v/>
      </c>
      <c r="I223" s="20">
        <f>Data!H220</f>
        <v/>
      </c>
    </row>
    <row r="224">
      <c r="A224">
        <f>Data!A221</f>
        <v/>
      </c>
      <c r="B224">
        <f>Data!J221</f>
        <v/>
      </c>
      <c r="C224" s="15">
        <f>LN(Data!H221)</f>
        <v/>
      </c>
      <c r="D224" s="15">
        <f>$M$4+$M$5*Data!C221+$M$6*Data!D221+$M$7*Data!E221</f>
        <v/>
      </c>
      <c r="E224" s="15">
        <f>C224-D224</f>
        <v/>
      </c>
      <c r="F224" s="20">
        <f>EXP(D224)</f>
        <v/>
      </c>
      <c r="G224" s="20">
        <f>EXP(D224+$M$9*Data!I221)</f>
        <v/>
      </c>
      <c r="H224" s="20">
        <f>EXP($M$10+(D224-$M$10)/SQRT($M$8))</f>
        <v/>
      </c>
      <c r="I224" s="20">
        <f>Data!H221</f>
        <v/>
      </c>
    </row>
    <row r="225">
      <c r="A225">
        <f>Data!A222</f>
        <v/>
      </c>
      <c r="B225">
        <f>Data!J222</f>
        <v/>
      </c>
      <c r="C225" s="15">
        <f>LN(Data!H222)</f>
        <v/>
      </c>
      <c r="D225" s="15">
        <f>$M$4+$M$5*Data!C222+$M$6*Data!D222+$M$7*Data!E222</f>
        <v/>
      </c>
      <c r="E225" s="15">
        <f>C225-D225</f>
        <v/>
      </c>
      <c r="F225" s="20">
        <f>EXP(D225)</f>
        <v/>
      </c>
      <c r="G225" s="20">
        <f>EXP(D225+$M$9*Data!I222)</f>
        <v/>
      </c>
      <c r="H225" s="20">
        <f>EXP($M$10+(D225-$M$10)/SQRT($M$8))</f>
        <v/>
      </c>
      <c r="I225" s="20">
        <f>Data!H222</f>
        <v/>
      </c>
    </row>
    <row r="226">
      <c r="A226">
        <f>Data!A223</f>
        <v/>
      </c>
      <c r="B226">
        <f>Data!J223</f>
        <v/>
      </c>
      <c r="C226" s="15">
        <f>LN(Data!H223)</f>
        <v/>
      </c>
      <c r="D226" s="15">
        <f>$M$4+$M$5*Data!C223+$M$6*Data!D223+$M$7*Data!E223</f>
        <v/>
      </c>
      <c r="E226" s="15">
        <f>C226-D226</f>
        <v/>
      </c>
      <c r="F226" s="20">
        <f>EXP(D226)</f>
        <v/>
      </c>
      <c r="G226" s="20">
        <f>EXP(D226+$M$9*Data!I223)</f>
        <v/>
      </c>
      <c r="H226" s="20">
        <f>EXP($M$10+(D226-$M$10)/SQRT($M$8))</f>
        <v/>
      </c>
      <c r="I226" s="20">
        <f>Data!H223</f>
        <v/>
      </c>
    </row>
    <row r="227">
      <c r="A227">
        <f>Data!A224</f>
        <v/>
      </c>
      <c r="B227">
        <f>Data!J224</f>
        <v/>
      </c>
      <c r="C227" s="15">
        <f>LN(Data!H224)</f>
        <v/>
      </c>
      <c r="D227" s="15">
        <f>$M$4+$M$5*Data!C224+$M$6*Data!D224+$M$7*Data!E224</f>
        <v/>
      </c>
      <c r="E227" s="15">
        <f>C227-D227</f>
        <v/>
      </c>
      <c r="F227" s="20">
        <f>EXP(D227)</f>
        <v/>
      </c>
      <c r="G227" s="20">
        <f>EXP(D227+$M$9*Data!I224)</f>
        <v/>
      </c>
      <c r="H227" s="20">
        <f>EXP($M$10+(D227-$M$10)/SQRT($M$8))</f>
        <v/>
      </c>
      <c r="I227" s="20">
        <f>Data!H224</f>
        <v/>
      </c>
    </row>
    <row r="228">
      <c r="A228">
        <f>Data!A225</f>
        <v/>
      </c>
      <c r="B228">
        <f>Data!J225</f>
        <v/>
      </c>
      <c r="C228" s="15">
        <f>LN(Data!H225)</f>
        <v/>
      </c>
      <c r="D228" s="15">
        <f>$M$4+$M$5*Data!C225+$M$6*Data!D225+$M$7*Data!E225</f>
        <v/>
      </c>
      <c r="E228" s="15">
        <f>C228-D228</f>
        <v/>
      </c>
      <c r="F228" s="20">
        <f>EXP(D228)</f>
        <v/>
      </c>
      <c r="G228" s="20">
        <f>EXP(D228+$M$9*Data!I225)</f>
        <v/>
      </c>
      <c r="H228" s="20">
        <f>EXP($M$10+(D228-$M$10)/SQRT($M$8))</f>
        <v/>
      </c>
      <c r="I228" s="20">
        <f>Data!H225</f>
        <v/>
      </c>
    </row>
    <row r="229">
      <c r="A229">
        <f>Data!A226</f>
        <v/>
      </c>
      <c r="B229">
        <f>Data!J226</f>
        <v/>
      </c>
      <c r="C229" s="15">
        <f>LN(Data!H226)</f>
        <v/>
      </c>
      <c r="D229" s="15">
        <f>$M$4+$M$5*Data!C226+$M$6*Data!D226+$M$7*Data!E226</f>
        <v/>
      </c>
      <c r="E229" s="15">
        <f>C229-D229</f>
        <v/>
      </c>
      <c r="F229" s="20">
        <f>EXP(D229)</f>
        <v/>
      </c>
      <c r="G229" s="20">
        <f>EXP(D229+$M$9*Data!I226)</f>
        <v/>
      </c>
      <c r="H229" s="20">
        <f>EXP($M$10+(D229-$M$10)/SQRT($M$8))</f>
        <v/>
      </c>
      <c r="I229" s="20">
        <f>Data!H226</f>
        <v/>
      </c>
    </row>
    <row r="230">
      <c r="A230">
        <f>Data!A227</f>
        <v/>
      </c>
      <c r="B230">
        <f>Data!J227</f>
        <v/>
      </c>
      <c r="C230" s="15">
        <f>LN(Data!H227)</f>
        <v/>
      </c>
      <c r="D230" s="15">
        <f>$M$4+$M$5*Data!C227+$M$6*Data!D227+$M$7*Data!E227</f>
        <v/>
      </c>
      <c r="E230" s="15">
        <f>C230-D230</f>
        <v/>
      </c>
      <c r="F230" s="20">
        <f>EXP(D230)</f>
        <v/>
      </c>
      <c r="G230" s="20">
        <f>EXP(D230+$M$9*Data!I227)</f>
        <v/>
      </c>
      <c r="H230" s="20">
        <f>EXP($M$10+(D230-$M$10)/SQRT($M$8))</f>
        <v/>
      </c>
      <c r="I230" s="20">
        <f>Data!H227</f>
        <v/>
      </c>
    </row>
    <row r="231">
      <c r="A231">
        <f>Data!A228</f>
        <v/>
      </c>
      <c r="B231">
        <f>Data!J228</f>
        <v/>
      </c>
      <c r="C231" s="15">
        <f>LN(Data!H228)</f>
        <v/>
      </c>
      <c r="D231" s="15">
        <f>$M$4+$M$5*Data!C228+$M$6*Data!D228+$M$7*Data!E228</f>
        <v/>
      </c>
      <c r="E231" s="15">
        <f>C231-D231</f>
        <v/>
      </c>
      <c r="F231" s="20">
        <f>EXP(D231)</f>
        <v/>
      </c>
      <c r="G231" s="20">
        <f>EXP(D231+$M$9*Data!I228)</f>
        <v/>
      </c>
      <c r="H231" s="20">
        <f>EXP($M$10+(D231-$M$10)/SQRT($M$8))</f>
        <v/>
      </c>
      <c r="I231" s="20">
        <f>Data!H228</f>
        <v/>
      </c>
    </row>
    <row r="232">
      <c r="A232">
        <f>Data!A229</f>
        <v/>
      </c>
      <c r="B232">
        <f>Data!J229</f>
        <v/>
      </c>
      <c r="C232" s="15">
        <f>LN(Data!H229)</f>
        <v/>
      </c>
      <c r="D232" s="15">
        <f>$M$4+$M$5*Data!C229+$M$6*Data!D229+$M$7*Data!E229</f>
        <v/>
      </c>
      <c r="E232" s="15">
        <f>C232-D232</f>
        <v/>
      </c>
      <c r="F232" s="20">
        <f>EXP(D232)</f>
        <v/>
      </c>
      <c r="G232" s="20">
        <f>EXP(D232+$M$9*Data!I229)</f>
        <v/>
      </c>
      <c r="H232" s="20">
        <f>EXP($M$10+(D232-$M$10)/SQRT($M$8))</f>
        <v/>
      </c>
      <c r="I232" s="20">
        <f>Data!H229</f>
        <v/>
      </c>
    </row>
    <row r="233">
      <c r="A233">
        <f>Data!A230</f>
        <v/>
      </c>
      <c r="B233">
        <f>Data!J230</f>
        <v/>
      </c>
      <c r="C233" s="15">
        <f>LN(Data!H230)</f>
        <v/>
      </c>
      <c r="D233" s="15">
        <f>$M$4+$M$5*Data!C230+$M$6*Data!D230+$M$7*Data!E230</f>
        <v/>
      </c>
      <c r="E233" s="15">
        <f>C233-D233</f>
        <v/>
      </c>
      <c r="F233" s="20">
        <f>EXP(D233)</f>
        <v/>
      </c>
      <c r="G233" s="20">
        <f>EXP(D233+$M$9*Data!I230)</f>
        <v/>
      </c>
      <c r="H233" s="20">
        <f>EXP($M$10+(D233-$M$10)/SQRT($M$8))</f>
        <v/>
      </c>
      <c r="I233" s="20">
        <f>Data!H230</f>
        <v/>
      </c>
    </row>
    <row r="234">
      <c r="A234">
        <f>Data!A231</f>
        <v/>
      </c>
      <c r="B234">
        <f>Data!J231</f>
        <v/>
      </c>
      <c r="C234" s="15">
        <f>LN(Data!H231)</f>
        <v/>
      </c>
      <c r="D234" s="15">
        <f>$M$4+$M$5*Data!C231+$M$6*Data!D231+$M$7*Data!E231</f>
        <v/>
      </c>
      <c r="E234" s="15">
        <f>C234-D234</f>
        <v/>
      </c>
      <c r="F234" s="20">
        <f>EXP(D234)</f>
        <v/>
      </c>
      <c r="G234" s="20">
        <f>EXP(D234+$M$9*Data!I231)</f>
        <v/>
      </c>
      <c r="H234" s="20">
        <f>EXP($M$10+(D234-$M$10)/SQRT($M$8))</f>
        <v/>
      </c>
      <c r="I234" s="20">
        <f>Data!H231</f>
        <v/>
      </c>
    </row>
    <row r="235">
      <c r="A235">
        <f>Data!A232</f>
        <v/>
      </c>
      <c r="B235">
        <f>Data!J232</f>
        <v/>
      </c>
      <c r="C235" s="15">
        <f>LN(Data!H232)</f>
        <v/>
      </c>
      <c r="D235" s="15">
        <f>$M$4+$M$5*Data!C232+$M$6*Data!D232+$M$7*Data!E232</f>
        <v/>
      </c>
      <c r="E235" s="15">
        <f>C235-D235</f>
        <v/>
      </c>
      <c r="F235" s="20">
        <f>EXP(D235)</f>
        <v/>
      </c>
      <c r="G235" s="20">
        <f>EXP(D235+$M$9*Data!I232)</f>
        <v/>
      </c>
      <c r="H235" s="20">
        <f>EXP($M$10+(D235-$M$10)/SQRT($M$8))</f>
        <v/>
      </c>
      <c r="I235" s="20">
        <f>Data!H232</f>
        <v/>
      </c>
    </row>
    <row r="236">
      <c r="A236">
        <f>Data!A233</f>
        <v/>
      </c>
      <c r="B236">
        <f>Data!J233</f>
        <v/>
      </c>
      <c r="C236" s="15">
        <f>LN(Data!H233)</f>
        <v/>
      </c>
      <c r="D236" s="15">
        <f>$M$4+$M$5*Data!C233+$M$6*Data!D233+$M$7*Data!E233</f>
        <v/>
      </c>
      <c r="E236" s="15">
        <f>C236-D236</f>
        <v/>
      </c>
      <c r="F236" s="20">
        <f>EXP(D236)</f>
        <v/>
      </c>
      <c r="G236" s="20">
        <f>EXP(D236+$M$9*Data!I233)</f>
        <v/>
      </c>
      <c r="H236" s="20">
        <f>EXP($M$10+(D236-$M$10)/SQRT($M$8))</f>
        <v/>
      </c>
      <c r="I236" s="20">
        <f>Data!H233</f>
        <v/>
      </c>
    </row>
    <row r="237">
      <c r="A237">
        <f>Data!A234</f>
        <v/>
      </c>
      <c r="B237">
        <f>Data!J234</f>
        <v/>
      </c>
      <c r="C237" s="15">
        <f>LN(Data!H234)</f>
        <v/>
      </c>
      <c r="D237" s="15">
        <f>$M$4+$M$5*Data!C234+$M$6*Data!D234+$M$7*Data!E234</f>
        <v/>
      </c>
      <c r="E237" s="15">
        <f>C237-D237</f>
        <v/>
      </c>
      <c r="F237" s="20">
        <f>EXP(D237)</f>
        <v/>
      </c>
      <c r="G237" s="20">
        <f>EXP(D237+$M$9*Data!I234)</f>
        <v/>
      </c>
      <c r="H237" s="20">
        <f>EXP($M$10+(D237-$M$10)/SQRT($M$8))</f>
        <v/>
      </c>
      <c r="I237" s="20">
        <f>Data!H234</f>
        <v/>
      </c>
    </row>
    <row r="238">
      <c r="A238">
        <f>Data!A235</f>
        <v/>
      </c>
      <c r="B238">
        <f>Data!J235</f>
        <v/>
      </c>
      <c r="C238" s="15">
        <f>LN(Data!H235)</f>
        <v/>
      </c>
      <c r="D238" s="15">
        <f>$M$4+$M$5*Data!C235+$M$6*Data!D235+$M$7*Data!E235</f>
        <v/>
      </c>
      <c r="E238" s="15">
        <f>C238-D238</f>
        <v/>
      </c>
      <c r="F238" s="20">
        <f>EXP(D238)</f>
        <v/>
      </c>
      <c r="G238" s="20">
        <f>EXP(D238+$M$9*Data!I235)</f>
        <v/>
      </c>
      <c r="H238" s="20">
        <f>EXP($M$10+(D238-$M$10)/SQRT($M$8))</f>
        <v/>
      </c>
      <c r="I238" s="20">
        <f>Data!H235</f>
        <v/>
      </c>
    </row>
    <row r="239">
      <c r="A239">
        <f>Data!A236</f>
        <v/>
      </c>
      <c r="B239">
        <f>Data!J236</f>
        <v/>
      </c>
      <c r="C239" s="15">
        <f>LN(Data!H236)</f>
        <v/>
      </c>
      <c r="D239" s="15">
        <f>$M$4+$M$5*Data!C236+$M$6*Data!D236+$M$7*Data!E236</f>
        <v/>
      </c>
      <c r="E239" s="15">
        <f>C239-D239</f>
        <v/>
      </c>
      <c r="F239" s="20">
        <f>EXP(D239)</f>
        <v/>
      </c>
      <c r="G239" s="20">
        <f>EXP(D239+$M$9*Data!I236)</f>
        <v/>
      </c>
      <c r="H239" s="20">
        <f>EXP($M$10+(D239-$M$10)/SQRT($M$8))</f>
        <v/>
      </c>
      <c r="I239" s="20">
        <f>Data!H236</f>
        <v/>
      </c>
    </row>
    <row r="240">
      <c r="A240">
        <f>Data!A237</f>
        <v/>
      </c>
      <c r="B240">
        <f>Data!J237</f>
        <v/>
      </c>
      <c r="C240" s="15">
        <f>LN(Data!H237)</f>
        <v/>
      </c>
      <c r="D240" s="15">
        <f>$M$4+$M$5*Data!C237+$M$6*Data!D237+$M$7*Data!E237</f>
        <v/>
      </c>
      <c r="E240" s="15">
        <f>C240-D240</f>
        <v/>
      </c>
      <c r="F240" s="20">
        <f>EXP(D240)</f>
        <v/>
      </c>
      <c r="G240" s="20">
        <f>EXP(D240+$M$9*Data!I237)</f>
        <v/>
      </c>
      <c r="H240" s="20">
        <f>EXP($M$10+(D240-$M$10)/SQRT($M$8))</f>
        <v/>
      </c>
      <c r="I240" s="20">
        <f>Data!H237</f>
        <v/>
      </c>
    </row>
    <row r="241">
      <c r="A241">
        <f>Data!A238</f>
        <v/>
      </c>
      <c r="B241">
        <f>Data!J238</f>
        <v/>
      </c>
      <c r="C241" s="15">
        <f>LN(Data!H238)</f>
        <v/>
      </c>
      <c r="D241" s="15">
        <f>$M$4+$M$5*Data!C238+$M$6*Data!D238+$M$7*Data!E238</f>
        <v/>
      </c>
      <c r="E241" s="15">
        <f>C241-D241</f>
        <v/>
      </c>
      <c r="F241" s="20">
        <f>EXP(D241)</f>
        <v/>
      </c>
      <c r="G241" s="20">
        <f>EXP(D241+$M$9*Data!I238)</f>
        <v/>
      </c>
      <c r="H241" s="20">
        <f>EXP($M$10+(D241-$M$10)/SQRT($M$8))</f>
        <v/>
      </c>
      <c r="I241" s="20">
        <f>Data!H238</f>
        <v/>
      </c>
    </row>
    <row r="242">
      <c r="A242">
        <f>Data!A239</f>
        <v/>
      </c>
      <c r="B242">
        <f>Data!J239</f>
        <v/>
      </c>
      <c r="C242" s="15">
        <f>LN(Data!H239)</f>
        <v/>
      </c>
      <c r="D242" s="15">
        <f>$M$4+$M$5*Data!C239+$M$6*Data!D239+$M$7*Data!E239</f>
        <v/>
      </c>
      <c r="E242" s="15">
        <f>C242-D242</f>
        <v/>
      </c>
      <c r="F242" s="20">
        <f>EXP(D242)</f>
        <v/>
      </c>
      <c r="G242" s="20">
        <f>EXP(D242+$M$9*Data!I239)</f>
        <v/>
      </c>
      <c r="H242" s="20">
        <f>EXP($M$10+(D242-$M$10)/SQRT($M$8))</f>
        <v/>
      </c>
      <c r="I242" s="20">
        <f>Data!H239</f>
        <v/>
      </c>
    </row>
    <row r="243">
      <c r="A243">
        <f>Data!A240</f>
        <v/>
      </c>
      <c r="B243">
        <f>Data!J240</f>
        <v/>
      </c>
      <c r="C243" s="15">
        <f>LN(Data!H240)</f>
        <v/>
      </c>
      <c r="D243" s="15">
        <f>$M$4+$M$5*Data!C240+$M$6*Data!D240+$M$7*Data!E240</f>
        <v/>
      </c>
      <c r="E243" s="15">
        <f>C243-D243</f>
        <v/>
      </c>
      <c r="F243" s="20">
        <f>EXP(D243)</f>
        <v/>
      </c>
      <c r="G243" s="20">
        <f>EXP(D243+$M$9*Data!I240)</f>
        <v/>
      </c>
      <c r="H243" s="20">
        <f>EXP($M$10+(D243-$M$10)/SQRT($M$8))</f>
        <v/>
      </c>
      <c r="I243" s="20">
        <f>Data!H240</f>
        <v/>
      </c>
    </row>
    <row r="244">
      <c r="A244">
        <f>Data!A241</f>
        <v/>
      </c>
      <c r="B244">
        <f>Data!J241</f>
        <v/>
      </c>
      <c r="C244" s="15">
        <f>LN(Data!H241)</f>
        <v/>
      </c>
      <c r="D244" s="15">
        <f>$M$4+$M$5*Data!C241+$M$6*Data!D241+$M$7*Data!E241</f>
        <v/>
      </c>
      <c r="E244" s="15">
        <f>C244-D244</f>
        <v/>
      </c>
      <c r="F244" s="20">
        <f>EXP(D244)</f>
        <v/>
      </c>
      <c r="G244" s="20">
        <f>EXP(D244+$M$9*Data!I241)</f>
        <v/>
      </c>
      <c r="H244" s="20">
        <f>EXP($M$10+(D244-$M$10)/SQRT($M$8))</f>
        <v/>
      </c>
      <c r="I244" s="20">
        <f>Data!H241</f>
        <v/>
      </c>
    </row>
    <row r="245">
      <c r="A245">
        <f>Data!A242</f>
        <v/>
      </c>
      <c r="B245">
        <f>Data!J242</f>
        <v/>
      </c>
      <c r="C245" s="15">
        <f>LN(Data!H242)</f>
        <v/>
      </c>
      <c r="D245" s="15">
        <f>$M$4+$M$5*Data!C242+$M$6*Data!D242+$M$7*Data!E242</f>
        <v/>
      </c>
      <c r="E245" s="15">
        <f>C245-D245</f>
        <v/>
      </c>
      <c r="F245" s="20">
        <f>EXP(D245)</f>
        <v/>
      </c>
      <c r="G245" s="20">
        <f>EXP(D245+$M$9*Data!I242)</f>
        <v/>
      </c>
      <c r="H245" s="20">
        <f>EXP($M$10+(D245-$M$10)/SQRT($M$8))</f>
        <v/>
      </c>
      <c r="I245" s="20">
        <f>Data!H242</f>
        <v/>
      </c>
    </row>
    <row r="246">
      <c r="A246">
        <f>Data!A243</f>
        <v/>
      </c>
      <c r="B246">
        <f>Data!J243</f>
        <v/>
      </c>
      <c r="C246" s="15">
        <f>LN(Data!H243)</f>
        <v/>
      </c>
      <c r="D246" s="15">
        <f>$M$4+$M$5*Data!C243+$M$6*Data!D243+$M$7*Data!E243</f>
        <v/>
      </c>
      <c r="E246" s="15">
        <f>C246-D246</f>
        <v/>
      </c>
      <c r="F246" s="20">
        <f>EXP(D246)</f>
        <v/>
      </c>
      <c r="G246" s="20">
        <f>EXP(D246+$M$9*Data!I243)</f>
        <v/>
      </c>
      <c r="H246" s="20">
        <f>EXP($M$10+(D246-$M$10)/SQRT($M$8))</f>
        <v/>
      </c>
      <c r="I246" s="20">
        <f>Data!H243</f>
        <v/>
      </c>
    </row>
    <row r="247">
      <c r="A247">
        <f>Data!A244</f>
        <v/>
      </c>
      <c r="B247">
        <f>Data!J244</f>
        <v/>
      </c>
      <c r="C247" s="15">
        <f>LN(Data!H244)</f>
        <v/>
      </c>
      <c r="D247" s="15">
        <f>$M$4+$M$5*Data!C244+$M$6*Data!D244+$M$7*Data!E244</f>
        <v/>
      </c>
      <c r="E247" s="15">
        <f>C247-D247</f>
        <v/>
      </c>
      <c r="F247" s="20">
        <f>EXP(D247)</f>
        <v/>
      </c>
      <c r="G247" s="20">
        <f>EXP(D247+$M$9*Data!I244)</f>
        <v/>
      </c>
      <c r="H247" s="20">
        <f>EXP($M$10+(D247-$M$10)/SQRT($M$8))</f>
        <v/>
      </c>
      <c r="I247" s="20">
        <f>Data!H244</f>
        <v/>
      </c>
    </row>
    <row r="248">
      <c r="A248">
        <f>Data!A245</f>
        <v/>
      </c>
      <c r="B248">
        <f>Data!J245</f>
        <v/>
      </c>
      <c r="C248" s="15">
        <f>LN(Data!H245)</f>
        <v/>
      </c>
      <c r="D248" s="15">
        <f>$M$4+$M$5*Data!C245+$M$6*Data!D245+$M$7*Data!E245</f>
        <v/>
      </c>
      <c r="E248" s="15">
        <f>C248-D248</f>
        <v/>
      </c>
      <c r="F248" s="20">
        <f>EXP(D248)</f>
        <v/>
      </c>
      <c r="G248" s="20">
        <f>EXP(D248+$M$9*Data!I245)</f>
        <v/>
      </c>
      <c r="H248" s="20">
        <f>EXP($M$10+(D248-$M$10)/SQRT($M$8))</f>
        <v/>
      </c>
      <c r="I248" s="20">
        <f>Data!H245</f>
        <v/>
      </c>
    </row>
    <row r="249">
      <c r="A249">
        <f>Data!A246</f>
        <v/>
      </c>
      <c r="B249">
        <f>Data!J246</f>
        <v/>
      </c>
      <c r="C249" s="15">
        <f>LN(Data!H246)</f>
        <v/>
      </c>
      <c r="D249" s="15">
        <f>$M$4+$M$5*Data!C246+$M$6*Data!D246+$M$7*Data!E246</f>
        <v/>
      </c>
      <c r="E249" s="15">
        <f>C249-D249</f>
        <v/>
      </c>
      <c r="F249" s="20">
        <f>EXP(D249)</f>
        <v/>
      </c>
      <c r="G249" s="20">
        <f>EXP(D249+$M$9*Data!I246)</f>
        <v/>
      </c>
      <c r="H249" s="20">
        <f>EXP($M$10+(D249-$M$10)/SQRT($M$8))</f>
        <v/>
      </c>
      <c r="I249" s="20">
        <f>Data!H246</f>
        <v/>
      </c>
    </row>
    <row r="250">
      <c r="A250">
        <f>Data!A247</f>
        <v/>
      </c>
      <c r="B250">
        <f>Data!J247</f>
        <v/>
      </c>
      <c r="C250" s="15">
        <f>LN(Data!H247)</f>
        <v/>
      </c>
      <c r="D250" s="15">
        <f>$M$4+$M$5*Data!C247+$M$6*Data!D247+$M$7*Data!E247</f>
        <v/>
      </c>
      <c r="E250" s="15">
        <f>C250-D250</f>
        <v/>
      </c>
      <c r="F250" s="20">
        <f>EXP(D250)</f>
        <v/>
      </c>
      <c r="G250" s="20">
        <f>EXP(D250+$M$9*Data!I247)</f>
        <v/>
      </c>
      <c r="H250" s="20">
        <f>EXP($M$10+(D250-$M$10)/SQRT($M$8))</f>
        <v/>
      </c>
      <c r="I250" s="20">
        <f>Data!H247</f>
        <v/>
      </c>
    </row>
    <row r="251">
      <c r="A251">
        <f>Data!A248</f>
        <v/>
      </c>
      <c r="B251">
        <f>Data!J248</f>
        <v/>
      </c>
      <c r="C251" s="15">
        <f>LN(Data!H248)</f>
        <v/>
      </c>
      <c r="D251" s="15">
        <f>$M$4+$M$5*Data!C248+$M$6*Data!D248+$M$7*Data!E248</f>
        <v/>
      </c>
      <c r="E251" s="15">
        <f>C251-D251</f>
        <v/>
      </c>
      <c r="F251" s="20">
        <f>EXP(D251)</f>
        <v/>
      </c>
      <c r="G251" s="20">
        <f>EXP(D251+$M$9*Data!I248)</f>
        <v/>
      </c>
      <c r="H251" s="20">
        <f>EXP($M$10+(D251-$M$10)/SQRT($M$8))</f>
        <v/>
      </c>
      <c r="I251" s="20">
        <f>Data!H248</f>
        <v/>
      </c>
    </row>
    <row r="252">
      <c r="A252">
        <f>Data!A249</f>
        <v/>
      </c>
      <c r="B252">
        <f>Data!J249</f>
        <v/>
      </c>
      <c r="C252" s="15">
        <f>LN(Data!H249)</f>
        <v/>
      </c>
      <c r="D252" s="15">
        <f>$M$4+$M$5*Data!C249+$M$6*Data!D249+$M$7*Data!E249</f>
        <v/>
      </c>
      <c r="E252" s="15">
        <f>C252-D252</f>
        <v/>
      </c>
      <c r="F252" s="20">
        <f>EXP(D252)</f>
        <v/>
      </c>
      <c r="G252" s="20">
        <f>EXP(D252+$M$9*Data!I249)</f>
        <v/>
      </c>
      <c r="H252" s="20">
        <f>EXP($M$10+(D252-$M$10)/SQRT($M$8))</f>
        <v/>
      </c>
      <c r="I252" s="20">
        <f>Data!H249</f>
        <v/>
      </c>
    </row>
    <row r="253">
      <c r="A253">
        <f>Data!A250</f>
        <v/>
      </c>
      <c r="B253">
        <f>Data!J250</f>
        <v/>
      </c>
      <c r="C253" s="15">
        <f>LN(Data!H250)</f>
        <v/>
      </c>
      <c r="D253" s="15">
        <f>$M$4+$M$5*Data!C250+$M$6*Data!D250+$M$7*Data!E250</f>
        <v/>
      </c>
      <c r="E253" s="15">
        <f>C253-D253</f>
        <v/>
      </c>
      <c r="F253" s="20">
        <f>EXP(D253)</f>
        <v/>
      </c>
      <c r="G253" s="20">
        <f>EXP(D253+$M$9*Data!I250)</f>
        <v/>
      </c>
      <c r="H253" s="20">
        <f>EXP($M$10+(D253-$M$10)/SQRT($M$8))</f>
        <v/>
      </c>
      <c r="I253" s="20">
        <f>Data!H250</f>
        <v/>
      </c>
    </row>
    <row r="254">
      <c r="A254">
        <f>Data!A251</f>
        <v/>
      </c>
      <c r="B254">
        <f>Data!J251</f>
        <v/>
      </c>
      <c r="C254" s="15">
        <f>LN(Data!H251)</f>
        <v/>
      </c>
      <c r="D254" s="15">
        <f>$M$4+$M$5*Data!C251+$M$6*Data!D251+$M$7*Data!E251</f>
        <v/>
      </c>
      <c r="E254" s="15">
        <f>C254-D254</f>
        <v/>
      </c>
      <c r="F254" s="20">
        <f>EXP(D254)</f>
        <v/>
      </c>
      <c r="G254" s="20">
        <f>EXP(D254+$M$9*Data!I251)</f>
        <v/>
      </c>
      <c r="H254" s="20">
        <f>EXP($M$10+(D254-$M$10)/SQRT($M$8))</f>
        <v/>
      </c>
      <c r="I254" s="20">
        <f>Data!H251</f>
        <v/>
      </c>
    </row>
    <row r="255">
      <c r="A255">
        <f>Data!A252</f>
        <v/>
      </c>
      <c r="B255">
        <f>Data!J252</f>
        <v/>
      </c>
      <c r="C255" s="15">
        <f>LN(Data!H252)</f>
        <v/>
      </c>
      <c r="D255" s="15">
        <f>$M$4+$M$5*Data!C252+$M$6*Data!D252+$M$7*Data!E252</f>
        <v/>
      </c>
      <c r="E255" s="15">
        <f>C255-D255</f>
        <v/>
      </c>
      <c r="F255" s="20">
        <f>EXP(D255)</f>
        <v/>
      </c>
      <c r="G255" s="20">
        <f>EXP(D255+$M$9*Data!I252)</f>
        <v/>
      </c>
      <c r="H255" s="20">
        <f>EXP($M$10+(D255-$M$10)/SQRT($M$8))</f>
        <v/>
      </c>
      <c r="I255" s="20">
        <f>Data!H252</f>
        <v/>
      </c>
    </row>
    <row r="256">
      <c r="A256">
        <f>Data!A253</f>
        <v/>
      </c>
      <c r="B256">
        <f>Data!J253</f>
        <v/>
      </c>
      <c r="C256" s="15">
        <f>LN(Data!H253)</f>
        <v/>
      </c>
      <c r="D256" s="15">
        <f>$M$4+$M$5*Data!C253+$M$6*Data!D253+$M$7*Data!E253</f>
        <v/>
      </c>
      <c r="E256" s="15">
        <f>C256-D256</f>
        <v/>
      </c>
      <c r="F256" s="20">
        <f>EXP(D256)</f>
        <v/>
      </c>
      <c r="G256" s="20">
        <f>EXP(D256+$M$9*Data!I253)</f>
        <v/>
      </c>
      <c r="H256" s="20">
        <f>EXP($M$10+(D256-$M$10)/SQRT($M$8))</f>
        <v/>
      </c>
      <c r="I256" s="20">
        <f>Data!H253</f>
        <v/>
      </c>
    </row>
    <row r="257">
      <c r="A257">
        <f>Data!A254</f>
        <v/>
      </c>
      <c r="B257">
        <f>Data!J254</f>
        <v/>
      </c>
      <c r="C257" s="15">
        <f>LN(Data!H254)</f>
        <v/>
      </c>
      <c r="D257" s="15">
        <f>$M$4+$M$5*Data!C254+$M$6*Data!D254+$M$7*Data!E254</f>
        <v/>
      </c>
      <c r="E257" s="15">
        <f>C257-D257</f>
        <v/>
      </c>
      <c r="F257" s="20">
        <f>EXP(D257)</f>
        <v/>
      </c>
      <c r="G257" s="20">
        <f>EXP(D257+$M$9*Data!I254)</f>
        <v/>
      </c>
      <c r="H257" s="20">
        <f>EXP($M$10+(D257-$M$10)/SQRT($M$8))</f>
        <v/>
      </c>
      <c r="I257" s="20">
        <f>Data!H254</f>
        <v/>
      </c>
    </row>
    <row r="258">
      <c r="A258">
        <f>Data!A255</f>
        <v/>
      </c>
      <c r="B258">
        <f>Data!J255</f>
        <v/>
      </c>
      <c r="C258" s="15">
        <f>LN(Data!H255)</f>
        <v/>
      </c>
      <c r="D258" s="15">
        <f>$M$4+$M$5*Data!C255+$M$6*Data!D255+$M$7*Data!E255</f>
        <v/>
      </c>
      <c r="E258" s="15">
        <f>C258-D258</f>
        <v/>
      </c>
      <c r="F258" s="20">
        <f>EXP(D258)</f>
        <v/>
      </c>
      <c r="G258" s="20">
        <f>EXP(D258+$M$9*Data!I255)</f>
        <v/>
      </c>
      <c r="H258" s="20">
        <f>EXP($M$10+(D258-$M$10)/SQRT($M$8))</f>
        <v/>
      </c>
      <c r="I258" s="20">
        <f>Data!H255</f>
        <v/>
      </c>
    </row>
    <row r="259">
      <c r="A259">
        <f>Data!A256</f>
        <v/>
      </c>
      <c r="B259">
        <f>Data!J256</f>
        <v/>
      </c>
      <c r="C259" s="15">
        <f>LN(Data!H256)</f>
        <v/>
      </c>
      <c r="D259" s="15">
        <f>$M$4+$M$5*Data!C256+$M$6*Data!D256+$M$7*Data!E256</f>
        <v/>
      </c>
      <c r="E259" s="15">
        <f>C259-D259</f>
        <v/>
      </c>
      <c r="F259" s="20">
        <f>EXP(D259)</f>
        <v/>
      </c>
      <c r="G259" s="20">
        <f>EXP(D259+$M$9*Data!I256)</f>
        <v/>
      </c>
      <c r="H259" s="20">
        <f>EXP($M$10+(D259-$M$10)/SQRT($M$8))</f>
        <v/>
      </c>
      <c r="I259" s="20">
        <f>Data!H256</f>
        <v/>
      </c>
    </row>
    <row r="260">
      <c r="A260">
        <f>Data!A257</f>
        <v/>
      </c>
      <c r="B260">
        <f>Data!J257</f>
        <v/>
      </c>
      <c r="C260" s="15">
        <f>LN(Data!H257)</f>
        <v/>
      </c>
      <c r="D260" s="15">
        <f>$M$4+$M$5*Data!C257+$M$6*Data!D257+$M$7*Data!E257</f>
        <v/>
      </c>
      <c r="E260" s="15">
        <f>C260-D260</f>
        <v/>
      </c>
      <c r="F260" s="20">
        <f>EXP(D260)</f>
        <v/>
      </c>
      <c r="G260" s="20">
        <f>EXP(D260+$M$9*Data!I257)</f>
        <v/>
      </c>
      <c r="H260" s="20">
        <f>EXP($M$10+(D260-$M$10)/SQRT($M$8))</f>
        <v/>
      </c>
      <c r="I260" s="20">
        <f>Data!H257</f>
        <v/>
      </c>
    </row>
    <row r="261">
      <c r="A261">
        <f>Data!A258</f>
        <v/>
      </c>
      <c r="B261">
        <f>Data!J258</f>
        <v/>
      </c>
      <c r="C261" s="15">
        <f>LN(Data!H258)</f>
        <v/>
      </c>
      <c r="D261" s="15">
        <f>$M$4+$M$5*Data!C258+$M$6*Data!D258+$M$7*Data!E258</f>
        <v/>
      </c>
      <c r="E261" s="15">
        <f>C261-D261</f>
        <v/>
      </c>
      <c r="F261" s="20">
        <f>EXP(D261)</f>
        <v/>
      </c>
      <c r="G261" s="20">
        <f>EXP(D261+$M$9*Data!I258)</f>
        <v/>
      </c>
      <c r="H261" s="20">
        <f>EXP($M$10+(D261-$M$10)/SQRT($M$8))</f>
        <v/>
      </c>
      <c r="I261" s="20">
        <f>Data!H258</f>
        <v/>
      </c>
    </row>
    <row r="262">
      <c r="A262">
        <f>Data!A259</f>
        <v/>
      </c>
      <c r="B262">
        <f>Data!J259</f>
        <v/>
      </c>
      <c r="C262" s="15">
        <f>LN(Data!H259)</f>
        <v/>
      </c>
      <c r="D262" s="15">
        <f>$M$4+$M$5*Data!C259+$M$6*Data!D259+$M$7*Data!E259</f>
        <v/>
      </c>
      <c r="E262" s="15">
        <f>C262-D262</f>
        <v/>
      </c>
      <c r="F262" s="20">
        <f>EXP(D262)</f>
        <v/>
      </c>
      <c r="G262" s="20">
        <f>EXP(D262+$M$9*Data!I259)</f>
        <v/>
      </c>
      <c r="H262" s="20">
        <f>EXP($M$10+(D262-$M$10)/SQRT($M$8))</f>
        <v/>
      </c>
      <c r="I262" s="20">
        <f>Data!H259</f>
        <v/>
      </c>
    </row>
    <row r="263">
      <c r="A263">
        <f>Data!A260</f>
        <v/>
      </c>
      <c r="B263">
        <f>Data!J260</f>
        <v/>
      </c>
      <c r="C263" s="15">
        <f>LN(Data!H260)</f>
        <v/>
      </c>
      <c r="D263" s="15">
        <f>$M$4+$M$5*Data!C260+$M$6*Data!D260+$M$7*Data!E260</f>
        <v/>
      </c>
      <c r="E263" s="15">
        <f>C263-D263</f>
        <v/>
      </c>
      <c r="F263" s="20">
        <f>EXP(D263)</f>
        <v/>
      </c>
      <c r="G263" s="20">
        <f>EXP(D263+$M$9*Data!I260)</f>
        <v/>
      </c>
      <c r="H263" s="20">
        <f>EXP($M$10+(D263-$M$10)/SQRT($M$8))</f>
        <v/>
      </c>
      <c r="I263" s="20">
        <f>Data!H260</f>
        <v/>
      </c>
    </row>
    <row r="264">
      <c r="A264">
        <f>Data!A261</f>
        <v/>
      </c>
      <c r="B264">
        <f>Data!J261</f>
        <v/>
      </c>
      <c r="C264" s="15">
        <f>LN(Data!H261)</f>
        <v/>
      </c>
      <c r="D264" s="15">
        <f>$M$4+$M$5*Data!C261+$M$6*Data!D261+$M$7*Data!E261</f>
        <v/>
      </c>
      <c r="E264" s="15">
        <f>C264-D264</f>
        <v/>
      </c>
      <c r="F264" s="20">
        <f>EXP(D264)</f>
        <v/>
      </c>
      <c r="G264" s="20">
        <f>EXP(D264+$M$9*Data!I261)</f>
        <v/>
      </c>
      <c r="H264" s="20">
        <f>EXP($M$10+(D264-$M$10)/SQRT($M$8))</f>
        <v/>
      </c>
      <c r="I264" s="20">
        <f>Data!H261</f>
        <v/>
      </c>
    </row>
    <row r="265">
      <c r="A265">
        <f>Data!A262</f>
        <v/>
      </c>
      <c r="B265">
        <f>Data!J262</f>
        <v/>
      </c>
      <c r="C265" s="15">
        <f>LN(Data!H262)</f>
        <v/>
      </c>
      <c r="D265" s="15">
        <f>$M$4+$M$5*Data!C262+$M$6*Data!D262+$M$7*Data!E262</f>
        <v/>
      </c>
      <c r="E265" s="15">
        <f>C265-D265</f>
        <v/>
      </c>
      <c r="F265" s="20">
        <f>EXP(D265)</f>
        <v/>
      </c>
      <c r="G265" s="20">
        <f>EXP(D265+$M$9*Data!I262)</f>
        <v/>
      </c>
      <c r="H265" s="20">
        <f>EXP($M$10+(D265-$M$10)/SQRT($M$8))</f>
        <v/>
      </c>
      <c r="I265" s="20">
        <f>Data!H262</f>
        <v/>
      </c>
    </row>
    <row r="266">
      <c r="A266">
        <f>Data!A263</f>
        <v/>
      </c>
      <c r="B266">
        <f>Data!J263</f>
        <v/>
      </c>
      <c r="C266" s="15">
        <f>LN(Data!H263)</f>
        <v/>
      </c>
      <c r="D266" s="15">
        <f>$M$4+$M$5*Data!C263+$M$6*Data!D263+$M$7*Data!E263</f>
        <v/>
      </c>
      <c r="E266" s="15">
        <f>C266-D266</f>
        <v/>
      </c>
      <c r="F266" s="20">
        <f>EXP(D266)</f>
        <v/>
      </c>
      <c r="G266" s="20">
        <f>EXP(D266+$M$9*Data!I263)</f>
        <v/>
      </c>
      <c r="H266" s="20">
        <f>EXP($M$10+(D266-$M$10)/SQRT($M$8))</f>
        <v/>
      </c>
      <c r="I266" s="20">
        <f>Data!H263</f>
        <v/>
      </c>
    </row>
    <row r="267">
      <c r="A267">
        <f>Data!A264</f>
        <v/>
      </c>
      <c r="B267">
        <f>Data!J264</f>
        <v/>
      </c>
      <c r="C267" s="15">
        <f>LN(Data!H264)</f>
        <v/>
      </c>
      <c r="D267" s="15">
        <f>$M$4+$M$5*Data!C264+$M$6*Data!D264+$M$7*Data!E264</f>
        <v/>
      </c>
      <c r="E267" s="15">
        <f>C267-D267</f>
        <v/>
      </c>
      <c r="F267" s="20">
        <f>EXP(D267)</f>
        <v/>
      </c>
      <c r="G267" s="20">
        <f>EXP(D267+$M$9*Data!I264)</f>
        <v/>
      </c>
      <c r="H267" s="20">
        <f>EXP($M$10+(D267-$M$10)/SQRT($M$8))</f>
        <v/>
      </c>
      <c r="I267" s="20">
        <f>Data!H264</f>
        <v/>
      </c>
    </row>
    <row r="268">
      <c r="A268">
        <f>Data!A265</f>
        <v/>
      </c>
      <c r="B268">
        <f>Data!J265</f>
        <v/>
      </c>
      <c r="C268" s="15">
        <f>LN(Data!H265)</f>
        <v/>
      </c>
      <c r="D268" s="15">
        <f>$M$4+$M$5*Data!C265+$M$6*Data!D265+$M$7*Data!E265</f>
        <v/>
      </c>
      <c r="E268" s="15">
        <f>C268-D268</f>
        <v/>
      </c>
      <c r="F268" s="20">
        <f>EXP(D268)</f>
        <v/>
      </c>
      <c r="G268" s="20">
        <f>EXP(D268+$M$9*Data!I265)</f>
        <v/>
      </c>
      <c r="H268" s="20">
        <f>EXP($M$10+(D268-$M$10)/SQRT($M$8))</f>
        <v/>
      </c>
      <c r="I268" s="20">
        <f>Data!H265</f>
        <v/>
      </c>
    </row>
    <row r="269">
      <c r="A269">
        <f>Data!A266</f>
        <v/>
      </c>
      <c r="B269">
        <f>Data!J266</f>
        <v/>
      </c>
      <c r="C269" s="15">
        <f>LN(Data!H266)</f>
        <v/>
      </c>
      <c r="D269" s="15">
        <f>$M$4+$M$5*Data!C266+$M$6*Data!D266+$M$7*Data!E266</f>
        <v/>
      </c>
      <c r="E269" s="15">
        <f>C269-D269</f>
        <v/>
      </c>
      <c r="F269" s="20">
        <f>EXP(D269)</f>
        <v/>
      </c>
      <c r="G269" s="20">
        <f>EXP(D269+$M$9*Data!I266)</f>
        <v/>
      </c>
      <c r="H269" s="20">
        <f>EXP($M$10+(D269-$M$10)/SQRT($M$8))</f>
        <v/>
      </c>
      <c r="I269" s="20">
        <f>Data!H266</f>
        <v/>
      </c>
    </row>
    <row r="270">
      <c r="A270">
        <f>Data!A267</f>
        <v/>
      </c>
      <c r="B270">
        <f>Data!J267</f>
        <v/>
      </c>
      <c r="C270" s="15">
        <f>LN(Data!H267)</f>
        <v/>
      </c>
      <c r="D270" s="15">
        <f>$M$4+$M$5*Data!C267+$M$6*Data!D267+$M$7*Data!E267</f>
        <v/>
      </c>
      <c r="E270" s="15">
        <f>C270-D270</f>
        <v/>
      </c>
      <c r="F270" s="20">
        <f>EXP(D270)</f>
        <v/>
      </c>
      <c r="G270" s="20">
        <f>EXP(D270+$M$9*Data!I267)</f>
        <v/>
      </c>
      <c r="H270" s="20">
        <f>EXP($M$10+(D270-$M$10)/SQRT($M$8))</f>
        <v/>
      </c>
      <c r="I270" s="20">
        <f>Data!H267</f>
        <v/>
      </c>
    </row>
    <row r="271">
      <c r="A271">
        <f>Data!A268</f>
        <v/>
      </c>
      <c r="B271">
        <f>Data!J268</f>
        <v/>
      </c>
      <c r="C271" s="15">
        <f>LN(Data!H268)</f>
        <v/>
      </c>
      <c r="D271" s="15">
        <f>$M$4+$M$5*Data!C268+$M$6*Data!D268+$M$7*Data!E268</f>
        <v/>
      </c>
      <c r="E271" s="15">
        <f>C271-D271</f>
        <v/>
      </c>
      <c r="F271" s="20">
        <f>EXP(D271)</f>
        <v/>
      </c>
      <c r="G271" s="20">
        <f>EXP(D271+$M$9*Data!I268)</f>
        <v/>
      </c>
      <c r="H271" s="20">
        <f>EXP($M$10+(D271-$M$10)/SQRT($M$8))</f>
        <v/>
      </c>
      <c r="I271" s="20">
        <f>Data!H268</f>
        <v/>
      </c>
    </row>
    <row r="272">
      <c r="A272">
        <f>Data!A269</f>
        <v/>
      </c>
      <c r="B272">
        <f>Data!J269</f>
        <v/>
      </c>
      <c r="C272" s="15">
        <f>LN(Data!H269)</f>
        <v/>
      </c>
      <c r="D272" s="15">
        <f>$M$4+$M$5*Data!C269+$M$6*Data!D269+$M$7*Data!E269</f>
        <v/>
      </c>
      <c r="E272" s="15">
        <f>C272-D272</f>
        <v/>
      </c>
      <c r="F272" s="20">
        <f>EXP(D272)</f>
        <v/>
      </c>
      <c r="G272" s="20">
        <f>EXP(D272+$M$9*Data!I269)</f>
        <v/>
      </c>
      <c r="H272" s="20">
        <f>EXP($M$10+(D272-$M$10)/SQRT($M$8))</f>
        <v/>
      </c>
      <c r="I272" s="20">
        <f>Data!H269</f>
        <v/>
      </c>
    </row>
    <row r="273">
      <c r="A273">
        <f>Data!A270</f>
        <v/>
      </c>
      <c r="B273">
        <f>Data!J270</f>
        <v/>
      </c>
      <c r="C273" s="15">
        <f>LN(Data!H270)</f>
        <v/>
      </c>
      <c r="D273" s="15">
        <f>$M$4+$M$5*Data!C270+$M$6*Data!D270+$M$7*Data!E270</f>
        <v/>
      </c>
      <c r="E273" s="15">
        <f>C273-D273</f>
        <v/>
      </c>
      <c r="F273" s="20">
        <f>EXP(D273)</f>
        <v/>
      </c>
      <c r="G273" s="20">
        <f>EXP(D273+$M$9*Data!I270)</f>
        <v/>
      </c>
      <c r="H273" s="20">
        <f>EXP($M$10+(D273-$M$10)/SQRT($M$8))</f>
        <v/>
      </c>
      <c r="I273" s="20">
        <f>Data!H270</f>
        <v/>
      </c>
    </row>
    <row r="274">
      <c r="A274">
        <f>Data!A271</f>
        <v/>
      </c>
      <c r="B274">
        <f>Data!J271</f>
        <v/>
      </c>
      <c r="C274" s="15">
        <f>LN(Data!H271)</f>
        <v/>
      </c>
      <c r="D274" s="15">
        <f>$M$4+$M$5*Data!C271+$M$6*Data!D271+$M$7*Data!E271</f>
        <v/>
      </c>
      <c r="E274" s="15">
        <f>C274-D274</f>
        <v/>
      </c>
      <c r="F274" s="20">
        <f>EXP(D274)</f>
        <v/>
      </c>
      <c r="G274" s="20">
        <f>EXP(D274+$M$9*Data!I271)</f>
        <v/>
      </c>
      <c r="H274" s="20">
        <f>EXP($M$10+(D274-$M$10)/SQRT($M$8))</f>
        <v/>
      </c>
      <c r="I274" s="20">
        <f>Data!H271</f>
        <v/>
      </c>
    </row>
    <row r="275">
      <c r="A275">
        <f>Data!A272</f>
        <v/>
      </c>
      <c r="B275">
        <f>Data!J272</f>
        <v/>
      </c>
      <c r="C275" s="15">
        <f>LN(Data!H272)</f>
        <v/>
      </c>
      <c r="D275" s="15">
        <f>$M$4+$M$5*Data!C272+$M$6*Data!D272+$M$7*Data!E272</f>
        <v/>
      </c>
      <c r="E275" s="15">
        <f>C275-D275</f>
        <v/>
      </c>
      <c r="F275" s="20">
        <f>EXP(D275)</f>
        <v/>
      </c>
      <c r="G275" s="20">
        <f>EXP(D275+$M$9*Data!I272)</f>
        <v/>
      </c>
      <c r="H275" s="20">
        <f>EXP($M$10+(D275-$M$10)/SQRT($M$8))</f>
        <v/>
      </c>
      <c r="I275" s="20">
        <f>Data!H272</f>
        <v/>
      </c>
    </row>
    <row r="276">
      <c r="A276">
        <f>Data!A273</f>
        <v/>
      </c>
      <c r="B276">
        <f>Data!J273</f>
        <v/>
      </c>
      <c r="C276" s="15">
        <f>LN(Data!H273)</f>
        <v/>
      </c>
      <c r="D276" s="15">
        <f>$M$4+$M$5*Data!C273+$M$6*Data!D273+$M$7*Data!E273</f>
        <v/>
      </c>
      <c r="E276" s="15">
        <f>C276-D276</f>
        <v/>
      </c>
      <c r="F276" s="20">
        <f>EXP(D276)</f>
        <v/>
      </c>
      <c r="G276" s="20">
        <f>EXP(D276+$M$9*Data!I273)</f>
        <v/>
      </c>
      <c r="H276" s="20">
        <f>EXP($M$10+(D276-$M$10)/SQRT($M$8))</f>
        <v/>
      </c>
      <c r="I276" s="20">
        <f>Data!H273</f>
        <v/>
      </c>
    </row>
    <row r="277">
      <c r="A277">
        <f>Data!A274</f>
        <v/>
      </c>
      <c r="B277">
        <f>Data!J274</f>
        <v/>
      </c>
      <c r="C277" s="15">
        <f>LN(Data!H274)</f>
        <v/>
      </c>
      <c r="D277" s="15">
        <f>$M$4+$M$5*Data!C274+$M$6*Data!D274+$M$7*Data!E274</f>
        <v/>
      </c>
      <c r="E277" s="15">
        <f>C277-D277</f>
        <v/>
      </c>
      <c r="F277" s="20">
        <f>EXP(D277)</f>
        <v/>
      </c>
      <c r="G277" s="20">
        <f>EXP(D277+$M$9*Data!I274)</f>
        <v/>
      </c>
      <c r="H277" s="20">
        <f>EXP($M$10+(D277-$M$10)/SQRT($M$8))</f>
        <v/>
      </c>
      <c r="I277" s="20">
        <f>Data!H274</f>
        <v/>
      </c>
    </row>
    <row r="278">
      <c r="A278">
        <f>Data!A275</f>
        <v/>
      </c>
      <c r="B278">
        <f>Data!J275</f>
        <v/>
      </c>
      <c r="C278" s="15">
        <f>LN(Data!H275)</f>
        <v/>
      </c>
      <c r="D278" s="15">
        <f>$M$4+$M$5*Data!C275+$M$6*Data!D275+$M$7*Data!E275</f>
        <v/>
      </c>
      <c r="E278" s="15">
        <f>C278-D278</f>
        <v/>
      </c>
      <c r="F278" s="20">
        <f>EXP(D278)</f>
        <v/>
      </c>
      <c r="G278" s="20">
        <f>EXP(D278+$M$9*Data!I275)</f>
        <v/>
      </c>
      <c r="H278" s="20">
        <f>EXP($M$10+(D278-$M$10)/SQRT($M$8))</f>
        <v/>
      </c>
      <c r="I278" s="20">
        <f>Data!H275</f>
        <v/>
      </c>
    </row>
    <row r="279">
      <c r="A279">
        <f>Data!A276</f>
        <v/>
      </c>
      <c r="B279">
        <f>Data!J276</f>
        <v/>
      </c>
      <c r="C279" s="15">
        <f>LN(Data!H276)</f>
        <v/>
      </c>
      <c r="D279" s="15">
        <f>$M$4+$M$5*Data!C276+$M$6*Data!D276+$M$7*Data!E276</f>
        <v/>
      </c>
      <c r="E279" s="15">
        <f>C279-D279</f>
        <v/>
      </c>
      <c r="F279" s="20">
        <f>EXP(D279)</f>
        <v/>
      </c>
      <c r="G279" s="20">
        <f>EXP(D279+$M$9*Data!I276)</f>
        <v/>
      </c>
      <c r="H279" s="20">
        <f>EXP($M$10+(D279-$M$10)/SQRT($M$8))</f>
        <v/>
      </c>
      <c r="I279" s="20">
        <f>Data!H276</f>
        <v/>
      </c>
    </row>
    <row r="280">
      <c r="A280">
        <f>Data!A277</f>
        <v/>
      </c>
      <c r="B280">
        <f>Data!J277</f>
        <v/>
      </c>
      <c r="C280" s="15">
        <f>LN(Data!H277)</f>
        <v/>
      </c>
      <c r="D280" s="15">
        <f>$M$4+$M$5*Data!C277+$M$6*Data!D277+$M$7*Data!E277</f>
        <v/>
      </c>
      <c r="E280" s="15">
        <f>C280-D280</f>
        <v/>
      </c>
      <c r="F280" s="20">
        <f>EXP(D280)</f>
        <v/>
      </c>
      <c r="G280" s="20">
        <f>EXP(D280+$M$9*Data!I277)</f>
        <v/>
      </c>
      <c r="H280" s="20">
        <f>EXP($M$10+(D280-$M$10)/SQRT($M$8))</f>
        <v/>
      </c>
      <c r="I280" s="20">
        <f>Data!H277</f>
        <v/>
      </c>
    </row>
    <row r="281">
      <c r="A281">
        <f>Data!A278</f>
        <v/>
      </c>
      <c r="B281">
        <f>Data!J278</f>
        <v/>
      </c>
      <c r="C281" s="15">
        <f>LN(Data!H278)</f>
        <v/>
      </c>
      <c r="D281" s="15">
        <f>$M$4+$M$5*Data!C278+$M$6*Data!D278+$M$7*Data!E278</f>
        <v/>
      </c>
      <c r="E281" s="15">
        <f>C281-D281</f>
        <v/>
      </c>
      <c r="F281" s="20">
        <f>EXP(D281)</f>
        <v/>
      </c>
      <c r="G281" s="20">
        <f>EXP(D281+$M$9*Data!I278)</f>
        <v/>
      </c>
      <c r="H281" s="20">
        <f>EXP($M$10+(D281-$M$10)/SQRT($M$8))</f>
        <v/>
      </c>
      <c r="I281" s="20">
        <f>Data!H278</f>
        <v/>
      </c>
    </row>
    <row r="282">
      <c r="A282">
        <f>Data!A279</f>
        <v/>
      </c>
      <c r="B282">
        <f>Data!J279</f>
        <v/>
      </c>
      <c r="C282" s="15">
        <f>LN(Data!H279)</f>
        <v/>
      </c>
      <c r="D282" s="15">
        <f>$M$4+$M$5*Data!C279+$M$6*Data!D279+$M$7*Data!E279</f>
        <v/>
      </c>
      <c r="E282" s="15">
        <f>C282-D282</f>
        <v/>
      </c>
      <c r="F282" s="20">
        <f>EXP(D282)</f>
        <v/>
      </c>
      <c r="G282" s="20">
        <f>EXP(D282+$M$9*Data!I279)</f>
        <v/>
      </c>
      <c r="H282" s="20">
        <f>EXP($M$10+(D282-$M$10)/SQRT($M$8))</f>
        <v/>
      </c>
      <c r="I282" s="20">
        <f>Data!H279</f>
        <v/>
      </c>
    </row>
    <row r="283">
      <c r="A283">
        <f>Data!A280</f>
        <v/>
      </c>
      <c r="B283">
        <f>Data!J280</f>
        <v/>
      </c>
      <c r="C283" s="15">
        <f>LN(Data!H280)</f>
        <v/>
      </c>
      <c r="D283" s="15">
        <f>$M$4+$M$5*Data!C280+$M$6*Data!D280+$M$7*Data!E280</f>
        <v/>
      </c>
      <c r="E283" s="15">
        <f>C283-D283</f>
        <v/>
      </c>
      <c r="F283" s="20">
        <f>EXP(D283)</f>
        <v/>
      </c>
      <c r="G283" s="20">
        <f>EXP(D283+$M$9*Data!I280)</f>
        <v/>
      </c>
      <c r="H283" s="20">
        <f>EXP($M$10+(D283-$M$10)/SQRT($M$8))</f>
        <v/>
      </c>
      <c r="I283" s="20">
        <f>Data!H280</f>
        <v/>
      </c>
    </row>
    <row r="284">
      <c r="A284">
        <f>Data!A281</f>
        <v/>
      </c>
      <c r="B284">
        <f>Data!J281</f>
        <v/>
      </c>
      <c r="C284" s="15">
        <f>LN(Data!H281)</f>
        <v/>
      </c>
      <c r="D284" s="15">
        <f>$M$4+$M$5*Data!C281+$M$6*Data!D281+$M$7*Data!E281</f>
        <v/>
      </c>
      <c r="E284" s="15">
        <f>C284-D284</f>
        <v/>
      </c>
      <c r="F284" s="20">
        <f>EXP(D284)</f>
        <v/>
      </c>
      <c r="G284" s="20">
        <f>EXP(D284+$M$9*Data!I281)</f>
        <v/>
      </c>
      <c r="H284" s="20">
        <f>EXP($M$10+(D284-$M$10)/SQRT($M$8))</f>
        <v/>
      </c>
      <c r="I284" s="20">
        <f>Data!H281</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2026-10-15T11:04:50Z</dcterms:created>
  <dcterms:modified xmlns:dcterms="http://purl.org/dc/terms/" xmlns:xsi="http://www.w3.org/2001/XMLSchema-instance" xsi:type="dcterms:W3CDTF">2026-10-15T11:04:50Z</dcterms:modified>
</cp:coreProperties>
</file>