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Markov" sheetId="3" state="visible" r:id="rId3"/>
    <sheet xmlns:r="http://schemas.openxmlformats.org/officeDocument/2006/relationships" name="AR1" sheetId="4" state="visible" r:id="rId4"/>
    <sheet xmlns:r="http://schemas.openxmlformats.org/officeDocument/2006/relationships" name="Simu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CE524</author>
  </authors>
  <commentList>
    <comment ref="C3" authorId="0" shapeId="0">
      <text>
        <t>previous day's state</t>
      </text>
    </comment>
    <comment ref="C4" authorId="0" shapeId="0">
      <text>
        <t>previous day's state</t>
      </text>
    </comment>
    <comment ref="C5" authorId="0" shapeId="0">
      <text>
        <t>previous day's state</t>
      </text>
    </comment>
    <comment ref="C6" authorId="0" shapeId="0">
      <text>
        <t>previous day's state</t>
      </text>
    </comment>
    <comment ref="C7" authorId="0" shapeId="0">
      <text>
        <t>previous day's state</t>
      </text>
    </comment>
    <comment ref="C8" authorId="0" shapeId="0">
      <text>
        <t>previous day's state</t>
      </text>
    </comment>
    <comment ref="C9" authorId="0" shapeId="0">
      <text>
        <t>previous day's state</t>
      </text>
    </comment>
    <comment ref="C10" authorId="0" shapeId="0">
      <text>
        <t>previous day's state</t>
      </text>
    </comment>
    <comment ref="C11" authorId="0" shapeId="0">
      <text>
        <t>previous day's state</t>
      </text>
    </comment>
    <comment ref="C12" authorId="0" shapeId="0">
      <text>
        <t>previous day's state</t>
      </text>
    </comment>
    <comment ref="C13" authorId="0" shapeId="0">
      <text>
        <t>previous day's state</t>
      </text>
    </comment>
    <comment ref="C14" authorId="0" shapeId="0">
      <text>
        <t>previous day's state</t>
      </text>
    </comment>
    <comment ref="C15" authorId="0" shapeId="0">
      <text>
        <t>previous day's state</t>
      </text>
    </comment>
    <comment ref="C16" authorId="0" shapeId="0">
      <text>
        <t>previous day's state</t>
      </text>
    </comment>
    <comment ref="C17" authorId="0" shapeId="0">
      <text>
        <t>previous day's state</t>
      </text>
    </comment>
    <comment ref="C18" authorId="0" shapeId="0">
      <text>
        <t>previous day's state</t>
      </text>
    </comment>
    <comment ref="C19" authorId="0" shapeId="0">
      <text>
        <t>previous day's state</t>
      </text>
    </comment>
    <comment ref="C20" authorId="0" shapeId="0">
      <text>
        <t>previous day's state</t>
      </text>
    </comment>
    <comment ref="C21" authorId="0" shapeId="0">
      <text>
        <t>previous day's state</t>
      </text>
    </comment>
  </commentList>
</comments>
</file>

<file path=xl/comments/comment2.xml><?xml version="1.0" encoding="utf-8"?>
<comments xmlns="http://schemas.openxmlformats.org/spreadsheetml/2006/main">
  <authors>
    <author>CE524</author>
  </authors>
  <commentList>
    <comment ref="I11" authorId="0" shapeId="0">
      <text>
        <t>Y_1 = B E_1 (no previous value)</t>
      </text>
    </comment>
  </commentList>
</comments>
</file>

<file path=xl/comments/comment3.xml><?xml version="1.0" encoding="utf-8"?>
<comments xmlns="http://schemas.openxmlformats.org/spreadsheetml/2006/main">
  <authors>
    <author>CE524</author>
  </authors>
  <commentList>
    <comment ref="B7" authorId="0" shapeId="0">
      <text>
        <t>Eq. 2.29 of the book</t>
      </text>
    </comment>
    <comment ref="B8" authorId="0" shapeId="0">
      <text>
        <t>Eq. 2.30 of the book</t>
      </text>
    </comment>
    <comment ref="C12" authorId="0" shapeId="0">
      <text>
        <t>day 1 uses the limiting probability P1</t>
      </text>
    </comment>
    <comment ref="E12" authorId="0" shapeId="0">
      <text>
        <t>gamma quantile at u, shape alpha, scale beta</t>
      </text>
    </comment>
    <comment ref="C13" authorId="0" shapeId="0">
      <text>
        <t>u &lt; P11 if yesterday wet, u &lt; P01 if yesterday dry</t>
      </text>
    </comment>
    <comment ref="E13" authorId="0" shapeId="0">
      <text>
        <t>gamma quantile at u, shape alpha, scale beta</t>
      </text>
    </comment>
    <comment ref="C14" authorId="0" shapeId="0">
      <text>
        <t>u &lt; P11 if yesterday wet, u &lt; P01 if yesterday dry</t>
      </text>
    </comment>
    <comment ref="E14" authorId="0" shapeId="0">
      <text>
        <t>gamma quantile at u, shape alpha, scale beta</t>
      </text>
    </comment>
    <comment ref="C15" authorId="0" shapeId="0">
      <text>
        <t>u &lt; P11 if yesterday wet, u &lt; P01 if yesterday dry</t>
      </text>
    </comment>
    <comment ref="E15" authorId="0" shapeId="0">
      <text>
        <t>gamma quantile at u, shape alpha, scale beta</t>
      </text>
    </comment>
    <comment ref="C16" authorId="0" shapeId="0">
      <text>
        <t>u &lt; P11 if yesterday wet, u &lt; P01 if yesterday dry</t>
      </text>
    </comment>
    <comment ref="E16" authorId="0" shapeId="0">
      <text>
        <t>gamma quantile at u, shape alpha, scale beta</t>
      </text>
    </comment>
    <comment ref="C17" authorId="0" shapeId="0">
      <text>
        <t>u &lt; P11 if yesterday wet, u &lt; P01 if yesterday dry</t>
      </text>
    </comment>
    <comment ref="E17" authorId="0" shapeId="0">
      <text>
        <t>gamma quantile at u, shape alpha, scale beta</t>
      </text>
    </comment>
    <comment ref="C18" authorId="0" shapeId="0">
      <text>
        <t>u &lt; P11 if yesterday wet, u &lt; P01 if yesterday dry</t>
      </text>
    </comment>
    <comment ref="E18" authorId="0" shapeId="0">
      <text>
        <t>gamma quantile at u, shape alpha, scale beta</t>
      </text>
    </comment>
    <comment ref="C19" authorId="0" shapeId="0">
      <text>
        <t>u &lt; P11 if yesterday wet, u &lt; P01 if yesterday dry</t>
      </text>
    </comment>
    <comment ref="E19" authorId="0" shapeId="0">
      <text>
        <t>gamma quantile at u, shape alpha, scale beta</t>
      </text>
    </comment>
    <comment ref="C20" authorId="0" shapeId="0">
      <text>
        <t>u &lt; P11 if yesterday wet, u &lt; P01 if yesterday dry</t>
      </text>
    </comment>
    <comment ref="E20" authorId="0" shapeId="0">
      <text>
        <t>gamma quantile at u, shape alpha, scale beta</t>
      </text>
    </comment>
    <comment ref="C21" authorId="0" shapeId="0">
      <text>
        <t>u &lt; P11 if yesterday wet, u &lt; P01 if yesterday dry</t>
      </text>
    </comment>
    <comment ref="E21" authorId="0" shapeId="0">
      <text>
        <t>gamma quantile at u, shape alpha, scale beta</t>
      </text>
    </comment>
    <comment ref="C22" authorId="0" shapeId="0">
      <text>
        <t>u &lt; P11 if yesterday wet, u &lt; P01 if yesterday dry</t>
      </text>
    </comment>
    <comment ref="E22" authorId="0" shapeId="0">
      <text>
        <t>gamma quantile at u, shape alpha, scale beta</t>
      </text>
    </comment>
    <comment ref="C23" authorId="0" shapeId="0">
      <text>
        <t>u &lt; P11 if yesterday wet, u &lt; P01 if yesterday dry</t>
      </text>
    </comment>
    <comment ref="E23" authorId="0" shapeId="0">
      <text>
        <t>gamma quantile at u, shape alpha, scale beta</t>
      </text>
    </comment>
    <comment ref="C24" authorId="0" shapeId="0">
      <text>
        <t>u &lt; P11 if yesterday wet, u &lt; P01 if yesterday dry</t>
      </text>
    </comment>
    <comment ref="E24" authorId="0" shapeId="0">
      <text>
        <t>gamma quantile at u, shape alpha, scale beta</t>
      </text>
    </comment>
    <comment ref="C25" authorId="0" shapeId="0">
      <text>
        <t>u &lt; P11 if yesterday wet, u &lt; P01 if yesterday dry</t>
      </text>
    </comment>
    <comment ref="E25" authorId="0" shapeId="0">
      <text>
        <t>gamma quantile at u, shape alpha, scale beta</t>
      </text>
    </comment>
    <comment ref="C26" authorId="0" shapeId="0">
      <text>
        <t>u &lt; P11 if yesterday wet, u &lt; P01 if yesterday dry</t>
      </text>
    </comment>
    <comment ref="E26" authorId="0" shapeId="0">
      <text>
        <t>gamma quantile at u, shape alpha, scale beta</t>
      </text>
    </comment>
    <comment ref="C27" authorId="0" shapeId="0">
      <text>
        <t>u &lt; P11 if yesterday wet, u &lt; P01 if yesterday dry</t>
      </text>
    </comment>
    <comment ref="E27" authorId="0" shapeId="0">
      <text>
        <t>gamma quantile at u, shape alpha, scale beta</t>
      </text>
    </comment>
    <comment ref="C28" authorId="0" shapeId="0">
      <text>
        <t>u &lt; P11 if yesterday wet, u &lt; P01 if yesterday dry</t>
      </text>
    </comment>
    <comment ref="E28" authorId="0" shapeId="0">
      <text>
        <t>gamma quantile at u, shape alpha, scale beta</t>
      </text>
    </comment>
    <comment ref="C29" authorId="0" shapeId="0">
      <text>
        <t>u &lt; P11 if yesterday wet, u &lt; P01 if yesterday dry</t>
      </text>
    </comment>
    <comment ref="E29" authorId="0" shapeId="0">
      <text>
        <t>gamma quantile at u, shape alpha, scale beta</t>
      </text>
    </comment>
    <comment ref="C30" authorId="0" shapeId="0">
      <text>
        <t>u &lt; P11 if yesterday wet, u &lt; P01 if yesterday dry</t>
      </text>
    </comment>
    <comment ref="E30" authorId="0" shapeId="0">
      <text>
        <t>gamma quantile at u, shape alpha, scale beta</t>
      </text>
    </comment>
    <comment ref="C31" authorId="0" shapeId="0">
      <text>
        <t>u &lt; P11 if yesterday wet, u &lt; P01 if yesterday dry</t>
      </text>
    </comment>
    <comment ref="E31" authorId="0" shapeId="0">
      <text>
        <t>gamma quantile at u, shape alpha, scale beta</t>
      </text>
    </comment>
    <comment ref="C32" authorId="0" shapeId="0">
      <text>
        <t>u &lt; P11 if yesterday wet, u &lt; P01 if yesterday dry</t>
      </text>
    </comment>
    <comment ref="E32" authorId="0" shapeId="0">
      <text>
        <t>gamma quantile at u, shape alpha, scale beta</t>
      </text>
    </comment>
    <comment ref="C33" authorId="0" shapeId="0">
      <text>
        <t>u &lt; P11 if yesterday wet, u &lt; P01 if yesterday dry</t>
      </text>
    </comment>
    <comment ref="E33" authorId="0" shapeId="0">
      <text>
        <t>gamma quantile at u, shape alpha, scale beta</t>
      </text>
    </comment>
    <comment ref="C34" authorId="0" shapeId="0">
      <text>
        <t>u &lt; P11 if yesterday wet, u &lt; P01 if yesterday dry</t>
      </text>
    </comment>
    <comment ref="E34" authorId="0" shapeId="0">
      <text>
        <t>gamma quantile at u, shape alpha, scale beta</t>
      </text>
    </comment>
    <comment ref="C35" authorId="0" shapeId="0">
      <text>
        <t>u &lt; P11 if yesterday wet, u &lt; P01 if yesterday dry</t>
      </text>
    </comment>
    <comment ref="E35" authorId="0" shapeId="0">
      <text>
        <t>gamma quantile at u, shape alpha, scale beta</t>
      </text>
    </comment>
    <comment ref="C36" authorId="0" shapeId="0">
      <text>
        <t>u &lt; P11 if yesterday wet, u &lt; P01 if yesterday dry</t>
      </text>
    </comment>
    <comment ref="E36" authorId="0" shapeId="0">
      <text>
        <t>gamma quantile at u, shape alpha, scale beta</t>
      </text>
    </comment>
    <comment ref="C37" authorId="0" shapeId="0">
      <text>
        <t>u &lt; P11 if yesterday wet, u &lt; P01 if yesterday dry</t>
      </text>
    </comment>
    <comment ref="E37" authorId="0" shapeId="0">
      <text>
        <t>gamma quantile at u, shape alpha, scale beta</t>
      </text>
    </comment>
    <comment ref="C38" authorId="0" shapeId="0">
      <text>
        <t>u &lt; P11 if yesterday wet, u &lt; P01 if yesterday dry</t>
      </text>
    </comment>
    <comment ref="E38" authorId="0" shapeId="0">
      <text>
        <t>gamma quantile at u, shape alpha, scale beta</t>
      </text>
    </comment>
    <comment ref="C39" authorId="0" shapeId="0">
      <text>
        <t>u &lt; P11 if yesterday wet, u &lt; P01 if yesterday dry</t>
      </text>
    </comment>
    <comment ref="E39" authorId="0" shapeId="0">
      <text>
        <t>gamma quantile at u, shape alpha, scale beta</t>
      </text>
    </comment>
    <comment ref="C40" authorId="0" shapeId="0">
      <text>
        <t>u &lt; P11 if yesterday wet, u &lt; P01 if yesterday dry</t>
      </text>
    </comment>
    <comment ref="E40" authorId="0" shapeId="0">
      <text>
        <t>gamma quantile at u, shape alpha, scale beta</t>
      </text>
    </comment>
    <comment ref="C41" authorId="0" shapeId="0">
      <text>
        <t>u &lt; P11 if yesterday wet, u &lt; P01 if yesterday dry</t>
      </text>
    </comment>
    <comment ref="E41" authorId="0" shapeId="0">
      <text>
        <t>gamma quantile at u, shape alpha, scale beta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CE524 Applied Hydroclimatology, Lecture 21 (Weather generators): worked examples</t>
        </is>
      </c>
    </row>
    <row r="2">
      <c r="A2" t="inlineStr">
        <is>
          <t>Follows Lee &amp; Singh (2019), Chapter 6. All numbers are NEW synthetic numbers made for this lecture.</t>
        </is>
      </c>
    </row>
    <row r="3">
      <c r="A3" t="inlineStr">
        <is>
          <t>Blue = input you can change. Black = live formula. Hover over a formula cell for a note.</t>
        </is>
      </c>
    </row>
    <row r="4">
      <c r="A4" t="inlineStr"/>
    </row>
    <row r="5">
      <c r="A5" s="2" t="inlineStr">
        <is>
          <t>Sheets</t>
        </is>
      </c>
    </row>
    <row r="6">
      <c r="A6" t="inlineStr">
        <is>
          <t>Data      : the 20-day wet/dry record X_t and a 15-value standardised series y_t (inputs).</t>
        </is>
      </c>
    </row>
    <row r="7">
      <c r="A7" t="inlineStr">
        <is>
          <t>Markov    : Section 1.3 / hand example. N11, N10, N01, N00, P_T (Eq. 6.18-6.19), limiting probability P1 (Eq. 6.20), spell lengths.</t>
        </is>
      </c>
    </row>
    <row r="8">
      <c r="A8" t="inlineStr">
        <is>
          <t>AR1       : the scalar case of Eqs. 6.9-6.11 with S = 1: M0, M1, phi1 = A1, B, and three simulated steps (Eq. 6.2).</t>
        </is>
      </c>
    </row>
    <row r="9">
      <c r="A9" t="inlineStr">
        <is>
          <t>Simulate  : 30 days of occurrence (P_T, P1) and amount (gamma alpha, beta) with fixed uniform numbers (Section 6.2.2.1).</t>
        </is>
      </c>
    </row>
    <row r="10">
      <c r="A10" t="inlineStr"/>
    </row>
    <row r="11">
      <c r="A11" t="inlineStr">
        <is>
          <t>Wet day: X_t = 1. u &lt; probability means 'wet'. The notebook reproduces every number on the Markov, AR1 and Simulate sheets.</t>
        </is>
      </c>
    </row>
    <row r="12">
      <c r="A12" t="inlineStr">
        <is>
          <t>Divisor: the probability from a state is the count of transitions out of it divided by the number of days IN that state that have a following day (see the note at the end of the lecture).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4" customWidth="1" min="3" max="3"/>
    <col width="6" customWidth="1" min="4" max="4"/>
    <col width="8" customWidth="1" min="5" max="5"/>
  </cols>
  <sheetData>
    <row r="1">
      <c r="A1" s="3" t="inlineStr">
        <is>
          <t>t (day)</t>
        </is>
      </c>
      <c r="B1" s="3" t="inlineStr">
        <is>
          <t>X_t (1 = wet)</t>
        </is>
      </c>
      <c r="D1" s="3" t="inlineStr">
        <is>
          <t>t</t>
        </is>
      </c>
      <c r="E1" s="3" t="inlineStr">
        <is>
          <t>y_t</t>
        </is>
      </c>
    </row>
    <row r="2">
      <c r="A2" t="n">
        <v>1</v>
      </c>
      <c r="B2" s="4" t="n">
        <v>1</v>
      </c>
      <c r="D2" t="n">
        <v>1</v>
      </c>
      <c r="E2" s="4" t="n">
        <v>0.36</v>
      </c>
    </row>
    <row r="3">
      <c r="A3" t="n">
        <v>2</v>
      </c>
      <c r="B3" s="4" t="n">
        <v>1</v>
      </c>
      <c r="D3" t="n">
        <v>2</v>
      </c>
      <c r="E3" s="4" t="n">
        <v>1.42</v>
      </c>
    </row>
    <row r="4">
      <c r="A4" t="n">
        <v>3</v>
      </c>
      <c r="B4" s="4" t="n">
        <v>1</v>
      </c>
      <c r="D4" t="n">
        <v>3</v>
      </c>
      <c r="E4" s="4" t="n">
        <v>-0.57</v>
      </c>
    </row>
    <row r="5">
      <c r="A5" t="n">
        <v>4</v>
      </c>
      <c r="B5" s="4" t="n">
        <v>0</v>
      </c>
      <c r="D5" t="n">
        <v>4</v>
      </c>
      <c r="E5" s="4" t="n">
        <v>1</v>
      </c>
    </row>
    <row r="6">
      <c r="A6" t="n">
        <v>5</v>
      </c>
      <c r="B6" s="4" t="n">
        <v>0</v>
      </c>
      <c r="D6" t="n">
        <v>5</v>
      </c>
      <c r="E6" s="4" t="n">
        <v>0.5600000000000001</v>
      </c>
    </row>
    <row r="7">
      <c r="A7" t="n">
        <v>6</v>
      </c>
      <c r="B7" s="4" t="n">
        <v>0</v>
      </c>
      <c r="D7" t="n">
        <v>6</v>
      </c>
      <c r="E7" s="4" t="n">
        <v>-0.3</v>
      </c>
    </row>
    <row r="8">
      <c r="A8" t="n">
        <v>7</v>
      </c>
      <c r="B8" s="4" t="n">
        <v>1</v>
      </c>
      <c r="D8" t="n">
        <v>7</v>
      </c>
      <c r="E8" s="4" t="n">
        <v>-0.82</v>
      </c>
    </row>
    <row r="9">
      <c r="A9" t="n">
        <v>8</v>
      </c>
      <c r="B9" s="4" t="n">
        <v>1</v>
      </c>
      <c r="D9" t="n">
        <v>8</v>
      </c>
      <c r="E9" s="4" t="n">
        <v>-1.36</v>
      </c>
    </row>
    <row r="10">
      <c r="A10" t="n">
        <v>9</v>
      </c>
      <c r="B10" s="4" t="n">
        <v>0</v>
      </c>
      <c r="D10" t="n">
        <v>9</v>
      </c>
      <c r="E10" s="4" t="n">
        <v>-0.99</v>
      </c>
    </row>
    <row r="11">
      <c r="A11" t="n">
        <v>10</v>
      </c>
      <c r="B11" s="4" t="n">
        <v>0</v>
      </c>
      <c r="D11" t="n">
        <v>10</v>
      </c>
      <c r="E11" s="4" t="n">
        <v>0.07000000000000001</v>
      </c>
    </row>
    <row r="12">
      <c r="A12" t="n">
        <v>11</v>
      </c>
      <c r="B12" s="4" t="n">
        <v>0</v>
      </c>
      <c r="D12" t="n">
        <v>11</v>
      </c>
      <c r="E12" s="4" t="n">
        <v>0.51</v>
      </c>
    </row>
    <row r="13">
      <c r="A13" t="n">
        <v>12</v>
      </c>
      <c r="B13" s="4" t="n">
        <v>0</v>
      </c>
      <c r="D13" t="n">
        <v>12</v>
      </c>
      <c r="E13" s="4" t="n">
        <v>0.82</v>
      </c>
    </row>
    <row r="14">
      <c r="A14" t="n">
        <v>13</v>
      </c>
      <c r="B14" s="4" t="n">
        <v>1</v>
      </c>
      <c r="D14" t="n">
        <v>13</v>
      </c>
      <c r="E14" s="4" t="n">
        <v>-0.87</v>
      </c>
    </row>
    <row r="15">
      <c r="A15" t="n">
        <v>14</v>
      </c>
      <c r="B15" s="4" t="n">
        <v>1</v>
      </c>
      <c r="D15" t="n">
        <v>14</v>
      </c>
      <c r="E15" s="4" t="n">
        <v>-1.78</v>
      </c>
    </row>
    <row r="16">
      <c r="A16" t="n">
        <v>15</v>
      </c>
      <c r="B16" s="4" t="n">
        <v>0</v>
      </c>
      <c r="D16" t="n">
        <v>15</v>
      </c>
      <c r="E16" s="4" t="n">
        <v>0.18</v>
      </c>
    </row>
    <row r="17">
      <c r="A17" t="n">
        <v>16</v>
      </c>
      <c r="B17" s="4" t="n">
        <v>1</v>
      </c>
    </row>
    <row r="18">
      <c r="A18" t="n">
        <v>17</v>
      </c>
      <c r="B18" s="4" t="n">
        <v>0</v>
      </c>
    </row>
    <row r="19">
      <c r="A19" t="n">
        <v>18</v>
      </c>
      <c r="B19" s="4" t="n">
        <v>0</v>
      </c>
    </row>
    <row r="20">
      <c r="A20" t="n">
        <v>19</v>
      </c>
      <c r="B20" s="4" t="n">
        <v>0</v>
      </c>
    </row>
    <row r="21">
      <c r="A21" t="n">
        <v>20</v>
      </c>
      <c r="B2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4" max="4"/>
    <col width="10" customWidth="1" min="5" max="5"/>
    <col width="10" customWidth="1" min="6" max="6"/>
    <col width="10" customWidth="1" min="7" max="7"/>
    <col width="30" customWidth="1" min="9" max="9"/>
    <col width="55" customWidth="1" min="11" max="11"/>
  </cols>
  <sheetData>
    <row r="1">
      <c r="A1" s="3" t="inlineStr">
        <is>
          <t>t</t>
        </is>
      </c>
      <c r="B1" s="3" t="inlineStr">
        <is>
          <t>X_t</t>
        </is>
      </c>
      <c r="C1" s="3" t="inlineStr">
        <is>
          <t>X_t-1</t>
        </is>
      </c>
      <c r="D1" s="3" t="inlineStr">
        <is>
          <t>wet-&gt;wet</t>
        </is>
      </c>
      <c r="E1" s="3" t="inlineStr">
        <is>
          <t>wet-&gt;dry</t>
        </is>
      </c>
      <c r="F1" s="3" t="inlineStr">
        <is>
          <t>dry-&gt;wet</t>
        </is>
      </c>
      <c r="G1" s="3" t="inlineStr">
        <is>
          <t>dry-&gt;dry</t>
        </is>
      </c>
      <c r="I1" s="3" t="inlineStr">
        <is>
          <t>Quantity</t>
        </is>
      </c>
      <c r="J1" s="3" t="inlineStr">
        <is>
          <t>Value</t>
        </is>
      </c>
      <c r="K1" s="3" t="inlineStr">
        <is>
          <t>Formula / note</t>
        </is>
      </c>
    </row>
    <row r="2">
      <c r="A2" t="n">
        <v>1</v>
      </c>
      <c r="B2" s="5">
        <f>Data!B2</f>
        <v/>
      </c>
      <c r="I2" t="inlineStr">
        <is>
          <t>N1 (wet days)</t>
        </is>
      </c>
      <c r="J2" s="5">
        <f>SUM(B2:B21)</f>
        <v/>
      </c>
      <c r="K2" t="inlineStr">
        <is>
          <t>number of wet days</t>
        </is>
      </c>
    </row>
    <row r="3">
      <c r="A3" t="n">
        <v>2</v>
      </c>
      <c r="B3" s="5">
        <f>Data!B3</f>
        <v/>
      </c>
      <c r="C3" s="5">
        <f>B2</f>
        <v/>
      </c>
      <c r="D3" s="5">
        <f>IF(AND(C3=1,B3=1),1,0)</f>
        <v/>
      </c>
      <c r="E3" s="5">
        <f>IF(AND(C3=1,B3=0),1,0)</f>
        <v/>
      </c>
      <c r="F3" s="5">
        <f>IF(AND(C3=0,B3=1),1,0)</f>
        <v/>
      </c>
      <c r="G3" s="5">
        <f>IF(AND(C3=0,B3=0),1,0)</f>
        <v/>
      </c>
      <c r="I3" t="inlineStr">
        <is>
          <t>N0 (dry days)</t>
        </is>
      </c>
      <c r="J3" s="5">
        <f>COUNT(B2:B21)-J2</f>
        <v/>
      </c>
      <c r="K3" t="inlineStr">
        <is>
          <t>number of dry days</t>
        </is>
      </c>
    </row>
    <row r="4">
      <c r="A4" t="n">
        <v>3</v>
      </c>
      <c r="B4" s="5">
        <f>Data!B4</f>
        <v/>
      </c>
      <c r="C4" s="5">
        <f>B3</f>
        <v/>
      </c>
      <c r="D4" s="5">
        <f>IF(AND(C4=1,B4=1),1,0)</f>
        <v/>
      </c>
      <c r="E4" s="5">
        <f>IF(AND(C4=1,B4=0),1,0)</f>
        <v/>
      </c>
      <c r="F4" s="5">
        <f>IF(AND(C4=0,B4=1),1,0)</f>
        <v/>
      </c>
      <c r="G4" s="5">
        <f>IF(AND(C4=0,B4=0),1,0)</f>
        <v/>
      </c>
      <c r="I4" t="inlineStr">
        <is>
          <t>N11</t>
        </is>
      </c>
      <c r="J4" s="5">
        <f>SUM(D3:D21)</f>
        <v/>
      </c>
      <c r="K4" t="inlineStr">
        <is>
          <t>wet followed by wet</t>
        </is>
      </c>
    </row>
    <row r="5">
      <c r="A5" t="n">
        <v>4</v>
      </c>
      <c r="B5" s="5">
        <f>Data!B5</f>
        <v/>
      </c>
      <c r="C5" s="5">
        <f>B4</f>
        <v/>
      </c>
      <c r="D5" s="5">
        <f>IF(AND(C5=1,B5=1),1,0)</f>
        <v/>
      </c>
      <c r="E5" s="5">
        <f>IF(AND(C5=1,B5=0),1,0)</f>
        <v/>
      </c>
      <c r="F5" s="5">
        <f>IF(AND(C5=0,B5=1),1,0)</f>
        <v/>
      </c>
      <c r="G5" s="5">
        <f>IF(AND(C5=0,B5=0),1,0)</f>
        <v/>
      </c>
      <c r="I5" t="inlineStr">
        <is>
          <t>N10</t>
        </is>
      </c>
      <c r="J5" s="5">
        <f>SUM(E3:E21)</f>
        <v/>
      </c>
      <c r="K5" t="inlineStr">
        <is>
          <t>wet followed by dry</t>
        </is>
      </c>
    </row>
    <row r="6">
      <c r="A6" t="n">
        <v>5</v>
      </c>
      <c r="B6" s="5">
        <f>Data!B6</f>
        <v/>
      </c>
      <c r="C6" s="5">
        <f>B5</f>
        <v/>
      </c>
      <c r="D6" s="5">
        <f>IF(AND(C6=1,B6=1),1,0)</f>
        <v/>
      </c>
      <c r="E6" s="5">
        <f>IF(AND(C6=1,B6=0),1,0)</f>
        <v/>
      </c>
      <c r="F6" s="5">
        <f>IF(AND(C6=0,B6=1),1,0)</f>
        <v/>
      </c>
      <c r="G6" s="5">
        <f>IF(AND(C6=0,B6=0),1,0)</f>
        <v/>
      </c>
      <c r="I6" t="inlineStr">
        <is>
          <t>N01</t>
        </is>
      </c>
      <c r="J6" s="5">
        <f>SUM(F3:F21)</f>
        <v/>
      </c>
      <c r="K6" t="inlineStr">
        <is>
          <t>dry followed by wet</t>
        </is>
      </c>
    </row>
    <row r="7">
      <c r="A7" t="n">
        <v>6</v>
      </c>
      <c r="B7" s="5">
        <f>Data!B7</f>
        <v/>
      </c>
      <c r="C7" s="5">
        <f>B6</f>
        <v/>
      </c>
      <c r="D7" s="5">
        <f>IF(AND(C7=1,B7=1),1,0)</f>
        <v/>
      </c>
      <c r="E7" s="5">
        <f>IF(AND(C7=1,B7=0),1,0)</f>
        <v/>
      </c>
      <c r="F7" s="5">
        <f>IF(AND(C7=0,B7=1),1,0)</f>
        <v/>
      </c>
      <c r="G7" s="5">
        <f>IF(AND(C7=0,B7=0),1,0)</f>
        <v/>
      </c>
      <c r="I7" t="inlineStr">
        <is>
          <t>N00</t>
        </is>
      </c>
      <c r="J7" s="5">
        <f>SUM(G3:G21)</f>
        <v/>
      </c>
      <c r="K7" t="inlineStr">
        <is>
          <t>dry followed by dry</t>
        </is>
      </c>
    </row>
    <row r="8">
      <c r="A8" t="n">
        <v>7</v>
      </c>
      <c r="B8" s="5">
        <f>Data!B8</f>
        <v/>
      </c>
      <c r="C8" s="5">
        <f>B7</f>
        <v/>
      </c>
      <c r="D8" s="5">
        <f>IF(AND(C8=1,B8=1),1,0)</f>
        <v/>
      </c>
      <c r="E8" s="5">
        <f>IF(AND(C8=1,B8=0),1,0)</f>
        <v/>
      </c>
      <c r="F8" s="5">
        <f>IF(AND(C8=0,B8=1),1,0)</f>
        <v/>
      </c>
      <c r="G8" s="5">
        <f>IF(AND(C8=0,B8=0),1,0)</f>
        <v/>
      </c>
      <c r="I8" t="inlineStr">
        <is>
          <t>Wet days with a next day</t>
        </is>
      </c>
      <c r="J8" s="5">
        <f>J4+J5</f>
        <v/>
      </c>
      <c r="K8" t="inlineStr">
        <is>
          <t>N11 + N10 (equals N1 here because day 20 is dry)</t>
        </is>
      </c>
    </row>
    <row r="9">
      <c r="A9" t="n">
        <v>8</v>
      </c>
      <c r="B9" s="5">
        <f>Data!B9</f>
        <v/>
      </c>
      <c r="C9" s="5">
        <f>B8</f>
        <v/>
      </c>
      <c r="D9" s="5">
        <f>IF(AND(C9=1,B9=1),1,0)</f>
        <v/>
      </c>
      <c r="E9" s="5">
        <f>IF(AND(C9=1,B9=0),1,0)</f>
        <v/>
      </c>
      <c r="F9" s="5">
        <f>IF(AND(C9=0,B9=1),1,0)</f>
        <v/>
      </c>
      <c r="G9" s="5">
        <f>IF(AND(C9=0,B9=0),1,0)</f>
        <v/>
      </c>
      <c r="I9" t="inlineStr">
        <is>
          <t>Dry days with a next day</t>
        </is>
      </c>
      <c r="J9" s="5">
        <f>J6+J7</f>
        <v/>
      </c>
      <c r="K9" t="inlineStr">
        <is>
          <t>N01 + N00 (equals N0 - 1 because day 20 is dry)</t>
        </is>
      </c>
    </row>
    <row r="10">
      <c r="A10" t="n">
        <v>9</v>
      </c>
      <c r="B10" s="5">
        <f>Data!B10</f>
        <v/>
      </c>
      <c r="C10" s="5">
        <f>B9</f>
        <v/>
      </c>
      <c r="D10" s="5">
        <f>IF(AND(C10=1,B10=1),1,0)</f>
        <v/>
      </c>
      <c r="E10" s="5">
        <f>IF(AND(C10=1,B10=0),1,0)</f>
        <v/>
      </c>
      <c r="F10" s="5">
        <f>IF(AND(C10=0,B10=1),1,0)</f>
        <v/>
      </c>
      <c r="G10" s="5">
        <f>IF(AND(C10=0,B10=0),1,0)</f>
        <v/>
      </c>
      <c r="I10" t="inlineStr">
        <is>
          <t>P11</t>
        </is>
      </c>
      <c r="J10" s="5">
        <f>J4/J8</f>
        <v/>
      </c>
      <c r="K10" t="inlineStr">
        <is>
          <t>N11 / (wet days with a next day), Eq. 6.19</t>
        </is>
      </c>
    </row>
    <row r="11">
      <c r="A11" t="n">
        <v>10</v>
      </c>
      <c r="B11" s="5">
        <f>Data!B11</f>
        <v/>
      </c>
      <c r="C11" s="5">
        <f>B10</f>
        <v/>
      </c>
      <c r="D11" s="5">
        <f>IF(AND(C11=1,B11=1),1,0)</f>
        <v/>
      </c>
      <c r="E11" s="5">
        <f>IF(AND(C11=1,B11=0),1,0)</f>
        <v/>
      </c>
      <c r="F11" s="5">
        <f>IF(AND(C11=0,B11=1),1,0)</f>
        <v/>
      </c>
      <c r="G11" s="5">
        <f>IF(AND(C11=0,B11=0),1,0)</f>
        <v/>
      </c>
      <c r="I11" t="inlineStr">
        <is>
          <t>P10</t>
        </is>
      </c>
      <c r="J11" s="5">
        <f>1-J10</f>
        <v/>
      </c>
      <c r="K11" t="inlineStr">
        <is>
          <t>1 - P11</t>
        </is>
      </c>
    </row>
    <row r="12">
      <c r="A12" t="n">
        <v>11</v>
      </c>
      <c r="B12" s="5">
        <f>Data!B12</f>
        <v/>
      </c>
      <c r="C12" s="5">
        <f>B11</f>
        <v/>
      </c>
      <c r="D12" s="5">
        <f>IF(AND(C12=1,B12=1),1,0)</f>
        <v/>
      </c>
      <c r="E12" s="5">
        <f>IF(AND(C12=1,B12=0),1,0)</f>
        <v/>
      </c>
      <c r="F12" s="5">
        <f>IF(AND(C12=0,B12=1),1,0)</f>
        <v/>
      </c>
      <c r="G12" s="5">
        <f>IF(AND(C12=0,B12=0),1,0)</f>
        <v/>
      </c>
      <c r="I12" t="inlineStr">
        <is>
          <t>P01</t>
        </is>
      </c>
      <c r="J12" s="5">
        <f>J6/J9</f>
        <v/>
      </c>
      <c r="K12" t="inlineStr">
        <is>
          <t>N01 / (dry days with a next day), Eq. 6.19</t>
        </is>
      </c>
    </row>
    <row r="13">
      <c r="A13" t="n">
        <v>12</v>
      </c>
      <c r="B13" s="5">
        <f>Data!B13</f>
        <v/>
      </c>
      <c r="C13" s="5">
        <f>B12</f>
        <v/>
      </c>
      <c r="D13" s="5">
        <f>IF(AND(C13=1,B13=1),1,0)</f>
        <v/>
      </c>
      <c r="E13" s="5">
        <f>IF(AND(C13=1,B13=0),1,0)</f>
        <v/>
      </c>
      <c r="F13" s="5">
        <f>IF(AND(C13=0,B13=1),1,0)</f>
        <v/>
      </c>
      <c r="G13" s="5">
        <f>IF(AND(C13=0,B13=0),1,0)</f>
        <v/>
      </c>
      <c r="I13" t="inlineStr">
        <is>
          <t>P00</t>
        </is>
      </c>
      <c r="J13" s="5">
        <f>1-J12</f>
        <v/>
      </c>
      <c r="K13" t="inlineStr">
        <is>
          <t>1 - P01</t>
        </is>
      </c>
    </row>
    <row r="14">
      <c r="A14" t="n">
        <v>13</v>
      </c>
      <c r="B14" s="5">
        <f>Data!B14</f>
        <v/>
      </c>
      <c r="C14" s="5">
        <f>B13</f>
        <v/>
      </c>
      <c r="D14" s="5">
        <f>IF(AND(C14=1,B14=1),1,0)</f>
        <v/>
      </c>
      <c r="E14" s="5">
        <f>IF(AND(C14=1,B14=0),1,0)</f>
        <v/>
      </c>
      <c r="F14" s="5">
        <f>IF(AND(C14=0,B14=1),1,0)</f>
        <v/>
      </c>
      <c r="G14" s="5">
        <f>IF(AND(C14=0,B14=0),1,0)</f>
        <v/>
      </c>
      <c r="I14" t="inlineStr">
        <is>
          <t>P1 (limiting)</t>
        </is>
      </c>
      <c r="J14" s="5">
        <f>J12/(1-J10+J12)</f>
        <v/>
      </c>
      <c r="K14" t="inlineStr">
        <is>
          <t>Eq. 6.20: P01/(P10+P01)</t>
        </is>
      </c>
    </row>
    <row r="15">
      <c r="A15" t="n">
        <v>14</v>
      </c>
      <c r="B15" s="5">
        <f>Data!B15</f>
        <v/>
      </c>
      <c r="C15" s="5">
        <f>B14</f>
        <v/>
      </c>
      <c r="D15" s="5">
        <f>IF(AND(C15=1,B15=1),1,0)</f>
        <v/>
      </c>
      <c r="E15" s="5">
        <f>IF(AND(C15=1,B15=0),1,0)</f>
        <v/>
      </c>
      <c r="F15" s="5">
        <f>IF(AND(C15=0,B15=1),1,0)</f>
        <v/>
      </c>
      <c r="G15" s="5">
        <f>IF(AND(C15=0,B15=0),1,0)</f>
        <v/>
      </c>
      <c r="I15" t="inlineStr">
        <is>
          <t>P0</t>
        </is>
      </c>
      <c r="J15" s="5">
        <f>1-J14</f>
        <v/>
      </c>
      <c r="K15" t="inlineStr">
        <is>
          <t>1 - P1</t>
        </is>
      </c>
    </row>
    <row r="16">
      <c r="A16" t="n">
        <v>15</v>
      </c>
      <c r="B16" s="5">
        <f>Data!B16</f>
        <v/>
      </c>
      <c r="C16" s="5">
        <f>B15</f>
        <v/>
      </c>
      <c r="D16" s="5">
        <f>IF(AND(C16=1,B16=1),1,0)</f>
        <v/>
      </c>
      <c r="E16" s="5">
        <f>IF(AND(C16=1,B16=0),1,0)</f>
        <v/>
      </c>
      <c r="F16" s="5">
        <f>IF(AND(C16=0,B16=1),1,0)</f>
        <v/>
      </c>
      <c r="G16" s="5">
        <f>IF(AND(C16=0,B16=0),1,0)</f>
        <v/>
      </c>
      <c r="I16" t="inlineStr">
        <is>
          <t>check: P11*P1 + P01*P0 - P1</t>
        </is>
      </c>
      <c r="J16" s="5">
        <f>J10*J14+J12*J15-J14</f>
        <v/>
      </c>
      <c r="K16" t="inlineStr">
        <is>
          <t>should be 0 (P_L = P_T P_L)</t>
        </is>
      </c>
    </row>
    <row r="17">
      <c r="A17" t="n">
        <v>16</v>
      </c>
      <c r="B17" s="5">
        <f>Data!B17</f>
        <v/>
      </c>
      <c r="C17" s="5">
        <f>B16</f>
        <v/>
      </c>
      <c r="D17" s="5">
        <f>IF(AND(C17=1,B17=1),1,0)</f>
        <v/>
      </c>
      <c r="E17" s="5">
        <f>IF(AND(C17=1,B17=0),1,0)</f>
        <v/>
      </c>
      <c r="F17" s="5">
        <f>IF(AND(C17=0,B17=1),1,0)</f>
        <v/>
      </c>
      <c r="G17" s="5">
        <f>IF(AND(C17=0,B17=0),1,0)</f>
        <v/>
      </c>
      <c r="I17" t="inlineStr">
        <is>
          <t>mean wet spell (days)</t>
        </is>
      </c>
      <c r="J17" s="5">
        <f>1/(1-J10)</f>
        <v/>
      </c>
      <c r="K17" t="inlineStr">
        <is>
          <t>1/P10 (geometric spell length)</t>
        </is>
      </c>
    </row>
    <row r="18">
      <c r="A18" t="n">
        <v>17</v>
      </c>
      <c r="B18" s="5">
        <f>Data!B18</f>
        <v/>
      </c>
      <c r="C18" s="5">
        <f>B17</f>
        <v/>
      </c>
      <c r="D18" s="5">
        <f>IF(AND(C18=1,B18=1),1,0)</f>
        <v/>
      </c>
      <c r="E18" s="5">
        <f>IF(AND(C18=1,B18=0),1,0)</f>
        <v/>
      </c>
      <c r="F18" s="5">
        <f>IF(AND(C18=0,B18=1),1,0)</f>
        <v/>
      </c>
      <c r="G18" s="5">
        <f>IF(AND(C18=0,B18=0),1,0)</f>
        <v/>
      </c>
      <c r="I18" t="inlineStr">
        <is>
          <t>mean dry spell (days)</t>
        </is>
      </c>
      <c r="J18" s="5">
        <f>1/J12</f>
        <v/>
      </c>
      <c r="K18" t="inlineStr">
        <is>
          <t>1/P01</t>
        </is>
      </c>
    </row>
    <row r="19">
      <c r="A19" t="n">
        <v>18</v>
      </c>
      <c r="B19" s="5">
        <f>Data!B19</f>
        <v/>
      </c>
      <c r="C19" s="5">
        <f>B18</f>
        <v/>
      </c>
      <c r="D19" s="5">
        <f>IF(AND(C19=1,B19=1),1,0)</f>
        <v/>
      </c>
      <c r="E19" s="5">
        <f>IF(AND(C19=1,B19=0),1,0)</f>
        <v/>
      </c>
      <c r="F19" s="5">
        <f>IF(AND(C19=0,B19=1),1,0)</f>
        <v/>
      </c>
      <c r="G19" s="5">
        <f>IF(AND(C19=0,B19=0),1,0)</f>
        <v/>
      </c>
      <c r="I19" t="inlineStr">
        <is>
          <t>N1/n (empirical wet fraction)</t>
        </is>
      </c>
      <c r="J19" s="5">
        <f>J2/COUNT(B2:B21)</f>
        <v/>
      </c>
      <c r="K19" t="inlineStr">
        <is>
          <t>compare with P1</t>
        </is>
      </c>
    </row>
    <row r="20">
      <c r="A20" t="n">
        <v>19</v>
      </c>
      <c r="B20" s="5">
        <f>Data!B20</f>
        <v/>
      </c>
      <c r="C20" s="5">
        <f>B19</f>
        <v/>
      </c>
      <c r="D20" s="5">
        <f>IF(AND(C20=1,B20=1),1,0)</f>
        <v/>
      </c>
      <c r="E20" s="5">
        <f>IF(AND(C20=1,B20=0),1,0)</f>
        <v/>
      </c>
      <c r="F20" s="5">
        <f>IF(AND(C20=0,B20=1),1,0)</f>
        <v/>
      </c>
      <c r="G20" s="5">
        <f>IF(AND(C20=0,B20=0),1,0)</f>
        <v/>
      </c>
      <c r="I20" t="inlineStr">
        <is>
          <t>gamma = P11 - P01</t>
        </is>
      </c>
      <c r="J20" s="5">
        <f>J10-J12</f>
        <v/>
      </c>
      <c r="K20" t="inlineStr">
        <is>
          <t>Eq. 6.25 lag-one autocorrelation</t>
        </is>
      </c>
    </row>
    <row r="21">
      <c r="A21" t="n">
        <v>20</v>
      </c>
      <c r="B21" s="5">
        <f>Data!B21</f>
        <v/>
      </c>
      <c r="C21" s="5">
        <f>B20</f>
        <v/>
      </c>
      <c r="D21" s="5">
        <f>IF(AND(C21=1,B21=1),1,0)</f>
        <v/>
      </c>
      <c r="E21" s="5">
        <f>IF(AND(C21=1,B21=0),1,0)</f>
        <v/>
      </c>
      <c r="F21" s="5">
        <f>IF(AND(C21=0,B21=1),1,0)</f>
        <v/>
      </c>
      <c r="G21" s="5">
        <f>IF(AND(C21=0,B21=0),1,0)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2" customWidth="1" min="4" max="4"/>
    <col width="8" customWidth="1" min="5" max="5"/>
    <col width="44" customWidth="1" min="7" max="7"/>
    <col width="12" customWidth="1" min="8" max="8"/>
    <col width="50" customWidth="1" min="9" max="9"/>
  </cols>
  <sheetData>
    <row r="1">
      <c r="A1" s="3" t="inlineStr">
        <is>
          <t>t</t>
        </is>
      </c>
      <c r="B1" s="3" t="inlineStr">
        <is>
          <t>y_t</t>
        </is>
      </c>
      <c r="C1" s="3" t="inlineStr">
        <is>
          <t>y_t-1</t>
        </is>
      </c>
      <c r="D1" s="3" t="inlineStr">
        <is>
          <t>y_t * y_t-1</t>
        </is>
      </c>
      <c r="E1" s="3" t="inlineStr">
        <is>
          <t>y_t^2</t>
        </is>
      </c>
      <c r="G1" s="3" t="inlineStr">
        <is>
          <t>Quantity</t>
        </is>
      </c>
      <c r="H1" s="3" t="inlineStr">
        <is>
          <t>Value</t>
        </is>
      </c>
      <c r="I1" s="3" t="inlineStr">
        <is>
          <t>Formula / note</t>
        </is>
      </c>
    </row>
    <row r="2">
      <c r="G2" t="inlineStr">
        <is>
          <t>n - 1</t>
        </is>
      </c>
      <c r="H2" s="5">
        <f>COUNT(B3:B16)</f>
        <v/>
      </c>
      <c r="I2" t="inlineStr">
        <is>
          <t>number of lag-one pairs</t>
        </is>
      </c>
    </row>
    <row r="3">
      <c r="A3" t="n">
        <v>2</v>
      </c>
      <c r="B3" s="5">
        <f>Data!E3</f>
        <v/>
      </c>
      <c r="C3" s="5">
        <f>Data!E2</f>
        <v/>
      </c>
      <c r="D3" s="5">
        <f>B3*C3</f>
        <v/>
      </c>
      <c r="E3" s="5">
        <f>B3^2</f>
        <v/>
      </c>
      <c r="G3" t="inlineStr">
        <is>
          <t>M0</t>
        </is>
      </c>
      <c r="H3" s="5">
        <f>SUM(E3:E16)/H2</f>
        <v/>
      </c>
      <c r="I3" t="inlineStr">
        <is>
          <t>Eq. 6.11 with S = 1</t>
        </is>
      </c>
    </row>
    <row r="4">
      <c r="A4" t="n">
        <v>3</v>
      </c>
      <c r="B4" s="5">
        <f>Data!E4</f>
        <v/>
      </c>
      <c r="C4" s="5">
        <f>Data!E3</f>
        <v/>
      </c>
      <c r="D4" s="5">
        <f>B4*C4</f>
        <v/>
      </c>
      <c r="E4" s="5">
        <f>B4^2</f>
        <v/>
      </c>
      <c r="G4" t="inlineStr">
        <is>
          <t>M1</t>
        </is>
      </c>
      <c r="H4" s="5">
        <f>SUM(D3:D16)/H2</f>
        <v/>
      </c>
      <c r="I4" t="inlineStr">
        <is>
          <t>Eq. 6.11 with S = 1</t>
        </is>
      </c>
    </row>
    <row r="5">
      <c r="A5" t="n">
        <v>4</v>
      </c>
      <c r="B5" s="5">
        <f>Data!E5</f>
        <v/>
      </c>
      <c r="C5" s="5">
        <f>Data!E4</f>
        <v/>
      </c>
      <c r="D5" s="5">
        <f>B5*C5</f>
        <v/>
      </c>
      <c r="E5" s="5">
        <f>B5^2</f>
        <v/>
      </c>
      <c r="G5" t="inlineStr">
        <is>
          <t>phi1 = A1</t>
        </is>
      </c>
      <c r="H5" s="5">
        <f>H4/H3</f>
        <v/>
      </c>
      <c r="I5" t="inlineStr">
        <is>
          <t>Eq. 6.9 with S = 1 (A1 = M1 M0^-1)</t>
        </is>
      </c>
    </row>
    <row r="6">
      <c r="A6" t="n">
        <v>5</v>
      </c>
      <c r="B6" s="5">
        <f>Data!E6</f>
        <v/>
      </c>
      <c r="C6" s="5">
        <f>Data!E5</f>
        <v/>
      </c>
      <c r="D6" s="5">
        <f>B6*C6</f>
        <v/>
      </c>
      <c r="E6" s="5">
        <f>B6^2</f>
        <v/>
      </c>
      <c r="G6" t="inlineStr">
        <is>
          <t>B^2 = D</t>
        </is>
      </c>
      <c r="H6" s="5">
        <f>H3-H5*H4</f>
        <v/>
      </c>
      <c r="I6" t="inlineStr">
        <is>
          <t>Eq. 6.10 with S = 1 (B B^T = M0 - A1 M1^T)</t>
        </is>
      </c>
    </row>
    <row r="7">
      <c r="A7" t="n">
        <v>6</v>
      </c>
      <c r="B7" s="5">
        <f>Data!E7</f>
        <v/>
      </c>
      <c r="C7" s="5">
        <f>Data!E6</f>
        <v/>
      </c>
      <c r="D7" s="5">
        <f>B7*C7</f>
        <v/>
      </c>
      <c r="E7" s="5">
        <f>B7^2</f>
        <v/>
      </c>
      <c r="G7" t="inlineStr">
        <is>
          <t>B</t>
        </is>
      </c>
      <c r="H7" s="5">
        <f>SQRT(H6)</f>
        <v/>
      </c>
      <c r="I7" t="inlineStr">
        <is>
          <t>Eq. 6.13 with S = 1 (b11 = sqrt(d11))</t>
        </is>
      </c>
    </row>
    <row r="8">
      <c r="A8" t="n">
        <v>7</v>
      </c>
      <c r="B8" s="5">
        <f>Data!E8</f>
        <v/>
      </c>
      <c r="C8" s="5">
        <f>Data!E7</f>
        <v/>
      </c>
      <c r="D8" s="5">
        <f>B8*C8</f>
        <v/>
      </c>
      <c r="E8" s="5">
        <f>B8^2</f>
        <v/>
      </c>
    </row>
    <row r="9">
      <c r="A9" t="n">
        <v>8</v>
      </c>
      <c r="B9" s="5">
        <f>Data!E9</f>
        <v/>
      </c>
      <c r="C9" s="5">
        <f>Data!E8</f>
        <v/>
      </c>
      <c r="D9" s="5">
        <f>B9*C9</f>
        <v/>
      </c>
      <c r="E9" s="5">
        <f>B9^2</f>
        <v/>
      </c>
    </row>
    <row r="10">
      <c r="A10" t="n">
        <v>9</v>
      </c>
      <c r="B10" s="5">
        <f>Data!E10</f>
        <v/>
      </c>
      <c r="C10" s="5">
        <f>Data!E9</f>
        <v/>
      </c>
      <c r="D10" s="5">
        <f>B10*C10</f>
        <v/>
      </c>
      <c r="E10" s="5">
        <f>B10^2</f>
        <v/>
      </c>
      <c r="G10" s="3" t="inlineStr">
        <is>
          <t>Simulation (Eq. 6.2 form Y_t = A1 Y_t-1 + B E_t)</t>
        </is>
      </c>
      <c r="H10" s="3" t="inlineStr">
        <is>
          <t>E_t (input)</t>
        </is>
      </c>
      <c r="I10" s="3" t="inlineStr">
        <is>
          <t>Y_t</t>
        </is>
      </c>
    </row>
    <row r="11">
      <c r="A11" t="n">
        <v>10</v>
      </c>
      <c r="B11" s="5">
        <f>Data!E11</f>
        <v/>
      </c>
      <c r="C11" s="5">
        <f>Data!E10</f>
        <v/>
      </c>
      <c r="D11" s="5">
        <f>B11*C11</f>
        <v/>
      </c>
      <c r="E11" s="5">
        <f>B11^2</f>
        <v/>
      </c>
      <c r="G11" t="inlineStr">
        <is>
          <t>t = 1 (Y_0 = 0)</t>
        </is>
      </c>
      <c r="H11" s="4" t="n">
        <v>-1.3</v>
      </c>
      <c r="I11" s="5">
        <f>$H$7*H11</f>
        <v/>
      </c>
    </row>
    <row r="12">
      <c r="A12" t="n">
        <v>11</v>
      </c>
      <c r="B12" s="5">
        <f>Data!E12</f>
        <v/>
      </c>
      <c r="C12" s="5">
        <f>Data!E11</f>
        <v/>
      </c>
      <c r="D12" s="5">
        <f>B12*C12</f>
        <v/>
      </c>
      <c r="E12" s="5">
        <f>B12^2</f>
        <v/>
      </c>
      <c r="G12" t="inlineStr">
        <is>
          <t>t = 2</t>
        </is>
      </c>
      <c r="H12" s="4" t="n">
        <v>0.8</v>
      </c>
      <c r="I12" s="5">
        <f>$H$5*I11+$H$7*H12</f>
        <v/>
      </c>
    </row>
    <row r="13">
      <c r="A13" t="n">
        <v>12</v>
      </c>
      <c r="B13" s="5">
        <f>Data!E13</f>
        <v/>
      </c>
      <c r="C13" s="5">
        <f>Data!E12</f>
        <v/>
      </c>
      <c r="D13" s="5">
        <f>B13*C13</f>
        <v/>
      </c>
      <c r="E13" s="5">
        <f>B13^2</f>
        <v/>
      </c>
      <c r="G13" t="inlineStr">
        <is>
          <t>t = 3</t>
        </is>
      </c>
      <c r="H13" s="4" t="n">
        <v>0.02</v>
      </c>
      <c r="I13" s="5">
        <f>$H$5*I12+$H$7*H13</f>
        <v/>
      </c>
    </row>
    <row r="14">
      <c r="A14" t="n">
        <v>13</v>
      </c>
      <c r="B14" s="5">
        <f>Data!E14</f>
        <v/>
      </c>
      <c r="C14" s="5">
        <f>Data!E13</f>
        <v/>
      </c>
      <c r="D14" s="5">
        <f>B14*C14</f>
        <v/>
      </c>
      <c r="E14" s="5">
        <f>B14^2</f>
        <v/>
      </c>
    </row>
    <row r="15">
      <c r="A15" t="n">
        <v>14</v>
      </c>
      <c r="B15" s="5">
        <f>Data!E15</f>
        <v/>
      </c>
      <c r="C15" s="5">
        <f>Data!E14</f>
        <v/>
      </c>
      <c r="D15" s="5">
        <f>B15*C15</f>
        <v/>
      </c>
      <c r="E15" s="5">
        <f>B15^2</f>
        <v/>
      </c>
    </row>
    <row r="16">
      <c r="A16" t="n">
        <v>15</v>
      </c>
      <c r="B16" s="5">
        <f>Data!E16</f>
        <v/>
      </c>
      <c r="C16" s="5">
        <f>Data!E15</f>
        <v/>
      </c>
      <c r="D16" s="5">
        <f>B16*C16</f>
        <v/>
      </c>
      <c r="E16" s="5">
        <f>B16^2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7" max="7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Note</t>
        </is>
      </c>
    </row>
    <row r="2">
      <c r="A2" t="inlineStr">
        <is>
          <t>P01</t>
        </is>
      </c>
      <c r="B2" s="5">
        <f>Markov!J12</f>
        <v/>
      </c>
      <c r="C2" t="inlineStr">
        <is>
          <t>from the Markov sheet</t>
        </is>
      </c>
    </row>
    <row r="3">
      <c r="A3" t="inlineStr">
        <is>
          <t>P11</t>
        </is>
      </c>
      <c r="B3" s="5">
        <f>Markov!J10</f>
        <v/>
      </c>
    </row>
    <row r="4">
      <c r="A4" t="inlineStr">
        <is>
          <t>P1</t>
        </is>
      </c>
      <c r="B4" s="5">
        <f>Markov!J14</f>
        <v/>
      </c>
    </row>
    <row r="5">
      <c r="A5" t="inlineStr">
        <is>
          <t>wet-day mean amount (mm)</t>
        </is>
      </c>
      <c r="B5" s="4" t="n">
        <v>12</v>
      </c>
    </row>
    <row r="6">
      <c r="A6" t="inlineStr">
        <is>
          <t>wet-day variance (mm^2)</t>
        </is>
      </c>
      <c r="B6" s="4" t="n">
        <v>180</v>
      </c>
    </row>
    <row r="7">
      <c r="A7" t="inlineStr">
        <is>
          <t>beta (scale) = var/mean</t>
        </is>
      </c>
      <c r="B7" s="5">
        <f>B6/B5</f>
        <v/>
      </c>
    </row>
    <row r="8">
      <c r="A8" t="inlineStr">
        <is>
          <t>alpha (shape) = mean/beta</t>
        </is>
      </c>
      <c r="B8" s="5">
        <f>B5/B7</f>
        <v/>
      </c>
    </row>
    <row r="11">
      <c r="A11" s="3" t="inlineStr">
        <is>
          <t>t</t>
        </is>
      </c>
      <c r="B11" s="3" t="inlineStr">
        <is>
          <t>u (occurrence)</t>
        </is>
      </c>
      <c r="C11" s="3" t="inlineStr">
        <is>
          <t>X_t</t>
        </is>
      </c>
      <c r="D11" s="3" t="inlineStr">
        <is>
          <t>u (amount)</t>
        </is>
      </c>
      <c r="E11" s="3" t="inlineStr">
        <is>
          <t>amount (mm)</t>
        </is>
      </c>
      <c r="G11" s="2" t="inlineStr">
        <is>
          <t>Summary</t>
        </is>
      </c>
    </row>
    <row r="12">
      <c r="A12" t="n">
        <v>1</v>
      </c>
      <c r="B12" s="4" t="n">
        <v>0.62</v>
      </c>
      <c r="C12" s="5">
        <f>IF(B12&lt;$B$4,1,0)</f>
        <v/>
      </c>
      <c r="D12" s="4" t="n">
        <v>0.921</v>
      </c>
      <c r="E12" s="5">
        <f>IF(C12=1,GAMMAINV(D12,$B$8,$B$7),0)</f>
        <v/>
      </c>
      <c r="G12" t="inlineStr">
        <is>
          <t>wet days in 30</t>
        </is>
      </c>
      <c r="H12" s="5">
        <f>SUM(C12:C41)</f>
        <v/>
      </c>
    </row>
    <row r="13">
      <c r="A13" t="n">
        <v>2</v>
      </c>
      <c r="B13" s="4" t="n">
        <v>0.18</v>
      </c>
      <c r="C13" s="5">
        <f>IF(B13&lt;IF(C12=1,$B$3,$B$2),1,0)</f>
        <v/>
      </c>
      <c r="D13" s="4" t="n">
        <v>0.712</v>
      </c>
      <c r="E13" s="5">
        <f>IF(C13=1,GAMMAINV(D13,$B$8,$B$7),0)</f>
        <v/>
      </c>
      <c r="G13" t="inlineStr">
        <is>
          <t>wet fraction</t>
        </is>
      </c>
      <c r="H13" s="5">
        <f>H12/30</f>
        <v/>
      </c>
    </row>
    <row r="14">
      <c r="A14" t="n">
        <v>3</v>
      </c>
      <c r="B14" s="4" t="n">
        <v>0.71</v>
      </c>
      <c r="C14" s="5">
        <f>IF(B14&lt;IF(C13=1,$B$3,$B$2),1,0)</f>
        <v/>
      </c>
      <c r="D14" s="4" t="n">
        <v>0.58</v>
      </c>
      <c r="E14" s="5">
        <f>IF(C14=1,GAMMAINV(D14,$B$8,$B$7),0)</f>
        <v/>
      </c>
      <c r="G14" t="inlineStr">
        <is>
          <t>total rain (mm)</t>
        </is>
      </c>
      <c r="H14" s="5">
        <f>SUM(E12:E41)</f>
        <v/>
      </c>
    </row>
    <row r="15">
      <c r="A15" t="n">
        <v>4</v>
      </c>
      <c r="B15" s="4" t="n">
        <v>0.699</v>
      </c>
      <c r="C15" s="5">
        <f>IF(B15&lt;IF(C14=1,$B$3,$B$2),1,0)</f>
        <v/>
      </c>
      <c r="D15" s="4" t="n">
        <v>0.402</v>
      </c>
      <c r="E15" s="5">
        <f>IF(C15=1,GAMMAINV(D15,$B$8,$B$7),0)</f>
        <v/>
      </c>
    </row>
    <row r="16">
      <c r="A16" t="n">
        <v>5</v>
      </c>
      <c r="B16" s="4" t="n">
        <v>0.222</v>
      </c>
      <c r="C16" s="5">
        <f>IF(B16&lt;IF(C15=1,$B$3,$B$2),1,0)</f>
        <v/>
      </c>
      <c r="D16" s="4" t="n">
        <v>0.8179999999999999</v>
      </c>
      <c r="E16" s="5">
        <f>IF(C16=1,GAMMAINV(D16,$B$8,$B$7),0)</f>
        <v/>
      </c>
    </row>
    <row r="17">
      <c r="A17" t="n">
        <v>6</v>
      </c>
      <c r="B17" s="4" t="n">
        <v>0.185</v>
      </c>
      <c r="C17" s="5">
        <f>IF(B17&lt;IF(C16=1,$B$3,$B$2),1,0)</f>
        <v/>
      </c>
      <c r="D17" s="4" t="n">
        <v>0.263</v>
      </c>
      <c r="E17" s="5">
        <f>IF(C17=1,GAMMAINV(D17,$B$8,$B$7),0)</f>
        <v/>
      </c>
    </row>
    <row r="18">
      <c r="A18" t="n">
        <v>7</v>
      </c>
      <c r="B18" s="4" t="n">
        <v>0.954</v>
      </c>
      <c r="C18" s="5">
        <f>IF(B18&lt;IF(C17=1,$B$3,$B$2),1,0)</f>
        <v/>
      </c>
      <c r="D18" s="4" t="n">
        <v>0.633</v>
      </c>
      <c r="E18" s="5">
        <f>IF(C18=1,GAMMAINV(D18,$B$8,$B$7),0)</f>
        <v/>
      </c>
    </row>
    <row r="19">
      <c r="A19" t="n">
        <v>8</v>
      </c>
      <c r="B19" s="4" t="n">
        <v>0.34</v>
      </c>
      <c r="C19" s="5">
        <f>IF(B19&lt;IF(C18=1,$B$3,$B$2),1,0)</f>
        <v/>
      </c>
      <c r="D19" s="4" t="n">
        <v>0.012</v>
      </c>
      <c r="E19" s="5">
        <f>IF(C19=1,GAMMAINV(D19,$B$8,$B$7),0)</f>
        <v/>
      </c>
    </row>
    <row r="20">
      <c r="A20" t="n">
        <v>9</v>
      </c>
      <c r="B20" s="4" t="n">
        <v>0.441</v>
      </c>
      <c r="C20" s="5">
        <f>IF(B20&lt;IF(C19=1,$B$3,$B$2),1,0)</f>
        <v/>
      </c>
      <c r="D20" s="4" t="n">
        <v>0.646</v>
      </c>
      <c r="E20" s="5">
        <f>IF(C20=1,GAMMAINV(D20,$B$8,$B$7),0)</f>
        <v/>
      </c>
    </row>
    <row r="21">
      <c r="A21" t="n">
        <v>10</v>
      </c>
      <c r="B21" s="4" t="n">
        <v>0.656</v>
      </c>
      <c r="C21" s="5">
        <f>IF(B21&lt;IF(C20=1,$B$3,$B$2),1,0)</f>
        <v/>
      </c>
      <c r="D21" s="4" t="n">
        <v>0.973</v>
      </c>
      <c r="E21" s="5">
        <f>IF(C21=1,GAMMAINV(D21,$B$8,$B$7),0)</f>
        <v/>
      </c>
    </row>
    <row r="22">
      <c r="A22" t="n">
        <v>11</v>
      </c>
      <c r="B22" s="4" t="n">
        <v>0.44</v>
      </c>
      <c r="C22" s="5">
        <f>IF(B22&lt;IF(C21=1,$B$3,$B$2),1,0)</f>
        <v/>
      </c>
      <c r="D22" s="4" t="n">
        <v>0.708</v>
      </c>
      <c r="E22" s="5">
        <f>IF(C22=1,GAMMAINV(D22,$B$8,$B$7),0)</f>
        <v/>
      </c>
    </row>
    <row r="23">
      <c r="A23" t="n">
        <v>12</v>
      </c>
      <c r="B23" s="4" t="n">
        <v>0</v>
      </c>
      <c r="C23" s="5">
        <f>IF(B23&lt;IF(C22=1,$B$3,$B$2),1,0)</f>
        <v/>
      </c>
      <c r="D23" s="4" t="n">
        <v>0.077</v>
      </c>
      <c r="E23" s="5">
        <f>IF(C23=1,GAMMAINV(D23,$B$8,$B$7),0)</f>
        <v/>
      </c>
    </row>
    <row r="24">
      <c r="A24" t="n">
        <v>13</v>
      </c>
      <c r="B24" s="4" t="n">
        <v>0.26</v>
      </c>
      <c r="C24" s="5">
        <f>IF(B24&lt;IF(C23=1,$B$3,$B$2),1,0)</f>
        <v/>
      </c>
      <c r="D24" s="4" t="n">
        <v>0.592</v>
      </c>
      <c r="E24" s="5">
        <f>IF(C24=1,GAMMAINV(D24,$B$8,$B$7),0)</f>
        <v/>
      </c>
    </row>
    <row r="25">
      <c r="A25" t="n">
        <v>14</v>
      </c>
      <c r="B25" s="4" t="n">
        <v>0.472</v>
      </c>
      <c r="C25" s="5">
        <f>IF(B25&lt;IF(C24=1,$B$3,$B$2),1,0)</f>
        <v/>
      </c>
      <c r="D25" s="4" t="n">
        <v>0.317</v>
      </c>
      <c r="E25" s="5">
        <f>IF(C25=1,GAMMAINV(D25,$B$8,$B$7),0)</f>
        <v/>
      </c>
    </row>
    <row r="26">
      <c r="A26" t="n">
        <v>15</v>
      </c>
      <c r="B26" s="4" t="n">
        <v>0.761</v>
      </c>
      <c r="C26" s="5">
        <f>IF(B26&lt;IF(C25=1,$B$3,$B$2),1,0)</f>
        <v/>
      </c>
      <c r="D26" s="4" t="n">
        <v>0.92</v>
      </c>
      <c r="E26" s="5">
        <f>IF(C26=1,GAMMAINV(D26,$B$8,$B$7),0)</f>
        <v/>
      </c>
    </row>
    <row r="27">
      <c r="A27" t="n">
        <v>16</v>
      </c>
      <c r="B27" s="4" t="n">
        <v>0.606</v>
      </c>
      <c r="C27" s="5">
        <f>IF(B27&lt;IF(C26=1,$B$3,$B$2),1,0)</f>
        <v/>
      </c>
      <c r="D27" s="4" t="n">
        <v>0.018</v>
      </c>
      <c r="E27" s="5">
        <f>IF(C27=1,GAMMAINV(D27,$B$8,$B$7),0)</f>
        <v/>
      </c>
    </row>
    <row r="28">
      <c r="A28" t="n">
        <v>17</v>
      </c>
      <c r="B28" s="4" t="n">
        <v>0.43</v>
      </c>
      <c r="C28" s="5">
        <f>IF(B28&lt;IF(C27=1,$B$3,$B$2),1,0)</f>
        <v/>
      </c>
      <c r="D28" s="4" t="n">
        <v>0.012</v>
      </c>
      <c r="E28" s="5">
        <f>IF(C28=1,GAMMAINV(D28,$B$8,$B$7),0)</f>
        <v/>
      </c>
    </row>
    <row r="29">
      <c r="A29" t="n">
        <v>18</v>
      </c>
      <c r="B29" s="4" t="n">
        <v>0.191</v>
      </c>
      <c r="C29" s="5">
        <f>IF(B29&lt;IF(C28=1,$B$3,$B$2),1,0)</f>
        <v/>
      </c>
      <c r="D29" s="4" t="n">
        <v>0.096</v>
      </c>
      <c r="E29" s="5">
        <f>IF(C29=1,GAMMAINV(D29,$B$8,$B$7),0)</f>
        <v/>
      </c>
    </row>
    <row r="30">
      <c r="A30" t="n">
        <v>19</v>
      </c>
      <c r="B30" s="4" t="n">
        <v>0.785</v>
      </c>
      <c r="C30" s="5">
        <f>IF(B30&lt;IF(C29=1,$B$3,$B$2),1,0)</f>
        <v/>
      </c>
      <c r="D30" s="4" t="n">
        <v>0.339</v>
      </c>
      <c r="E30" s="5">
        <f>IF(C30=1,GAMMAINV(D30,$B$8,$B$7),0)</f>
        <v/>
      </c>
    </row>
    <row r="31">
      <c r="A31" t="n">
        <v>20</v>
      </c>
      <c r="B31" s="4" t="n">
        <v>0.187</v>
      </c>
      <c r="C31" s="5">
        <f>IF(B31&lt;IF(C30=1,$B$3,$B$2),1,0)</f>
        <v/>
      </c>
      <c r="D31" s="4" t="n">
        <v>0.882</v>
      </c>
      <c r="E31" s="5">
        <f>IF(C31=1,GAMMAINV(D31,$B$8,$B$7),0)</f>
        <v/>
      </c>
    </row>
    <row r="32">
      <c r="A32" t="n">
        <v>21</v>
      </c>
      <c r="B32" s="4" t="n">
        <v>0.724</v>
      </c>
      <c r="C32" s="5">
        <f>IF(B32&lt;IF(C31=1,$B$3,$B$2),1,0)</f>
        <v/>
      </c>
      <c r="D32" s="4" t="n">
        <v>0.5649999999999999</v>
      </c>
      <c r="E32" s="5">
        <f>IF(C32=1,GAMMAINV(D32,$B$8,$B$7),0)</f>
        <v/>
      </c>
    </row>
    <row r="33">
      <c r="A33" t="n">
        <v>22</v>
      </c>
      <c r="B33" s="4" t="n">
        <v>0.497</v>
      </c>
      <c r="C33" s="5">
        <f>IF(B33&lt;IF(C32=1,$B$3,$B$2),1,0)</f>
        <v/>
      </c>
      <c r="D33" s="4" t="n">
        <v>0.662</v>
      </c>
      <c r="E33" s="5">
        <f>IF(C33=1,GAMMAINV(D33,$B$8,$B$7),0)</f>
        <v/>
      </c>
    </row>
    <row r="34">
      <c r="A34" t="n">
        <v>23</v>
      </c>
      <c r="B34" s="4" t="n">
        <v>0.552</v>
      </c>
      <c r="C34" s="5">
        <f>IF(B34&lt;IF(C33=1,$B$3,$B$2),1,0)</f>
        <v/>
      </c>
      <c r="D34" s="4" t="n">
        <v>0.044</v>
      </c>
      <c r="E34" s="5">
        <f>IF(C34=1,GAMMAINV(D34,$B$8,$B$7),0)</f>
        <v/>
      </c>
    </row>
    <row r="35">
      <c r="A35" t="n">
        <v>24</v>
      </c>
      <c r="B35" s="4" t="n">
        <v>0.384</v>
      </c>
      <c r="C35" s="5">
        <f>IF(B35&lt;IF(C34=1,$B$3,$B$2),1,0)</f>
        <v/>
      </c>
      <c r="D35" s="4" t="n">
        <v>0.175</v>
      </c>
      <c r="E35" s="5">
        <f>IF(C35=1,GAMMAINV(D35,$B$8,$B$7),0)</f>
        <v/>
      </c>
    </row>
    <row r="36">
      <c r="A36" t="n">
        <v>25</v>
      </c>
      <c r="B36" s="4" t="n">
        <v>0.203</v>
      </c>
      <c r="C36" s="5">
        <f>IF(B36&lt;IF(C35=1,$B$3,$B$2),1,0)</f>
        <v/>
      </c>
      <c r="D36" s="4" t="n">
        <v>0.381</v>
      </c>
      <c r="E36" s="5">
        <f>IF(C36=1,GAMMAINV(D36,$B$8,$B$7),0)</f>
        <v/>
      </c>
    </row>
    <row r="37">
      <c r="A37" t="n">
        <v>26</v>
      </c>
      <c r="B37" s="4" t="n">
        <v>0.17</v>
      </c>
      <c r="C37" s="5">
        <f>IF(B37&lt;IF(C36=1,$B$3,$B$2),1,0)</f>
        <v/>
      </c>
      <c r="D37" s="4" t="n">
        <v>0.628</v>
      </c>
      <c r="E37" s="5">
        <f>IF(C37=1,GAMMAINV(D37,$B$8,$B$7),0)</f>
        <v/>
      </c>
    </row>
    <row r="38">
      <c r="A38" t="n">
        <v>27</v>
      </c>
      <c r="B38" s="4" t="n">
        <v>0.641</v>
      </c>
      <c r="C38" s="5">
        <f>IF(B38&lt;IF(C37=1,$B$3,$B$2),1,0)</f>
        <v/>
      </c>
      <c r="D38" s="4" t="n">
        <v>0.752</v>
      </c>
      <c r="E38" s="5">
        <f>IF(C38=1,GAMMAINV(D38,$B$8,$B$7),0)</f>
        <v/>
      </c>
    </row>
    <row r="39">
      <c r="A39" t="n">
        <v>28</v>
      </c>
      <c r="B39" s="4" t="n">
        <v>0.276</v>
      </c>
      <c r="C39" s="5">
        <f>IF(B39&lt;IF(C38=1,$B$3,$B$2),1,0)</f>
        <v/>
      </c>
      <c r="D39" s="4" t="n">
        <v>0.575</v>
      </c>
      <c r="E39" s="5">
        <f>IF(C39=1,GAMMAINV(D39,$B$8,$B$7),0)</f>
        <v/>
      </c>
    </row>
    <row r="40">
      <c r="A40" t="n">
        <v>29</v>
      </c>
      <c r="B40" s="4" t="n">
        <v>0.014</v>
      </c>
      <c r="C40" s="5">
        <f>IF(B40&lt;IF(C39=1,$B$3,$B$2),1,0)</f>
        <v/>
      </c>
      <c r="D40" s="4" t="n">
        <v>0.28</v>
      </c>
      <c r="E40" s="5">
        <f>IF(C40=1,GAMMAINV(D40,$B$8,$B$7),0)</f>
        <v/>
      </c>
    </row>
    <row r="41">
      <c r="A41" t="n">
        <v>30</v>
      </c>
      <c r="B41" s="4" t="n">
        <v>0.193</v>
      </c>
      <c r="C41" s="5">
        <f>IF(B41&lt;IF(C40=1,$B$3,$B$2),1,0)</f>
        <v/>
      </c>
      <c r="D41" s="4" t="n">
        <v>0.179</v>
      </c>
      <c r="E41" s="5">
        <f>IF(C41=1,GAMMAINV(D41,$B$8,$B$7),0)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2026-10-23T07:13:44Z</dcterms:created>
  <dcterms:modified xmlns:dcterms="http://purl.org/dc/terms/" xmlns:xsi="http://www.w3.org/2001/XMLSchema-instance" xsi:type="dcterms:W3CDTF">2026-10-23T07:13:44Z</dcterms:modified>
</cp:coreProperties>
</file>