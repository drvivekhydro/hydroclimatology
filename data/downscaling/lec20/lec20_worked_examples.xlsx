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3.xml" ContentType="application/vnd.openxmlformats-officedocument.drawing+xml"/>
  <Override PartName="/xl/comments/comment4.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ta" sheetId="2" state="visible" r:id="rId2"/>
    <sheet xmlns:r="http://schemas.openxmlformats.org/officeDocument/2006/relationships" name="Lasso_1D" sheetId="3" state="visible" r:id="rId3"/>
    <sheet xmlns:r="http://schemas.openxmlformats.org/officeDocument/2006/relationships" name="AIC_BIC" sheetId="4" state="visible" r:id="rId4"/>
    <sheet xmlns:r="http://schemas.openxmlformats.org/officeDocument/2006/relationships" name="NN_Tiny" sheetId="5" state="visible" r:id="rId5"/>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0"/>
    <numFmt numFmtId="167" formatCode="0.000000000"/>
    <numFmt numFmtId="168" formatCode="0.000000"/>
  </numFmts>
  <fonts count="5">
    <font>
      <name val="Calibri"/>
      <family val="2"/>
      <color theme="1"/>
      <sz val="11"/>
      <scheme val="minor"/>
    </font>
    <font>
      <b val="1"/>
    </font>
    <font>
      <color rgb="00000000"/>
    </font>
    <font>
      <b val="1"/>
      <color rgb="000000FF"/>
    </font>
    <font>
      <color rgb="000000FF"/>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horizontal="center" vertical="center" wrapText="1"/>
    </xf>
    <xf numFmtId="0" fontId="4" fillId="0" borderId="0" pivotButton="0" quotePrefix="0" xfId="0"/>
    <xf numFmtId="164" fontId="4" fillId="0" borderId="0" pivotButton="0" quotePrefix="0" xfId="0"/>
    <xf numFmtId="0" fontId="1" fillId="0" borderId="0" pivotButton="0" quotePrefix="0" xfId="0"/>
    <xf numFmtId="0" fontId="0" fillId="0" borderId="0" applyAlignment="1" pivotButton="0" quotePrefix="0" xfId="0">
      <alignment wrapText="1"/>
    </xf>
    <xf numFmtId="1" fontId="2" fillId="0" borderId="0" pivotButton="0" quotePrefix="0" xfId="0"/>
    <xf numFmtId="165" fontId="2" fillId="0" borderId="0" pivotButton="0" quotePrefix="0" xfId="0"/>
    <xf numFmtId="2" fontId="4" fillId="0" borderId="0" pivotButton="0" quotePrefix="0" xfId="0"/>
    <xf numFmtId="0" fontId="2" fillId="0" borderId="0" pivotButton="0" quotePrefix="0" xfId="0"/>
    <xf numFmtId="2" fontId="2" fillId="0" borderId="0" pivotButton="0" quotePrefix="0" xfId="0"/>
    <xf numFmtId="164" fontId="2" fillId="0" borderId="0" pivotButton="0" quotePrefix="0" xfId="0"/>
    <xf numFmtId="1" fontId="4" fillId="0" borderId="0" pivotButton="0" quotePrefix="0" xfId="0"/>
    <xf numFmtId="166" fontId="4" fillId="0" borderId="0" pivotButton="0" quotePrefix="0" xfId="0"/>
    <xf numFmtId="165" fontId="4" fillId="0" borderId="0" pivotButton="0" quotePrefix="0" xfId="0"/>
    <xf numFmtId="167" fontId="2" fillId="0" borderId="0" pivotButton="0" quotePrefix="0" xfId="0"/>
    <xf numFmtId="165" fontId="1" fillId="0" borderId="0" pivotButton="0" quotePrefix="0" xfId="0"/>
    <xf numFmtId="168"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Shrinkage of one slope with lambda</a:t>
            </a:r>
          </a:p>
        </rich>
      </tx>
    </title>
    <plotArea>
      <scatterChart>
        <ser>
          <idx val="0"/>
          <order val="0"/>
          <tx>
            <v>OLS</v>
          </tx>
          <spPr>
            <a:ln xmlns:a="http://schemas.openxmlformats.org/drawingml/2006/main">
              <a:prstDash val="solid"/>
            </a:ln>
          </spPr>
          <marker>
            <symbol val="circle"/>
            <spPr>
              <a:ln xmlns:a="http://schemas.openxmlformats.org/drawingml/2006/main">
                <a:prstDash val="solid"/>
              </a:ln>
            </spPr>
          </marker>
          <xVal>
            <numRef>
              <f>'Lasso_1D'!$H$3:$H$18</f>
            </numRef>
          </xVal>
          <yVal>
            <numRef>
              <f>'Lasso_1D'!$I$3:$I$18</f>
            </numRef>
          </yVal>
        </ser>
        <ser>
          <idx val="1"/>
          <order val="1"/>
          <tx>
            <v>LASSO</v>
          </tx>
          <spPr>
            <a:ln xmlns:a="http://schemas.openxmlformats.org/drawingml/2006/main">
              <a:prstDash val="solid"/>
            </a:ln>
          </spPr>
          <marker>
            <symbol val="circle"/>
            <spPr>
              <a:ln xmlns:a="http://schemas.openxmlformats.org/drawingml/2006/main">
                <a:prstDash val="solid"/>
              </a:ln>
            </spPr>
          </marker>
          <xVal>
            <numRef>
              <f>'Lasso_1D'!$H$3:$H$18</f>
            </numRef>
          </xVal>
          <yVal>
            <numRef>
              <f>'Lasso_1D'!$J$3:$J$18</f>
            </numRef>
          </yVal>
        </ser>
        <ser>
          <idx val="2"/>
          <order val="2"/>
          <tx>
            <v>Ridge</v>
          </tx>
          <spPr>
            <a:ln xmlns:a="http://schemas.openxmlformats.org/drawingml/2006/main">
              <a:prstDash val="solid"/>
            </a:ln>
          </spPr>
          <marker>
            <symbol val="circle"/>
            <spPr>
              <a:ln xmlns:a="http://schemas.openxmlformats.org/drawingml/2006/main">
                <a:prstDash val="solid"/>
              </a:ln>
            </spPr>
          </marker>
          <xVal>
            <numRef>
              <f>'Lasso_1D'!$H$3:$H$18</f>
            </numRef>
          </xVal>
          <yVal>
            <numRef>
              <f>'Lasso_1D'!$K$3:$K$18</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lambda</a:t>
                </a:r>
              </a:p>
            </rich>
          </tx>
        </title>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slope on standardised x1</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AIC and BIC (lower is better)</a:t>
            </a:r>
          </a:p>
        </rich>
      </tx>
    </title>
    <plotArea>
      <barChart>
        <barDir val="col"/>
        <grouping val="clustered"/>
        <ser>
          <idx val="0"/>
          <order val="0"/>
          <tx>
            <strRef>
              <f>'AIC_BIC'!G5</f>
            </strRef>
          </tx>
          <spPr>
            <a:ln xmlns:a="http://schemas.openxmlformats.org/drawingml/2006/main">
              <a:prstDash val="solid"/>
            </a:ln>
          </spPr>
          <cat>
            <numRef>
              <f>'AIC_BIC'!$A$6:$A$10</f>
            </numRef>
          </cat>
          <val>
            <numRef>
              <f>'AIC_BIC'!$G$6:$G$10</f>
            </numRef>
          </val>
        </ser>
        <ser>
          <idx val="1"/>
          <order val="1"/>
          <tx>
            <strRef>
              <f>'AIC_BIC'!H5</f>
            </strRef>
          </tx>
          <spPr>
            <a:ln xmlns:a="http://schemas.openxmlformats.org/drawingml/2006/main">
              <a:prstDash val="solid"/>
            </a:ln>
          </spPr>
          <cat>
            <numRef>
              <f>'AIC_BIC'!$A$6:$A$10</f>
            </numRef>
          </cat>
          <val>
            <numRef>
              <f>'AIC_BIC'!$H$6:$H$10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criterion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Loss over gradient-descent steps</a:t>
            </a:r>
          </a:p>
        </rich>
      </tx>
    </title>
    <plotArea>
      <lineChart>
        <grouping val="standard"/>
        <ser>
          <idx val="0"/>
          <order val="0"/>
          <tx>
            <strRef>
              <f>'NN_Tiny'!K5</f>
            </strRef>
          </tx>
          <spPr>
            <a:ln xmlns:a="http://schemas.openxmlformats.org/drawingml/2006/main">
              <a:prstDash val="solid"/>
            </a:ln>
          </spPr>
          <marker>
            <symbol val="none"/>
            <spPr>
              <a:ln xmlns:a="http://schemas.openxmlformats.org/drawingml/2006/main">
                <a:prstDash val="solid"/>
              </a:ln>
            </spPr>
          </marker>
          <cat>
            <numRef>
              <f>'NN_Tiny'!$A$6:$A$9</f>
            </numRef>
          </cat>
          <val>
            <numRef>
              <f>'NN_Tiny'!$K$6:$K$9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step</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loss L</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CE524</author>
  </authors>
  <commentList>
    <comment ref="B1" authorId="0" shapeId="0">
      <text>
        <t>Synthetic, stored as fixed numbers. Predictors are anomalies divided by their standard deviation.</t>
      </text>
    </comment>
  </commentList>
</comments>
</file>

<file path=xl/comments/comment2.xml><?xml version="1.0" encoding="utf-8"?>
<comments xmlns="http://schemas.openxmlformats.org/spreadsheetml/2006/main">
  <authors>
    <author>CE524</author>
  </authors>
  <commentList>
    <comment ref="B3" authorId="0" shapeId="0">
      <text>
        <t>Number of observations.</t>
      </text>
    </comment>
    <comment ref="H3" authorId="0" shapeId="0">
      <text>
        <t>Start value (blue input); later rows add the step.</t>
      </text>
    </comment>
    <comment ref="J3" authorId="0" shapeId="0">
      <text>
        <t>Soft threshold S(rho, lambda) = sign(rho)*max(|rho|-lambda, 0).</t>
      </text>
    </comment>
    <comment ref="K3" authorId="0" shapeId="0">
      <text>
        <t>Ridge: rho/(1+lambda) never reaches zero.</t>
      </text>
    </comment>
    <comment ref="M3" authorId="0" shapeId="0">
      <text>
        <t>(1/2n)*sum((yc - b*z)^2) + lambda*|b|</t>
      </text>
    </comment>
    <comment ref="B4" authorId="0" shapeId="0">
      <text>
        <t>Centre the predictor.</t>
      </text>
    </comment>
    <comment ref="B5" authorId="0" shapeId="0">
      <text>
        <t>Population sd so that (1/n)*sum(z^2)=1 exactly.</t>
      </text>
    </comment>
    <comment ref="B6" authorId="0" shapeId="0">
      <text>
        <t>Centre the predictand (removes the intercept).</t>
      </text>
    </comment>
    <comment ref="B7" authorId="0" shapeId="0">
      <text>
        <t>Because (1/n) sum z^2 = 1, the least-squares slope on z equals (1/n) sum z*yc.</t>
      </text>
    </comment>
    <comment ref="B9" authorId="0" shapeId="0">
      <text>
        <t>Smallest lambda for which the LASSO slope is exactly 0.</t>
      </text>
    </comment>
    <comment ref="B11" authorId="0" shapeId="0">
      <text>
        <t>Spacing of the lambda grid in column H.</t>
      </text>
    </comment>
  </commentList>
</comments>
</file>

<file path=xl/comments/comment3.xml><?xml version="1.0" encoding="utf-8"?>
<comments xmlns="http://schemas.openxmlformats.org/spreadsheetml/2006/main">
  <authors>
    <author>CE524</author>
  </authors>
  <commentList>
    <comment ref="D6" authorId="0" shapeId="0">
      <text>
        <t>With no predictor the residual sum of squares is SST.</t>
      </text>
    </comment>
    <comment ref="D7" authorId="0" shapeId="0">
      <text>
        <t>LINEST(y, X, TRUE, TRUE) returns a 5-row table; row 5, column 2 is the residual sum of squares.</t>
      </text>
    </comment>
    <comment ref="F14" authorId="0" shapeId="0">
      <text>
        <t>Degrees of freedom n - 5 (four slopes and the intercept).</t>
      </text>
    </comment>
  </commentList>
</comments>
</file>

<file path=xl/comments/comment4.xml><?xml version="1.0" encoding="utf-8"?>
<comments xmlns="http://schemas.openxmlformats.org/spreadsheetml/2006/main">
  <authors>
    <author>CE524</author>
  </authors>
  <commentList>
    <comment ref="K6" authorId="0" shapeId="0">
      <text>
        <t>Mean of the half squared errors in block 0 (the loss at the initial weights).</t>
      </text>
    </comment>
    <comment ref="B7" authorId="0" shapeId="0">
      <text>
        <t>New parameter = old parameter - learning rate * mean gradient of the previous block.</t>
      </text>
    </comment>
    <comment ref="K20" authorId="0" shapeId="0">
      <text>
        <t>Mean over the six rows. Column K mean is the loss L; the others are the gradients dL/d(parameter).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7</col>
      <colOff>0</colOff>
      <row>20</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20</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25</col>
      <colOff>0</colOff>
      <row>1</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CE524 Applied Hydroclimatology - Lecture 20 worked examples (predictor selection and neural networks)</t>
        </is>
      </c>
    </row>
    <row r="2">
      <c r="A2" s="2" t="inlineStr">
        <is>
          <t>Companion to lecture-20-predictor-selection-and-neural-networks.ipynb. All data are SYNTHETIC (random numbers generated once, then stored as fixed values).</t>
        </is>
      </c>
    </row>
    <row r="3">
      <c r="A3" s="2" t="inlineStr"/>
    </row>
    <row r="4">
      <c r="A4" s="3" t="inlineStr">
        <is>
          <t>Colour code: BLUE font = input (typed numbers you may change); BLACK font = formula (do not overwrite).</t>
        </is>
      </c>
    </row>
    <row r="5">
      <c r="A5" s="2" t="inlineStr"/>
    </row>
    <row r="6">
      <c r="A6" s="1" t="inlineStr">
        <is>
          <t>Sheets</t>
        </is>
      </c>
    </row>
    <row r="7">
      <c r="A7" s="2" t="inlineStr">
        <is>
          <t>Data: 30 'months' of four standardised candidate predictors x1..x4 and a predictand y (for example a rainfall anomaly). True model: y = 1.2 x1 - 0.8 x2 + noise; x3 is correlated with x1 and x4 is a distractor.</t>
        </is>
      </c>
    </row>
    <row r="8">
      <c r="A8" s="2" t="inlineStr">
        <is>
          <t>Lasso_1D: LASSO with ONE standardised predictor. Shows that the solution is the soft-threshold of the least-squares coefficient, with exact zeros for lambda &gt;= |rho|, next to ridge. Chart included.</t>
        </is>
      </c>
    </row>
    <row r="9">
      <c r="A9" s="2" t="inlineStr">
        <is>
          <t>AIC_BIC: candidate nested models x1; x1,x2; x1..x3; x1..x4 compared with LINEST output, AIC, BIC, t statistics and p-values. Chart included.</t>
        </is>
      </c>
    </row>
    <row r="10">
      <c r="A10" s="2" t="inlineStr">
        <is>
          <t>NN_Tiny: a network with 2 inputs, 2 tanh hidden units and a linear output, trained on 6 rows by 3 hand-laid-out gradient-descent steps, with a finite-difference check of one gradient. Chart included.</t>
        </is>
      </c>
    </row>
    <row r="11">
      <c r="A11" s="2" t="inlineStr"/>
    </row>
    <row r="12">
      <c r="A12" s="2" t="inlineStr">
        <is>
          <t>How to use: change blue cells (lambda start/step in Lasso_1D, initial weights and learning rate in NN_Tiny, the numbers in Data) and watch the black cells and charts update.</t>
        </is>
      </c>
    </row>
    <row r="13">
      <c r="A13" s="2" t="inlineStr">
        <is>
          <t>Formulas use only widely supported functions (AVERAGE, STDEV.P, SUMPRODUCT, SIGN, MAX, ABS, LN, TANH, LINEST, INDEX, TDIST, DEVSQ, MIN) so the file works in Excel and Google Sheets. No dynamic arrays, LET or LAMBDA.</t>
        </is>
      </c>
    </row>
    <row r="14">
      <c r="A14" s="2" t="inlineStr">
        <is>
          <t>The notebook reads the same numbers from data/downscaling/lec20/lec20_toy_data.csv and reproduces every table here (checked in Python).</t>
        </is>
      </c>
    </row>
    <row r="15">
      <c r="A15" s="2" t="inlineStr">
        <is>
          <t>To use real data: replace Data!B:F by your own standardised predictors and predictand (same layout, up to row 31), or extend the ranges.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0" customWidth="1" min="3" max="3"/>
    <col width="10" customWidth="1" min="4" max="4"/>
    <col width="10" customWidth="1" min="5" max="5"/>
    <col width="20" customWidth="1" min="6" max="6"/>
  </cols>
  <sheetData>
    <row r="1">
      <c r="A1" s="4" t="inlineStr">
        <is>
          <t>obs</t>
        </is>
      </c>
      <c r="B1" s="4" t="inlineStr">
        <is>
          <t>x1 (standardised)</t>
        </is>
      </c>
      <c r="C1" s="4" t="inlineStr">
        <is>
          <t>x2</t>
        </is>
      </c>
      <c r="D1" s="4" t="inlineStr">
        <is>
          <t>x3</t>
        </is>
      </c>
      <c r="E1" s="4" t="inlineStr">
        <is>
          <t>x4</t>
        </is>
      </c>
      <c r="F1" s="4" t="inlineStr">
        <is>
          <t>y (rainfall anomaly)</t>
        </is>
      </c>
    </row>
    <row r="2">
      <c r="A2" s="5" t="n">
        <v>1</v>
      </c>
      <c r="B2" s="6" t="n">
        <v>-0.36</v>
      </c>
      <c r="C2" s="6" t="n">
        <v>-0.235</v>
      </c>
      <c r="D2" s="6" t="n">
        <v>1.391</v>
      </c>
      <c r="E2" s="6" t="n">
        <v>0.677</v>
      </c>
      <c r="F2" s="6" t="n">
        <v>-0.308</v>
      </c>
    </row>
    <row r="3">
      <c r="A3" s="5" t="n">
        <v>2</v>
      </c>
      <c r="B3" s="6" t="n">
        <v>1.204</v>
      </c>
      <c r="C3" s="6" t="n">
        <v>-0.028</v>
      </c>
      <c r="D3" s="6" t="n">
        <v>1.433</v>
      </c>
      <c r="E3" s="6" t="n">
        <v>1.161</v>
      </c>
      <c r="F3" s="6" t="n">
        <v>0.372</v>
      </c>
    </row>
    <row r="4">
      <c r="A4" s="5" t="n">
        <v>3</v>
      </c>
      <c r="B4" s="6" t="n">
        <v>1.397</v>
      </c>
      <c r="C4" s="6" t="n">
        <v>0.171</v>
      </c>
      <c r="D4" s="6" t="n">
        <v>1.562</v>
      </c>
      <c r="E4" s="6" t="n">
        <v>2.38</v>
      </c>
      <c r="F4" s="6" t="n">
        <v>1.494</v>
      </c>
    </row>
    <row r="5">
      <c r="A5" s="5" t="n">
        <v>4</v>
      </c>
      <c r="B5" s="6" t="n">
        <v>0.317</v>
      </c>
      <c r="C5" s="6" t="n">
        <v>-2.388</v>
      </c>
      <c r="D5" s="6" t="n">
        <v>0.324</v>
      </c>
      <c r="E5" s="6" t="n">
        <v>0.287</v>
      </c>
      <c r="F5" s="6" t="n">
        <v>2.894</v>
      </c>
    </row>
    <row r="6">
      <c r="A6" s="5" t="n">
        <v>5</v>
      </c>
      <c r="B6" s="6" t="n">
        <v>0.414</v>
      </c>
      <c r="C6" s="6" t="n">
        <v>0.646</v>
      </c>
      <c r="D6" s="6" t="n">
        <v>-1.928</v>
      </c>
      <c r="E6" s="6" t="n">
        <v>1.494</v>
      </c>
      <c r="F6" s="6" t="n">
        <v>-1.372</v>
      </c>
    </row>
    <row r="7">
      <c r="A7" s="5" t="n">
        <v>6</v>
      </c>
      <c r="B7" s="6" t="n">
        <v>-0.49</v>
      </c>
      <c r="C7" s="6" t="n">
        <v>1.597</v>
      </c>
      <c r="D7" s="6" t="n">
        <v>0.344</v>
      </c>
      <c r="E7" s="6" t="n">
        <v>0.234</v>
      </c>
      <c r="F7" s="6" t="n">
        <v>-1.258</v>
      </c>
    </row>
    <row r="8">
      <c r="A8" s="5" t="n">
        <v>7</v>
      </c>
      <c r="B8" s="6" t="n">
        <v>-0.914</v>
      </c>
      <c r="C8" s="6" t="n">
        <v>0.437</v>
      </c>
      <c r="D8" s="6" t="n">
        <v>-0.321</v>
      </c>
      <c r="E8" s="6" t="n">
        <v>-1.239</v>
      </c>
      <c r="F8" s="6" t="n">
        <v>-0.881</v>
      </c>
    </row>
    <row r="9">
      <c r="A9" s="5" t="n">
        <v>8</v>
      </c>
      <c r="B9" s="6" t="n">
        <v>-0.9</v>
      </c>
      <c r="C9" s="6" t="n">
        <v>-0.723</v>
      </c>
      <c r="D9" s="6" t="n">
        <v>-2.737</v>
      </c>
      <c r="E9" s="6" t="n">
        <v>-2.271</v>
      </c>
      <c r="F9" s="6" t="n">
        <v>-0.6919999999999999</v>
      </c>
    </row>
    <row r="10">
      <c r="A10" s="5" t="n">
        <v>9</v>
      </c>
      <c r="B10" s="6" t="n">
        <v>-0.998</v>
      </c>
      <c r="C10" s="6" t="n">
        <v>-0.613</v>
      </c>
      <c r="D10" s="6" t="n">
        <v>-1.064</v>
      </c>
      <c r="E10" s="6" t="n">
        <v>0.297</v>
      </c>
      <c r="F10" s="6" t="n">
        <v>-0.636</v>
      </c>
    </row>
    <row r="11">
      <c r="A11" s="5" t="n">
        <v>10</v>
      </c>
      <c r="B11" s="6" t="n">
        <v>0.929</v>
      </c>
      <c r="C11" s="6" t="n">
        <v>-2.646</v>
      </c>
      <c r="D11" s="6" t="n">
        <v>-0.297</v>
      </c>
      <c r="E11" s="6" t="n">
        <v>0.888</v>
      </c>
      <c r="F11" s="6" t="n">
        <v>2.999</v>
      </c>
    </row>
    <row r="12">
      <c r="A12" s="5" t="n">
        <v>11</v>
      </c>
      <c r="B12" s="6" t="n">
        <v>-0.056</v>
      </c>
      <c r="C12" s="6" t="n">
        <v>0.476</v>
      </c>
      <c r="D12" s="6" t="n">
        <v>0.891</v>
      </c>
      <c r="E12" s="6" t="n">
        <v>2.47</v>
      </c>
      <c r="F12" s="6" t="n">
        <v>-0.76</v>
      </c>
    </row>
    <row r="13">
      <c r="A13" s="5" t="n">
        <v>12</v>
      </c>
      <c r="B13" s="6" t="n">
        <v>0.128</v>
      </c>
      <c r="C13" s="6" t="n">
        <v>1.503</v>
      </c>
      <c r="D13" s="6" t="n">
        <v>0.171</v>
      </c>
      <c r="E13" s="6" t="n">
        <v>-0.668</v>
      </c>
      <c r="F13" s="6" t="n">
        <v>-2.352</v>
      </c>
    </row>
    <row r="14">
      <c r="A14" s="5" t="n">
        <v>13</v>
      </c>
      <c r="B14" s="6" t="n">
        <v>-0.64</v>
      </c>
      <c r="C14" s="6" t="n">
        <v>0.65</v>
      </c>
      <c r="D14" s="6" t="n">
        <v>-0.062</v>
      </c>
      <c r="E14" s="6" t="n">
        <v>0.49</v>
      </c>
      <c r="F14" s="6" t="n">
        <v>-0.147</v>
      </c>
    </row>
    <row r="15">
      <c r="A15" s="5" t="n">
        <v>14</v>
      </c>
      <c r="B15" s="6" t="n">
        <v>-1.088</v>
      </c>
      <c r="C15" s="6" t="n">
        <v>-2.977</v>
      </c>
      <c r="D15" s="6" t="n">
        <v>-0.334</v>
      </c>
      <c r="E15" s="6" t="n">
        <v>-0.116</v>
      </c>
      <c r="F15" s="6" t="n">
        <v>0.606</v>
      </c>
    </row>
    <row r="16">
      <c r="A16" s="5" t="n">
        <v>15</v>
      </c>
      <c r="B16" s="6" t="n">
        <v>-1.202</v>
      </c>
      <c r="C16" s="6" t="n">
        <v>-0.426</v>
      </c>
      <c r="D16" s="6" t="n">
        <v>-1.751</v>
      </c>
      <c r="E16" s="6" t="n">
        <v>-2.368</v>
      </c>
      <c r="F16" s="6" t="n">
        <v>-1.007</v>
      </c>
    </row>
    <row r="17">
      <c r="A17" s="5" t="n">
        <v>16</v>
      </c>
      <c r="B17" s="6" t="n">
        <v>-0.842</v>
      </c>
      <c r="C17" s="6" t="n">
        <v>-0.103</v>
      </c>
      <c r="D17" s="6" t="n">
        <v>-2.122</v>
      </c>
      <c r="E17" s="6" t="n">
        <v>0.375</v>
      </c>
      <c r="F17" s="6" t="n">
        <v>-1.087</v>
      </c>
    </row>
    <row r="18">
      <c r="A18" s="5" t="n">
        <v>17</v>
      </c>
      <c r="B18" s="6" t="n">
        <v>0.599</v>
      </c>
      <c r="C18" s="6" t="n">
        <v>-0.484</v>
      </c>
      <c r="D18" s="6" t="n">
        <v>0.349</v>
      </c>
      <c r="E18" s="6" t="n">
        <v>-0.322</v>
      </c>
      <c r="F18" s="6" t="n">
        <v>1.425</v>
      </c>
    </row>
    <row r="19">
      <c r="A19" s="5" t="n">
        <v>18</v>
      </c>
      <c r="B19" s="6" t="n">
        <v>0.018</v>
      </c>
      <c r="C19" s="6" t="n">
        <v>1.033</v>
      </c>
      <c r="D19" s="6" t="n">
        <v>-0.245</v>
      </c>
      <c r="E19" s="6" t="n">
        <v>-1.276</v>
      </c>
      <c r="F19" s="6" t="n">
        <v>-0.407</v>
      </c>
    </row>
    <row r="20">
      <c r="A20" s="5" t="n">
        <v>19</v>
      </c>
      <c r="B20" s="6" t="n">
        <v>-0.457</v>
      </c>
      <c r="C20" s="6" t="n">
        <v>-1.744</v>
      </c>
      <c r="D20" s="6" t="n">
        <v>-0.241</v>
      </c>
      <c r="E20" s="6" t="n">
        <v>1.688</v>
      </c>
      <c r="F20" s="6" t="n">
        <v>0.132</v>
      </c>
    </row>
    <row r="21">
      <c r="A21" s="5" t="n">
        <v>20</v>
      </c>
      <c r="B21" s="6" t="n">
        <v>-0.239</v>
      </c>
      <c r="C21" s="6" t="n">
        <v>-0.718</v>
      </c>
      <c r="D21" s="6" t="n">
        <v>-0.264</v>
      </c>
      <c r="E21" s="6" t="n">
        <v>-0.617</v>
      </c>
      <c r="F21" s="6" t="n">
        <v>0.541</v>
      </c>
    </row>
    <row r="22">
      <c r="A22" s="5" t="n">
        <v>21</v>
      </c>
      <c r="B22" s="6" t="n">
        <v>-1.427</v>
      </c>
      <c r="C22" s="6" t="n">
        <v>0.596</v>
      </c>
      <c r="D22" s="6" t="n">
        <v>-1.146</v>
      </c>
      <c r="E22" s="6" t="n">
        <v>0.469</v>
      </c>
      <c r="F22" s="6" t="n">
        <v>-2.378</v>
      </c>
    </row>
    <row r="23">
      <c r="A23" s="5" t="n">
        <v>22</v>
      </c>
      <c r="B23" s="6" t="n">
        <v>1.231</v>
      </c>
      <c r="C23" s="6" t="n">
        <v>0.991</v>
      </c>
      <c r="D23" s="6" t="n">
        <v>1.096</v>
      </c>
      <c r="E23" s="6" t="n">
        <v>-0.265</v>
      </c>
      <c r="F23" s="6" t="n">
        <v>0.066</v>
      </c>
    </row>
    <row r="24">
      <c r="A24" s="5" t="n">
        <v>23</v>
      </c>
      <c r="B24" s="6" t="n">
        <v>-1.216</v>
      </c>
      <c r="C24" s="6" t="n">
        <v>0.169</v>
      </c>
      <c r="D24" s="6" t="n">
        <v>-0.442</v>
      </c>
      <c r="E24" s="6" t="n">
        <v>-0.717</v>
      </c>
      <c r="F24" s="6" t="n">
        <v>-0.6870000000000001</v>
      </c>
    </row>
    <row r="25">
      <c r="A25" s="5" t="n">
        <v>24</v>
      </c>
      <c r="B25" s="6" t="n">
        <v>0.042</v>
      </c>
      <c r="C25" s="6" t="n">
        <v>1.055</v>
      </c>
      <c r="D25" s="6" t="n">
        <v>-0.518</v>
      </c>
      <c r="E25" s="6" t="n">
        <v>-0.168</v>
      </c>
      <c r="F25" s="6" t="n">
        <v>0.032</v>
      </c>
    </row>
    <row r="26">
      <c r="A26" s="5" t="n">
        <v>25</v>
      </c>
      <c r="B26" s="6" t="n">
        <v>2.137</v>
      </c>
      <c r="C26" s="6" t="n">
        <v>0.52</v>
      </c>
      <c r="D26" s="6" t="n">
        <v>-0.577</v>
      </c>
      <c r="E26" s="6" t="n">
        <v>0.793</v>
      </c>
      <c r="F26" s="6" t="n">
        <v>1.515</v>
      </c>
    </row>
    <row r="27">
      <c r="A27" s="5" t="n">
        <v>26</v>
      </c>
      <c r="B27" s="6" t="n">
        <v>-2.551</v>
      </c>
      <c r="C27" s="6" t="n">
        <v>-1.059</v>
      </c>
      <c r="D27" s="6" t="n">
        <v>-3.519</v>
      </c>
      <c r="E27" s="6" t="n">
        <v>-0.6899999999999999</v>
      </c>
      <c r="F27" s="6" t="n">
        <v>-2.426</v>
      </c>
    </row>
    <row r="28">
      <c r="A28" s="5" t="n">
        <v>27</v>
      </c>
      <c r="B28" s="6" t="n">
        <v>-1.407</v>
      </c>
      <c r="C28" s="6" t="n">
        <v>1.294</v>
      </c>
      <c r="D28" s="6" t="n">
        <v>-1.951</v>
      </c>
      <c r="E28" s="6" t="n">
        <v>-1.651</v>
      </c>
      <c r="F28" s="6" t="n">
        <v>-3.431</v>
      </c>
    </row>
    <row r="29">
      <c r="A29" s="5" t="n">
        <v>28</v>
      </c>
      <c r="B29" s="6" t="n">
        <v>-0.724</v>
      </c>
      <c r="C29" s="6" t="n">
        <v>-0.506</v>
      </c>
      <c r="D29" s="6" t="n">
        <v>-0.495</v>
      </c>
      <c r="E29" s="6" t="n">
        <v>1.796</v>
      </c>
      <c r="F29" s="6" t="n">
        <v>-1.26</v>
      </c>
    </row>
    <row r="30">
      <c r="A30" s="5" t="n">
        <v>29</v>
      </c>
      <c r="B30" s="6" t="n">
        <v>0.117</v>
      </c>
      <c r="C30" s="6" t="n">
        <v>-1.631</v>
      </c>
      <c r="D30" s="6" t="n">
        <v>0.847</v>
      </c>
      <c r="E30" s="6" t="n">
        <v>0.439</v>
      </c>
      <c r="F30" s="6" t="n">
        <v>0.757</v>
      </c>
    </row>
    <row r="31">
      <c r="A31" s="5" t="n">
        <v>30</v>
      </c>
      <c r="B31" s="6" t="n">
        <v>-1.715</v>
      </c>
      <c r="C31" s="6" t="n">
        <v>0.438</v>
      </c>
      <c r="D31" s="6" t="n">
        <v>-1.221</v>
      </c>
      <c r="E31" s="6" t="n">
        <v>-0.959</v>
      </c>
      <c r="F31" s="6" t="n">
        <v>-2.02</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32"/>
  <sheetViews>
    <sheetView workbookViewId="0">
      <pane ySplit="2" topLeftCell="A3" activePane="bottomLeft" state="frozen"/>
      <selection pane="bottomLeft" activeCell="A1" sqref="A1"/>
    </sheetView>
  </sheetViews>
  <sheetFormatPr baseColWidth="8" defaultRowHeight="15"/>
  <cols>
    <col width="44" customWidth="1" min="1" max="1"/>
    <col width="10" customWidth="1" min="2" max="2"/>
    <col width="3" customWidth="1" min="3" max="3"/>
    <col width="14" customWidth="1" min="4" max="4"/>
    <col width="14" customWidth="1" min="5" max="5"/>
    <col width="10" customWidth="1" min="6" max="6"/>
    <col width="3" customWidth="1" min="7" max="7"/>
    <col width="9" customWidth="1" min="8" max="8"/>
    <col width="10" customWidth="1" min="9" max="9"/>
    <col width="11" customWidth="1" min="10" max="10"/>
    <col width="11" customWidth="1" min="11" max="11"/>
    <col width="10" customWidth="1" min="12" max="12"/>
    <col width="14" customWidth="1" min="13" max="13"/>
    <col width="14" customWidth="1" min="14" max="14"/>
    <col width="14" customWidth="1" min="15" max="15"/>
    <col width="10" customWidth="1" min="16" max="16"/>
  </cols>
  <sheetData>
    <row r="1">
      <c r="A1" s="7" t="inlineStr">
        <is>
          <t>LASSO with one standardised predictor: soft-thresholding</t>
        </is>
      </c>
    </row>
    <row r="2">
      <c r="A2" s="4" t="inlineStr">
        <is>
          <t>setting</t>
        </is>
      </c>
      <c r="B2" s="4" t="inlineStr">
        <is>
          <t>value</t>
        </is>
      </c>
      <c r="C2" s="4" t="inlineStr"/>
      <c r="D2" s="4" t="inlineStr">
        <is>
          <t>z = (x1-mean)/sd</t>
        </is>
      </c>
      <c r="E2" s="4" t="inlineStr">
        <is>
          <t>yc = y-mean(y)</t>
        </is>
      </c>
      <c r="F2" s="4" t="inlineStr">
        <is>
          <t>z*yc</t>
        </is>
      </c>
      <c r="H2" s="4" t="inlineStr">
        <is>
          <t>lambda</t>
        </is>
      </c>
      <c r="I2" s="4" t="inlineStr">
        <is>
          <t>OLS slope</t>
        </is>
      </c>
      <c r="J2" s="4" t="inlineStr">
        <is>
          <t>LASSO slope</t>
        </is>
      </c>
      <c r="K2" s="4" t="inlineStr">
        <is>
          <t>Ridge slope</t>
        </is>
      </c>
      <c r="L2" s="4" t="inlineStr">
        <is>
          <t>status</t>
        </is>
      </c>
      <c r="M2" s="4" t="inlineStr">
        <is>
          <t>objective at LASSO slope</t>
        </is>
      </c>
      <c r="N2" s="4" t="inlineStr">
        <is>
          <t>objective at slope+0.05</t>
        </is>
      </c>
      <c r="O2" s="4" t="inlineStr">
        <is>
          <t>objective at slope-0.05</t>
        </is>
      </c>
      <c r="P2" s="4" t="inlineStr">
        <is>
          <t>minimum check</t>
        </is>
      </c>
    </row>
    <row r="3">
      <c r="A3" s="8" t="inlineStr">
        <is>
          <t>n</t>
        </is>
      </c>
      <c r="B3" s="9">
        <f>COUNT(Data!$F$2:$F$31)</f>
        <v/>
      </c>
      <c r="D3" s="10">
        <f>(Data!B2-$B$4)/$B$5</f>
        <v/>
      </c>
      <c r="E3" s="10">
        <f>Data!F2-$B$6</f>
        <v/>
      </c>
      <c r="F3" s="10">
        <f>D3*E3</f>
        <v/>
      </c>
      <c r="H3" s="11" t="n">
        <v>0</v>
      </c>
      <c r="I3" s="10">
        <f>$B$7</f>
        <v/>
      </c>
      <c r="J3" s="10">
        <f>SIGN($B$7)*MAX(ABS($B$7)-H3,0)</f>
        <v/>
      </c>
      <c r="K3" s="10">
        <f>$B$7/(1+H3)</f>
        <v/>
      </c>
      <c r="L3" s="12">
        <f>IF(J3=0,"zero","non-zero")</f>
        <v/>
      </c>
      <c r="M3" s="10">
        <f>SUMPRODUCT(($E$3:$E$32-J3*$D$3:$D$32)^2)/(2*$B$3)+H3*ABS(J3)</f>
        <v/>
      </c>
      <c r="N3" s="10">
        <f>SUMPRODUCT(($E$3:$E$32-(J3+0.05)*$D$3:$D$32)^2)/(2*$B$3)+H3*ABS((J3+0.05))</f>
        <v/>
      </c>
      <c r="O3" s="10">
        <f>SUMPRODUCT(($E$3:$E$32-(J3-0.05)*$D$3:$D$32)^2)/(2*$B$3)+H3*ABS((J3-0.05))</f>
        <v/>
      </c>
      <c r="P3" s="12">
        <f>IF(AND(N3&gt;=M3,O3&gt;=M3),"OK","CHECK")</f>
        <v/>
      </c>
    </row>
    <row r="4">
      <c r="A4" s="8" t="inlineStr">
        <is>
          <t>mean of x1</t>
        </is>
      </c>
      <c r="B4" s="10">
        <f>AVERAGE(Data!$B$2:$B$31)</f>
        <v/>
      </c>
      <c r="D4" s="10">
        <f>(Data!B3-$B$4)/$B$5</f>
        <v/>
      </c>
      <c r="E4" s="10">
        <f>Data!F3-$B$6</f>
        <v/>
      </c>
      <c r="F4" s="10">
        <f>D4*E4</f>
        <v/>
      </c>
      <c r="H4" s="13">
        <f>H3+$B$11</f>
        <v/>
      </c>
      <c r="I4" s="10">
        <f>$B$7</f>
        <v/>
      </c>
      <c r="J4" s="10">
        <f>SIGN($B$7)*MAX(ABS($B$7)-H4,0)</f>
        <v/>
      </c>
      <c r="K4" s="10">
        <f>$B$7/(1+H4)</f>
        <v/>
      </c>
      <c r="L4" s="12">
        <f>IF(J4=0,"zero","non-zero")</f>
        <v/>
      </c>
      <c r="M4" s="10">
        <f>SUMPRODUCT(($E$3:$E$32-J4*$D$3:$D$32)^2)/(2*$B$3)+H4*ABS(J4)</f>
        <v/>
      </c>
      <c r="N4" s="10">
        <f>SUMPRODUCT(($E$3:$E$32-(J4+0.05)*$D$3:$D$32)^2)/(2*$B$3)+H4*ABS((J4+0.05))</f>
        <v/>
      </c>
      <c r="O4" s="10">
        <f>SUMPRODUCT(($E$3:$E$32-(J4-0.05)*$D$3:$D$32)^2)/(2*$B$3)+H4*ABS((J4-0.05))</f>
        <v/>
      </c>
      <c r="P4" s="12">
        <f>IF(AND(N4&gt;=M4,O4&gt;=M4),"OK","CHECK")</f>
        <v/>
      </c>
    </row>
    <row r="5">
      <c r="A5" s="8" t="inlineStr">
        <is>
          <t>std of x1 (population, divide by n)</t>
        </is>
      </c>
      <c r="B5" s="10">
        <f>STDEV.P(Data!$B$2:$B$31)</f>
        <v/>
      </c>
      <c r="D5" s="10">
        <f>(Data!B4-$B$4)/$B$5</f>
        <v/>
      </c>
      <c r="E5" s="10">
        <f>Data!F4-$B$6</f>
        <v/>
      </c>
      <c r="F5" s="10">
        <f>D5*E5</f>
        <v/>
      </c>
      <c r="H5" s="13">
        <f>H4+$B$11</f>
        <v/>
      </c>
      <c r="I5" s="10">
        <f>$B$7</f>
        <v/>
      </c>
      <c r="J5" s="10">
        <f>SIGN($B$7)*MAX(ABS($B$7)-H5,0)</f>
        <v/>
      </c>
      <c r="K5" s="10">
        <f>$B$7/(1+H5)</f>
        <v/>
      </c>
      <c r="L5" s="12">
        <f>IF(J5=0,"zero","non-zero")</f>
        <v/>
      </c>
      <c r="M5" s="10">
        <f>SUMPRODUCT(($E$3:$E$32-J5*$D$3:$D$32)^2)/(2*$B$3)+H5*ABS(J5)</f>
        <v/>
      </c>
      <c r="N5" s="10">
        <f>SUMPRODUCT(($E$3:$E$32-(J5+0.05)*$D$3:$D$32)^2)/(2*$B$3)+H5*ABS((J5+0.05))</f>
        <v/>
      </c>
      <c r="O5" s="10">
        <f>SUMPRODUCT(($E$3:$E$32-(J5-0.05)*$D$3:$D$32)^2)/(2*$B$3)+H5*ABS((J5-0.05))</f>
        <v/>
      </c>
      <c r="P5" s="12">
        <f>IF(AND(N5&gt;=M5,O5&gt;=M5),"OK","CHECK")</f>
        <v/>
      </c>
    </row>
    <row r="6">
      <c r="A6" s="8" t="inlineStr">
        <is>
          <t>mean of y</t>
        </is>
      </c>
      <c r="B6" s="10">
        <f>AVERAGE(Data!$F$2:$F$31)</f>
        <v/>
      </c>
      <c r="D6" s="10">
        <f>(Data!B5-$B$4)/$B$5</f>
        <v/>
      </c>
      <c r="E6" s="10">
        <f>Data!F5-$B$6</f>
        <v/>
      </c>
      <c r="F6" s="10">
        <f>D6*E6</f>
        <v/>
      </c>
      <c r="H6" s="13">
        <f>H5+$B$11</f>
        <v/>
      </c>
      <c r="I6" s="10">
        <f>$B$7</f>
        <v/>
      </c>
      <c r="J6" s="10">
        <f>SIGN($B$7)*MAX(ABS($B$7)-H6,0)</f>
        <v/>
      </c>
      <c r="K6" s="10">
        <f>$B$7/(1+H6)</f>
        <v/>
      </c>
      <c r="L6" s="12">
        <f>IF(J6=0,"zero","non-zero")</f>
        <v/>
      </c>
      <c r="M6" s="10">
        <f>SUMPRODUCT(($E$3:$E$32-J6*$D$3:$D$32)^2)/(2*$B$3)+H6*ABS(J6)</f>
        <v/>
      </c>
      <c r="N6" s="10">
        <f>SUMPRODUCT(($E$3:$E$32-(J6+0.05)*$D$3:$D$32)^2)/(2*$B$3)+H6*ABS((J6+0.05))</f>
        <v/>
      </c>
      <c r="O6" s="10">
        <f>SUMPRODUCT(($E$3:$E$32-(J6-0.05)*$D$3:$D$32)^2)/(2*$B$3)+H6*ABS((J6-0.05))</f>
        <v/>
      </c>
      <c r="P6" s="12">
        <f>IF(AND(N6&gt;=M6,O6&gt;=M6),"OK","CHECK")</f>
        <v/>
      </c>
    </row>
    <row r="7">
      <c r="A7" s="8" t="inlineStr">
        <is>
          <t>rho = (1/n) sum z*yc  (= OLS slope)</t>
        </is>
      </c>
      <c r="B7" s="10">
        <f>SUM(F3:F32)/B3</f>
        <v/>
      </c>
      <c r="D7" s="10">
        <f>(Data!B6-$B$4)/$B$5</f>
        <v/>
      </c>
      <c r="E7" s="10">
        <f>Data!F6-$B$6</f>
        <v/>
      </c>
      <c r="F7" s="10">
        <f>D7*E7</f>
        <v/>
      </c>
      <c r="H7" s="13">
        <f>H6+$B$11</f>
        <v/>
      </c>
      <c r="I7" s="10">
        <f>$B$7</f>
        <v/>
      </c>
      <c r="J7" s="10">
        <f>SIGN($B$7)*MAX(ABS($B$7)-H7,0)</f>
        <v/>
      </c>
      <c r="K7" s="10">
        <f>$B$7/(1+H7)</f>
        <v/>
      </c>
      <c r="L7" s="12">
        <f>IF(J7=0,"zero","non-zero")</f>
        <v/>
      </c>
      <c r="M7" s="10">
        <f>SUMPRODUCT(($E$3:$E$32-J7*$D$3:$D$32)^2)/(2*$B$3)+H7*ABS(J7)</f>
        <v/>
      </c>
      <c r="N7" s="10">
        <f>SUMPRODUCT(($E$3:$E$32-(J7+0.05)*$D$3:$D$32)^2)/(2*$B$3)+H7*ABS((J7+0.05))</f>
        <v/>
      </c>
      <c r="O7" s="10">
        <f>SUMPRODUCT(($E$3:$E$32-(J7-0.05)*$D$3:$D$32)^2)/(2*$B$3)+H7*ABS((J7-0.05))</f>
        <v/>
      </c>
      <c r="P7" s="12">
        <f>IF(AND(N7&gt;=M7,O7&gt;=M7),"OK","CHECK")</f>
        <v/>
      </c>
    </row>
    <row r="8">
      <c r="A8" s="8" t="inlineStr">
        <is>
          <t>check: (1/n) sum z^2 (must be 1)</t>
        </is>
      </c>
      <c r="B8" s="10">
        <f>SUMPRODUCT(D3:D32,D3:D32)/B3</f>
        <v/>
      </c>
      <c r="D8" s="10">
        <f>(Data!B7-$B$4)/$B$5</f>
        <v/>
      </c>
      <c r="E8" s="10">
        <f>Data!F7-$B$6</f>
        <v/>
      </c>
      <c r="F8" s="10">
        <f>D8*E8</f>
        <v/>
      </c>
      <c r="H8" s="13">
        <f>H7+$B$11</f>
        <v/>
      </c>
      <c r="I8" s="10">
        <f>$B$7</f>
        <v/>
      </c>
      <c r="J8" s="10">
        <f>SIGN($B$7)*MAX(ABS($B$7)-H8,0)</f>
        <v/>
      </c>
      <c r="K8" s="10">
        <f>$B$7/(1+H8)</f>
        <v/>
      </c>
      <c r="L8" s="12">
        <f>IF(J8=0,"zero","non-zero")</f>
        <v/>
      </c>
      <c r="M8" s="10">
        <f>SUMPRODUCT(($E$3:$E$32-J8*$D$3:$D$32)^2)/(2*$B$3)+H8*ABS(J8)</f>
        <v/>
      </c>
      <c r="N8" s="10">
        <f>SUMPRODUCT(($E$3:$E$32-(J8+0.05)*$D$3:$D$32)^2)/(2*$B$3)+H8*ABS((J8+0.05))</f>
        <v/>
      </c>
      <c r="O8" s="10">
        <f>SUMPRODUCT(($E$3:$E$32-(J8-0.05)*$D$3:$D$32)^2)/(2*$B$3)+H8*ABS((J8-0.05))</f>
        <v/>
      </c>
      <c r="P8" s="12">
        <f>IF(AND(N8&gt;=M8,O8&gt;=M8),"OK","CHECK")</f>
        <v/>
      </c>
    </row>
    <row r="9">
      <c r="A9" s="8" t="inlineStr">
        <is>
          <t>lambda_max = |rho| (all coefficients zero at or above this)</t>
        </is>
      </c>
      <c r="B9" s="10">
        <f>ABS(B7)</f>
        <v/>
      </c>
      <c r="D9" s="10">
        <f>(Data!B8-$B$4)/$B$5</f>
        <v/>
      </c>
      <c r="E9" s="10">
        <f>Data!F8-$B$6</f>
        <v/>
      </c>
      <c r="F9" s="10">
        <f>D9*E9</f>
        <v/>
      </c>
      <c r="H9" s="13">
        <f>H8+$B$11</f>
        <v/>
      </c>
      <c r="I9" s="10">
        <f>$B$7</f>
        <v/>
      </c>
      <c r="J9" s="10">
        <f>SIGN($B$7)*MAX(ABS($B$7)-H9,0)</f>
        <v/>
      </c>
      <c r="K9" s="10">
        <f>$B$7/(1+H9)</f>
        <v/>
      </c>
      <c r="L9" s="12">
        <f>IF(J9=0,"zero","non-zero")</f>
        <v/>
      </c>
      <c r="M9" s="10">
        <f>SUMPRODUCT(($E$3:$E$32-J9*$D$3:$D$32)^2)/(2*$B$3)+H9*ABS(J9)</f>
        <v/>
      </c>
      <c r="N9" s="10">
        <f>SUMPRODUCT(($E$3:$E$32-(J9+0.05)*$D$3:$D$32)^2)/(2*$B$3)+H9*ABS((J9+0.05))</f>
        <v/>
      </c>
      <c r="O9" s="10">
        <f>SUMPRODUCT(($E$3:$E$32-(J9-0.05)*$D$3:$D$32)^2)/(2*$B$3)+H9*ABS((J9-0.05))</f>
        <v/>
      </c>
      <c r="P9" s="12">
        <f>IF(AND(N9&gt;=M9,O9&gt;=M9),"OK","CHECK")</f>
        <v/>
      </c>
    </row>
    <row r="10">
      <c r="D10" s="10">
        <f>(Data!B9-$B$4)/$B$5</f>
        <v/>
      </c>
      <c r="E10" s="10">
        <f>Data!F9-$B$6</f>
        <v/>
      </c>
      <c r="F10" s="10">
        <f>D10*E10</f>
        <v/>
      </c>
      <c r="H10" s="13">
        <f>H9+$B$11</f>
        <v/>
      </c>
      <c r="I10" s="10">
        <f>$B$7</f>
        <v/>
      </c>
      <c r="J10" s="10">
        <f>SIGN($B$7)*MAX(ABS($B$7)-H10,0)</f>
        <v/>
      </c>
      <c r="K10" s="10">
        <f>$B$7/(1+H10)</f>
        <v/>
      </c>
      <c r="L10" s="12">
        <f>IF(J10=0,"zero","non-zero")</f>
        <v/>
      </c>
      <c r="M10" s="10">
        <f>SUMPRODUCT(($E$3:$E$32-J10*$D$3:$D$32)^2)/(2*$B$3)+H10*ABS(J10)</f>
        <v/>
      </c>
      <c r="N10" s="10">
        <f>SUMPRODUCT(($E$3:$E$32-(J10+0.05)*$D$3:$D$32)^2)/(2*$B$3)+H10*ABS((J10+0.05))</f>
        <v/>
      </c>
      <c r="O10" s="10">
        <f>SUMPRODUCT(($E$3:$E$32-(J10-0.05)*$D$3:$D$32)^2)/(2*$B$3)+H10*ABS((J10-0.05))</f>
        <v/>
      </c>
      <c r="P10" s="12">
        <f>IF(AND(N10&gt;=M10,O10&gt;=M10),"OK","CHECK")</f>
        <v/>
      </c>
    </row>
    <row r="11">
      <c r="A11" s="12" t="inlineStr">
        <is>
          <t>lambda step</t>
        </is>
      </c>
      <c r="B11" s="11" t="n">
        <v>0.1</v>
      </c>
      <c r="D11" s="10">
        <f>(Data!B10-$B$4)/$B$5</f>
        <v/>
      </c>
      <c r="E11" s="10">
        <f>Data!F10-$B$6</f>
        <v/>
      </c>
      <c r="F11" s="10">
        <f>D11*E11</f>
        <v/>
      </c>
      <c r="H11" s="13">
        <f>H10+$B$11</f>
        <v/>
      </c>
      <c r="I11" s="10">
        <f>$B$7</f>
        <v/>
      </c>
      <c r="J11" s="10">
        <f>SIGN($B$7)*MAX(ABS($B$7)-H11,0)</f>
        <v/>
      </c>
      <c r="K11" s="10">
        <f>$B$7/(1+H11)</f>
        <v/>
      </c>
      <c r="L11" s="12">
        <f>IF(J11=0,"zero","non-zero")</f>
        <v/>
      </c>
      <c r="M11" s="10">
        <f>SUMPRODUCT(($E$3:$E$32-J11*$D$3:$D$32)^2)/(2*$B$3)+H11*ABS(J11)</f>
        <v/>
      </c>
      <c r="N11" s="10">
        <f>SUMPRODUCT(($E$3:$E$32-(J11+0.05)*$D$3:$D$32)^2)/(2*$B$3)+H11*ABS((J11+0.05))</f>
        <v/>
      </c>
      <c r="O11" s="10">
        <f>SUMPRODUCT(($E$3:$E$32-(J11-0.05)*$D$3:$D$32)^2)/(2*$B$3)+H11*ABS((J11-0.05))</f>
        <v/>
      </c>
      <c r="P11" s="12">
        <f>IF(AND(N11&gt;=M11,O11&gt;=M11),"OK","CHECK")</f>
        <v/>
      </c>
    </row>
    <row r="12">
      <c r="D12" s="10">
        <f>(Data!B11-$B$4)/$B$5</f>
        <v/>
      </c>
      <c r="E12" s="10">
        <f>Data!F11-$B$6</f>
        <v/>
      </c>
      <c r="F12" s="10">
        <f>D12*E12</f>
        <v/>
      </c>
      <c r="H12" s="13">
        <f>H11+$B$11</f>
        <v/>
      </c>
      <c r="I12" s="10">
        <f>$B$7</f>
        <v/>
      </c>
      <c r="J12" s="10">
        <f>SIGN($B$7)*MAX(ABS($B$7)-H12,0)</f>
        <v/>
      </c>
      <c r="K12" s="10">
        <f>$B$7/(1+H12)</f>
        <v/>
      </c>
      <c r="L12" s="12">
        <f>IF(J12=0,"zero","non-zero")</f>
        <v/>
      </c>
      <c r="M12" s="10">
        <f>SUMPRODUCT(($E$3:$E$32-J12*$D$3:$D$32)^2)/(2*$B$3)+H12*ABS(J12)</f>
        <v/>
      </c>
      <c r="N12" s="10">
        <f>SUMPRODUCT(($E$3:$E$32-(J12+0.05)*$D$3:$D$32)^2)/(2*$B$3)+H12*ABS((J12+0.05))</f>
        <v/>
      </c>
      <c r="O12" s="10">
        <f>SUMPRODUCT(($E$3:$E$32-(J12-0.05)*$D$3:$D$32)^2)/(2*$B$3)+H12*ABS((J12-0.05))</f>
        <v/>
      </c>
      <c r="P12" s="12">
        <f>IF(AND(N12&gt;=M12,O12&gt;=M12),"OK","CHECK")</f>
        <v/>
      </c>
    </row>
    <row r="13">
      <c r="D13" s="10">
        <f>(Data!B12-$B$4)/$B$5</f>
        <v/>
      </c>
      <c r="E13" s="10">
        <f>Data!F12-$B$6</f>
        <v/>
      </c>
      <c r="F13" s="10">
        <f>D13*E13</f>
        <v/>
      </c>
      <c r="H13" s="13">
        <f>H12+$B$11</f>
        <v/>
      </c>
      <c r="I13" s="10">
        <f>$B$7</f>
        <v/>
      </c>
      <c r="J13" s="10">
        <f>SIGN($B$7)*MAX(ABS($B$7)-H13,0)</f>
        <v/>
      </c>
      <c r="K13" s="10">
        <f>$B$7/(1+H13)</f>
        <v/>
      </c>
      <c r="L13" s="12">
        <f>IF(J13=0,"zero","non-zero")</f>
        <v/>
      </c>
      <c r="M13" s="10">
        <f>SUMPRODUCT(($E$3:$E$32-J13*$D$3:$D$32)^2)/(2*$B$3)+H13*ABS(J13)</f>
        <v/>
      </c>
      <c r="N13" s="10">
        <f>SUMPRODUCT(($E$3:$E$32-(J13+0.05)*$D$3:$D$32)^2)/(2*$B$3)+H13*ABS((J13+0.05))</f>
        <v/>
      </c>
      <c r="O13" s="10">
        <f>SUMPRODUCT(($E$3:$E$32-(J13-0.05)*$D$3:$D$32)^2)/(2*$B$3)+H13*ABS((J13-0.05))</f>
        <v/>
      </c>
      <c r="P13" s="12">
        <f>IF(AND(N13&gt;=M13,O13&gt;=M13),"OK","CHECK")</f>
        <v/>
      </c>
    </row>
    <row r="14">
      <c r="D14" s="10">
        <f>(Data!B13-$B$4)/$B$5</f>
        <v/>
      </c>
      <c r="E14" s="10">
        <f>Data!F13-$B$6</f>
        <v/>
      </c>
      <c r="F14" s="10">
        <f>D14*E14</f>
        <v/>
      </c>
      <c r="H14" s="13">
        <f>H13+$B$11</f>
        <v/>
      </c>
      <c r="I14" s="10">
        <f>$B$7</f>
        <v/>
      </c>
      <c r="J14" s="10">
        <f>SIGN($B$7)*MAX(ABS($B$7)-H14,0)</f>
        <v/>
      </c>
      <c r="K14" s="10">
        <f>$B$7/(1+H14)</f>
        <v/>
      </c>
      <c r="L14" s="12">
        <f>IF(J14=0,"zero","non-zero")</f>
        <v/>
      </c>
      <c r="M14" s="10">
        <f>SUMPRODUCT(($E$3:$E$32-J14*$D$3:$D$32)^2)/(2*$B$3)+H14*ABS(J14)</f>
        <v/>
      </c>
      <c r="N14" s="10">
        <f>SUMPRODUCT(($E$3:$E$32-(J14+0.05)*$D$3:$D$32)^2)/(2*$B$3)+H14*ABS((J14+0.05))</f>
        <v/>
      </c>
      <c r="O14" s="10">
        <f>SUMPRODUCT(($E$3:$E$32-(J14-0.05)*$D$3:$D$32)^2)/(2*$B$3)+H14*ABS((J14-0.05))</f>
        <v/>
      </c>
      <c r="P14" s="12">
        <f>IF(AND(N14&gt;=M14,O14&gt;=M14),"OK","CHECK")</f>
        <v/>
      </c>
    </row>
    <row r="15">
      <c r="D15" s="10">
        <f>(Data!B14-$B$4)/$B$5</f>
        <v/>
      </c>
      <c r="E15" s="10">
        <f>Data!F14-$B$6</f>
        <v/>
      </c>
      <c r="F15" s="10">
        <f>D15*E15</f>
        <v/>
      </c>
      <c r="H15" s="13">
        <f>H14+$B$11</f>
        <v/>
      </c>
      <c r="I15" s="10">
        <f>$B$7</f>
        <v/>
      </c>
      <c r="J15" s="10">
        <f>SIGN($B$7)*MAX(ABS($B$7)-H15,0)</f>
        <v/>
      </c>
      <c r="K15" s="10">
        <f>$B$7/(1+H15)</f>
        <v/>
      </c>
      <c r="L15" s="12">
        <f>IF(J15=0,"zero","non-zero")</f>
        <v/>
      </c>
      <c r="M15" s="10">
        <f>SUMPRODUCT(($E$3:$E$32-J15*$D$3:$D$32)^2)/(2*$B$3)+H15*ABS(J15)</f>
        <v/>
      </c>
      <c r="N15" s="10">
        <f>SUMPRODUCT(($E$3:$E$32-(J15+0.05)*$D$3:$D$32)^2)/(2*$B$3)+H15*ABS((J15+0.05))</f>
        <v/>
      </c>
      <c r="O15" s="10">
        <f>SUMPRODUCT(($E$3:$E$32-(J15-0.05)*$D$3:$D$32)^2)/(2*$B$3)+H15*ABS((J15-0.05))</f>
        <v/>
      </c>
      <c r="P15" s="12">
        <f>IF(AND(N15&gt;=M15,O15&gt;=M15),"OK","CHECK")</f>
        <v/>
      </c>
    </row>
    <row r="16">
      <c r="D16" s="10">
        <f>(Data!B15-$B$4)/$B$5</f>
        <v/>
      </c>
      <c r="E16" s="10">
        <f>Data!F15-$B$6</f>
        <v/>
      </c>
      <c r="F16" s="10">
        <f>D16*E16</f>
        <v/>
      </c>
      <c r="H16" s="13">
        <f>H15+$B$11</f>
        <v/>
      </c>
      <c r="I16" s="10">
        <f>$B$7</f>
        <v/>
      </c>
      <c r="J16" s="10">
        <f>SIGN($B$7)*MAX(ABS($B$7)-H16,0)</f>
        <v/>
      </c>
      <c r="K16" s="10">
        <f>$B$7/(1+H16)</f>
        <v/>
      </c>
      <c r="L16" s="12">
        <f>IF(J16=0,"zero","non-zero")</f>
        <v/>
      </c>
      <c r="M16" s="10">
        <f>SUMPRODUCT(($E$3:$E$32-J16*$D$3:$D$32)^2)/(2*$B$3)+H16*ABS(J16)</f>
        <v/>
      </c>
      <c r="N16" s="10">
        <f>SUMPRODUCT(($E$3:$E$32-(J16+0.05)*$D$3:$D$32)^2)/(2*$B$3)+H16*ABS((J16+0.05))</f>
        <v/>
      </c>
      <c r="O16" s="10">
        <f>SUMPRODUCT(($E$3:$E$32-(J16-0.05)*$D$3:$D$32)^2)/(2*$B$3)+H16*ABS((J16-0.05))</f>
        <v/>
      </c>
      <c r="P16" s="12">
        <f>IF(AND(N16&gt;=M16,O16&gt;=M16),"OK","CHECK")</f>
        <v/>
      </c>
    </row>
    <row r="17">
      <c r="D17" s="10">
        <f>(Data!B16-$B$4)/$B$5</f>
        <v/>
      </c>
      <c r="E17" s="10">
        <f>Data!F16-$B$6</f>
        <v/>
      </c>
      <c r="F17" s="10">
        <f>D17*E17</f>
        <v/>
      </c>
      <c r="H17" s="13">
        <f>H16+$B$11</f>
        <v/>
      </c>
      <c r="I17" s="10">
        <f>$B$7</f>
        <v/>
      </c>
      <c r="J17" s="10">
        <f>SIGN($B$7)*MAX(ABS($B$7)-H17,0)</f>
        <v/>
      </c>
      <c r="K17" s="10">
        <f>$B$7/(1+H17)</f>
        <v/>
      </c>
      <c r="L17" s="12">
        <f>IF(J17=0,"zero","non-zero")</f>
        <v/>
      </c>
      <c r="M17" s="10">
        <f>SUMPRODUCT(($E$3:$E$32-J17*$D$3:$D$32)^2)/(2*$B$3)+H17*ABS(J17)</f>
        <v/>
      </c>
      <c r="N17" s="10">
        <f>SUMPRODUCT(($E$3:$E$32-(J17+0.05)*$D$3:$D$32)^2)/(2*$B$3)+H17*ABS((J17+0.05))</f>
        <v/>
      </c>
      <c r="O17" s="10">
        <f>SUMPRODUCT(($E$3:$E$32-(J17-0.05)*$D$3:$D$32)^2)/(2*$B$3)+H17*ABS((J17-0.05))</f>
        <v/>
      </c>
      <c r="P17" s="12">
        <f>IF(AND(N17&gt;=M17,O17&gt;=M17),"OK","CHECK")</f>
        <v/>
      </c>
    </row>
    <row r="18">
      <c r="D18" s="10">
        <f>(Data!B17-$B$4)/$B$5</f>
        <v/>
      </c>
      <c r="E18" s="10">
        <f>Data!F17-$B$6</f>
        <v/>
      </c>
      <c r="F18" s="10">
        <f>D18*E18</f>
        <v/>
      </c>
      <c r="H18" s="13">
        <f>H17+$B$11</f>
        <v/>
      </c>
      <c r="I18" s="10">
        <f>$B$7</f>
        <v/>
      </c>
      <c r="J18" s="10">
        <f>SIGN($B$7)*MAX(ABS($B$7)-H18,0)</f>
        <v/>
      </c>
      <c r="K18" s="10">
        <f>$B$7/(1+H18)</f>
        <v/>
      </c>
      <c r="L18" s="12">
        <f>IF(J18=0,"zero","non-zero")</f>
        <v/>
      </c>
      <c r="M18" s="10">
        <f>SUMPRODUCT(($E$3:$E$32-J18*$D$3:$D$32)^2)/(2*$B$3)+H18*ABS(J18)</f>
        <v/>
      </c>
      <c r="N18" s="10">
        <f>SUMPRODUCT(($E$3:$E$32-(J18+0.05)*$D$3:$D$32)^2)/(2*$B$3)+H18*ABS((J18+0.05))</f>
        <v/>
      </c>
      <c r="O18" s="10">
        <f>SUMPRODUCT(($E$3:$E$32-(J18-0.05)*$D$3:$D$32)^2)/(2*$B$3)+H18*ABS((J18-0.05))</f>
        <v/>
      </c>
      <c r="P18" s="12">
        <f>IF(AND(N18&gt;=M18,O18&gt;=M18),"OK","CHECK")</f>
        <v/>
      </c>
    </row>
    <row r="19">
      <c r="D19" s="10">
        <f>(Data!B18-$B$4)/$B$5</f>
        <v/>
      </c>
      <c r="E19" s="10">
        <f>Data!F18-$B$6</f>
        <v/>
      </c>
      <c r="F19" s="10">
        <f>D19*E19</f>
        <v/>
      </c>
    </row>
    <row r="20">
      <c r="D20" s="10">
        <f>(Data!B19-$B$4)/$B$5</f>
        <v/>
      </c>
      <c r="E20" s="10">
        <f>Data!F19-$B$6</f>
        <v/>
      </c>
      <c r="F20" s="10">
        <f>D20*E20</f>
        <v/>
      </c>
    </row>
    <row r="21">
      <c r="D21" s="10">
        <f>(Data!B20-$B$4)/$B$5</f>
        <v/>
      </c>
      <c r="E21" s="10">
        <f>Data!F20-$B$6</f>
        <v/>
      </c>
      <c r="F21" s="10">
        <f>D21*E21</f>
        <v/>
      </c>
    </row>
    <row r="22">
      <c r="D22" s="10">
        <f>(Data!B21-$B$4)/$B$5</f>
        <v/>
      </c>
      <c r="E22" s="10">
        <f>Data!F21-$B$6</f>
        <v/>
      </c>
      <c r="F22" s="10">
        <f>D22*E22</f>
        <v/>
      </c>
    </row>
    <row r="23">
      <c r="D23" s="10">
        <f>(Data!B22-$B$4)/$B$5</f>
        <v/>
      </c>
      <c r="E23" s="10">
        <f>Data!F22-$B$6</f>
        <v/>
      </c>
      <c r="F23" s="10">
        <f>D23*E23</f>
        <v/>
      </c>
    </row>
    <row r="24">
      <c r="D24" s="10">
        <f>(Data!B23-$B$4)/$B$5</f>
        <v/>
      </c>
      <c r="E24" s="10">
        <f>Data!F23-$B$6</f>
        <v/>
      </c>
      <c r="F24" s="10">
        <f>D24*E24</f>
        <v/>
      </c>
    </row>
    <row r="25">
      <c r="D25" s="10">
        <f>(Data!B24-$B$4)/$B$5</f>
        <v/>
      </c>
      <c r="E25" s="10">
        <f>Data!F24-$B$6</f>
        <v/>
      </c>
      <c r="F25" s="10">
        <f>D25*E25</f>
        <v/>
      </c>
    </row>
    <row r="26">
      <c r="D26" s="10">
        <f>(Data!B25-$B$4)/$B$5</f>
        <v/>
      </c>
      <c r="E26" s="10">
        <f>Data!F25-$B$6</f>
        <v/>
      </c>
      <c r="F26" s="10">
        <f>D26*E26</f>
        <v/>
      </c>
    </row>
    <row r="27">
      <c r="D27" s="10">
        <f>(Data!B26-$B$4)/$B$5</f>
        <v/>
      </c>
      <c r="E27" s="10">
        <f>Data!F26-$B$6</f>
        <v/>
      </c>
      <c r="F27" s="10">
        <f>D27*E27</f>
        <v/>
      </c>
    </row>
    <row r="28">
      <c r="D28" s="10">
        <f>(Data!B27-$B$4)/$B$5</f>
        <v/>
      </c>
      <c r="E28" s="10">
        <f>Data!F27-$B$6</f>
        <v/>
      </c>
      <c r="F28" s="10">
        <f>D28*E28</f>
        <v/>
      </c>
    </row>
    <row r="29">
      <c r="D29" s="10">
        <f>(Data!B28-$B$4)/$B$5</f>
        <v/>
      </c>
      <c r="E29" s="10">
        <f>Data!F28-$B$6</f>
        <v/>
      </c>
      <c r="F29" s="10">
        <f>D29*E29</f>
        <v/>
      </c>
    </row>
    <row r="30">
      <c r="D30" s="10">
        <f>(Data!B29-$B$4)/$B$5</f>
        <v/>
      </c>
      <c r="E30" s="10">
        <f>Data!F29-$B$6</f>
        <v/>
      </c>
      <c r="F30" s="10">
        <f>D30*E30</f>
        <v/>
      </c>
    </row>
    <row r="31">
      <c r="D31" s="10">
        <f>(Data!B30-$B$4)/$B$5</f>
        <v/>
      </c>
      <c r="E31" s="10">
        <f>Data!F30-$B$6</f>
        <v/>
      </c>
      <c r="F31" s="10">
        <f>D31*E31</f>
        <v/>
      </c>
    </row>
    <row r="32">
      <c r="D32" s="10">
        <f>(Data!B31-$B$4)/$B$5</f>
        <v/>
      </c>
      <c r="E32" s="10">
        <f>Data!F31-$B$6</f>
        <v/>
      </c>
      <c r="F32" s="10">
        <f>D32*E32</f>
        <v/>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6" customWidth="1" min="3" max="3"/>
    <col width="12" customWidth="1" min="4" max="4"/>
    <col width="12" customWidth="1" min="5" max="5"/>
    <col width="16" customWidth="1" min="6" max="6"/>
    <col width="18" customWidth="1" min="7" max="7"/>
    <col width="18" customWidth="1" min="8" max="8"/>
    <col width="12" customWidth="1" min="9" max="9"/>
    <col width="12" customWidth="1" min="10" max="10"/>
    <col width="11" customWidth="1" min="11" max="11"/>
    <col width="11" customWidth="1" min="12" max="12"/>
  </cols>
  <sheetData>
    <row r="1">
      <c r="A1" s="7" t="inlineStr">
        <is>
          <t>Model selection with AIC and BIC from LINEST output</t>
        </is>
      </c>
    </row>
    <row r="2">
      <c r="A2" s="12" t="inlineStr">
        <is>
          <t>n</t>
        </is>
      </c>
      <c r="B2" s="9">
        <f>COUNT(Data!$F$2:$F$31)</f>
        <v/>
      </c>
    </row>
    <row r="3">
      <c r="A3" s="12" t="inlineStr">
        <is>
          <t>SST = DEVSQ(y)</t>
        </is>
      </c>
      <c r="B3" s="14">
        <f>DEVSQ(Data!$F$2:$F$31)</f>
        <v/>
      </c>
    </row>
    <row r="5" ht="45" customHeight="1">
      <c r="A5" s="4" t="inlineStr">
        <is>
          <t>model</t>
        </is>
      </c>
      <c r="B5" s="4" t="inlineStr">
        <is>
          <t>number of predictors</t>
        </is>
      </c>
      <c r="C5" s="4" t="inlineStr">
        <is>
          <t>p = parameters incl. intercept</t>
        </is>
      </c>
      <c r="D5" s="4" t="inlineStr">
        <is>
          <t>SSE</t>
        </is>
      </c>
      <c r="E5" s="4" t="inlineStr">
        <is>
          <t>R2</t>
        </is>
      </c>
      <c r="F5" s="4" t="inlineStr">
        <is>
          <t>adjusted R2</t>
        </is>
      </c>
      <c r="G5" s="4" t="inlineStr">
        <is>
          <t>AIC = n ln(SSE/n) + 2p</t>
        </is>
      </c>
      <c r="H5" s="4" t="inlineStr">
        <is>
          <t>BIC = n ln(SSE/n) + p ln n</t>
        </is>
      </c>
      <c r="I5" s="4" t="inlineStr">
        <is>
          <t>AIC - min(AIC)</t>
        </is>
      </c>
      <c r="J5" s="4" t="inlineStr">
        <is>
          <t>BIC - min(BIC)</t>
        </is>
      </c>
      <c r="K5" s="4" t="inlineStr">
        <is>
          <t>best by AIC</t>
        </is>
      </c>
      <c r="L5" s="4" t="inlineStr">
        <is>
          <t>best by BIC</t>
        </is>
      </c>
    </row>
    <row r="6">
      <c r="A6" s="12" t="inlineStr">
        <is>
          <t>intercept only</t>
        </is>
      </c>
      <c r="B6" s="15" t="n">
        <v>0</v>
      </c>
      <c r="C6" s="9">
        <f>B6+1</f>
        <v/>
      </c>
      <c r="D6" s="14">
        <f>$B$3</f>
        <v/>
      </c>
      <c r="E6" s="14">
        <f>1-D6/$B$3</f>
        <v/>
      </c>
      <c r="F6" s="14">
        <f>1-(D6/($B$2-C6))/($B$3/($B$2-1))</f>
        <v/>
      </c>
      <c r="G6" s="13">
        <f>$B$2*LN(D6/$B$2)+2*C6</f>
        <v/>
      </c>
      <c r="H6" s="13">
        <f>$B$2*LN(D6/$B$2)+C6*LN($B$2)</f>
        <v/>
      </c>
      <c r="I6" s="13">
        <f>G6-MIN($G$6:$G$10)</f>
        <v/>
      </c>
      <c r="J6" s="13">
        <f>H6-MIN($H$6:$H$10)</f>
        <v/>
      </c>
      <c r="K6" s="12">
        <f>IF(I6=0,"&lt;-- best","")</f>
        <v/>
      </c>
      <c r="L6" s="12">
        <f>IF(J6=0,"&lt;-- best","")</f>
        <v/>
      </c>
    </row>
    <row r="7">
      <c r="A7" s="12" t="inlineStr">
        <is>
          <t>x1</t>
        </is>
      </c>
      <c r="B7" s="15" t="n">
        <v>1</v>
      </c>
      <c r="C7" s="9">
        <f>B7+1</f>
        <v/>
      </c>
      <c r="D7" s="14">
        <f>INDEX(LINEST(Data!$F$2:$F$31,Data!$B$2:$B$31,TRUE,TRUE),5,2)</f>
        <v/>
      </c>
      <c r="E7" s="14">
        <f>1-D7/$B$3</f>
        <v/>
      </c>
      <c r="F7" s="14">
        <f>1-(D7/($B$2-C7))/($B$3/($B$2-1))</f>
        <v/>
      </c>
      <c r="G7" s="13">
        <f>$B$2*LN(D7/$B$2)+2*C7</f>
        <v/>
      </c>
      <c r="H7" s="13">
        <f>$B$2*LN(D7/$B$2)+C7*LN($B$2)</f>
        <v/>
      </c>
      <c r="I7" s="13">
        <f>G7-MIN($G$6:$G$10)</f>
        <v/>
      </c>
      <c r="J7" s="13">
        <f>H7-MIN($H$6:$H$10)</f>
        <v/>
      </c>
      <c r="K7" s="12">
        <f>IF(I7=0,"&lt;-- best","")</f>
        <v/>
      </c>
      <c r="L7" s="12">
        <f>IF(J7=0,"&lt;-- best","")</f>
        <v/>
      </c>
    </row>
    <row r="8">
      <c r="A8" s="12" t="inlineStr">
        <is>
          <t>x1, x2</t>
        </is>
      </c>
      <c r="B8" s="15" t="n">
        <v>2</v>
      </c>
      <c r="C8" s="9">
        <f>B8+1</f>
        <v/>
      </c>
      <c r="D8" s="14">
        <f>INDEX(LINEST(Data!$F$2:$F$31,Data!$B$2:$C$31,TRUE,TRUE),5,2)</f>
        <v/>
      </c>
      <c r="E8" s="14">
        <f>1-D8/$B$3</f>
        <v/>
      </c>
      <c r="F8" s="14">
        <f>1-(D8/($B$2-C8))/($B$3/($B$2-1))</f>
        <v/>
      </c>
      <c r="G8" s="13">
        <f>$B$2*LN(D8/$B$2)+2*C8</f>
        <v/>
      </c>
      <c r="H8" s="13">
        <f>$B$2*LN(D8/$B$2)+C8*LN($B$2)</f>
        <v/>
      </c>
      <c r="I8" s="13">
        <f>G8-MIN($G$6:$G$10)</f>
        <v/>
      </c>
      <c r="J8" s="13">
        <f>H8-MIN($H$6:$H$10)</f>
        <v/>
      </c>
      <c r="K8" s="12">
        <f>IF(I8=0,"&lt;-- best","")</f>
        <v/>
      </c>
      <c r="L8" s="12">
        <f>IF(J8=0,"&lt;-- best","")</f>
        <v/>
      </c>
    </row>
    <row r="9">
      <c r="A9" s="12" t="inlineStr">
        <is>
          <t>x1, x2, x3</t>
        </is>
      </c>
      <c r="B9" s="15" t="n">
        <v>3</v>
      </c>
      <c r="C9" s="9">
        <f>B9+1</f>
        <v/>
      </c>
      <c r="D9" s="14">
        <f>INDEX(LINEST(Data!$F$2:$F$31,Data!$B$2:$D$31,TRUE,TRUE),5,2)</f>
        <v/>
      </c>
      <c r="E9" s="14">
        <f>1-D9/$B$3</f>
        <v/>
      </c>
      <c r="F9" s="14">
        <f>1-(D9/($B$2-C9))/($B$3/($B$2-1))</f>
        <v/>
      </c>
      <c r="G9" s="13">
        <f>$B$2*LN(D9/$B$2)+2*C9</f>
        <v/>
      </c>
      <c r="H9" s="13">
        <f>$B$2*LN(D9/$B$2)+C9*LN($B$2)</f>
        <v/>
      </c>
      <c r="I9" s="13">
        <f>G9-MIN($G$6:$G$10)</f>
        <v/>
      </c>
      <c r="J9" s="13">
        <f>H9-MIN($H$6:$H$10)</f>
        <v/>
      </c>
      <c r="K9" s="12">
        <f>IF(I9=0,"&lt;-- best","")</f>
        <v/>
      </c>
      <c r="L9" s="12">
        <f>IF(J9=0,"&lt;-- best","")</f>
        <v/>
      </c>
    </row>
    <row r="10">
      <c r="A10" s="12" t="inlineStr">
        <is>
          <t>x1, x2, x3, x4</t>
        </is>
      </c>
      <c r="B10" s="15" t="n">
        <v>4</v>
      </c>
      <c r="C10" s="9">
        <f>B10+1</f>
        <v/>
      </c>
      <c r="D10" s="14">
        <f>INDEX(LINEST(Data!$F$2:$F$31,Data!$B$2:$E$31,TRUE,TRUE),5,2)</f>
        <v/>
      </c>
      <c r="E10" s="14">
        <f>1-D10/$B$3</f>
        <v/>
      </c>
      <c r="F10" s="14">
        <f>1-(D10/($B$2-C10))/($B$3/($B$2-1))</f>
        <v/>
      </c>
      <c r="G10" s="13">
        <f>$B$2*LN(D10/$B$2)+2*C10</f>
        <v/>
      </c>
      <c r="H10" s="13">
        <f>$B$2*LN(D10/$B$2)+C10*LN($B$2)</f>
        <v/>
      </c>
      <c r="I10" s="13">
        <f>G10-MIN($G$6:$G$10)</f>
        <v/>
      </c>
      <c r="J10" s="13">
        <f>H10-MIN($H$6:$H$10)</f>
        <v/>
      </c>
      <c r="K10" s="12">
        <f>IF(I10=0,"&lt;-- best","")</f>
        <v/>
      </c>
      <c r="L10" s="12">
        <f>IF(J10=0,"&lt;-- best","")</f>
        <v/>
      </c>
    </row>
    <row r="12">
      <c r="A12" s="7" t="inlineStr">
        <is>
          <t>Full model x1..x4: coefficients, standard errors, t and p-value (LINEST returns the coefficients in reverse order: x4, x3, x2, x1, intercept)</t>
        </is>
      </c>
    </row>
    <row r="13">
      <c r="A13" s="4" t="inlineStr">
        <is>
          <t>term</t>
        </is>
      </c>
      <c r="B13" s="4" t="inlineStr">
        <is>
          <t>LINEST column</t>
        </is>
      </c>
      <c r="C13" s="4" t="inlineStr">
        <is>
          <t>coefficient</t>
        </is>
      </c>
      <c r="D13" s="4" t="inlineStr">
        <is>
          <t>std error</t>
        </is>
      </c>
      <c r="E13" s="4" t="inlineStr">
        <is>
          <t>t = coef/se</t>
        </is>
      </c>
      <c r="F13" s="4" t="inlineStr">
        <is>
          <t>p-value (two-sided)</t>
        </is>
      </c>
    </row>
    <row r="14">
      <c r="A14" s="12" t="inlineStr">
        <is>
          <t>intercept</t>
        </is>
      </c>
      <c r="B14" s="15" t="n">
        <v>5</v>
      </c>
      <c r="C14" s="14">
        <f>INDEX(LINEST(Data!$F$2:$F$31,Data!$B$2:$E$31,TRUE,TRUE),1,B14)</f>
        <v/>
      </c>
      <c r="D14" s="14">
        <f>INDEX(LINEST(Data!$F$2:$F$31,Data!$B$2:$E$31,TRUE,TRUE),2,B14)</f>
        <v/>
      </c>
      <c r="E14" s="13">
        <f>C14/D14</f>
        <v/>
      </c>
      <c r="F14" s="10">
        <f>TDIST(ABS(E14),$B$2-5,2)</f>
        <v/>
      </c>
    </row>
    <row r="15">
      <c r="A15" s="12" t="inlineStr">
        <is>
          <t>x1</t>
        </is>
      </c>
      <c r="B15" s="15" t="n">
        <v>4</v>
      </c>
      <c r="C15" s="14">
        <f>INDEX(LINEST(Data!$F$2:$F$31,Data!$B$2:$E$31,TRUE,TRUE),1,B15)</f>
        <v/>
      </c>
      <c r="D15" s="14">
        <f>INDEX(LINEST(Data!$F$2:$F$31,Data!$B$2:$E$31,TRUE,TRUE),2,B15)</f>
        <v/>
      </c>
      <c r="E15" s="13">
        <f>C15/D15</f>
        <v/>
      </c>
      <c r="F15" s="10">
        <f>TDIST(ABS(E15),$B$2-5,2)</f>
        <v/>
      </c>
    </row>
    <row r="16">
      <c r="A16" s="12" t="inlineStr">
        <is>
          <t>x2</t>
        </is>
      </c>
      <c r="B16" s="15" t="n">
        <v>3</v>
      </c>
      <c r="C16" s="14">
        <f>INDEX(LINEST(Data!$F$2:$F$31,Data!$B$2:$E$31,TRUE,TRUE),1,B16)</f>
        <v/>
      </c>
      <c r="D16" s="14">
        <f>INDEX(LINEST(Data!$F$2:$F$31,Data!$B$2:$E$31,TRUE,TRUE),2,B16)</f>
        <v/>
      </c>
      <c r="E16" s="13">
        <f>C16/D16</f>
        <v/>
      </c>
      <c r="F16" s="10">
        <f>TDIST(ABS(E16),$B$2-5,2)</f>
        <v/>
      </c>
    </row>
    <row r="17">
      <c r="A17" s="12" t="inlineStr">
        <is>
          <t>x3</t>
        </is>
      </c>
      <c r="B17" s="15" t="n">
        <v>2</v>
      </c>
      <c r="C17" s="14">
        <f>INDEX(LINEST(Data!$F$2:$F$31,Data!$B$2:$E$31,TRUE,TRUE),1,B17)</f>
        <v/>
      </c>
      <c r="D17" s="14">
        <f>INDEX(LINEST(Data!$F$2:$F$31,Data!$B$2:$E$31,TRUE,TRUE),2,B17)</f>
        <v/>
      </c>
      <c r="E17" s="13">
        <f>C17/D17</f>
        <v/>
      </c>
      <c r="F17" s="10">
        <f>TDIST(ABS(E17),$B$2-5,2)</f>
        <v/>
      </c>
    </row>
    <row r="18">
      <c r="A18" s="12" t="inlineStr">
        <is>
          <t>x4</t>
        </is>
      </c>
      <c r="B18" s="15" t="n">
        <v>1</v>
      </c>
      <c r="C18" s="14">
        <f>INDEX(LINEST(Data!$F$2:$F$31,Data!$B$2:$E$31,TRUE,TRUE),1,B18)</f>
        <v/>
      </c>
      <c r="D18" s="14">
        <f>INDEX(LINEST(Data!$F$2:$F$31,Data!$B$2:$E$31,TRUE,TRUE),2,B18)</f>
        <v/>
      </c>
      <c r="E18" s="13">
        <f>C18/D18</f>
        <v/>
      </c>
      <c r="F18" s="10">
        <f>TDIST(ABS(E18),$B$2-5,2)</f>
        <v/>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5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s>
  <sheetData>
    <row r="1">
      <c r="A1" s="7" t="inlineStr">
        <is>
          <t>Tiny network: 2 inputs, 2 tanh hidden units, 1 linear output. Loss L = (1/2n) sum (yhat - y)^2, first six rows of Data</t>
        </is>
      </c>
    </row>
    <row r="2">
      <c r="A2" s="12" t="inlineStr">
        <is>
          <t>a1 = w11*x1 + w21*x2 + b1;  a2 = w12*x1 + w22*x2 + b2;  h = tanh(a);  yhat = c + v1*h1 + v2*h2;  e = yhat - y</t>
        </is>
      </c>
    </row>
    <row r="3">
      <c r="A3" s="12" t="inlineStr">
        <is>
          <t>learning rate</t>
        </is>
      </c>
      <c r="B3" s="11" t="n">
        <v>0.3</v>
      </c>
      <c r="D3" s="12" t="inlineStr">
        <is>
          <t>finite-difference step eps</t>
        </is>
      </c>
      <c r="F3" s="16" t="n">
        <v>1e-05</v>
      </c>
    </row>
    <row r="5">
      <c r="A5" s="4" t="inlineStr">
        <is>
          <t>step</t>
        </is>
      </c>
      <c r="B5" s="4" t="inlineStr">
        <is>
          <t>w11</t>
        </is>
      </c>
      <c r="C5" s="4" t="inlineStr">
        <is>
          <t>w21</t>
        </is>
      </c>
      <c r="D5" s="4" t="inlineStr">
        <is>
          <t>b1</t>
        </is>
      </c>
      <c r="E5" s="4" t="inlineStr">
        <is>
          <t>w12</t>
        </is>
      </c>
      <c r="F5" s="4" t="inlineStr">
        <is>
          <t>w22</t>
        </is>
      </c>
      <c r="G5" s="4" t="inlineStr">
        <is>
          <t>b2</t>
        </is>
      </c>
      <c r="H5" s="4" t="inlineStr">
        <is>
          <t>v1</t>
        </is>
      </c>
      <c r="I5" s="4" t="inlineStr">
        <is>
          <t>v2</t>
        </is>
      </c>
      <c r="J5" s="4" t="inlineStr">
        <is>
          <t>c</t>
        </is>
      </c>
      <c r="K5" s="4" t="inlineStr">
        <is>
          <t>loss L</t>
        </is>
      </c>
    </row>
    <row r="6">
      <c r="A6" s="9" t="n">
        <v>0</v>
      </c>
      <c r="B6" s="17" t="n">
        <v>0.5</v>
      </c>
      <c r="C6" s="17" t="n">
        <v>-0.4</v>
      </c>
      <c r="D6" s="17" t="n">
        <v>0.1</v>
      </c>
      <c r="E6" s="17" t="n">
        <v>-0.3</v>
      </c>
      <c r="F6" s="17" t="n">
        <v>0.6</v>
      </c>
      <c r="G6" s="17" t="n">
        <v>-0.1</v>
      </c>
      <c r="H6" s="17" t="n">
        <v>0.4</v>
      </c>
      <c r="I6" s="17" t="n">
        <v>-0.5</v>
      </c>
      <c r="J6" s="17" t="n">
        <v>0</v>
      </c>
      <c r="K6" s="10">
        <f>K20</f>
        <v/>
      </c>
    </row>
    <row r="7">
      <c r="A7" s="9" t="n">
        <v>1</v>
      </c>
      <c r="B7" s="10">
        <f>B6-$B$3*Q20</f>
        <v/>
      </c>
      <c r="C7" s="10">
        <f>C6-$B$3*R20</f>
        <v/>
      </c>
      <c r="D7" s="10">
        <f>D6-$B$3*S20</f>
        <v/>
      </c>
      <c r="E7" s="10">
        <f>E6-$B$3*T20</f>
        <v/>
      </c>
      <c r="F7" s="10">
        <f>F6-$B$3*U20</f>
        <v/>
      </c>
      <c r="G7" s="10">
        <f>G6-$B$3*V20</f>
        <v/>
      </c>
      <c r="H7" s="10">
        <f>H6-$B$3*L20</f>
        <v/>
      </c>
      <c r="I7" s="10">
        <f>I6-$B$3*M20</f>
        <v/>
      </c>
      <c r="J7" s="10">
        <f>J6-$B$3*N20</f>
        <v/>
      </c>
      <c r="K7" s="10">
        <f>K32</f>
        <v/>
      </c>
    </row>
    <row r="8">
      <c r="A8" s="9" t="n">
        <v>2</v>
      </c>
      <c r="B8" s="10">
        <f>B7-$B$3*Q32</f>
        <v/>
      </c>
      <c r="C8" s="10">
        <f>C7-$B$3*R32</f>
        <v/>
      </c>
      <c r="D8" s="10">
        <f>D7-$B$3*S32</f>
        <v/>
      </c>
      <c r="E8" s="10">
        <f>E7-$B$3*T32</f>
        <v/>
      </c>
      <c r="F8" s="10">
        <f>F7-$B$3*U32</f>
        <v/>
      </c>
      <c r="G8" s="10">
        <f>G7-$B$3*V32</f>
        <v/>
      </c>
      <c r="H8" s="10">
        <f>H7-$B$3*L32</f>
        <v/>
      </c>
      <c r="I8" s="10">
        <f>I7-$B$3*M32</f>
        <v/>
      </c>
      <c r="J8" s="10">
        <f>J7-$B$3*N32</f>
        <v/>
      </c>
      <c r="K8" s="10">
        <f>K44</f>
        <v/>
      </c>
    </row>
    <row r="9">
      <c r="A9" s="9" t="n">
        <v>3</v>
      </c>
      <c r="B9" s="10">
        <f>B8-$B$3*Q44</f>
        <v/>
      </c>
      <c r="C9" s="10">
        <f>C8-$B$3*R44</f>
        <v/>
      </c>
      <c r="D9" s="10">
        <f>D8-$B$3*S44</f>
        <v/>
      </c>
      <c r="E9" s="10">
        <f>E8-$B$3*T44</f>
        <v/>
      </c>
      <c r="F9" s="10">
        <f>F8-$B$3*U44</f>
        <v/>
      </c>
      <c r="G9" s="10">
        <f>G8-$B$3*V44</f>
        <v/>
      </c>
      <c r="H9" s="10">
        <f>H8-$B$3*L44</f>
        <v/>
      </c>
      <c r="I9" s="10">
        <f>I8-$B$3*M44</f>
        <v/>
      </c>
      <c r="J9" s="10">
        <f>J8-$B$3*N44</f>
        <v/>
      </c>
      <c r="K9" s="10">
        <f>K56</f>
        <v/>
      </c>
    </row>
    <row r="11">
      <c r="A11" s="12" t="inlineStr">
        <is>
          <t>Blocks below: one forward pass (columns E-K) and one backward pass (columns L-V) for each step; the row 'mean' holds the loss and the gradients.</t>
        </is>
      </c>
    </row>
    <row r="12">
      <c r="A12" s="7" t="inlineStr">
        <is>
          <t>Step 0: parameters from row 6</t>
        </is>
      </c>
    </row>
    <row r="13" ht="45" customHeight="1">
      <c r="A13" s="4" t="inlineStr">
        <is>
          <t>obs</t>
        </is>
      </c>
      <c r="B13" s="4" t="inlineStr">
        <is>
          <t>x1</t>
        </is>
      </c>
      <c r="C13" s="4" t="inlineStr">
        <is>
          <t>x2</t>
        </is>
      </c>
      <c r="D13" s="4" t="inlineStr">
        <is>
          <t>y</t>
        </is>
      </c>
      <c r="E13" s="4" t="inlineStr">
        <is>
          <t>a1</t>
        </is>
      </c>
      <c r="F13" s="4" t="inlineStr">
        <is>
          <t>a2</t>
        </is>
      </c>
      <c r="G13" s="4" t="inlineStr">
        <is>
          <t>h1</t>
        </is>
      </c>
      <c r="H13" s="4" t="inlineStr">
        <is>
          <t>h2</t>
        </is>
      </c>
      <c r="I13" s="4" t="inlineStr">
        <is>
          <t>yhat</t>
        </is>
      </c>
      <c r="J13" s="4" t="inlineStr">
        <is>
          <t>e = yhat-y</t>
        </is>
      </c>
      <c r="K13" s="4" t="inlineStr">
        <is>
          <t>e^2/2</t>
        </is>
      </c>
      <c r="L13" s="4" t="inlineStr">
        <is>
          <t>dL/dv1 term = e*h1</t>
        </is>
      </c>
      <c r="M13" s="4" t="inlineStr">
        <is>
          <t>dL/dv2 term = e*h2</t>
        </is>
      </c>
      <c r="N13" s="4" t="inlineStr">
        <is>
          <t>dL/dc term = e</t>
        </is>
      </c>
      <c r="O13" s="4" t="inlineStr">
        <is>
          <t>g1 = e*v1*(1-h1^2)</t>
        </is>
      </c>
      <c r="P13" s="4" t="inlineStr">
        <is>
          <t>g2 = e*v2*(1-h2^2)</t>
        </is>
      </c>
      <c r="Q13" s="4" t="inlineStr">
        <is>
          <t>dL/dw11 term = g1*x1</t>
        </is>
      </c>
      <c r="R13" s="4" t="inlineStr">
        <is>
          <t>dL/dw21 term = g1*x2</t>
        </is>
      </c>
      <c r="S13" s="4" t="inlineStr">
        <is>
          <t>dL/db1 term = g1</t>
        </is>
      </c>
      <c r="T13" s="4" t="inlineStr">
        <is>
          <t>dL/dw12 term = g2*x1</t>
        </is>
      </c>
      <c r="U13" s="4" t="inlineStr">
        <is>
          <t>dL/dw22 term = g2*x2</t>
        </is>
      </c>
      <c r="V13" s="4" t="inlineStr">
        <is>
          <t>dL/db2 term = g2</t>
        </is>
      </c>
      <c r="W13" s="4" t="inlineStr">
        <is>
          <t>L at w11+eps (row terms)</t>
        </is>
      </c>
      <c r="X13" s="4" t="inlineStr">
        <is>
          <t>L at w11-eps (row terms)</t>
        </is>
      </c>
    </row>
    <row r="14">
      <c r="A14" s="9">
        <f>Data!A2</f>
        <v/>
      </c>
      <c r="B14" s="14">
        <f>Data!B2</f>
        <v/>
      </c>
      <c r="C14" s="14">
        <f>Data!C2</f>
        <v/>
      </c>
      <c r="D14" s="14">
        <f>Data!F2</f>
        <v/>
      </c>
      <c r="E14" s="10">
        <f>$B$6*B14+$C$6*C14+$D$6</f>
        <v/>
      </c>
      <c r="F14" s="10">
        <f>$E$6*B14+$F$6*C14+$G$6</f>
        <v/>
      </c>
      <c r="G14" s="10">
        <f>TANH(E14)</f>
        <v/>
      </c>
      <c r="H14" s="10">
        <f>TANH(F14)</f>
        <v/>
      </c>
      <c r="I14" s="10">
        <f>$J$6+$H$6*G14+$I$6*H14</f>
        <v/>
      </c>
      <c r="J14" s="10">
        <f>I14-D14</f>
        <v/>
      </c>
      <c r="K14" s="10">
        <f>J14^2/2</f>
        <v/>
      </c>
      <c r="L14" s="10">
        <f>J14*G14</f>
        <v/>
      </c>
      <c r="M14" s="10">
        <f>J14*H14</f>
        <v/>
      </c>
      <c r="N14" s="10">
        <f>J14</f>
        <v/>
      </c>
      <c r="O14" s="10">
        <f>J14*$H$6*(1-G14^2)</f>
        <v/>
      </c>
      <c r="P14" s="10">
        <f>J14*$I$6*(1-H14^2)</f>
        <v/>
      </c>
      <c r="Q14" s="10">
        <f>O14*B14</f>
        <v/>
      </c>
      <c r="R14" s="10">
        <f>O14*C14</f>
        <v/>
      </c>
      <c r="S14" s="10">
        <f>O14</f>
        <v/>
      </c>
      <c r="T14" s="10">
        <f>P14*B14</f>
        <v/>
      </c>
      <c r="U14" s="10">
        <f>P14*C14</f>
        <v/>
      </c>
      <c r="V14" s="10">
        <f>P14</f>
        <v/>
      </c>
      <c r="W14" s="18">
        <f>($J$6+$H$6*TANH(($B$6+$F$3)*B14+$C$6*C14+$D$6)+$I$6*H14-D14)^2/2</f>
        <v/>
      </c>
      <c r="X14" s="18">
        <f>($J$6+$H$6*TANH(($B$6-$F$3)*B14+$C$6*C14+$D$6)+$I$6*H14-D14)^2/2</f>
        <v/>
      </c>
    </row>
    <row r="15">
      <c r="A15" s="9">
        <f>Data!A3</f>
        <v/>
      </c>
      <c r="B15" s="14">
        <f>Data!B3</f>
        <v/>
      </c>
      <c r="C15" s="14">
        <f>Data!C3</f>
        <v/>
      </c>
      <c r="D15" s="14">
        <f>Data!F3</f>
        <v/>
      </c>
      <c r="E15" s="10">
        <f>$B$6*B15+$C$6*C15+$D$6</f>
        <v/>
      </c>
      <c r="F15" s="10">
        <f>$E$6*B15+$F$6*C15+$G$6</f>
        <v/>
      </c>
      <c r="G15" s="10">
        <f>TANH(E15)</f>
        <v/>
      </c>
      <c r="H15" s="10">
        <f>TANH(F15)</f>
        <v/>
      </c>
      <c r="I15" s="10">
        <f>$J$6+$H$6*G15+$I$6*H15</f>
        <v/>
      </c>
      <c r="J15" s="10">
        <f>I15-D15</f>
        <v/>
      </c>
      <c r="K15" s="10">
        <f>J15^2/2</f>
        <v/>
      </c>
      <c r="L15" s="10">
        <f>J15*G15</f>
        <v/>
      </c>
      <c r="M15" s="10">
        <f>J15*H15</f>
        <v/>
      </c>
      <c r="N15" s="10">
        <f>J15</f>
        <v/>
      </c>
      <c r="O15" s="10">
        <f>J15*$H$6*(1-G15^2)</f>
        <v/>
      </c>
      <c r="P15" s="10">
        <f>J15*$I$6*(1-H15^2)</f>
        <v/>
      </c>
      <c r="Q15" s="10">
        <f>O15*B15</f>
        <v/>
      </c>
      <c r="R15" s="10">
        <f>O15*C15</f>
        <v/>
      </c>
      <c r="S15" s="10">
        <f>O15</f>
        <v/>
      </c>
      <c r="T15" s="10">
        <f>P15*B15</f>
        <v/>
      </c>
      <c r="U15" s="10">
        <f>P15*C15</f>
        <v/>
      </c>
      <c r="V15" s="10">
        <f>P15</f>
        <v/>
      </c>
      <c r="W15" s="18">
        <f>($J$6+$H$6*TANH(($B$6+$F$3)*B15+$C$6*C15+$D$6)+$I$6*H15-D15)^2/2</f>
        <v/>
      </c>
      <c r="X15" s="18">
        <f>($J$6+$H$6*TANH(($B$6-$F$3)*B15+$C$6*C15+$D$6)+$I$6*H15-D15)^2/2</f>
        <v/>
      </c>
    </row>
    <row r="16">
      <c r="A16" s="9">
        <f>Data!A4</f>
        <v/>
      </c>
      <c r="B16" s="14">
        <f>Data!B4</f>
        <v/>
      </c>
      <c r="C16" s="14">
        <f>Data!C4</f>
        <v/>
      </c>
      <c r="D16" s="14">
        <f>Data!F4</f>
        <v/>
      </c>
      <c r="E16" s="10">
        <f>$B$6*B16+$C$6*C16+$D$6</f>
        <v/>
      </c>
      <c r="F16" s="10">
        <f>$E$6*B16+$F$6*C16+$G$6</f>
        <v/>
      </c>
      <c r="G16" s="10">
        <f>TANH(E16)</f>
        <v/>
      </c>
      <c r="H16" s="10">
        <f>TANH(F16)</f>
        <v/>
      </c>
      <c r="I16" s="10">
        <f>$J$6+$H$6*G16+$I$6*H16</f>
        <v/>
      </c>
      <c r="J16" s="10">
        <f>I16-D16</f>
        <v/>
      </c>
      <c r="K16" s="10">
        <f>J16^2/2</f>
        <v/>
      </c>
      <c r="L16" s="10">
        <f>J16*G16</f>
        <v/>
      </c>
      <c r="M16" s="10">
        <f>J16*H16</f>
        <v/>
      </c>
      <c r="N16" s="10">
        <f>J16</f>
        <v/>
      </c>
      <c r="O16" s="10">
        <f>J16*$H$6*(1-G16^2)</f>
        <v/>
      </c>
      <c r="P16" s="10">
        <f>J16*$I$6*(1-H16^2)</f>
        <v/>
      </c>
      <c r="Q16" s="10">
        <f>O16*B16</f>
        <v/>
      </c>
      <c r="R16" s="10">
        <f>O16*C16</f>
        <v/>
      </c>
      <c r="S16" s="10">
        <f>O16</f>
        <v/>
      </c>
      <c r="T16" s="10">
        <f>P16*B16</f>
        <v/>
      </c>
      <c r="U16" s="10">
        <f>P16*C16</f>
        <v/>
      </c>
      <c r="V16" s="10">
        <f>P16</f>
        <v/>
      </c>
      <c r="W16" s="18">
        <f>($J$6+$H$6*TANH(($B$6+$F$3)*B16+$C$6*C16+$D$6)+$I$6*H16-D16)^2/2</f>
        <v/>
      </c>
      <c r="X16" s="18">
        <f>($J$6+$H$6*TANH(($B$6-$F$3)*B16+$C$6*C16+$D$6)+$I$6*H16-D16)^2/2</f>
        <v/>
      </c>
    </row>
    <row r="17">
      <c r="A17" s="9">
        <f>Data!A5</f>
        <v/>
      </c>
      <c r="B17" s="14">
        <f>Data!B5</f>
        <v/>
      </c>
      <c r="C17" s="14">
        <f>Data!C5</f>
        <v/>
      </c>
      <c r="D17" s="14">
        <f>Data!F5</f>
        <v/>
      </c>
      <c r="E17" s="10">
        <f>$B$6*B17+$C$6*C17+$D$6</f>
        <v/>
      </c>
      <c r="F17" s="10">
        <f>$E$6*B17+$F$6*C17+$G$6</f>
        <v/>
      </c>
      <c r="G17" s="10">
        <f>TANH(E17)</f>
        <v/>
      </c>
      <c r="H17" s="10">
        <f>TANH(F17)</f>
        <v/>
      </c>
      <c r="I17" s="10">
        <f>$J$6+$H$6*G17+$I$6*H17</f>
        <v/>
      </c>
      <c r="J17" s="10">
        <f>I17-D17</f>
        <v/>
      </c>
      <c r="K17" s="10">
        <f>J17^2/2</f>
        <v/>
      </c>
      <c r="L17" s="10">
        <f>J17*G17</f>
        <v/>
      </c>
      <c r="M17" s="10">
        <f>J17*H17</f>
        <v/>
      </c>
      <c r="N17" s="10">
        <f>J17</f>
        <v/>
      </c>
      <c r="O17" s="10">
        <f>J17*$H$6*(1-G17^2)</f>
        <v/>
      </c>
      <c r="P17" s="10">
        <f>J17*$I$6*(1-H17^2)</f>
        <v/>
      </c>
      <c r="Q17" s="10">
        <f>O17*B17</f>
        <v/>
      </c>
      <c r="R17" s="10">
        <f>O17*C17</f>
        <v/>
      </c>
      <c r="S17" s="10">
        <f>O17</f>
        <v/>
      </c>
      <c r="T17" s="10">
        <f>P17*B17</f>
        <v/>
      </c>
      <c r="U17" s="10">
        <f>P17*C17</f>
        <v/>
      </c>
      <c r="V17" s="10">
        <f>P17</f>
        <v/>
      </c>
      <c r="W17" s="18">
        <f>($J$6+$H$6*TANH(($B$6+$F$3)*B17+$C$6*C17+$D$6)+$I$6*H17-D17)^2/2</f>
        <v/>
      </c>
      <c r="X17" s="18">
        <f>($J$6+$H$6*TANH(($B$6-$F$3)*B17+$C$6*C17+$D$6)+$I$6*H17-D17)^2/2</f>
        <v/>
      </c>
    </row>
    <row r="18">
      <c r="A18" s="9">
        <f>Data!A6</f>
        <v/>
      </c>
      <c r="B18" s="14">
        <f>Data!B6</f>
        <v/>
      </c>
      <c r="C18" s="14">
        <f>Data!C6</f>
        <v/>
      </c>
      <c r="D18" s="14">
        <f>Data!F6</f>
        <v/>
      </c>
      <c r="E18" s="10">
        <f>$B$6*B18+$C$6*C18+$D$6</f>
        <v/>
      </c>
      <c r="F18" s="10">
        <f>$E$6*B18+$F$6*C18+$G$6</f>
        <v/>
      </c>
      <c r="G18" s="10">
        <f>TANH(E18)</f>
        <v/>
      </c>
      <c r="H18" s="10">
        <f>TANH(F18)</f>
        <v/>
      </c>
      <c r="I18" s="10">
        <f>$J$6+$H$6*G18+$I$6*H18</f>
        <v/>
      </c>
      <c r="J18" s="10">
        <f>I18-D18</f>
        <v/>
      </c>
      <c r="K18" s="10">
        <f>J18^2/2</f>
        <v/>
      </c>
      <c r="L18" s="10">
        <f>J18*G18</f>
        <v/>
      </c>
      <c r="M18" s="10">
        <f>J18*H18</f>
        <v/>
      </c>
      <c r="N18" s="10">
        <f>J18</f>
        <v/>
      </c>
      <c r="O18" s="10">
        <f>J18*$H$6*(1-G18^2)</f>
        <v/>
      </c>
      <c r="P18" s="10">
        <f>J18*$I$6*(1-H18^2)</f>
        <v/>
      </c>
      <c r="Q18" s="10">
        <f>O18*B18</f>
        <v/>
      </c>
      <c r="R18" s="10">
        <f>O18*C18</f>
        <v/>
      </c>
      <c r="S18" s="10">
        <f>O18</f>
        <v/>
      </c>
      <c r="T18" s="10">
        <f>P18*B18</f>
        <v/>
      </c>
      <c r="U18" s="10">
        <f>P18*C18</f>
        <v/>
      </c>
      <c r="V18" s="10">
        <f>P18</f>
        <v/>
      </c>
      <c r="W18" s="18">
        <f>($J$6+$H$6*TANH(($B$6+$F$3)*B18+$C$6*C18+$D$6)+$I$6*H18-D18)^2/2</f>
        <v/>
      </c>
      <c r="X18" s="18">
        <f>($J$6+$H$6*TANH(($B$6-$F$3)*B18+$C$6*C18+$D$6)+$I$6*H18-D18)^2/2</f>
        <v/>
      </c>
    </row>
    <row r="19">
      <c r="A19" s="9">
        <f>Data!A7</f>
        <v/>
      </c>
      <c r="B19" s="14">
        <f>Data!B7</f>
        <v/>
      </c>
      <c r="C19" s="14">
        <f>Data!C7</f>
        <v/>
      </c>
      <c r="D19" s="14">
        <f>Data!F7</f>
        <v/>
      </c>
      <c r="E19" s="10">
        <f>$B$6*B19+$C$6*C19+$D$6</f>
        <v/>
      </c>
      <c r="F19" s="10">
        <f>$E$6*B19+$F$6*C19+$G$6</f>
        <v/>
      </c>
      <c r="G19" s="10">
        <f>TANH(E19)</f>
        <v/>
      </c>
      <c r="H19" s="10">
        <f>TANH(F19)</f>
        <v/>
      </c>
      <c r="I19" s="10">
        <f>$J$6+$H$6*G19+$I$6*H19</f>
        <v/>
      </c>
      <c r="J19" s="10">
        <f>I19-D19</f>
        <v/>
      </c>
      <c r="K19" s="10">
        <f>J19^2/2</f>
        <v/>
      </c>
      <c r="L19" s="10">
        <f>J19*G19</f>
        <v/>
      </c>
      <c r="M19" s="10">
        <f>J19*H19</f>
        <v/>
      </c>
      <c r="N19" s="10">
        <f>J19</f>
        <v/>
      </c>
      <c r="O19" s="10">
        <f>J19*$H$6*(1-G19^2)</f>
        <v/>
      </c>
      <c r="P19" s="10">
        <f>J19*$I$6*(1-H19^2)</f>
        <v/>
      </c>
      <c r="Q19" s="10">
        <f>O19*B19</f>
        <v/>
      </c>
      <c r="R19" s="10">
        <f>O19*C19</f>
        <v/>
      </c>
      <c r="S19" s="10">
        <f>O19</f>
        <v/>
      </c>
      <c r="T19" s="10">
        <f>P19*B19</f>
        <v/>
      </c>
      <c r="U19" s="10">
        <f>P19*C19</f>
        <v/>
      </c>
      <c r="V19" s="10">
        <f>P19</f>
        <v/>
      </c>
      <c r="W19" s="18">
        <f>($J$6+$H$6*TANH(($B$6+$F$3)*B19+$C$6*C19+$D$6)+$I$6*H19-D19)^2/2</f>
        <v/>
      </c>
      <c r="X19" s="18">
        <f>($J$6+$H$6*TANH(($B$6-$F$3)*B19+$C$6*C19+$D$6)+$I$6*H19-D19)^2/2</f>
        <v/>
      </c>
    </row>
    <row r="20">
      <c r="A20" s="7" t="inlineStr">
        <is>
          <t>mean</t>
        </is>
      </c>
      <c r="K20" s="19">
        <f>AVERAGE(K14:K19)</f>
        <v/>
      </c>
      <c r="L20" s="19">
        <f>AVERAGE(L14:L19)</f>
        <v/>
      </c>
      <c r="M20" s="19">
        <f>AVERAGE(M14:M19)</f>
        <v/>
      </c>
      <c r="N20" s="19">
        <f>AVERAGE(N14:N19)</f>
        <v/>
      </c>
      <c r="O20" s="19">
        <f>AVERAGE(O14:O19)</f>
        <v/>
      </c>
      <c r="P20" s="19">
        <f>AVERAGE(P14:P19)</f>
        <v/>
      </c>
      <c r="Q20" s="19">
        <f>AVERAGE(Q14:Q19)</f>
        <v/>
      </c>
      <c r="R20" s="19">
        <f>AVERAGE(R14:R19)</f>
        <v/>
      </c>
      <c r="S20" s="19">
        <f>AVERAGE(S14:S19)</f>
        <v/>
      </c>
      <c r="T20" s="19">
        <f>AVERAGE(T14:T19)</f>
        <v/>
      </c>
      <c r="U20" s="19">
        <f>AVERAGE(U14:U19)</f>
        <v/>
      </c>
      <c r="V20" s="19">
        <f>AVERAGE(V14:V19)</f>
        <v/>
      </c>
      <c r="W20" s="18">
        <f>AVERAGE(W14:W19)</f>
        <v/>
      </c>
      <c r="X20" s="18">
        <f>AVERAGE(X14:X19)</f>
        <v/>
      </c>
    </row>
    <row r="21">
      <c r="A21" s="12" t="inlineStr">
        <is>
          <t>finite-difference dL/dw11 = (L(+eps) - L(-eps)) / (2 eps), to compare with the analytic value in column Q of the mean row</t>
        </is>
      </c>
      <c r="Q21" s="20">
        <f>(W20-X20)/(2*$F$3)</f>
        <v/>
      </c>
    </row>
    <row r="24">
      <c r="A24" s="7" t="inlineStr">
        <is>
          <t>Step 1: parameters from row 7</t>
        </is>
      </c>
    </row>
    <row r="25" ht="45" customHeight="1">
      <c r="A25" s="4" t="inlineStr">
        <is>
          <t>obs</t>
        </is>
      </c>
      <c r="B25" s="4" t="inlineStr">
        <is>
          <t>x1</t>
        </is>
      </c>
      <c r="C25" s="4" t="inlineStr">
        <is>
          <t>x2</t>
        </is>
      </c>
      <c r="D25" s="4" t="inlineStr">
        <is>
          <t>y</t>
        </is>
      </c>
      <c r="E25" s="4" t="inlineStr">
        <is>
          <t>a1</t>
        </is>
      </c>
      <c r="F25" s="4" t="inlineStr">
        <is>
          <t>a2</t>
        </is>
      </c>
      <c r="G25" s="4" t="inlineStr">
        <is>
          <t>h1</t>
        </is>
      </c>
      <c r="H25" s="4" t="inlineStr">
        <is>
          <t>h2</t>
        </is>
      </c>
      <c r="I25" s="4" t="inlineStr">
        <is>
          <t>yhat</t>
        </is>
      </c>
      <c r="J25" s="4" t="inlineStr">
        <is>
          <t>e = yhat-y</t>
        </is>
      </c>
      <c r="K25" s="4" t="inlineStr">
        <is>
          <t>e^2/2</t>
        </is>
      </c>
      <c r="L25" s="4" t="inlineStr">
        <is>
          <t>dL/dv1 term = e*h1</t>
        </is>
      </c>
      <c r="M25" s="4" t="inlineStr">
        <is>
          <t>dL/dv2 term = e*h2</t>
        </is>
      </c>
      <c r="N25" s="4" t="inlineStr">
        <is>
          <t>dL/dc term = e</t>
        </is>
      </c>
      <c r="O25" s="4" t="inlineStr">
        <is>
          <t>g1 = e*v1*(1-h1^2)</t>
        </is>
      </c>
      <c r="P25" s="4" t="inlineStr">
        <is>
          <t>g2 = e*v2*(1-h2^2)</t>
        </is>
      </c>
      <c r="Q25" s="4" t="inlineStr">
        <is>
          <t>dL/dw11 term = g1*x1</t>
        </is>
      </c>
      <c r="R25" s="4" t="inlineStr">
        <is>
          <t>dL/dw21 term = g1*x2</t>
        </is>
      </c>
      <c r="S25" s="4" t="inlineStr">
        <is>
          <t>dL/db1 term = g1</t>
        </is>
      </c>
      <c r="T25" s="4" t="inlineStr">
        <is>
          <t>dL/dw12 term = g2*x1</t>
        </is>
      </c>
      <c r="U25" s="4" t="inlineStr">
        <is>
          <t>dL/dw22 term = g2*x2</t>
        </is>
      </c>
      <c r="V25" s="4" t="inlineStr">
        <is>
          <t>dL/db2 term = g2</t>
        </is>
      </c>
    </row>
    <row r="26">
      <c r="A26" s="9">
        <f>Data!A2</f>
        <v/>
      </c>
      <c r="B26" s="14">
        <f>Data!B2</f>
        <v/>
      </c>
      <c r="C26" s="14">
        <f>Data!C2</f>
        <v/>
      </c>
      <c r="D26" s="14">
        <f>Data!F2</f>
        <v/>
      </c>
      <c r="E26" s="10">
        <f>$B$7*B26+$C$7*C26+$D$7</f>
        <v/>
      </c>
      <c r="F26" s="10">
        <f>$E$7*B26+$F$7*C26+$G$7</f>
        <v/>
      </c>
      <c r="G26" s="10">
        <f>TANH(E26)</f>
        <v/>
      </c>
      <c r="H26" s="10">
        <f>TANH(F26)</f>
        <v/>
      </c>
      <c r="I26" s="10">
        <f>$J$7+$H$7*G26+$I$7*H26</f>
        <v/>
      </c>
      <c r="J26" s="10">
        <f>I26-D26</f>
        <v/>
      </c>
      <c r="K26" s="10">
        <f>J26^2/2</f>
        <v/>
      </c>
      <c r="L26" s="10">
        <f>J26*G26</f>
        <v/>
      </c>
      <c r="M26" s="10">
        <f>J26*H26</f>
        <v/>
      </c>
      <c r="N26" s="10">
        <f>J26</f>
        <v/>
      </c>
      <c r="O26" s="10">
        <f>J26*$H$7*(1-G26^2)</f>
        <v/>
      </c>
      <c r="P26" s="10">
        <f>J26*$I$7*(1-H26^2)</f>
        <v/>
      </c>
      <c r="Q26" s="10">
        <f>O26*B26</f>
        <v/>
      </c>
      <c r="R26" s="10">
        <f>O26*C26</f>
        <v/>
      </c>
      <c r="S26" s="10">
        <f>O26</f>
        <v/>
      </c>
      <c r="T26" s="10">
        <f>P26*B26</f>
        <v/>
      </c>
      <c r="U26" s="10">
        <f>P26*C26</f>
        <v/>
      </c>
      <c r="V26" s="10">
        <f>P26</f>
        <v/>
      </c>
    </row>
    <row r="27">
      <c r="A27" s="9">
        <f>Data!A3</f>
        <v/>
      </c>
      <c r="B27" s="14">
        <f>Data!B3</f>
        <v/>
      </c>
      <c r="C27" s="14">
        <f>Data!C3</f>
        <v/>
      </c>
      <c r="D27" s="14">
        <f>Data!F3</f>
        <v/>
      </c>
      <c r="E27" s="10">
        <f>$B$7*B27+$C$7*C27+$D$7</f>
        <v/>
      </c>
      <c r="F27" s="10">
        <f>$E$7*B27+$F$7*C27+$G$7</f>
        <v/>
      </c>
      <c r="G27" s="10">
        <f>TANH(E27)</f>
        <v/>
      </c>
      <c r="H27" s="10">
        <f>TANH(F27)</f>
        <v/>
      </c>
      <c r="I27" s="10">
        <f>$J$7+$H$7*G27+$I$7*H27</f>
        <v/>
      </c>
      <c r="J27" s="10">
        <f>I27-D27</f>
        <v/>
      </c>
      <c r="K27" s="10">
        <f>J27^2/2</f>
        <v/>
      </c>
      <c r="L27" s="10">
        <f>J27*G27</f>
        <v/>
      </c>
      <c r="M27" s="10">
        <f>J27*H27</f>
        <v/>
      </c>
      <c r="N27" s="10">
        <f>J27</f>
        <v/>
      </c>
      <c r="O27" s="10">
        <f>J27*$H$7*(1-G27^2)</f>
        <v/>
      </c>
      <c r="P27" s="10">
        <f>J27*$I$7*(1-H27^2)</f>
        <v/>
      </c>
      <c r="Q27" s="10">
        <f>O27*B27</f>
        <v/>
      </c>
      <c r="R27" s="10">
        <f>O27*C27</f>
        <v/>
      </c>
      <c r="S27" s="10">
        <f>O27</f>
        <v/>
      </c>
      <c r="T27" s="10">
        <f>P27*B27</f>
        <v/>
      </c>
      <c r="U27" s="10">
        <f>P27*C27</f>
        <v/>
      </c>
      <c r="V27" s="10">
        <f>P27</f>
        <v/>
      </c>
    </row>
    <row r="28">
      <c r="A28" s="9">
        <f>Data!A4</f>
        <v/>
      </c>
      <c r="B28" s="14">
        <f>Data!B4</f>
        <v/>
      </c>
      <c r="C28" s="14">
        <f>Data!C4</f>
        <v/>
      </c>
      <c r="D28" s="14">
        <f>Data!F4</f>
        <v/>
      </c>
      <c r="E28" s="10">
        <f>$B$7*B28+$C$7*C28+$D$7</f>
        <v/>
      </c>
      <c r="F28" s="10">
        <f>$E$7*B28+$F$7*C28+$G$7</f>
        <v/>
      </c>
      <c r="G28" s="10">
        <f>TANH(E28)</f>
        <v/>
      </c>
      <c r="H28" s="10">
        <f>TANH(F28)</f>
        <v/>
      </c>
      <c r="I28" s="10">
        <f>$J$7+$H$7*G28+$I$7*H28</f>
        <v/>
      </c>
      <c r="J28" s="10">
        <f>I28-D28</f>
        <v/>
      </c>
      <c r="K28" s="10">
        <f>J28^2/2</f>
        <v/>
      </c>
      <c r="L28" s="10">
        <f>J28*G28</f>
        <v/>
      </c>
      <c r="M28" s="10">
        <f>J28*H28</f>
        <v/>
      </c>
      <c r="N28" s="10">
        <f>J28</f>
        <v/>
      </c>
      <c r="O28" s="10">
        <f>J28*$H$7*(1-G28^2)</f>
        <v/>
      </c>
      <c r="P28" s="10">
        <f>J28*$I$7*(1-H28^2)</f>
        <v/>
      </c>
      <c r="Q28" s="10">
        <f>O28*B28</f>
        <v/>
      </c>
      <c r="R28" s="10">
        <f>O28*C28</f>
        <v/>
      </c>
      <c r="S28" s="10">
        <f>O28</f>
        <v/>
      </c>
      <c r="T28" s="10">
        <f>P28*B28</f>
        <v/>
      </c>
      <c r="U28" s="10">
        <f>P28*C28</f>
        <v/>
      </c>
      <c r="V28" s="10">
        <f>P28</f>
        <v/>
      </c>
    </row>
    <row r="29">
      <c r="A29" s="9">
        <f>Data!A5</f>
        <v/>
      </c>
      <c r="B29" s="14">
        <f>Data!B5</f>
        <v/>
      </c>
      <c r="C29" s="14">
        <f>Data!C5</f>
        <v/>
      </c>
      <c r="D29" s="14">
        <f>Data!F5</f>
        <v/>
      </c>
      <c r="E29" s="10">
        <f>$B$7*B29+$C$7*C29+$D$7</f>
        <v/>
      </c>
      <c r="F29" s="10">
        <f>$E$7*B29+$F$7*C29+$G$7</f>
        <v/>
      </c>
      <c r="G29" s="10">
        <f>TANH(E29)</f>
        <v/>
      </c>
      <c r="H29" s="10">
        <f>TANH(F29)</f>
        <v/>
      </c>
      <c r="I29" s="10">
        <f>$J$7+$H$7*G29+$I$7*H29</f>
        <v/>
      </c>
      <c r="J29" s="10">
        <f>I29-D29</f>
        <v/>
      </c>
      <c r="K29" s="10">
        <f>J29^2/2</f>
        <v/>
      </c>
      <c r="L29" s="10">
        <f>J29*G29</f>
        <v/>
      </c>
      <c r="M29" s="10">
        <f>J29*H29</f>
        <v/>
      </c>
      <c r="N29" s="10">
        <f>J29</f>
        <v/>
      </c>
      <c r="O29" s="10">
        <f>J29*$H$7*(1-G29^2)</f>
        <v/>
      </c>
      <c r="P29" s="10">
        <f>J29*$I$7*(1-H29^2)</f>
        <v/>
      </c>
      <c r="Q29" s="10">
        <f>O29*B29</f>
        <v/>
      </c>
      <c r="R29" s="10">
        <f>O29*C29</f>
        <v/>
      </c>
      <c r="S29" s="10">
        <f>O29</f>
        <v/>
      </c>
      <c r="T29" s="10">
        <f>P29*B29</f>
        <v/>
      </c>
      <c r="U29" s="10">
        <f>P29*C29</f>
        <v/>
      </c>
      <c r="V29" s="10">
        <f>P29</f>
        <v/>
      </c>
    </row>
    <row r="30">
      <c r="A30" s="9">
        <f>Data!A6</f>
        <v/>
      </c>
      <c r="B30" s="14">
        <f>Data!B6</f>
        <v/>
      </c>
      <c r="C30" s="14">
        <f>Data!C6</f>
        <v/>
      </c>
      <c r="D30" s="14">
        <f>Data!F6</f>
        <v/>
      </c>
      <c r="E30" s="10">
        <f>$B$7*B30+$C$7*C30+$D$7</f>
        <v/>
      </c>
      <c r="F30" s="10">
        <f>$E$7*B30+$F$7*C30+$G$7</f>
        <v/>
      </c>
      <c r="G30" s="10">
        <f>TANH(E30)</f>
        <v/>
      </c>
      <c r="H30" s="10">
        <f>TANH(F30)</f>
        <v/>
      </c>
      <c r="I30" s="10">
        <f>$J$7+$H$7*G30+$I$7*H30</f>
        <v/>
      </c>
      <c r="J30" s="10">
        <f>I30-D30</f>
        <v/>
      </c>
      <c r="K30" s="10">
        <f>J30^2/2</f>
        <v/>
      </c>
      <c r="L30" s="10">
        <f>J30*G30</f>
        <v/>
      </c>
      <c r="M30" s="10">
        <f>J30*H30</f>
        <v/>
      </c>
      <c r="N30" s="10">
        <f>J30</f>
        <v/>
      </c>
      <c r="O30" s="10">
        <f>J30*$H$7*(1-G30^2)</f>
        <v/>
      </c>
      <c r="P30" s="10">
        <f>J30*$I$7*(1-H30^2)</f>
        <v/>
      </c>
      <c r="Q30" s="10">
        <f>O30*B30</f>
        <v/>
      </c>
      <c r="R30" s="10">
        <f>O30*C30</f>
        <v/>
      </c>
      <c r="S30" s="10">
        <f>O30</f>
        <v/>
      </c>
      <c r="T30" s="10">
        <f>P30*B30</f>
        <v/>
      </c>
      <c r="U30" s="10">
        <f>P30*C30</f>
        <v/>
      </c>
      <c r="V30" s="10">
        <f>P30</f>
        <v/>
      </c>
    </row>
    <row r="31">
      <c r="A31" s="9">
        <f>Data!A7</f>
        <v/>
      </c>
      <c r="B31" s="14">
        <f>Data!B7</f>
        <v/>
      </c>
      <c r="C31" s="14">
        <f>Data!C7</f>
        <v/>
      </c>
      <c r="D31" s="14">
        <f>Data!F7</f>
        <v/>
      </c>
      <c r="E31" s="10">
        <f>$B$7*B31+$C$7*C31+$D$7</f>
        <v/>
      </c>
      <c r="F31" s="10">
        <f>$E$7*B31+$F$7*C31+$G$7</f>
        <v/>
      </c>
      <c r="G31" s="10">
        <f>TANH(E31)</f>
        <v/>
      </c>
      <c r="H31" s="10">
        <f>TANH(F31)</f>
        <v/>
      </c>
      <c r="I31" s="10">
        <f>$J$7+$H$7*G31+$I$7*H31</f>
        <v/>
      </c>
      <c r="J31" s="10">
        <f>I31-D31</f>
        <v/>
      </c>
      <c r="K31" s="10">
        <f>J31^2/2</f>
        <v/>
      </c>
      <c r="L31" s="10">
        <f>J31*G31</f>
        <v/>
      </c>
      <c r="M31" s="10">
        <f>J31*H31</f>
        <v/>
      </c>
      <c r="N31" s="10">
        <f>J31</f>
        <v/>
      </c>
      <c r="O31" s="10">
        <f>J31*$H$7*(1-G31^2)</f>
        <v/>
      </c>
      <c r="P31" s="10">
        <f>J31*$I$7*(1-H31^2)</f>
        <v/>
      </c>
      <c r="Q31" s="10">
        <f>O31*B31</f>
        <v/>
      </c>
      <c r="R31" s="10">
        <f>O31*C31</f>
        <v/>
      </c>
      <c r="S31" s="10">
        <f>O31</f>
        <v/>
      </c>
      <c r="T31" s="10">
        <f>P31*B31</f>
        <v/>
      </c>
      <c r="U31" s="10">
        <f>P31*C31</f>
        <v/>
      </c>
      <c r="V31" s="10">
        <f>P31</f>
        <v/>
      </c>
    </row>
    <row r="32">
      <c r="A32" s="7" t="inlineStr">
        <is>
          <t>mean</t>
        </is>
      </c>
      <c r="K32" s="19">
        <f>AVERAGE(K26:K31)</f>
        <v/>
      </c>
      <c r="L32" s="19">
        <f>AVERAGE(L26:L31)</f>
        <v/>
      </c>
      <c r="M32" s="19">
        <f>AVERAGE(M26:M31)</f>
        <v/>
      </c>
      <c r="N32" s="19">
        <f>AVERAGE(N26:N31)</f>
        <v/>
      </c>
      <c r="O32" s="19">
        <f>AVERAGE(O26:O31)</f>
        <v/>
      </c>
      <c r="P32" s="19">
        <f>AVERAGE(P26:P31)</f>
        <v/>
      </c>
      <c r="Q32" s="19">
        <f>AVERAGE(Q26:Q31)</f>
        <v/>
      </c>
      <c r="R32" s="19">
        <f>AVERAGE(R26:R31)</f>
        <v/>
      </c>
      <c r="S32" s="19">
        <f>AVERAGE(S26:S31)</f>
        <v/>
      </c>
      <c r="T32" s="19">
        <f>AVERAGE(T26:T31)</f>
        <v/>
      </c>
      <c r="U32" s="19">
        <f>AVERAGE(U26:U31)</f>
        <v/>
      </c>
      <c r="V32" s="19">
        <f>AVERAGE(V26:V31)</f>
        <v/>
      </c>
    </row>
    <row r="36">
      <c r="A36" s="7" t="inlineStr">
        <is>
          <t>Step 2: parameters from row 8</t>
        </is>
      </c>
    </row>
    <row r="37" ht="45" customHeight="1">
      <c r="A37" s="4" t="inlineStr">
        <is>
          <t>obs</t>
        </is>
      </c>
      <c r="B37" s="4" t="inlineStr">
        <is>
          <t>x1</t>
        </is>
      </c>
      <c r="C37" s="4" t="inlineStr">
        <is>
          <t>x2</t>
        </is>
      </c>
      <c r="D37" s="4" t="inlineStr">
        <is>
          <t>y</t>
        </is>
      </c>
      <c r="E37" s="4" t="inlineStr">
        <is>
          <t>a1</t>
        </is>
      </c>
      <c r="F37" s="4" t="inlineStr">
        <is>
          <t>a2</t>
        </is>
      </c>
      <c r="G37" s="4" t="inlineStr">
        <is>
          <t>h1</t>
        </is>
      </c>
      <c r="H37" s="4" t="inlineStr">
        <is>
          <t>h2</t>
        </is>
      </c>
      <c r="I37" s="4" t="inlineStr">
        <is>
          <t>yhat</t>
        </is>
      </c>
      <c r="J37" s="4" t="inlineStr">
        <is>
          <t>e = yhat-y</t>
        </is>
      </c>
      <c r="K37" s="4" t="inlineStr">
        <is>
          <t>e^2/2</t>
        </is>
      </c>
      <c r="L37" s="4" t="inlineStr">
        <is>
          <t>dL/dv1 term = e*h1</t>
        </is>
      </c>
      <c r="M37" s="4" t="inlineStr">
        <is>
          <t>dL/dv2 term = e*h2</t>
        </is>
      </c>
      <c r="N37" s="4" t="inlineStr">
        <is>
          <t>dL/dc term = e</t>
        </is>
      </c>
      <c r="O37" s="4" t="inlineStr">
        <is>
          <t>g1 = e*v1*(1-h1^2)</t>
        </is>
      </c>
      <c r="P37" s="4" t="inlineStr">
        <is>
          <t>g2 = e*v2*(1-h2^2)</t>
        </is>
      </c>
      <c r="Q37" s="4" t="inlineStr">
        <is>
          <t>dL/dw11 term = g1*x1</t>
        </is>
      </c>
      <c r="R37" s="4" t="inlineStr">
        <is>
          <t>dL/dw21 term = g1*x2</t>
        </is>
      </c>
      <c r="S37" s="4" t="inlineStr">
        <is>
          <t>dL/db1 term = g1</t>
        </is>
      </c>
      <c r="T37" s="4" t="inlineStr">
        <is>
          <t>dL/dw12 term = g2*x1</t>
        </is>
      </c>
      <c r="U37" s="4" t="inlineStr">
        <is>
          <t>dL/dw22 term = g2*x2</t>
        </is>
      </c>
      <c r="V37" s="4" t="inlineStr">
        <is>
          <t>dL/db2 term = g2</t>
        </is>
      </c>
    </row>
    <row r="38">
      <c r="A38" s="9">
        <f>Data!A2</f>
        <v/>
      </c>
      <c r="B38" s="14">
        <f>Data!B2</f>
        <v/>
      </c>
      <c r="C38" s="14">
        <f>Data!C2</f>
        <v/>
      </c>
      <c r="D38" s="14">
        <f>Data!F2</f>
        <v/>
      </c>
      <c r="E38" s="10">
        <f>$B$8*B38+$C$8*C38+$D$8</f>
        <v/>
      </c>
      <c r="F38" s="10">
        <f>$E$8*B38+$F$8*C38+$G$8</f>
        <v/>
      </c>
      <c r="G38" s="10">
        <f>TANH(E38)</f>
        <v/>
      </c>
      <c r="H38" s="10">
        <f>TANH(F38)</f>
        <v/>
      </c>
      <c r="I38" s="10">
        <f>$J$8+$H$8*G38+$I$8*H38</f>
        <v/>
      </c>
      <c r="J38" s="10">
        <f>I38-D38</f>
        <v/>
      </c>
      <c r="K38" s="10">
        <f>J38^2/2</f>
        <v/>
      </c>
      <c r="L38" s="10">
        <f>J38*G38</f>
        <v/>
      </c>
      <c r="M38" s="10">
        <f>J38*H38</f>
        <v/>
      </c>
      <c r="N38" s="10">
        <f>J38</f>
        <v/>
      </c>
      <c r="O38" s="10">
        <f>J38*$H$8*(1-G38^2)</f>
        <v/>
      </c>
      <c r="P38" s="10">
        <f>J38*$I$8*(1-H38^2)</f>
        <v/>
      </c>
      <c r="Q38" s="10">
        <f>O38*B38</f>
        <v/>
      </c>
      <c r="R38" s="10">
        <f>O38*C38</f>
        <v/>
      </c>
      <c r="S38" s="10">
        <f>O38</f>
        <v/>
      </c>
      <c r="T38" s="10">
        <f>P38*B38</f>
        <v/>
      </c>
      <c r="U38" s="10">
        <f>P38*C38</f>
        <v/>
      </c>
      <c r="V38" s="10">
        <f>P38</f>
        <v/>
      </c>
    </row>
    <row r="39">
      <c r="A39" s="9">
        <f>Data!A3</f>
        <v/>
      </c>
      <c r="B39" s="14">
        <f>Data!B3</f>
        <v/>
      </c>
      <c r="C39" s="14">
        <f>Data!C3</f>
        <v/>
      </c>
      <c r="D39" s="14">
        <f>Data!F3</f>
        <v/>
      </c>
      <c r="E39" s="10">
        <f>$B$8*B39+$C$8*C39+$D$8</f>
        <v/>
      </c>
      <c r="F39" s="10">
        <f>$E$8*B39+$F$8*C39+$G$8</f>
        <v/>
      </c>
      <c r="G39" s="10">
        <f>TANH(E39)</f>
        <v/>
      </c>
      <c r="H39" s="10">
        <f>TANH(F39)</f>
        <v/>
      </c>
      <c r="I39" s="10">
        <f>$J$8+$H$8*G39+$I$8*H39</f>
        <v/>
      </c>
      <c r="J39" s="10">
        <f>I39-D39</f>
        <v/>
      </c>
      <c r="K39" s="10">
        <f>J39^2/2</f>
        <v/>
      </c>
      <c r="L39" s="10">
        <f>J39*G39</f>
        <v/>
      </c>
      <c r="M39" s="10">
        <f>J39*H39</f>
        <v/>
      </c>
      <c r="N39" s="10">
        <f>J39</f>
        <v/>
      </c>
      <c r="O39" s="10">
        <f>J39*$H$8*(1-G39^2)</f>
        <v/>
      </c>
      <c r="P39" s="10">
        <f>J39*$I$8*(1-H39^2)</f>
        <v/>
      </c>
      <c r="Q39" s="10">
        <f>O39*B39</f>
        <v/>
      </c>
      <c r="R39" s="10">
        <f>O39*C39</f>
        <v/>
      </c>
      <c r="S39" s="10">
        <f>O39</f>
        <v/>
      </c>
      <c r="T39" s="10">
        <f>P39*B39</f>
        <v/>
      </c>
      <c r="U39" s="10">
        <f>P39*C39</f>
        <v/>
      </c>
      <c r="V39" s="10">
        <f>P39</f>
        <v/>
      </c>
    </row>
    <row r="40">
      <c r="A40" s="9">
        <f>Data!A4</f>
        <v/>
      </c>
      <c r="B40" s="14">
        <f>Data!B4</f>
        <v/>
      </c>
      <c r="C40" s="14">
        <f>Data!C4</f>
        <v/>
      </c>
      <c r="D40" s="14">
        <f>Data!F4</f>
        <v/>
      </c>
      <c r="E40" s="10">
        <f>$B$8*B40+$C$8*C40+$D$8</f>
        <v/>
      </c>
      <c r="F40" s="10">
        <f>$E$8*B40+$F$8*C40+$G$8</f>
        <v/>
      </c>
      <c r="G40" s="10">
        <f>TANH(E40)</f>
        <v/>
      </c>
      <c r="H40" s="10">
        <f>TANH(F40)</f>
        <v/>
      </c>
      <c r="I40" s="10">
        <f>$J$8+$H$8*G40+$I$8*H40</f>
        <v/>
      </c>
      <c r="J40" s="10">
        <f>I40-D40</f>
        <v/>
      </c>
      <c r="K40" s="10">
        <f>J40^2/2</f>
        <v/>
      </c>
      <c r="L40" s="10">
        <f>J40*G40</f>
        <v/>
      </c>
      <c r="M40" s="10">
        <f>J40*H40</f>
        <v/>
      </c>
      <c r="N40" s="10">
        <f>J40</f>
        <v/>
      </c>
      <c r="O40" s="10">
        <f>J40*$H$8*(1-G40^2)</f>
        <v/>
      </c>
      <c r="P40" s="10">
        <f>J40*$I$8*(1-H40^2)</f>
        <v/>
      </c>
      <c r="Q40" s="10">
        <f>O40*B40</f>
        <v/>
      </c>
      <c r="R40" s="10">
        <f>O40*C40</f>
        <v/>
      </c>
      <c r="S40" s="10">
        <f>O40</f>
        <v/>
      </c>
      <c r="T40" s="10">
        <f>P40*B40</f>
        <v/>
      </c>
      <c r="U40" s="10">
        <f>P40*C40</f>
        <v/>
      </c>
      <c r="V40" s="10">
        <f>P40</f>
        <v/>
      </c>
    </row>
    <row r="41">
      <c r="A41" s="9">
        <f>Data!A5</f>
        <v/>
      </c>
      <c r="B41" s="14">
        <f>Data!B5</f>
        <v/>
      </c>
      <c r="C41" s="14">
        <f>Data!C5</f>
        <v/>
      </c>
      <c r="D41" s="14">
        <f>Data!F5</f>
        <v/>
      </c>
      <c r="E41" s="10">
        <f>$B$8*B41+$C$8*C41+$D$8</f>
        <v/>
      </c>
      <c r="F41" s="10">
        <f>$E$8*B41+$F$8*C41+$G$8</f>
        <v/>
      </c>
      <c r="G41" s="10">
        <f>TANH(E41)</f>
        <v/>
      </c>
      <c r="H41" s="10">
        <f>TANH(F41)</f>
        <v/>
      </c>
      <c r="I41" s="10">
        <f>$J$8+$H$8*G41+$I$8*H41</f>
        <v/>
      </c>
      <c r="J41" s="10">
        <f>I41-D41</f>
        <v/>
      </c>
      <c r="K41" s="10">
        <f>J41^2/2</f>
        <v/>
      </c>
      <c r="L41" s="10">
        <f>J41*G41</f>
        <v/>
      </c>
      <c r="M41" s="10">
        <f>J41*H41</f>
        <v/>
      </c>
      <c r="N41" s="10">
        <f>J41</f>
        <v/>
      </c>
      <c r="O41" s="10">
        <f>J41*$H$8*(1-G41^2)</f>
        <v/>
      </c>
      <c r="P41" s="10">
        <f>J41*$I$8*(1-H41^2)</f>
        <v/>
      </c>
      <c r="Q41" s="10">
        <f>O41*B41</f>
        <v/>
      </c>
      <c r="R41" s="10">
        <f>O41*C41</f>
        <v/>
      </c>
      <c r="S41" s="10">
        <f>O41</f>
        <v/>
      </c>
      <c r="T41" s="10">
        <f>P41*B41</f>
        <v/>
      </c>
      <c r="U41" s="10">
        <f>P41*C41</f>
        <v/>
      </c>
      <c r="V41" s="10">
        <f>P41</f>
        <v/>
      </c>
    </row>
    <row r="42">
      <c r="A42" s="9">
        <f>Data!A6</f>
        <v/>
      </c>
      <c r="B42" s="14">
        <f>Data!B6</f>
        <v/>
      </c>
      <c r="C42" s="14">
        <f>Data!C6</f>
        <v/>
      </c>
      <c r="D42" s="14">
        <f>Data!F6</f>
        <v/>
      </c>
      <c r="E42" s="10">
        <f>$B$8*B42+$C$8*C42+$D$8</f>
        <v/>
      </c>
      <c r="F42" s="10">
        <f>$E$8*B42+$F$8*C42+$G$8</f>
        <v/>
      </c>
      <c r="G42" s="10">
        <f>TANH(E42)</f>
        <v/>
      </c>
      <c r="H42" s="10">
        <f>TANH(F42)</f>
        <v/>
      </c>
      <c r="I42" s="10">
        <f>$J$8+$H$8*G42+$I$8*H42</f>
        <v/>
      </c>
      <c r="J42" s="10">
        <f>I42-D42</f>
        <v/>
      </c>
      <c r="K42" s="10">
        <f>J42^2/2</f>
        <v/>
      </c>
      <c r="L42" s="10">
        <f>J42*G42</f>
        <v/>
      </c>
      <c r="M42" s="10">
        <f>J42*H42</f>
        <v/>
      </c>
      <c r="N42" s="10">
        <f>J42</f>
        <v/>
      </c>
      <c r="O42" s="10">
        <f>J42*$H$8*(1-G42^2)</f>
        <v/>
      </c>
      <c r="P42" s="10">
        <f>J42*$I$8*(1-H42^2)</f>
        <v/>
      </c>
      <c r="Q42" s="10">
        <f>O42*B42</f>
        <v/>
      </c>
      <c r="R42" s="10">
        <f>O42*C42</f>
        <v/>
      </c>
      <c r="S42" s="10">
        <f>O42</f>
        <v/>
      </c>
      <c r="T42" s="10">
        <f>P42*B42</f>
        <v/>
      </c>
      <c r="U42" s="10">
        <f>P42*C42</f>
        <v/>
      </c>
      <c r="V42" s="10">
        <f>P42</f>
        <v/>
      </c>
    </row>
    <row r="43">
      <c r="A43" s="9">
        <f>Data!A7</f>
        <v/>
      </c>
      <c r="B43" s="14">
        <f>Data!B7</f>
        <v/>
      </c>
      <c r="C43" s="14">
        <f>Data!C7</f>
        <v/>
      </c>
      <c r="D43" s="14">
        <f>Data!F7</f>
        <v/>
      </c>
      <c r="E43" s="10">
        <f>$B$8*B43+$C$8*C43+$D$8</f>
        <v/>
      </c>
      <c r="F43" s="10">
        <f>$E$8*B43+$F$8*C43+$G$8</f>
        <v/>
      </c>
      <c r="G43" s="10">
        <f>TANH(E43)</f>
        <v/>
      </c>
      <c r="H43" s="10">
        <f>TANH(F43)</f>
        <v/>
      </c>
      <c r="I43" s="10">
        <f>$J$8+$H$8*G43+$I$8*H43</f>
        <v/>
      </c>
      <c r="J43" s="10">
        <f>I43-D43</f>
        <v/>
      </c>
      <c r="K43" s="10">
        <f>J43^2/2</f>
        <v/>
      </c>
      <c r="L43" s="10">
        <f>J43*G43</f>
        <v/>
      </c>
      <c r="M43" s="10">
        <f>J43*H43</f>
        <v/>
      </c>
      <c r="N43" s="10">
        <f>J43</f>
        <v/>
      </c>
      <c r="O43" s="10">
        <f>J43*$H$8*(1-G43^2)</f>
        <v/>
      </c>
      <c r="P43" s="10">
        <f>J43*$I$8*(1-H43^2)</f>
        <v/>
      </c>
      <c r="Q43" s="10">
        <f>O43*B43</f>
        <v/>
      </c>
      <c r="R43" s="10">
        <f>O43*C43</f>
        <v/>
      </c>
      <c r="S43" s="10">
        <f>O43</f>
        <v/>
      </c>
      <c r="T43" s="10">
        <f>P43*B43</f>
        <v/>
      </c>
      <c r="U43" s="10">
        <f>P43*C43</f>
        <v/>
      </c>
      <c r="V43" s="10">
        <f>P43</f>
        <v/>
      </c>
    </row>
    <row r="44">
      <c r="A44" s="7" t="inlineStr">
        <is>
          <t>mean</t>
        </is>
      </c>
      <c r="K44" s="19">
        <f>AVERAGE(K38:K43)</f>
        <v/>
      </c>
      <c r="L44" s="19">
        <f>AVERAGE(L38:L43)</f>
        <v/>
      </c>
      <c r="M44" s="19">
        <f>AVERAGE(M38:M43)</f>
        <v/>
      </c>
      <c r="N44" s="19">
        <f>AVERAGE(N38:N43)</f>
        <v/>
      </c>
      <c r="O44" s="19">
        <f>AVERAGE(O38:O43)</f>
        <v/>
      </c>
      <c r="P44" s="19">
        <f>AVERAGE(P38:P43)</f>
        <v/>
      </c>
      <c r="Q44" s="19">
        <f>AVERAGE(Q38:Q43)</f>
        <v/>
      </c>
      <c r="R44" s="19">
        <f>AVERAGE(R38:R43)</f>
        <v/>
      </c>
      <c r="S44" s="19">
        <f>AVERAGE(S38:S43)</f>
        <v/>
      </c>
      <c r="T44" s="19">
        <f>AVERAGE(T38:T43)</f>
        <v/>
      </c>
      <c r="U44" s="19">
        <f>AVERAGE(U38:U43)</f>
        <v/>
      </c>
      <c r="V44" s="19">
        <f>AVERAGE(V38:V43)</f>
        <v/>
      </c>
    </row>
    <row r="48">
      <c r="A48" s="7" t="inlineStr">
        <is>
          <t>Step 3: parameters from row 9</t>
        </is>
      </c>
    </row>
    <row r="49" ht="45" customHeight="1">
      <c r="A49" s="4" t="inlineStr">
        <is>
          <t>obs</t>
        </is>
      </c>
      <c r="B49" s="4" t="inlineStr">
        <is>
          <t>x1</t>
        </is>
      </c>
      <c r="C49" s="4" t="inlineStr">
        <is>
          <t>x2</t>
        </is>
      </c>
      <c r="D49" s="4" t="inlineStr">
        <is>
          <t>y</t>
        </is>
      </c>
      <c r="E49" s="4" t="inlineStr">
        <is>
          <t>a1</t>
        </is>
      </c>
      <c r="F49" s="4" t="inlineStr">
        <is>
          <t>a2</t>
        </is>
      </c>
      <c r="G49" s="4" t="inlineStr">
        <is>
          <t>h1</t>
        </is>
      </c>
      <c r="H49" s="4" t="inlineStr">
        <is>
          <t>h2</t>
        </is>
      </c>
      <c r="I49" s="4" t="inlineStr">
        <is>
          <t>yhat</t>
        </is>
      </c>
      <c r="J49" s="4" t="inlineStr">
        <is>
          <t>e = yhat-y</t>
        </is>
      </c>
      <c r="K49" s="4" t="inlineStr">
        <is>
          <t>e^2/2</t>
        </is>
      </c>
      <c r="L49" s="4" t="inlineStr">
        <is>
          <t>dL/dv1 term = e*h1</t>
        </is>
      </c>
      <c r="M49" s="4" t="inlineStr">
        <is>
          <t>dL/dv2 term = e*h2</t>
        </is>
      </c>
      <c r="N49" s="4" t="inlineStr">
        <is>
          <t>dL/dc term = e</t>
        </is>
      </c>
      <c r="O49" s="4" t="inlineStr">
        <is>
          <t>g1 = e*v1*(1-h1^2)</t>
        </is>
      </c>
      <c r="P49" s="4" t="inlineStr">
        <is>
          <t>g2 = e*v2*(1-h2^2)</t>
        </is>
      </c>
      <c r="Q49" s="4" t="inlineStr">
        <is>
          <t>dL/dw11 term = g1*x1</t>
        </is>
      </c>
      <c r="R49" s="4" t="inlineStr">
        <is>
          <t>dL/dw21 term = g1*x2</t>
        </is>
      </c>
      <c r="S49" s="4" t="inlineStr">
        <is>
          <t>dL/db1 term = g1</t>
        </is>
      </c>
      <c r="T49" s="4" t="inlineStr">
        <is>
          <t>dL/dw12 term = g2*x1</t>
        </is>
      </c>
      <c r="U49" s="4" t="inlineStr">
        <is>
          <t>dL/dw22 term = g2*x2</t>
        </is>
      </c>
      <c r="V49" s="4" t="inlineStr">
        <is>
          <t>dL/db2 term = g2</t>
        </is>
      </c>
    </row>
    <row r="50">
      <c r="A50" s="9">
        <f>Data!A2</f>
        <v/>
      </c>
      <c r="B50" s="14">
        <f>Data!B2</f>
        <v/>
      </c>
      <c r="C50" s="14">
        <f>Data!C2</f>
        <v/>
      </c>
      <c r="D50" s="14">
        <f>Data!F2</f>
        <v/>
      </c>
      <c r="E50" s="10">
        <f>$B$9*B50+$C$9*C50+$D$9</f>
        <v/>
      </c>
      <c r="F50" s="10">
        <f>$E$9*B50+$F$9*C50+$G$9</f>
        <v/>
      </c>
      <c r="G50" s="10">
        <f>TANH(E50)</f>
        <v/>
      </c>
      <c r="H50" s="10">
        <f>TANH(F50)</f>
        <v/>
      </c>
      <c r="I50" s="10">
        <f>$J$9+$H$9*G50+$I$9*H50</f>
        <v/>
      </c>
      <c r="J50" s="10">
        <f>I50-D50</f>
        <v/>
      </c>
      <c r="K50" s="10">
        <f>J50^2/2</f>
        <v/>
      </c>
      <c r="L50" s="10">
        <f>J50*G50</f>
        <v/>
      </c>
      <c r="M50" s="10">
        <f>J50*H50</f>
        <v/>
      </c>
      <c r="N50" s="10">
        <f>J50</f>
        <v/>
      </c>
      <c r="O50" s="10">
        <f>J50*$H$9*(1-G50^2)</f>
        <v/>
      </c>
      <c r="P50" s="10">
        <f>J50*$I$9*(1-H50^2)</f>
        <v/>
      </c>
      <c r="Q50" s="10">
        <f>O50*B50</f>
        <v/>
      </c>
      <c r="R50" s="10">
        <f>O50*C50</f>
        <v/>
      </c>
      <c r="S50" s="10">
        <f>O50</f>
        <v/>
      </c>
      <c r="T50" s="10">
        <f>P50*B50</f>
        <v/>
      </c>
      <c r="U50" s="10">
        <f>P50*C50</f>
        <v/>
      </c>
      <c r="V50" s="10">
        <f>P50</f>
        <v/>
      </c>
    </row>
    <row r="51">
      <c r="A51" s="9">
        <f>Data!A3</f>
        <v/>
      </c>
      <c r="B51" s="14">
        <f>Data!B3</f>
        <v/>
      </c>
      <c r="C51" s="14">
        <f>Data!C3</f>
        <v/>
      </c>
      <c r="D51" s="14">
        <f>Data!F3</f>
        <v/>
      </c>
      <c r="E51" s="10">
        <f>$B$9*B51+$C$9*C51+$D$9</f>
        <v/>
      </c>
      <c r="F51" s="10">
        <f>$E$9*B51+$F$9*C51+$G$9</f>
        <v/>
      </c>
      <c r="G51" s="10">
        <f>TANH(E51)</f>
        <v/>
      </c>
      <c r="H51" s="10">
        <f>TANH(F51)</f>
        <v/>
      </c>
      <c r="I51" s="10">
        <f>$J$9+$H$9*G51+$I$9*H51</f>
        <v/>
      </c>
      <c r="J51" s="10">
        <f>I51-D51</f>
        <v/>
      </c>
      <c r="K51" s="10">
        <f>J51^2/2</f>
        <v/>
      </c>
      <c r="L51" s="10">
        <f>J51*G51</f>
        <v/>
      </c>
      <c r="M51" s="10">
        <f>J51*H51</f>
        <v/>
      </c>
      <c r="N51" s="10">
        <f>J51</f>
        <v/>
      </c>
      <c r="O51" s="10">
        <f>J51*$H$9*(1-G51^2)</f>
        <v/>
      </c>
      <c r="P51" s="10">
        <f>J51*$I$9*(1-H51^2)</f>
        <v/>
      </c>
      <c r="Q51" s="10">
        <f>O51*B51</f>
        <v/>
      </c>
      <c r="R51" s="10">
        <f>O51*C51</f>
        <v/>
      </c>
      <c r="S51" s="10">
        <f>O51</f>
        <v/>
      </c>
      <c r="T51" s="10">
        <f>P51*B51</f>
        <v/>
      </c>
      <c r="U51" s="10">
        <f>P51*C51</f>
        <v/>
      </c>
      <c r="V51" s="10">
        <f>P51</f>
        <v/>
      </c>
    </row>
    <row r="52">
      <c r="A52" s="9">
        <f>Data!A4</f>
        <v/>
      </c>
      <c r="B52" s="14">
        <f>Data!B4</f>
        <v/>
      </c>
      <c r="C52" s="14">
        <f>Data!C4</f>
        <v/>
      </c>
      <c r="D52" s="14">
        <f>Data!F4</f>
        <v/>
      </c>
      <c r="E52" s="10">
        <f>$B$9*B52+$C$9*C52+$D$9</f>
        <v/>
      </c>
      <c r="F52" s="10">
        <f>$E$9*B52+$F$9*C52+$G$9</f>
        <v/>
      </c>
      <c r="G52" s="10">
        <f>TANH(E52)</f>
        <v/>
      </c>
      <c r="H52" s="10">
        <f>TANH(F52)</f>
        <v/>
      </c>
      <c r="I52" s="10">
        <f>$J$9+$H$9*G52+$I$9*H52</f>
        <v/>
      </c>
      <c r="J52" s="10">
        <f>I52-D52</f>
        <v/>
      </c>
      <c r="K52" s="10">
        <f>J52^2/2</f>
        <v/>
      </c>
      <c r="L52" s="10">
        <f>J52*G52</f>
        <v/>
      </c>
      <c r="M52" s="10">
        <f>J52*H52</f>
        <v/>
      </c>
      <c r="N52" s="10">
        <f>J52</f>
        <v/>
      </c>
      <c r="O52" s="10">
        <f>J52*$H$9*(1-G52^2)</f>
        <v/>
      </c>
      <c r="P52" s="10">
        <f>J52*$I$9*(1-H52^2)</f>
        <v/>
      </c>
      <c r="Q52" s="10">
        <f>O52*B52</f>
        <v/>
      </c>
      <c r="R52" s="10">
        <f>O52*C52</f>
        <v/>
      </c>
      <c r="S52" s="10">
        <f>O52</f>
        <v/>
      </c>
      <c r="T52" s="10">
        <f>P52*B52</f>
        <v/>
      </c>
      <c r="U52" s="10">
        <f>P52*C52</f>
        <v/>
      </c>
      <c r="V52" s="10">
        <f>P52</f>
        <v/>
      </c>
    </row>
    <row r="53">
      <c r="A53" s="9">
        <f>Data!A5</f>
        <v/>
      </c>
      <c r="B53" s="14">
        <f>Data!B5</f>
        <v/>
      </c>
      <c r="C53" s="14">
        <f>Data!C5</f>
        <v/>
      </c>
      <c r="D53" s="14">
        <f>Data!F5</f>
        <v/>
      </c>
      <c r="E53" s="10">
        <f>$B$9*B53+$C$9*C53+$D$9</f>
        <v/>
      </c>
      <c r="F53" s="10">
        <f>$E$9*B53+$F$9*C53+$G$9</f>
        <v/>
      </c>
      <c r="G53" s="10">
        <f>TANH(E53)</f>
        <v/>
      </c>
      <c r="H53" s="10">
        <f>TANH(F53)</f>
        <v/>
      </c>
      <c r="I53" s="10">
        <f>$J$9+$H$9*G53+$I$9*H53</f>
        <v/>
      </c>
      <c r="J53" s="10">
        <f>I53-D53</f>
        <v/>
      </c>
      <c r="K53" s="10">
        <f>J53^2/2</f>
        <v/>
      </c>
      <c r="L53" s="10">
        <f>J53*G53</f>
        <v/>
      </c>
      <c r="M53" s="10">
        <f>J53*H53</f>
        <v/>
      </c>
      <c r="N53" s="10">
        <f>J53</f>
        <v/>
      </c>
      <c r="O53" s="10">
        <f>J53*$H$9*(1-G53^2)</f>
        <v/>
      </c>
      <c r="P53" s="10">
        <f>J53*$I$9*(1-H53^2)</f>
        <v/>
      </c>
      <c r="Q53" s="10">
        <f>O53*B53</f>
        <v/>
      </c>
      <c r="R53" s="10">
        <f>O53*C53</f>
        <v/>
      </c>
      <c r="S53" s="10">
        <f>O53</f>
        <v/>
      </c>
      <c r="T53" s="10">
        <f>P53*B53</f>
        <v/>
      </c>
      <c r="U53" s="10">
        <f>P53*C53</f>
        <v/>
      </c>
      <c r="V53" s="10">
        <f>P53</f>
        <v/>
      </c>
    </row>
    <row r="54">
      <c r="A54" s="9">
        <f>Data!A6</f>
        <v/>
      </c>
      <c r="B54" s="14">
        <f>Data!B6</f>
        <v/>
      </c>
      <c r="C54" s="14">
        <f>Data!C6</f>
        <v/>
      </c>
      <c r="D54" s="14">
        <f>Data!F6</f>
        <v/>
      </c>
      <c r="E54" s="10">
        <f>$B$9*B54+$C$9*C54+$D$9</f>
        <v/>
      </c>
      <c r="F54" s="10">
        <f>$E$9*B54+$F$9*C54+$G$9</f>
        <v/>
      </c>
      <c r="G54" s="10">
        <f>TANH(E54)</f>
        <v/>
      </c>
      <c r="H54" s="10">
        <f>TANH(F54)</f>
        <v/>
      </c>
      <c r="I54" s="10">
        <f>$J$9+$H$9*G54+$I$9*H54</f>
        <v/>
      </c>
      <c r="J54" s="10">
        <f>I54-D54</f>
        <v/>
      </c>
      <c r="K54" s="10">
        <f>J54^2/2</f>
        <v/>
      </c>
      <c r="L54" s="10">
        <f>J54*G54</f>
        <v/>
      </c>
      <c r="M54" s="10">
        <f>J54*H54</f>
        <v/>
      </c>
      <c r="N54" s="10">
        <f>J54</f>
        <v/>
      </c>
      <c r="O54" s="10">
        <f>J54*$H$9*(1-G54^2)</f>
        <v/>
      </c>
      <c r="P54" s="10">
        <f>J54*$I$9*(1-H54^2)</f>
        <v/>
      </c>
      <c r="Q54" s="10">
        <f>O54*B54</f>
        <v/>
      </c>
      <c r="R54" s="10">
        <f>O54*C54</f>
        <v/>
      </c>
      <c r="S54" s="10">
        <f>O54</f>
        <v/>
      </c>
      <c r="T54" s="10">
        <f>P54*B54</f>
        <v/>
      </c>
      <c r="U54" s="10">
        <f>P54*C54</f>
        <v/>
      </c>
      <c r="V54" s="10">
        <f>P54</f>
        <v/>
      </c>
    </row>
    <row r="55">
      <c r="A55" s="9">
        <f>Data!A7</f>
        <v/>
      </c>
      <c r="B55" s="14">
        <f>Data!B7</f>
        <v/>
      </c>
      <c r="C55" s="14">
        <f>Data!C7</f>
        <v/>
      </c>
      <c r="D55" s="14">
        <f>Data!F7</f>
        <v/>
      </c>
      <c r="E55" s="10">
        <f>$B$9*B55+$C$9*C55+$D$9</f>
        <v/>
      </c>
      <c r="F55" s="10">
        <f>$E$9*B55+$F$9*C55+$G$9</f>
        <v/>
      </c>
      <c r="G55" s="10">
        <f>TANH(E55)</f>
        <v/>
      </c>
      <c r="H55" s="10">
        <f>TANH(F55)</f>
        <v/>
      </c>
      <c r="I55" s="10">
        <f>$J$9+$H$9*G55+$I$9*H55</f>
        <v/>
      </c>
      <c r="J55" s="10">
        <f>I55-D55</f>
        <v/>
      </c>
      <c r="K55" s="10">
        <f>J55^2/2</f>
        <v/>
      </c>
      <c r="L55" s="10">
        <f>J55*G55</f>
        <v/>
      </c>
      <c r="M55" s="10">
        <f>J55*H55</f>
        <v/>
      </c>
      <c r="N55" s="10">
        <f>J55</f>
        <v/>
      </c>
      <c r="O55" s="10">
        <f>J55*$H$9*(1-G55^2)</f>
        <v/>
      </c>
      <c r="P55" s="10">
        <f>J55*$I$9*(1-H55^2)</f>
        <v/>
      </c>
      <c r="Q55" s="10">
        <f>O55*B55</f>
        <v/>
      </c>
      <c r="R55" s="10">
        <f>O55*C55</f>
        <v/>
      </c>
      <c r="S55" s="10">
        <f>O55</f>
        <v/>
      </c>
      <c r="T55" s="10">
        <f>P55*B55</f>
        <v/>
      </c>
      <c r="U55" s="10">
        <f>P55*C55</f>
        <v/>
      </c>
      <c r="V55" s="10">
        <f>P55</f>
        <v/>
      </c>
    </row>
    <row r="56">
      <c r="A56" s="7" t="inlineStr">
        <is>
          <t>mean</t>
        </is>
      </c>
      <c r="K56" s="19">
        <f>AVERAGE(K50:K55)</f>
        <v/>
      </c>
      <c r="L56" s="19">
        <f>AVERAGE(L50:L55)</f>
        <v/>
      </c>
      <c r="M56" s="19">
        <f>AVERAGE(M50:M55)</f>
        <v/>
      </c>
      <c r="N56" s="19">
        <f>AVERAGE(N50:N55)</f>
        <v/>
      </c>
      <c r="O56" s="19">
        <f>AVERAGE(O50:O55)</f>
        <v/>
      </c>
      <c r="P56" s="19">
        <f>AVERAGE(P50:P55)</f>
        <v/>
      </c>
      <c r="Q56" s="19">
        <f>AVERAGE(Q50:Q55)</f>
        <v/>
      </c>
      <c r="R56" s="19">
        <f>AVERAGE(R50:R55)</f>
        <v/>
      </c>
      <c r="S56" s="19">
        <f>AVERAGE(S50:S55)</f>
        <v/>
      </c>
      <c r="T56" s="19">
        <f>AVERAGE(T50:T55)</f>
        <v/>
      </c>
      <c r="U56" s="19">
        <f>AVERAGE(U50:U55)</f>
        <v/>
      </c>
      <c r="V56" s="19">
        <f>AVERAGE(V50:V55)</f>
        <v/>
      </c>
    </row>
  </sheetData>
  <pageMargins left="0.75" right="0.75" top="1" bottom="1" header="0.5" footer="0.5"/>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2026-10-15T10:58:17Z</dcterms:created>
  <dcterms:modified xmlns:dcterms="http://purl.org/dc/terms/" xmlns:xsi="http://www.w3.org/2001/XMLSchema-instance" xsi:type="dcterms:W3CDTF">2026-10-15T10:58:17Z</dcterms:modified>
</cp:coreProperties>
</file>