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ASSO_1D" sheetId="3" state="visible" r:id="rId3"/>
    <sheet xmlns:r="http://schemas.openxmlformats.org/officeDocument/2006/relationships" name="Network_1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lec20</author>
  </authors>
  <commentList>
    <comment ref="A16" authorId="0" shapeId="0">
      <text>
        <t>Penalty parameter, input.</t>
      </text>
    </comment>
    <comment ref="C16" authorId="0" shapeId="0">
      <text>
        <t>Eq. (5.28): (rho+lambda/2)/z if rho&lt;-lambda/2; 0 if |rho|&lt;=lambda/2; (rho-lambda/2)/z if rho&gt;lambda/2</t>
      </text>
    </comment>
    <comment ref="D16" authorId="0" shapeId="0">
      <text>
        <t>Eq. (5.20) with y_hat = beta_1 x_j1. SUMPRODUCT of squared residuals plus lambda*|beta_1|.</t>
      </text>
    </comment>
  </commentList>
</comments>
</file>

<file path=xl/comments/comment2.xml><?xml version="1.0" encoding="utf-8"?>
<comments xmlns="http://schemas.openxmlformats.org/spreadsheetml/2006/main">
  <authors>
    <author>lec20</author>
  </authors>
  <commentList>
    <comment ref="A9" authorId="0" shapeId="0">
      <text>
        <t>Parameters of each step: step 0 is input (blue); later steps = previous - zeta * previous gradient.</t>
      </text>
    </comment>
    <comment ref="A15" authorId="0" shapeId="0">
      <text>
        <t>Sigmoid, Eq. (5.29).</t>
      </text>
    </comment>
    <comment ref="A22" authorId="0" shapeId="0">
      <text>
        <t>dE/dw_01 = -e * alpha_1 * h * (1-h); dE/dw_11 and dE/dw_21 multiply this by x_1 and x_2.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Lecture 20 worked examples (synthetic numbers). Symbols follow Lee and Singh (2019), Chapter 5.</t>
        </is>
      </c>
    </row>
    <row r="2">
      <c r="A2" t="inlineStr">
        <is>
          <t>Blue cells are inputs, black cells are formulas. Hover over a header for a note on the formula.</t>
        </is>
      </c>
    </row>
    <row r="3">
      <c r="A3" t="inlineStr"/>
    </row>
    <row r="4">
      <c r="A4" t="inlineStr">
        <is>
          <t>Data: the 30 standardised years used in the notebook (x_1..x_4 predictors, y predictand).</t>
        </is>
      </c>
    </row>
    <row r="5">
      <c r="A5" t="inlineStr">
        <is>
          <t>LASSO_1D: one standardised predictor, Eq. (5.20) and the soft threshold of Eq. (5.28). Same problem as the by-hand example in the lecture.</t>
        </is>
      </c>
    </row>
    <row r="6">
      <c r="A6" t="inlineStr">
        <is>
          <t>Network_1H: one hidden node, sigmoid activation, linear output (Eq. 5.31), E of Eq. (5.32) and gradient descent of Eq. (5.34). Same problem as the by-hand example.</t>
        </is>
      </c>
    </row>
    <row r="7">
      <c r="A7" t="inlineStr"/>
    </row>
    <row r="8">
      <c r="A8" t="inlineStr">
        <is>
          <t>The notebook reproduces the numbers on LASSO_1D and Network_1H.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x_1</t>
        </is>
      </c>
      <c r="C1" s="2" t="inlineStr">
        <is>
          <t>x_2</t>
        </is>
      </c>
      <c r="D1" s="2" t="inlineStr">
        <is>
          <t>x_3</t>
        </is>
      </c>
      <c r="E1" s="2" t="inlineStr">
        <is>
          <t>x_4</t>
        </is>
      </c>
      <c r="F1" s="2" t="inlineStr">
        <is>
          <t>y</t>
        </is>
      </c>
    </row>
    <row r="2">
      <c r="A2" t="n">
        <v>1961</v>
      </c>
      <c r="B2" s="3" t="n">
        <v>1.289</v>
      </c>
      <c r="C2" s="3" t="n">
        <v>1.14</v>
      </c>
      <c r="D2" s="3" t="n">
        <v>1.628</v>
      </c>
      <c r="E2" s="3" t="n">
        <v>-0.311</v>
      </c>
      <c r="F2" s="3" t="n">
        <v>-0.494</v>
      </c>
    </row>
    <row r="3">
      <c r="A3" t="n">
        <v>1962</v>
      </c>
      <c r="B3" s="3" t="n">
        <v>-2.911</v>
      </c>
      <c r="C3" s="3" t="n">
        <v>0.053</v>
      </c>
      <c r="D3" s="3" t="n">
        <v>0.515</v>
      </c>
      <c r="E3" s="3" t="n">
        <v>0.907</v>
      </c>
      <c r="F3" s="3" t="n">
        <v>0.52</v>
      </c>
    </row>
    <row r="4">
      <c r="A4" t="n">
        <v>1963</v>
      </c>
      <c r="B4" s="3" t="n">
        <v>0.545</v>
      </c>
      <c r="C4" s="3" t="n">
        <v>-0.711</v>
      </c>
      <c r="D4" s="3" t="n">
        <v>0.464</v>
      </c>
      <c r="E4" s="3" t="n">
        <v>-0.342</v>
      </c>
      <c r="F4" s="3" t="n">
        <v>0.315</v>
      </c>
    </row>
    <row r="5">
      <c r="A5" t="n">
        <v>1964</v>
      </c>
      <c r="B5" s="3" t="n">
        <v>-0.216</v>
      </c>
      <c r="C5" s="3" t="n">
        <v>-1.277</v>
      </c>
      <c r="D5" s="3" t="n">
        <v>-0.96</v>
      </c>
      <c r="E5" s="3" t="n">
        <v>-0.364</v>
      </c>
      <c r="F5" s="3" t="n">
        <v>-1.129</v>
      </c>
    </row>
    <row r="6">
      <c r="A6" t="n">
        <v>1965</v>
      </c>
      <c r="B6" s="3" t="n">
        <v>0.853</v>
      </c>
      <c r="C6" s="3" t="n">
        <v>-0.679</v>
      </c>
      <c r="D6" s="3" t="n">
        <v>0.487</v>
      </c>
      <c r="E6" s="3" t="n">
        <v>1.025</v>
      </c>
      <c r="F6" s="3" t="n">
        <v>0.86</v>
      </c>
    </row>
    <row r="7">
      <c r="A7" t="n">
        <v>1966</v>
      </c>
      <c r="B7" s="3" t="n">
        <v>0.055</v>
      </c>
      <c r="C7" s="3" t="n">
        <v>1.122</v>
      </c>
      <c r="D7" s="3" t="n">
        <v>2.294</v>
      </c>
      <c r="E7" s="3" t="n">
        <v>1.464</v>
      </c>
      <c r="F7" s="3" t="n">
        <v>1.602</v>
      </c>
    </row>
    <row r="8">
      <c r="A8" t="n">
        <v>1967</v>
      </c>
      <c r="B8" s="3" t="n">
        <v>1.289</v>
      </c>
      <c r="C8" s="3" t="n">
        <v>0.915</v>
      </c>
      <c r="D8" s="3" t="n">
        <v>-0.416</v>
      </c>
      <c r="E8" s="3" t="n">
        <v>0.87</v>
      </c>
      <c r="F8" s="3" t="n">
        <v>1.046</v>
      </c>
    </row>
    <row r="9">
      <c r="A9" t="n">
        <v>1968</v>
      </c>
      <c r="B9" s="3" t="n">
        <v>-0.248</v>
      </c>
      <c r="C9" s="3" t="n">
        <v>-0.575</v>
      </c>
      <c r="D9" s="3" t="n">
        <v>-1.833</v>
      </c>
      <c r="E9" s="3" t="n">
        <v>-2.428</v>
      </c>
      <c r="F9" s="3" t="n">
        <v>-1.384</v>
      </c>
    </row>
    <row r="10">
      <c r="A10" t="n">
        <v>1969</v>
      </c>
      <c r="B10" s="3" t="n">
        <v>-0.717</v>
      </c>
      <c r="C10" s="3" t="n">
        <v>-1.847</v>
      </c>
      <c r="D10" s="3" t="n">
        <v>-1.288</v>
      </c>
      <c r="E10" s="3" t="n">
        <v>-0.677</v>
      </c>
      <c r="F10" s="3" t="n">
        <v>-1.62</v>
      </c>
    </row>
    <row r="11">
      <c r="A11" t="n">
        <v>1970</v>
      </c>
      <c r="B11" s="3" t="n">
        <v>0.222</v>
      </c>
      <c r="C11" s="3" t="n">
        <v>0.635</v>
      </c>
      <c r="D11" s="3" t="n">
        <v>0.01</v>
      </c>
      <c r="E11" s="3" t="n">
        <v>-0.798</v>
      </c>
      <c r="F11" s="3" t="n">
        <v>-0.614</v>
      </c>
    </row>
    <row r="12">
      <c r="A12" t="n">
        <v>1971</v>
      </c>
      <c r="B12" s="3" t="n">
        <v>0.095</v>
      </c>
      <c r="C12" s="3" t="n">
        <v>-2.11</v>
      </c>
      <c r="D12" s="3" t="n">
        <v>-0.06</v>
      </c>
      <c r="E12" s="3" t="n">
        <v>-0.9340000000000001</v>
      </c>
      <c r="F12" s="3" t="n">
        <v>-2.653</v>
      </c>
    </row>
    <row r="13">
      <c r="A13" t="n">
        <v>1972</v>
      </c>
      <c r="B13" s="3" t="n">
        <v>-0.581</v>
      </c>
      <c r="C13" s="3" t="n">
        <v>-0.922</v>
      </c>
      <c r="D13" s="3" t="n">
        <v>0.079</v>
      </c>
      <c r="E13" s="3" t="n">
        <v>-0.125</v>
      </c>
      <c r="F13" s="3" t="n">
        <v>0.434</v>
      </c>
    </row>
    <row r="14">
      <c r="A14" t="n">
        <v>1973</v>
      </c>
      <c r="B14" s="3" t="n">
        <v>-0.487</v>
      </c>
      <c r="C14" s="3" t="n">
        <v>-1.186</v>
      </c>
      <c r="D14" s="3" t="n">
        <v>-0.75</v>
      </c>
      <c r="E14" s="3" t="n">
        <v>2.128</v>
      </c>
      <c r="F14" s="3" t="n">
        <v>0.902</v>
      </c>
    </row>
    <row r="15">
      <c r="A15" t="n">
        <v>1974</v>
      </c>
      <c r="B15" s="3" t="n">
        <v>0.341</v>
      </c>
      <c r="C15" s="3" t="n">
        <v>0.724</v>
      </c>
      <c r="D15" s="3" t="n">
        <v>-0.034</v>
      </c>
      <c r="E15" s="3" t="n">
        <v>-0.023</v>
      </c>
      <c r="F15" s="3" t="n">
        <v>0.1</v>
      </c>
    </row>
    <row r="16">
      <c r="A16" t="n">
        <v>1975</v>
      </c>
      <c r="B16" s="3" t="n">
        <v>0.328</v>
      </c>
      <c r="C16" s="3" t="n">
        <v>0.06900000000000001</v>
      </c>
      <c r="D16" s="3" t="n">
        <v>-1.046</v>
      </c>
      <c r="E16" s="3" t="n">
        <v>-0.456</v>
      </c>
      <c r="F16" s="3" t="n">
        <v>-0.655</v>
      </c>
    </row>
    <row r="17">
      <c r="A17" t="n">
        <v>1976</v>
      </c>
      <c r="B17" s="3" t="n">
        <v>-0.698</v>
      </c>
      <c r="C17" s="3" t="n">
        <v>0.361</v>
      </c>
      <c r="D17" s="3" t="n">
        <v>-0.216</v>
      </c>
      <c r="E17" s="3" t="n">
        <v>0.996</v>
      </c>
      <c r="F17" s="3" t="n">
        <v>0.536</v>
      </c>
    </row>
    <row r="18">
      <c r="A18" t="n">
        <v>1977</v>
      </c>
      <c r="B18" s="3" t="n">
        <v>-0.59</v>
      </c>
      <c r="C18" s="3" t="n">
        <v>0.116</v>
      </c>
      <c r="D18" s="3" t="n">
        <v>1.88</v>
      </c>
      <c r="E18" s="3" t="n">
        <v>0.358</v>
      </c>
      <c r="F18" s="3" t="n">
        <v>0.651</v>
      </c>
    </row>
    <row r="19">
      <c r="A19" t="n">
        <v>1978</v>
      </c>
      <c r="B19" s="3" t="n">
        <v>-1.822</v>
      </c>
      <c r="C19" s="3" t="n">
        <v>-1.113</v>
      </c>
      <c r="D19" s="3" t="n">
        <v>-1.22</v>
      </c>
      <c r="E19" s="3" t="n">
        <v>0.41</v>
      </c>
      <c r="F19" s="3" t="n">
        <v>-0.328</v>
      </c>
    </row>
    <row r="20">
      <c r="A20" t="n">
        <v>1979</v>
      </c>
      <c r="B20" s="3" t="n">
        <v>1.162</v>
      </c>
      <c r="C20" s="3" t="n">
        <v>0.456</v>
      </c>
      <c r="D20" s="3" t="n">
        <v>0.099</v>
      </c>
      <c r="E20" s="3" t="n">
        <v>-0.407</v>
      </c>
      <c r="F20" s="3" t="n">
        <v>-0.152</v>
      </c>
    </row>
    <row r="21">
      <c r="A21" t="n">
        <v>1980</v>
      </c>
      <c r="B21" s="3" t="n">
        <v>-0.467</v>
      </c>
      <c r="C21" s="3" t="n">
        <v>1.589</v>
      </c>
      <c r="D21" s="3" t="n">
        <v>0.08699999999999999</v>
      </c>
      <c r="E21" s="3" t="n">
        <v>0.287</v>
      </c>
      <c r="F21" s="3" t="n">
        <v>0.125</v>
      </c>
    </row>
    <row r="22">
      <c r="A22" t="n">
        <v>1981</v>
      </c>
      <c r="B22" s="3" t="n">
        <v>0.87</v>
      </c>
      <c r="C22" s="3" t="n">
        <v>-0.284</v>
      </c>
      <c r="D22" s="3" t="n">
        <v>0.914</v>
      </c>
      <c r="E22" s="3" t="n">
        <v>0.728</v>
      </c>
      <c r="F22" s="3" t="n">
        <v>0.606</v>
      </c>
    </row>
    <row r="23">
      <c r="A23" t="n">
        <v>1982</v>
      </c>
      <c r="B23" s="3" t="n">
        <v>0.082</v>
      </c>
      <c r="C23" s="3" t="n">
        <v>0.583</v>
      </c>
      <c r="D23" s="3" t="n">
        <v>-0.379</v>
      </c>
      <c r="E23" s="3" t="n">
        <v>-1.647</v>
      </c>
      <c r="F23" s="3" t="n">
        <v>0.346</v>
      </c>
    </row>
    <row r="24">
      <c r="A24" t="n">
        <v>1983</v>
      </c>
      <c r="B24" s="3" t="n">
        <v>1.389</v>
      </c>
      <c r="C24" s="3" t="n">
        <v>-0.399</v>
      </c>
      <c r="D24" s="3" t="n">
        <v>-0.8070000000000001</v>
      </c>
      <c r="E24" s="3" t="n">
        <v>-1.342</v>
      </c>
      <c r="F24" s="3" t="n">
        <v>-1.1</v>
      </c>
    </row>
    <row r="25">
      <c r="A25" t="n">
        <v>1984</v>
      </c>
      <c r="B25" s="3" t="n">
        <v>1.041</v>
      </c>
      <c r="C25" s="3" t="n">
        <v>1.093</v>
      </c>
      <c r="D25" s="3" t="n">
        <v>0.993</v>
      </c>
      <c r="E25" s="3" t="n">
        <v>1.386</v>
      </c>
      <c r="F25" s="3" t="n">
        <v>1.724</v>
      </c>
    </row>
    <row r="26">
      <c r="A26" t="n">
        <v>1985</v>
      </c>
      <c r="B26" s="3" t="n">
        <v>-0.003</v>
      </c>
      <c r="C26" s="3" t="n">
        <v>0.625</v>
      </c>
      <c r="D26" s="3" t="n">
        <v>1.721</v>
      </c>
      <c r="E26" s="3" t="n">
        <v>1.141</v>
      </c>
      <c r="F26" s="3" t="n">
        <v>1.097</v>
      </c>
    </row>
    <row r="27">
      <c r="A27" t="n">
        <v>1986</v>
      </c>
      <c r="B27" s="3" t="n">
        <v>0.992</v>
      </c>
      <c r="C27" s="3" t="n">
        <v>0.896</v>
      </c>
      <c r="D27" s="3" t="n">
        <v>-0.633</v>
      </c>
      <c r="E27" s="3" t="n">
        <v>-0.225</v>
      </c>
      <c r="F27" s="3" t="n">
        <v>0.443</v>
      </c>
    </row>
    <row r="28">
      <c r="A28" t="n">
        <v>1987</v>
      </c>
      <c r="B28" s="3" t="n">
        <v>-1.089</v>
      </c>
      <c r="C28" s="3" t="n">
        <v>0.214</v>
      </c>
      <c r="D28" s="3" t="n">
        <v>-0.991</v>
      </c>
      <c r="E28" s="3" t="n">
        <v>-0.745</v>
      </c>
      <c r="F28" s="3" t="n">
        <v>-0.128</v>
      </c>
    </row>
    <row r="29">
      <c r="A29" t="n">
        <v>1988</v>
      </c>
      <c r="B29" s="3" t="n">
        <v>0.802</v>
      </c>
      <c r="C29" s="3" t="n">
        <v>1.883</v>
      </c>
      <c r="D29" s="3" t="n">
        <v>-0.234</v>
      </c>
      <c r="E29" s="3" t="n">
        <v>0.1</v>
      </c>
      <c r="F29" s="3" t="n">
        <v>0.696</v>
      </c>
    </row>
    <row r="30">
      <c r="A30" t="n">
        <v>1989</v>
      </c>
      <c r="B30" s="3" t="n">
        <v>-1.543</v>
      </c>
      <c r="C30" s="3" t="n">
        <v>-0.703</v>
      </c>
      <c r="D30" s="3" t="n">
        <v>0.318</v>
      </c>
      <c r="E30" s="3" t="n">
        <v>-0.92</v>
      </c>
      <c r="F30" s="3" t="n">
        <v>-1.301</v>
      </c>
    </row>
    <row r="31">
      <c r="A31" t="n">
        <v>1990</v>
      </c>
      <c r="B31" s="3" t="n">
        <v>0.019</v>
      </c>
      <c r="C31" s="3" t="n">
        <v>-0.668</v>
      </c>
      <c r="D31" s="3" t="n">
        <v>-0.622</v>
      </c>
      <c r="E31" s="3" t="n">
        <v>-0.056</v>
      </c>
      <c r="F31" s="3" t="n">
        <v>-0.445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4" customWidth="1" min="4" max="4"/>
    <col width="26" customWidth="1" min="5" max="5"/>
    <col width="26" customWidth="1" min="6" max="6"/>
  </cols>
  <sheetData>
    <row r="1">
      <c r="A1" s="1" t="inlineStr">
        <is>
          <t>One-predictor LASSO: total cost = sum (y_j - beta_1 x_j1)^2 + lambda |beta_1|   (Eq. 5.20)</t>
        </is>
      </c>
    </row>
    <row r="3">
      <c r="A3" s="2" t="inlineStr">
        <is>
          <t>j</t>
        </is>
      </c>
      <c r="B3" s="2" t="inlineStr">
        <is>
          <t>x_j1</t>
        </is>
      </c>
      <c r="C3" s="2" t="inlineStr">
        <is>
          <t>y_j</t>
        </is>
      </c>
      <c r="D3" s="2" t="inlineStr">
        <is>
          <t>x_j1 * y_j</t>
        </is>
      </c>
      <c r="E3" s="2" t="inlineStr">
        <is>
          <t>x_j1^2</t>
        </is>
      </c>
      <c r="F3" s="2" t="inlineStr">
        <is>
          <t>y_j^2</t>
        </is>
      </c>
    </row>
    <row r="4">
      <c r="A4" t="n">
        <v>1</v>
      </c>
      <c r="B4" s="3" t="n">
        <v>-1.5</v>
      </c>
      <c r="C4" s="3" t="n">
        <v>-1.2</v>
      </c>
      <c r="D4">
        <f>B4*C4</f>
        <v/>
      </c>
      <c r="E4">
        <f>B4^2</f>
        <v/>
      </c>
      <c r="F4">
        <f>C4^2</f>
        <v/>
      </c>
    </row>
    <row r="5">
      <c r="A5" t="n">
        <v>2</v>
      </c>
      <c r="B5" s="3" t="n">
        <v>-0.8</v>
      </c>
      <c r="C5" s="3" t="n">
        <v>-0.9</v>
      </c>
      <c r="D5">
        <f>B5*C5</f>
        <v/>
      </c>
      <c r="E5">
        <f>B5^2</f>
        <v/>
      </c>
      <c r="F5">
        <f>C5^2</f>
        <v/>
      </c>
    </row>
    <row r="6">
      <c r="A6" t="n">
        <v>3</v>
      </c>
      <c r="B6" s="3" t="n">
        <v>-0.3</v>
      </c>
      <c r="C6" s="3" t="n">
        <v>-0.1</v>
      </c>
      <c r="D6">
        <f>B6*C6</f>
        <v/>
      </c>
      <c r="E6">
        <f>B6^2</f>
        <v/>
      </c>
      <c r="F6">
        <f>C6^2</f>
        <v/>
      </c>
    </row>
    <row r="7">
      <c r="A7" t="n">
        <v>4</v>
      </c>
      <c r="B7" s="3" t="n">
        <v>0.3</v>
      </c>
      <c r="C7" s="3" t="n">
        <v>0.3</v>
      </c>
      <c r="D7">
        <f>B7*C7</f>
        <v/>
      </c>
      <c r="E7">
        <f>B7^2</f>
        <v/>
      </c>
      <c r="F7">
        <f>C7^2</f>
        <v/>
      </c>
    </row>
    <row r="8">
      <c r="A8" t="n">
        <v>5</v>
      </c>
      <c r="B8" s="3" t="n">
        <v>0.8</v>
      </c>
      <c r="C8" s="3" t="n">
        <v>0.7</v>
      </c>
      <c r="D8">
        <f>B8*C8</f>
        <v/>
      </c>
      <c r="E8">
        <f>B8^2</f>
        <v/>
      </c>
      <c r="F8">
        <f>C8^2</f>
        <v/>
      </c>
    </row>
    <row r="9">
      <c r="A9" t="n">
        <v>6</v>
      </c>
      <c r="B9" s="3" t="n">
        <v>1.5</v>
      </c>
      <c r="C9" s="3" t="n">
        <v>1.2</v>
      </c>
      <c r="D9">
        <f>B9*C9</f>
        <v/>
      </c>
      <c r="E9">
        <f>B9^2</f>
        <v/>
      </c>
      <c r="F9">
        <f>C9^2</f>
        <v/>
      </c>
    </row>
    <row r="11">
      <c r="A11" s="1" t="inlineStr">
        <is>
          <t>z_1</t>
        </is>
      </c>
      <c r="B11">
        <f>SUM(E4:E9)</f>
        <v/>
      </c>
      <c r="C11" t="inlineStr">
        <is>
          <t>z_1 = sum x_j1^2</t>
        </is>
      </c>
    </row>
    <row r="12">
      <c r="A12" s="1" t="inlineStr">
        <is>
          <t>rho_1</t>
        </is>
      </c>
      <c r="B12">
        <f>SUM(D4:D9)</f>
        <v/>
      </c>
      <c r="C12" t="inlineStr">
        <is>
          <t>rho_1 = sum x_j1 (y_j - y_hat_j + beta_1 x_j1); with beta_1 = 0 (y_hat = 0) it is sum x_j1 y_j</t>
        </is>
      </c>
    </row>
    <row r="13">
      <c r="A13" s="1" t="inlineStr">
        <is>
          <t>sum y^2</t>
        </is>
      </c>
      <c r="B13">
        <f>SUM(F4:F9)</f>
        <v/>
      </c>
    </row>
    <row r="14">
      <c r="A14" s="1" t="inlineStr">
        <is>
          <t>OLS slope</t>
        </is>
      </c>
      <c r="B14">
        <f>B12/B11</f>
        <v/>
      </c>
      <c r="C14" t="inlineStr">
        <is>
          <t>least-squares slope, the lambda = 0 row below</t>
        </is>
      </c>
    </row>
    <row r="16">
      <c r="A16" s="2" t="inlineStr">
        <is>
          <t>lambda</t>
        </is>
      </c>
      <c r="B16" s="2" t="inlineStr">
        <is>
          <t>lambda/2</t>
        </is>
      </c>
      <c r="C16" s="2" t="inlineStr">
        <is>
          <t>beta_1 hat</t>
        </is>
      </c>
      <c r="D16" s="2" t="inlineStr">
        <is>
          <t>total cost at beta_1 hat</t>
        </is>
      </c>
      <c r="E16" s="2" t="inlineStr">
        <is>
          <t>cost at beta_1 hat + 0.05</t>
        </is>
      </c>
      <c r="F16" s="2" t="inlineStr">
        <is>
          <t>cost at beta_1 hat - 0.05</t>
        </is>
      </c>
    </row>
    <row r="17">
      <c r="A17" s="3" t="n">
        <v>0</v>
      </c>
      <c r="B17">
        <f>A17/2</f>
        <v/>
      </c>
      <c r="C17">
        <f>IF($B$12&lt;-B17,($B$12+B17)/$B$11,IF($B$12&gt;B17,($B$12-B17)/$B$11,0))</f>
        <v/>
      </c>
      <c r="D17">
        <f>SUMPRODUCT(($C$4:$C$9-C17*$B$4:$B$9)^2)+$A17*ABS(C17)</f>
        <v/>
      </c>
      <c r="E17">
        <f>SUMPRODUCT(($C$4:$C$9-(C17+0.05)*$B$4:$B$9)^2)+$A17*ABS((C17+0.05))</f>
        <v/>
      </c>
      <c r="F17">
        <f>SUMPRODUCT(($C$4:$C$9-(C17+-0.05)*$B$4:$B$9)^2)+$A17*ABS((C17+-0.05))</f>
        <v/>
      </c>
    </row>
    <row r="18">
      <c r="A18" s="3" t="n">
        <v>1</v>
      </c>
      <c r="B18">
        <f>A18/2</f>
        <v/>
      </c>
      <c r="C18">
        <f>IF($B$12&lt;-B18,($B$12+B18)/$B$11,IF($B$12&gt;B18,($B$12-B18)/$B$11,0))</f>
        <v/>
      </c>
      <c r="D18">
        <f>SUMPRODUCT(($C$4:$C$9-C18*$B$4:$B$9)^2)+$A18*ABS(C18)</f>
        <v/>
      </c>
      <c r="E18">
        <f>SUMPRODUCT(($C$4:$C$9-(C18+0.05)*$B$4:$B$9)^2)+$A18*ABS((C18+0.05))</f>
        <v/>
      </c>
      <c r="F18">
        <f>SUMPRODUCT(($C$4:$C$9-(C18+-0.05)*$B$4:$B$9)^2)+$A18*ABS((C18+-0.05))</f>
        <v/>
      </c>
    </row>
    <row r="19">
      <c r="A19" s="3" t="n">
        <v>2</v>
      </c>
      <c r="B19">
        <f>A19/2</f>
        <v/>
      </c>
      <c r="C19">
        <f>IF($B$12&lt;-B19,($B$12+B19)/$B$11,IF($B$12&gt;B19,($B$12-B19)/$B$11,0))</f>
        <v/>
      </c>
      <c r="D19">
        <f>SUMPRODUCT(($C$4:$C$9-C19*$B$4:$B$9)^2)+$A19*ABS(C19)</f>
        <v/>
      </c>
      <c r="E19">
        <f>SUMPRODUCT(($C$4:$C$9-(C19+0.05)*$B$4:$B$9)^2)+$A19*ABS((C19+0.05))</f>
        <v/>
      </c>
      <c r="F19">
        <f>SUMPRODUCT(($C$4:$C$9-(C19+-0.05)*$B$4:$B$9)^2)+$A19*ABS((C19+-0.05))</f>
        <v/>
      </c>
    </row>
    <row r="20">
      <c r="A20" s="3" t="n">
        <v>4</v>
      </c>
      <c r="B20">
        <f>A20/2</f>
        <v/>
      </c>
      <c r="C20">
        <f>IF($B$12&lt;-B20,($B$12+B20)/$B$11,IF($B$12&gt;B20,($B$12-B20)/$B$11,0))</f>
        <v/>
      </c>
      <c r="D20">
        <f>SUMPRODUCT(($C$4:$C$9-C20*$B$4:$B$9)^2)+$A20*ABS(C20)</f>
        <v/>
      </c>
      <c r="E20">
        <f>SUMPRODUCT(($C$4:$C$9-(C20+0.05)*$B$4:$B$9)^2)+$A20*ABS((C20+0.05))</f>
        <v/>
      </c>
      <c r="F20">
        <f>SUMPRODUCT(($C$4:$C$9-(C20+-0.05)*$B$4:$B$9)^2)+$A20*ABS((C20+-0.05))</f>
        <v/>
      </c>
    </row>
    <row r="21">
      <c r="A21" s="3" t="n">
        <v>6</v>
      </c>
      <c r="B21">
        <f>A21/2</f>
        <v/>
      </c>
      <c r="C21">
        <f>IF($B$12&lt;-B21,($B$12+B21)/$B$11,IF($B$12&gt;B21,($B$12-B21)/$B$11,0))</f>
        <v/>
      </c>
      <c r="D21">
        <f>SUMPRODUCT(($C$4:$C$9-C21*$B$4:$B$9)^2)+$A21*ABS(C21)</f>
        <v/>
      </c>
      <c r="E21">
        <f>SUMPRODUCT(($C$4:$C$9-(C21+0.05)*$B$4:$B$9)^2)+$A21*ABS((C21+0.05))</f>
        <v/>
      </c>
      <c r="F21">
        <f>SUMPRODUCT(($C$4:$C$9-(C21+-0.05)*$B$4:$B$9)^2)+$A21*ABS((C21+-0.05))</f>
        <v/>
      </c>
    </row>
    <row r="22">
      <c r="A22" s="3" t="n">
        <v>8</v>
      </c>
      <c r="B22">
        <f>A22/2</f>
        <v/>
      </c>
      <c r="C22">
        <f>IF($B$12&lt;-B22,($B$12+B22)/$B$11,IF($B$12&gt;B22,($B$12-B22)/$B$11,0))</f>
        <v/>
      </c>
      <c r="D22">
        <f>SUMPRODUCT(($C$4:$C$9-C22*$B$4:$B$9)^2)+$A22*ABS(C22)</f>
        <v/>
      </c>
      <c r="E22">
        <f>SUMPRODUCT(($C$4:$C$9-(C22+0.05)*$B$4:$B$9)^2)+$A22*ABS((C22+0.05))</f>
        <v/>
      </c>
      <c r="F22">
        <f>SUMPRODUCT(($C$4:$C$9-(C22+-0.05)*$B$4:$B$9)^2)+$A22*ABS((C22+-0.05))</f>
        <v/>
      </c>
    </row>
    <row r="23">
      <c r="A23" s="3" t="n">
        <v>10</v>
      </c>
      <c r="B23">
        <f>A23/2</f>
        <v/>
      </c>
      <c r="C23">
        <f>IF($B$12&lt;-B23,($B$12+B23)/$B$11,IF($B$12&gt;B23,($B$12-B23)/$B$11,0))</f>
        <v/>
      </c>
      <c r="D23">
        <f>SUMPRODUCT(($C$4:$C$9-C23*$B$4:$B$9)^2)+$A23*ABS(C23)</f>
        <v/>
      </c>
      <c r="E23">
        <f>SUMPRODUCT(($C$4:$C$9-(C23+0.05)*$B$4:$B$9)^2)+$A23*ABS((C23+0.05))</f>
        <v/>
      </c>
      <c r="F23">
        <f>SUMPRODUCT(($C$4:$C$9-(C23+-0.05)*$B$4:$B$9)^2)+$A23*ABS((C23+-0.05))</f>
        <v/>
      </c>
    </row>
    <row r="24">
      <c r="A24" s="3" t="n">
        <v>12</v>
      </c>
      <c r="B24">
        <f>A24/2</f>
        <v/>
      </c>
      <c r="C24">
        <f>IF($B$12&lt;-B24,($B$12+B24)/$B$11,IF($B$12&gt;B24,($B$12-B24)/$B$11,0))</f>
        <v/>
      </c>
      <c r="D24">
        <f>SUMPRODUCT(($C$4:$C$9-C24*$B$4:$B$9)^2)+$A24*ABS(C24)</f>
        <v/>
      </c>
      <c r="E24">
        <f>SUMPRODUCT(($C$4:$C$9-(C24+0.05)*$B$4:$B$9)^2)+$A24*ABS((C24+0.05))</f>
        <v/>
      </c>
      <c r="F24">
        <f>SUMPRODUCT(($C$4:$C$9-(C24+-0.05)*$B$4:$B$9)^2)+$A24*ABS((C24+-0.05))</f>
        <v/>
      </c>
    </row>
    <row r="25">
      <c r="A25" s="3" t="n">
        <v>14</v>
      </c>
      <c r="B25">
        <f>A25/2</f>
        <v/>
      </c>
      <c r="C25">
        <f>IF($B$12&lt;-B25,($B$12+B25)/$B$11,IF($B$12&gt;B25,($B$12-B25)/$B$11,0))</f>
        <v/>
      </c>
      <c r="D25">
        <f>SUMPRODUCT(($C$4:$C$9-C25*$B$4:$B$9)^2)+$A25*ABS(C25)</f>
        <v/>
      </c>
      <c r="E25">
        <f>SUMPRODUCT(($C$4:$C$9-(C25+0.05)*$B$4:$B$9)^2)+$A25*ABS((C25+0.05))</f>
        <v/>
      </c>
      <c r="F25">
        <f>SUMPRODUCT(($C$4:$C$9-(C25+-0.05)*$B$4:$B$9)^2)+$A25*ABS((C25+-0.05))</f>
        <v/>
      </c>
    </row>
    <row r="27">
      <c r="A27" t="inlineStr">
        <is>
          <t>Columns E and F are larger than D in every row: beta_1 hat is the minimum of the cost. For lambda &gt;= 2 rho_1 = 10 the slope is exactly 0.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One hidden node (H = 1), sigmoid hidden activation, linear output (Eq. 5.31); E = 1/2 (y - y_hat)^2 (Eq. 5.32); theta &lt;- theta - zeta dE/dtheta (Eq. 5.34)</t>
        </is>
      </c>
    </row>
    <row r="3">
      <c r="A3" s="1" t="inlineStr">
        <is>
          <t>x_1</t>
        </is>
      </c>
      <c r="B3" s="3" t="n">
        <v>0.5</v>
      </c>
    </row>
    <row r="4">
      <c r="A4" s="1" t="inlineStr">
        <is>
          <t>x_2</t>
        </is>
      </c>
      <c r="B4" s="3" t="n">
        <v>-1</v>
      </c>
    </row>
    <row r="5">
      <c r="A5" s="1" t="inlineStr">
        <is>
          <t>y</t>
        </is>
      </c>
      <c r="B5" s="3" t="n">
        <v>0.8</v>
      </c>
    </row>
    <row r="6">
      <c r="A6" s="1" t="inlineStr">
        <is>
          <t>zeta</t>
        </is>
      </c>
      <c r="B6" s="3" t="n">
        <v>0.5</v>
      </c>
    </row>
    <row r="8">
      <c r="A8" s="1" t="inlineStr">
        <is>
          <t>quantity</t>
        </is>
      </c>
      <c r="B8" s="2" t="inlineStr">
        <is>
          <t>step 0</t>
        </is>
      </c>
      <c r="C8" s="2" t="inlineStr">
        <is>
          <t>step 1</t>
        </is>
      </c>
      <c r="D8" s="2" t="inlineStr">
        <is>
          <t>step 2</t>
        </is>
      </c>
      <c r="E8" s="2" t="inlineStr">
        <is>
          <t>step 3</t>
        </is>
      </c>
    </row>
    <row r="9">
      <c r="A9" t="inlineStr">
        <is>
          <t>w_01</t>
        </is>
      </c>
      <c r="B9" s="3" t="n">
        <v>0.2</v>
      </c>
      <c r="C9">
        <f>B9-$B$6*B22</f>
        <v/>
      </c>
      <c r="D9">
        <f>C9-$B$6*C22</f>
        <v/>
      </c>
      <c r="E9">
        <f>D9-$B$6*D22</f>
        <v/>
      </c>
    </row>
    <row r="10">
      <c r="A10" t="inlineStr">
        <is>
          <t>w_11</t>
        </is>
      </c>
      <c r="B10" s="3" t="n">
        <v>0.5</v>
      </c>
      <c r="C10">
        <f>B10-$B$6*B23</f>
        <v/>
      </c>
      <c r="D10">
        <f>C10-$B$6*C23</f>
        <v/>
      </c>
      <c r="E10">
        <f>D10-$B$6*D23</f>
        <v/>
      </c>
    </row>
    <row r="11">
      <c r="A11" t="inlineStr">
        <is>
          <t>w_21</t>
        </is>
      </c>
      <c r="B11" s="3" t="n">
        <v>-0.4</v>
      </c>
      <c r="C11">
        <f>B11-$B$6*B24</f>
        <v/>
      </c>
      <c r="D11">
        <f>C11-$B$6*C24</f>
        <v/>
      </c>
      <c r="E11">
        <f>D11-$B$6*D24</f>
        <v/>
      </c>
    </row>
    <row r="12">
      <c r="A12" t="inlineStr">
        <is>
          <t>alpha_0</t>
        </is>
      </c>
      <c r="B12" s="3" t="n">
        <v>0.1</v>
      </c>
      <c r="C12">
        <f>B12-$B$6*B20</f>
        <v/>
      </c>
      <c r="D12">
        <f>C12-$B$6*C20</f>
        <v/>
      </c>
      <c r="E12">
        <f>D12-$B$6*D20</f>
        <v/>
      </c>
    </row>
    <row r="13">
      <c r="A13" t="inlineStr">
        <is>
          <t>alpha_1</t>
        </is>
      </c>
      <c r="B13" s="3" t="n">
        <v>0.6</v>
      </c>
      <c r="C13">
        <f>B13-$B$6*B21</f>
        <v/>
      </c>
      <c r="D13">
        <f>C13-$B$6*C21</f>
        <v/>
      </c>
      <c r="E13">
        <f>D13-$B$6*D21</f>
        <v/>
      </c>
    </row>
    <row r="14">
      <c r="A14" t="inlineStr">
        <is>
          <t>a = w_01 + w_11 x_1 + w_21 x_2</t>
        </is>
      </c>
      <c r="B14">
        <f>B9+B10*$B$3+B11*$B$4</f>
        <v/>
      </c>
      <c r="C14">
        <f>C9+C10*$B$3+C11*$B$4</f>
        <v/>
      </c>
      <c r="D14">
        <f>D9+D10*$B$3+D11*$B$4</f>
        <v/>
      </c>
      <c r="E14">
        <f>E9+E10*$B$3+E11*$B$4</f>
        <v/>
      </c>
    </row>
    <row r="15">
      <c r="A15" t="inlineStr">
        <is>
          <t>h = sigma(a)</t>
        </is>
      </c>
      <c r="B15">
        <f>1/(1+EXP(-B14))</f>
        <v/>
      </c>
      <c r="C15">
        <f>1/(1+EXP(-C14))</f>
        <v/>
      </c>
      <c r="D15">
        <f>1/(1+EXP(-D14))</f>
        <v/>
      </c>
      <c r="E15">
        <f>1/(1+EXP(-E14))</f>
        <v/>
      </c>
    </row>
    <row r="16">
      <c r="A16" t="inlineStr">
        <is>
          <t>y_hat = alpha_0 + alpha_1 h</t>
        </is>
      </c>
      <c r="B16">
        <f>B12+B13*B15</f>
        <v/>
      </c>
      <c r="C16">
        <f>C12+C13*C15</f>
        <v/>
      </c>
      <c r="D16">
        <f>D12+D13*D15</f>
        <v/>
      </c>
      <c r="E16">
        <f>E12+E13*E15</f>
        <v/>
      </c>
    </row>
    <row r="17">
      <c r="A17" t="inlineStr">
        <is>
          <t>e = y - y_hat</t>
        </is>
      </c>
      <c r="B17">
        <f>$B$5-B16</f>
        <v/>
      </c>
      <c r="C17">
        <f>$B$5-C16</f>
        <v/>
      </c>
      <c r="D17">
        <f>$B$5-D16</f>
        <v/>
      </c>
      <c r="E17">
        <f>$B$5-E16</f>
        <v/>
      </c>
    </row>
    <row r="18">
      <c r="A18" t="inlineStr">
        <is>
          <t>E</t>
        </is>
      </c>
      <c r="B18">
        <f>0.5*B17^2</f>
        <v/>
      </c>
      <c r="C18">
        <f>0.5*C17^2</f>
        <v/>
      </c>
      <c r="D18">
        <f>0.5*D17^2</f>
        <v/>
      </c>
      <c r="E18">
        <f>0.5*E17^2</f>
        <v/>
      </c>
    </row>
    <row r="19">
      <c r="A19" s="1" t="inlineStr">
        <is>
          <t>gradients (this step)</t>
        </is>
      </c>
    </row>
    <row r="20">
      <c r="A20" t="inlineStr">
        <is>
          <t>dE/dalpha_0</t>
        </is>
      </c>
      <c r="B20">
        <f>-B17</f>
        <v/>
      </c>
      <c r="C20">
        <f>-C17</f>
        <v/>
      </c>
      <c r="D20">
        <f>-D17</f>
        <v/>
      </c>
      <c r="E20">
        <f>-E17</f>
        <v/>
      </c>
    </row>
    <row r="21">
      <c r="A21" t="inlineStr">
        <is>
          <t>dE/dalpha_1</t>
        </is>
      </c>
      <c r="B21">
        <f>-B17*B15</f>
        <v/>
      </c>
      <c r="C21">
        <f>-C17*C15</f>
        <v/>
      </c>
      <c r="D21">
        <f>-D17*D15</f>
        <v/>
      </c>
      <c r="E21">
        <f>-E17*E15</f>
        <v/>
      </c>
    </row>
    <row r="22">
      <c r="A22" t="inlineStr">
        <is>
          <t>dE/dw_01</t>
        </is>
      </c>
      <c r="B22">
        <f>-B17*B13*B15*(1-B15)</f>
        <v/>
      </c>
      <c r="C22">
        <f>-C17*C13*C15*(1-C15)</f>
        <v/>
      </c>
      <c r="D22">
        <f>-D17*D13*D15*(1-D15)</f>
        <v/>
      </c>
      <c r="E22">
        <f>-E17*E13*E15*(1-E15)</f>
        <v/>
      </c>
    </row>
    <row r="23">
      <c r="A23" t="inlineStr">
        <is>
          <t>dE/dw_11</t>
        </is>
      </c>
      <c r="B23">
        <f>B22*$B$3</f>
        <v/>
      </c>
      <c r="C23">
        <f>C22*$B$3</f>
        <v/>
      </c>
      <c r="D23">
        <f>D22*$B$3</f>
        <v/>
      </c>
      <c r="E23">
        <f>E22*$B$3</f>
        <v/>
      </c>
    </row>
    <row r="24">
      <c r="A24" t="inlineStr">
        <is>
          <t>dE/dw_21</t>
        </is>
      </c>
      <c r="B24">
        <f>B22*$B$4</f>
        <v/>
      </c>
      <c r="C24">
        <f>C22*$B$4</f>
        <v/>
      </c>
      <c r="D24">
        <f>D22*$B$4</f>
        <v/>
      </c>
      <c r="E24">
        <f>E22*$B$4</f>
        <v/>
      </c>
    </row>
    <row r="26">
      <c r="A26" t="inlineStr">
        <is>
          <t>E falls from step 0 to step 3. The gradients in step 3 are not used (no further update).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2026-10-23T07:21:44Z</dcterms:created>
  <dcterms:modified xmlns:dcterms="http://purl.org/dc/terms/" xmlns:xsi="http://www.w3.org/2001/XMLSchema-instance" xsi:type="dcterms:W3CDTF">2026-10-23T07:21:44Z</dcterms:modified>
</cp:coreProperties>
</file>