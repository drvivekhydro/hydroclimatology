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comments/comment4.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Bilinear" sheetId="3" state="visible" r:id="rId3"/>
    <sheet xmlns:r="http://schemas.openxmlformats.org/officeDocument/2006/relationships" name="BCSD_2x2" sheetId="4" state="visible" r:id="rId4"/>
    <sheet xmlns:r="http://schemas.openxmlformats.org/officeDocument/2006/relationships" name="BCCA"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Calibri"/>
      <b val="1"/>
      <sz val="14"/>
    </font>
    <font>
      <name val="Calibri"/>
    </font>
    <font>
      <name val="Calibri"/>
      <b val="1"/>
    </font>
    <font>
      <name val="Calibri"/>
      <color rgb="00000000"/>
    </font>
    <font>
      <name val="Calibri"/>
      <color rgb="000000FF"/>
    </font>
    <font>
      <name val="Calibri"/>
      <b val="1"/>
      <color rgb="000000FF"/>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1" fillId="0" borderId="0" pivotButton="0" quotePrefix="0" xfId="0"/>
    <xf numFmtId="0" fontId="3" fillId="2" borderId="0" pivotButton="0" quotePrefix="0" xfId="0"/>
    <xf numFmtId="0" fontId="3" fillId="3" borderId="0" applyAlignment="1" pivotButton="0" quotePrefix="0" xfId="0">
      <alignment horizontal="center" vertical="center" wrapText="1"/>
    </xf>
    <xf numFmtId="1" fontId="6" fillId="0" borderId="0" pivotButton="0" quotePrefix="0" xfId="0"/>
    <xf numFmtId="164" fontId="5" fillId="0" borderId="0" pivotButton="0" quotePrefix="0" xfId="0"/>
    <xf numFmtId="1" fontId="5" fillId="0" borderId="0" pivotButton="0" quotePrefix="0" xfId="0"/>
    <xf numFmtId="2" fontId="5" fillId="0" borderId="0" pivotButton="0" quotePrefix="0" xfId="0"/>
    <xf numFmtId="0" fontId="3" fillId="0" borderId="0" pivotButton="0" quotePrefix="0" xfId="0"/>
    <xf numFmtId="1" fontId="4" fillId="0" borderId="0" pivotButton="0" quotePrefix="0" xfId="0"/>
    <xf numFmtId="2" fontId="4" fillId="0" borderId="0" pivotButton="0" quotePrefix="0" xfId="0"/>
    <xf numFmtId="165" fontId="4" fillId="0" borderId="0" pivotButton="0" quotePrefix="0" xfId="0"/>
    <xf numFmtId="166" fontId="4"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Analogue weights</a:t>
            </a:r>
          </a:p>
        </rich>
      </tx>
    </title>
    <plotArea>
      <barChart>
        <barDir val="col"/>
        <grouping val="clustered"/>
        <ser>
          <idx val="0"/>
          <order val="0"/>
          <tx>
            <strRef>
              <f>'BCCA'!B41</f>
            </strRef>
          </tx>
          <spPr>
            <a:ln xmlns:a="http://schemas.openxmlformats.org/drawingml/2006/main">
              <a:prstDash val="solid"/>
            </a:ln>
          </spPr>
          <cat>
            <numRef>
              <f>'BCCA'!$A$42:$A$44</f>
            </numRef>
          </cat>
          <val>
            <numRef>
              <f>'BCCA'!$B$42:$B$44</f>
            </numRef>
          </val>
        </ser>
        <ser>
          <idx val="1"/>
          <order val="1"/>
          <tx>
            <strRef>
              <f>'BCCA'!C41</f>
            </strRef>
          </tx>
          <spPr>
            <a:ln xmlns:a="http://schemas.openxmlformats.org/drawingml/2006/main">
              <a:prstDash val="solid"/>
            </a:ln>
          </spPr>
          <cat>
            <numRef>
              <f>'BCCA'!$A$42:$A$44</f>
            </numRef>
          </cat>
          <val>
            <numRef>
              <f>'BCCA'!$C$42:$C$44</f>
            </numRef>
          </val>
        </ser>
        <ser>
          <idx val="2"/>
          <order val="2"/>
          <tx>
            <strRef>
              <f>'BCCA'!D41</f>
            </strRef>
          </tx>
          <spPr>
            <a:ln xmlns:a="http://schemas.openxmlformats.org/drawingml/2006/main">
              <a:prstDash val="solid"/>
            </a:ln>
          </spPr>
          <cat>
            <numRef>
              <f>'BCCA'!$A$42:$A$44</f>
            </numRef>
          </cat>
          <val>
            <numRef>
              <f>'BCCA'!$D$42:$D$44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analogue 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Lecture 23</author>
  </authors>
  <commentList>
    <comment ref="B42" authorId="0" shapeId="0">
      <text>
        <t>Ridge parameter. 0 gives plain least squares. Larger values shrink the weights toward zero.</t>
      </text>
    </comment>
  </commentList>
</comments>
</file>

<file path=xl/comments/comment2.xml><?xml version="1.0" encoding="utf-8"?>
<comments xmlns="http://schemas.openxmlformats.org/spreadsheetml/2006/main">
  <authors>
    <author>Lecture 23</author>
  </authors>
  <commentList>
    <comment ref="D4" authorId="0" shapeId="0">
      <text>
        <t>i0 = column index of the left node. INT takes the whole part; MIN keeps the point inside the last cell when x equals the last node.</t>
      </text>
    </comment>
    <comment ref="F4" authorId="0" shapeId="0">
      <text>
        <t>tx = x - i0: the fraction of the way from the left node to the right node. Same for ty.</t>
      </text>
    </comment>
    <comment ref="H4" authorId="0" shapeId="0">
      <text>
        <t>w00 = (1-tx)(1-ty) is the area of the rectangle OPPOSITE the node, so the closer the point, the larger the weight. The four weights add to 1 (column L).</t>
      </text>
    </comment>
    <comment ref="Q4" authorId="0" shapeId="0">
      <text>
        <t>Step 1 of the derivation: linear interpolation along x on the lower edge (y = j0).</t>
      </text>
    </comment>
    <comment ref="R4" authorId="0" shapeId="0">
      <text>
        <t>Linear interpolation along x on the upper edge (y = j0+1).</t>
      </text>
    </comment>
    <comment ref="S4" authorId="0" shapeId="0">
      <text>
        <t>Step 2: linear interpolation along y between the two edge values.</t>
      </text>
    </comment>
    <comment ref="T4" authorId="0" shapeId="0">
      <text>
        <t>Same number as S, computed as the weighted sum of the four corners (SUMPRODUCT of the weights and the corner values).</t>
      </text>
    </comment>
    <comment ref="V4" authorId="0" shapeId="0">
      <text>
        <t>Value of the nearest node: INT(x+0.5) rounds to the nearest whole number.</t>
      </text>
    </comment>
  </commentList>
</comments>
</file>

<file path=xl/comments/comment3.xml><?xml version="1.0" encoding="utf-8"?>
<comments xmlns="http://schemas.openxmlformats.org/spreadsheetml/2006/main">
  <authors>
    <author>Lecture 23</author>
  </authors>
  <commentList>
    <comment ref="A22" authorId="0" shapeId="0">
      <text>
        <t>t is the fraction of the way from the first to the second coarse centre. Fine cells outside the two centres (xi = 0 and 3) are clamped to t = 0 or 1, i.e. they take the nearest coarse value (no extrapolation).</t>
      </text>
    </comment>
    <comment ref="A36" authorId="0" shapeId="0">
      <text>
        <t>BCSD as usually described does not force the block means to equal the coarse value; the difference is small when the factor field is smooth. Some implementations add a final rescaling to enforce it.</t>
      </text>
    </comment>
  </commentList>
</comments>
</file>

<file path=xl/comments/comment4.xml><?xml version="1.0" encoding="utf-8"?>
<comments xmlns="http://schemas.openxmlformats.org/spreadsheetml/2006/main">
  <authors>
    <author>Lecture 23</author>
  </authors>
  <commentList>
    <comment ref="F5" authorId="0" shapeId="0">
      <text>
        <t>RMSE = sqrt(mean over the 4 coarse cells of (library - target)^2): how different the day's coarse pattern is from today's.</t>
      </text>
    </comment>
    <comment ref="G5" authorId="0" shapeId="0">
      <text>
        <t>RANK(...,1) ranks ascending: 1 is the smallest RMSE, i.e. the best analogue.</t>
      </text>
    </comment>
    <comment ref="B29" authorId="0" shapeId="0">
      <text>
        <t>Matrix (legacy array) formula over B30:D32: Y-transpose times Y. Entry (m,n) is the dot product of the coarse fields of analogue m and analogue n.</t>
      </text>
    </comment>
    <comment ref="B41" authorId="0" shapeId="0">
      <text>
        <t>LINEST returns the coefficients in REVERSE order of the X columns, and const=FALSE forces no intercept, so INDEX(...,1,N+1-k) picks the weight of analogue k.</t>
      </text>
    </comment>
    <comment ref="C41" authorId="0" shapeId="0">
      <text>
        <t>Same answer from the normal equations (Y'Y)^-1 Y'y. With lambda = 0 the ridge column equals these two columns; set Data!B42 = 0 to check.</t>
      </text>
    </comment>
    <comment ref="D41" authorId="0" shapeId="0">
      <text>
        <t>Ridge: (Y'Y + lambda I)^-1 Y'y. Keeps the inverse well defined and the weights bounded when analogues are nearly collinear or N exceeds the number of coarse cells.</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12</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40" customWidth="1" min="1" max="1"/>
    <col width="10" customWidth="1" min="2" max="2"/>
  </cols>
  <sheetData>
    <row r="1">
      <c r="A1" s="1" t="inlineStr">
        <is>
          <t>Lecture 23: Spatial downscaling. Companion workbook (CE524 Applied Hydroclimatology, IIT Mandi)</t>
        </is>
      </c>
    </row>
    <row r="2">
      <c r="A2" s="2" t="inlineStr"/>
    </row>
    <row r="3">
      <c r="A3" s="2" t="inlineStr">
        <is>
          <t>Purpose: hand-checkable worked examples of the lecture, with live formulas: (1) bilinear interpolation, (2) BCSD from a 2x2 coarse to a 4x4 fine grid, (3) constructed analogues with a ridge term.</t>
        </is>
      </c>
    </row>
    <row r="4">
      <c r="A4" s="2" t="inlineStr">
        <is>
          <t>ALL NUMBERS ARE SYNTHETIC. They were invented for teaching; none is an observation or a model output. To use real data, replace the blue cells on the sheet Data (e.g. IMD gridded rainfall for the fine fields, a CMIP6 or NEX-GDDP-CMIP6 field averaged to the coarse cells).</t>
        </is>
      </c>
    </row>
    <row r="5">
      <c r="A5" s="2" t="inlineStr"/>
    </row>
    <row r="6">
      <c r="A6" s="2" t="inlineStr">
        <is>
          <t>Colour code: BLUE font = input (type over it). BLACK font = formula (do not overwrite). Yellow bars = step headings. Blue shading = column headings. Hover over a heading with a red corner to read a note about the formula.</t>
        </is>
      </c>
    </row>
    <row r="7">
      <c r="A7" s="2" t="inlineStr"/>
    </row>
    <row r="8">
      <c r="A8" s="3" t="inlineStr">
        <is>
          <t>Sheets</t>
        </is>
      </c>
    </row>
    <row r="9">
      <c r="A9" s="2" t="inlineStr">
        <is>
          <t>Data: every input of the three examples in one place.</t>
        </is>
      </c>
    </row>
    <row r="10">
      <c r="A10" s="2" t="inlineStr">
        <is>
          <t>Bilinear: 4x4 coarse grid, six target points; weights from the formulas, two-step versus four-weight value, nearest neighbour.</t>
        </is>
      </c>
    </row>
    <row r="11">
      <c r="A11" s="2" t="inlineStr">
        <is>
          <t>BCSD_2x2: factor = coarse GCM / coarse climatology, interpolated factor, rescaling by the fine climatology (rainfall, multiplicative); anomaly version for temperature (additive).</t>
        </is>
      </c>
    </row>
    <row r="12">
      <c r="A12" s="2" t="inlineStr">
        <is>
          <t>BCCA: 8 library days, RMSE ranking, the N=3 best analogues, weights by LINEST, by the normal equations and by ridge (MMULT/MINVERSE), downscaled 4x4 field.</t>
        </is>
      </c>
    </row>
    <row r="13">
      <c r="A13" s="2" t="inlineStr"/>
    </row>
    <row r="14">
      <c r="A14" s="2" t="inlineStr">
        <is>
          <t>How to use: change a blue input (for example the ridge lambda on Data) and watch the formulas follow. Set lambda = 0 on Data: the ridge weights become the plain least-squares weights.</t>
        </is>
      </c>
    </row>
    <row r="15">
      <c r="A15" s="2" t="inlineStr">
        <is>
          <t>Only widely supported functions are used (AVERAGE, SUMPRODUCT, INDEX, MATCH, RANK, IF, MIN, MAX, INT, MMULT, MINVERSE, TRANSPOSE, LINEST, SQRT, SUMXMY2). The matrix formulas are legacy array formulas (they work in Excel and Google Sheets).</t>
        </is>
      </c>
    </row>
    <row r="16">
      <c r="A16" s="2" t="inlineStr">
        <is>
          <t>The file was written by a script (openpyxl) and carries no stored results; Excel computes them when the file is opened (press F9 if cells look empty). The same numbers are reproduced in lecture-23-spatial-downscaling.ipynb.</t>
        </is>
      </c>
    </row>
    <row r="17">
      <c r="A17" s="2" t="inlineStr">
        <is>
          <t>Units: precipitation mm/day, temperature degC. Grid indices: row 0 is the first row listed, column 0 the first column listed.</t>
        </is>
      </c>
    </row>
    <row r="18">
      <c r="A18" s="4" t="inlineStr">
        <is>
          <t>Example of an input (blue):</t>
        </is>
      </c>
      <c r="B18" s="5" t="n">
        <v>1</v>
      </c>
    </row>
    <row r="19">
      <c r="A19" s="4" t="inlineStr">
        <is>
          <t>Example of a formula (black):</t>
        </is>
      </c>
      <c r="B19" s="4">
        <f>B18*2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7" customWidth="1" min="2" max="2"/>
    <col width="7" customWidth="1" min="3" max="3"/>
    <col width="7" customWidth="1" min="4" max="4"/>
    <col width="7" customWidth="1" min="5" max="5"/>
    <col width="7" customWidth="1" min="6" max="6"/>
    <col width="24"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s>
  <sheetData>
    <row r="1">
      <c r="A1" s="6" t="inlineStr">
        <is>
          <t>Data: synthetic inputs for the three worked examples (blue = input)</t>
        </is>
      </c>
    </row>
    <row r="2">
      <c r="A2" t="inlineStr">
        <is>
          <t>Same numbers as the CSV files in data/downscaling/lec23/ (bilinear_*, bcsd_*, ca_*).</t>
        </is>
      </c>
    </row>
    <row r="4">
      <c r="A4" s="7" t="inlineStr">
        <is>
          <t>A. Coarse grid z (mm/day) at nodes x = 0..3 (columns), y = 0..3 (rows)</t>
        </is>
      </c>
      <c r="G4" s="7" t="inlineStr">
        <is>
          <t>A. Target points (x, y in coarse-cell units)</t>
        </is>
      </c>
    </row>
    <row r="5">
      <c r="A5" s="8" t="inlineStr">
        <is>
          <t>y \ x</t>
        </is>
      </c>
      <c r="B5" s="9" t="n">
        <v>0</v>
      </c>
      <c r="C5" s="9" t="n">
        <v>1</v>
      </c>
      <c r="D5" s="9" t="n">
        <v>2</v>
      </c>
      <c r="E5" s="9" t="n">
        <v>3</v>
      </c>
      <c r="G5" s="8" t="inlineStr">
        <is>
          <t>id</t>
        </is>
      </c>
      <c r="H5" s="8" t="inlineStr">
        <is>
          <t>x</t>
        </is>
      </c>
      <c r="I5" s="8" t="inlineStr">
        <is>
          <t>y</t>
        </is>
      </c>
    </row>
    <row r="6">
      <c r="A6" s="9" t="n">
        <v>0</v>
      </c>
      <c r="B6" s="10" t="n">
        <v>12</v>
      </c>
      <c r="C6" s="10" t="n">
        <v>18</v>
      </c>
      <c r="D6" s="10" t="n">
        <v>10</v>
      </c>
      <c r="E6" s="10" t="n">
        <v>6</v>
      </c>
      <c r="G6" s="11" t="n">
        <v>1</v>
      </c>
      <c r="H6" s="12" t="n">
        <v>0.5</v>
      </c>
      <c r="I6" s="12" t="n">
        <v>0.5</v>
      </c>
    </row>
    <row r="7">
      <c r="A7" s="9" t="n">
        <v>1</v>
      </c>
      <c r="B7" s="10" t="n">
        <v>20</v>
      </c>
      <c r="C7" s="10" t="n">
        <v>30</v>
      </c>
      <c r="D7" s="10" t="n">
        <v>16</v>
      </c>
      <c r="E7" s="10" t="n">
        <v>9</v>
      </c>
      <c r="G7" s="11" t="n">
        <v>2</v>
      </c>
      <c r="H7" s="12" t="n">
        <v>1.25</v>
      </c>
      <c r="I7" s="12" t="n">
        <v>1.75</v>
      </c>
    </row>
    <row r="8">
      <c r="A8" s="9" t="n">
        <v>2</v>
      </c>
      <c r="B8" s="10" t="n">
        <v>14</v>
      </c>
      <c r="C8" s="10" t="n">
        <v>22</v>
      </c>
      <c r="D8" s="10" t="n">
        <v>13</v>
      </c>
      <c r="E8" s="10" t="n">
        <v>7</v>
      </c>
      <c r="G8" s="11" t="n">
        <v>3</v>
      </c>
      <c r="H8" s="12" t="n">
        <v>1</v>
      </c>
      <c r="I8" s="12" t="n">
        <v>1</v>
      </c>
    </row>
    <row r="9">
      <c r="A9" s="9" t="n">
        <v>3</v>
      </c>
      <c r="B9" s="10" t="n">
        <v>8</v>
      </c>
      <c r="C9" s="10" t="n">
        <v>11</v>
      </c>
      <c r="D9" s="10" t="n">
        <v>9</v>
      </c>
      <c r="E9" s="10" t="n">
        <v>5</v>
      </c>
      <c r="G9" s="11" t="n">
        <v>4</v>
      </c>
      <c r="H9" s="12" t="n">
        <v>2.4</v>
      </c>
      <c r="I9" s="12" t="n">
        <v>0.6</v>
      </c>
    </row>
    <row r="10">
      <c r="G10" s="11" t="n">
        <v>5</v>
      </c>
      <c r="H10" s="12" t="n">
        <v>0.2</v>
      </c>
      <c r="I10" s="12" t="n">
        <v>2.8</v>
      </c>
    </row>
    <row r="11">
      <c r="G11" s="11" t="n">
        <v>6</v>
      </c>
      <c r="H11" s="12" t="n">
        <v>2.9</v>
      </c>
      <c r="I11" s="12" t="n">
        <v>2.9</v>
      </c>
    </row>
    <row r="12">
      <c r="A12" s="7" t="inlineStr">
        <is>
          <t>B. BCSD inputs: precipitation (mm/day), 2x2 coarse and 4x4 fine; temperature (degC)</t>
        </is>
      </c>
    </row>
    <row r="13">
      <c r="A13" s="13" t="inlineStr">
        <is>
          <t>B1 Coarse climatology of observations</t>
        </is>
      </c>
      <c r="G13" s="13" t="inlineStr">
        <is>
          <t>B4 Coarse clim. T (degC)</t>
        </is>
      </c>
    </row>
    <row r="14">
      <c r="B14" s="10" t="n">
        <v>2</v>
      </c>
      <c r="C14" s="10" t="n">
        <v>4</v>
      </c>
      <c r="H14" s="10" t="n">
        <v>24</v>
      </c>
      <c r="I14" s="10" t="n">
        <v>22</v>
      </c>
    </row>
    <row r="15">
      <c r="B15" s="10" t="n">
        <v>6</v>
      </c>
      <c r="C15" s="10" t="n">
        <v>8</v>
      </c>
      <c r="H15" s="10" t="n">
        <v>20</v>
      </c>
      <c r="I15" s="10" t="n">
        <v>18</v>
      </c>
    </row>
    <row r="17">
      <c r="A17" s="13" t="inlineStr">
        <is>
          <t>B2 Bias-corrected coarse GCM, today</t>
        </is>
      </c>
      <c r="G17" s="13" t="inlineStr">
        <is>
          <t>B5 BC-GCM T today (degC)</t>
        </is>
      </c>
    </row>
    <row r="18">
      <c r="B18" s="10" t="n">
        <v>3</v>
      </c>
      <c r="C18" s="10" t="n">
        <v>4</v>
      </c>
      <c r="H18" s="10" t="n">
        <v>26</v>
      </c>
      <c r="I18" s="10" t="n">
        <v>23</v>
      </c>
    </row>
    <row r="19">
      <c r="B19" s="10" t="n">
        <v>3</v>
      </c>
      <c r="C19" s="10" t="n">
        <v>12</v>
      </c>
      <c r="H19" s="10" t="n">
        <v>21</v>
      </c>
      <c r="I19" s="10" t="n">
        <v>17</v>
      </c>
    </row>
    <row r="21">
      <c r="A21" s="13" t="inlineStr">
        <is>
          <t>B3 Fine climatology of observations</t>
        </is>
      </c>
      <c r="G21" s="13" t="inlineStr">
        <is>
          <t>B6 Fine clim. T (degC)</t>
        </is>
      </c>
    </row>
    <row r="22">
      <c r="B22" s="10" t="n">
        <v>1</v>
      </c>
      <c r="C22" s="10" t="n">
        <v>3</v>
      </c>
      <c r="D22" s="10" t="n">
        <v>3</v>
      </c>
      <c r="E22" s="10" t="n">
        <v>5</v>
      </c>
      <c r="H22" s="10" t="n">
        <v>25.5</v>
      </c>
      <c r="I22" s="10" t="n">
        <v>22.5</v>
      </c>
      <c r="J22" s="10" t="n">
        <v>22.5</v>
      </c>
      <c r="K22" s="10" t="n">
        <v>21.5</v>
      </c>
    </row>
    <row r="23">
      <c r="B23" s="10" t="n">
        <v>1.5</v>
      </c>
      <c r="C23" s="10" t="n">
        <v>2.5</v>
      </c>
      <c r="D23" s="10" t="n">
        <v>3.5</v>
      </c>
      <c r="E23" s="10" t="n">
        <v>4.5</v>
      </c>
      <c r="H23" s="10" t="n">
        <v>25</v>
      </c>
      <c r="I23" s="10" t="n">
        <v>23</v>
      </c>
      <c r="J23" s="10" t="n">
        <v>22.5</v>
      </c>
      <c r="K23" s="10" t="n">
        <v>21.5</v>
      </c>
    </row>
    <row r="24">
      <c r="B24" s="10" t="n">
        <v>4</v>
      </c>
      <c r="C24" s="10" t="n">
        <v>8</v>
      </c>
      <c r="D24" s="10" t="n">
        <v>6</v>
      </c>
      <c r="E24" s="10" t="n">
        <v>10</v>
      </c>
      <c r="H24" s="10" t="n">
        <v>21</v>
      </c>
      <c r="I24" s="10" t="n">
        <v>20</v>
      </c>
      <c r="J24" s="10" t="n">
        <v>18.5</v>
      </c>
      <c r="K24" s="10" t="n">
        <v>17.5</v>
      </c>
    </row>
    <row r="25">
      <c r="B25" s="10" t="n">
        <v>5</v>
      </c>
      <c r="C25" s="10" t="n">
        <v>7</v>
      </c>
      <c r="D25" s="10" t="n">
        <v>7</v>
      </c>
      <c r="E25" s="10" t="n">
        <v>9</v>
      </c>
      <c r="H25" s="10" t="n">
        <v>20</v>
      </c>
      <c r="I25" s="10" t="n">
        <v>19</v>
      </c>
      <c r="J25" s="10" t="n">
        <v>18.5</v>
      </c>
      <c r="K25" s="10" t="n">
        <v>17.5</v>
      </c>
    </row>
    <row r="28">
      <c r="A28" s="7" t="inlineStr">
        <is>
          <t>C. Constructed analogues: library of 8 days, fine 4x4 field per day (mm/day); fine cell id = 4*row + col + 1</t>
        </is>
      </c>
    </row>
    <row r="29">
      <c r="A29" s="8" t="inlineStr">
        <is>
          <t>day</t>
        </is>
      </c>
      <c r="B29" s="8" t="n">
        <v>1</v>
      </c>
      <c r="C29" s="8" t="n">
        <v>2</v>
      </c>
      <c r="D29" s="8" t="n">
        <v>3</v>
      </c>
      <c r="E29" s="8" t="n">
        <v>4</v>
      </c>
      <c r="F29" s="8" t="n">
        <v>5</v>
      </c>
      <c r="G29" s="8" t="n">
        <v>6</v>
      </c>
      <c r="H29" s="8" t="n">
        <v>7</v>
      </c>
      <c r="I29" s="8" t="n">
        <v>8</v>
      </c>
      <c r="J29" s="8" t="n">
        <v>9</v>
      </c>
      <c r="K29" s="8" t="n">
        <v>10</v>
      </c>
      <c r="L29" s="8" t="n">
        <v>11</v>
      </c>
      <c r="M29" s="8" t="n">
        <v>12</v>
      </c>
      <c r="N29" s="8" t="n">
        <v>13</v>
      </c>
      <c r="O29" s="8" t="n">
        <v>14</v>
      </c>
      <c r="P29" s="8" t="n">
        <v>15</v>
      </c>
      <c r="Q29" s="8" t="n">
        <v>16</v>
      </c>
    </row>
    <row r="30">
      <c r="A30" s="11" t="n">
        <v>1</v>
      </c>
      <c r="B30" s="10" t="n">
        <v>1.1</v>
      </c>
      <c r="C30" s="10" t="n">
        <v>4.4</v>
      </c>
      <c r="D30" s="10" t="n">
        <v>5.3</v>
      </c>
      <c r="E30" s="10" t="n">
        <v>11</v>
      </c>
      <c r="F30" s="10" t="n">
        <v>2.4</v>
      </c>
      <c r="G30" s="10" t="n">
        <v>3.3</v>
      </c>
      <c r="H30" s="10" t="n">
        <v>4.3</v>
      </c>
      <c r="I30" s="10" t="n">
        <v>8.800000000000001</v>
      </c>
      <c r="J30" s="10" t="n">
        <v>10.2</v>
      </c>
      <c r="K30" s="10" t="n">
        <v>13.6</v>
      </c>
      <c r="L30" s="10" t="n">
        <v>6.5</v>
      </c>
      <c r="M30" s="10" t="n">
        <v>11.7</v>
      </c>
      <c r="N30" s="10" t="n">
        <v>12.7</v>
      </c>
      <c r="O30" s="10" t="n">
        <v>11.6</v>
      </c>
      <c r="P30" s="10" t="n">
        <v>6.5</v>
      </c>
      <c r="Q30" s="10" t="n">
        <v>13.7</v>
      </c>
    </row>
    <row r="31">
      <c r="A31" s="11" t="n">
        <v>2</v>
      </c>
      <c r="B31" s="10" t="n">
        <v>1</v>
      </c>
      <c r="C31" s="10" t="n">
        <v>3.1</v>
      </c>
      <c r="D31" s="10" t="n">
        <v>2.9</v>
      </c>
      <c r="E31" s="10" t="n">
        <v>7</v>
      </c>
      <c r="F31" s="10" t="n">
        <v>1.8</v>
      </c>
      <c r="G31" s="10" t="n">
        <v>2.5</v>
      </c>
      <c r="H31" s="10" t="n">
        <v>4.7</v>
      </c>
      <c r="I31" s="10" t="n">
        <v>6.9</v>
      </c>
      <c r="J31" s="10" t="n">
        <v>2.9</v>
      </c>
      <c r="K31" s="10" t="n">
        <v>8.800000000000001</v>
      </c>
      <c r="L31" s="10" t="n">
        <v>5.3</v>
      </c>
      <c r="M31" s="10" t="n">
        <v>11.3</v>
      </c>
      <c r="N31" s="10" t="n">
        <v>4</v>
      </c>
      <c r="O31" s="10" t="n">
        <v>8.4</v>
      </c>
      <c r="P31" s="10" t="n">
        <v>8.199999999999999</v>
      </c>
      <c r="Q31" s="10" t="n">
        <v>9.800000000000001</v>
      </c>
    </row>
    <row r="32">
      <c r="A32" s="11" t="n">
        <v>3</v>
      </c>
      <c r="B32" s="10" t="n">
        <v>0.7</v>
      </c>
      <c r="C32" s="10" t="n">
        <v>1.8</v>
      </c>
      <c r="D32" s="10" t="n">
        <v>1.7</v>
      </c>
      <c r="E32" s="10" t="n">
        <v>4.5</v>
      </c>
      <c r="F32" s="10" t="n">
        <v>0.9</v>
      </c>
      <c r="G32" s="10" t="n">
        <v>3</v>
      </c>
      <c r="H32" s="10" t="n">
        <v>3.7</v>
      </c>
      <c r="I32" s="10" t="n">
        <v>2.1</v>
      </c>
      <c r="J32" s="10" t="n">
        <v>3.7</v>
      </c>
      <c r="K32" s="10" t="n">
        <v>4.9</v>
      </c>
      <c r="L32" s="10" t="n">
        <v>5.1</v>
      </c>
      <c r="M32" s="10" t="n">
        <v>8.6</v>
      </c>
      <c r="N32" s="10" t="n">
        <v>2.3</v>
      </c>
      <c r="O32" s="10" t="n">
        <v>5.5</v>
      </c>
      <c r="P32" s="10" t="n">
        <v>5.5</v>
      </c>
      <c r="Q32" s="10" t="n">
        <v>10.1</v>
      </c>
    </row>
    <row r="33">
      <c r="A33" s="11" t="n">
        <v>4</v>
      </c>
      <c r="B33" s="10" t="n">
        <v>2</v>
      </c>
      <c r="C33" s="10" t="n">
        <v>3.5</v>
      </c>
      <c r="D33" s="10" t="n">
        <v>4.4</v>
      </c>
      <c r="E33" s="10" t="n">
        <v>6.3</v>
      </c>
      <c r="F33" s="10" t="n">
        <v>3.7</v>
      </c>
      <c r="G33" s="10" t="n">
        <v>4.8</v>
      </c>
      <c r="H33" s="10" t="n">
        <v>11.7</v>
      </c>
      <c r="I33" s="10" t="n">
        <v>8.800000000000001</v>
      </c>
      <c r="J33" s="10" t="n">
        <v>8.300000000000001</v>
      </c>
      <c r="K33" s="10" t="n">
        <v>16.6</v>
      </c>
      <c r="L33" s="10" t="n">
        <v>8.1</v>
      </c>
      <c r="M33" s="10" t="n">
        <v>15.8</v>
      </c>
      <c r="N33" s="10" t="n">
        <v>12.1</v>
      </c>
      <c r="O33" s="10" t="n">
        <v>10</v>
      </c>
      <c r="P33" s="10" t="n">
        <v>12</v>
      </c>
      <c r="Q33" s="10" t="n">
        <v>14.4</v>
      </c>
    </row>
    <row r="34">
      <c r="A34" s="11" t="n">
        <v>5</v>
      </c>
      <c r="B34" s="10" t="n">
        <v>1.4</v>
      </c>
      <c r="C34" s="10" t="n">
        <v>4.5</v>
      </c>
      <c r="D34" s="10" t="n">
        <v>5</v>
      </c>
      <c r="E34" s="10" t="n">
        <v>8</v>
      </c>
      <c r="F34" s="10" t="n">
        <v>1.8</v>
      </c>
      <c r="G34" s="10" t="n">
        <v>5.1</v>
      </c>
      <c r="H34" s="10" t="n">
        <v>3.7</v>
      </c>
      <c r="I34" s="10" t="n">
        <v>4.9</v>
      </c>
      <c r="J34" s="10" t="n">
        <v>4.2</v>
      </c>
      <c r="K34" s="10" t="n">
        <v>16.7</v>
      </c>
      <c r="L34" s="10" t="n">
        <v>8.4</v>
      </c>
      <c r="M34" s="10" t="n">
        <v>11.6</v>
      </c>
      <c r="N34" s="10" t="n">
        <v>5.5</v>
      </c>
      <c r="O34" s="10" t="n">
        <v>12.4</v>
      </c>
      <c r="P34" s="10" t="n">
        <v>7.9</v>
      </c>
      <c r="Q34" s="10" t="n">
        <v>9.6</v>
      </c>
    </row>
    <row r="35">
      <c r="A35" s="11" t="n">
        <v>6</v>
      </c>
      <c r="B35" s="10" t="n">
        <v>1.2</v>
      </c>
      <c r="C35" s="10" t="n">
        <v>4.8</v>
      </c>
      <c r="D35" s="10" t="n">
        <v>5.2</v>
      </c>
      <c r="E35" s="10" t="n">
        <v>7.7</v>
      </c>
      <c r="F35" s="10" t="n">
        <v>2.6</v>
      </c>
      <c r="G35" s="10" t="n">
        <v>6.5</v>
      </c>
      <c r="H35" s="10" t="n">
        <v>5.2</v>
      </c>
      <c r="I35" s="10" t="n">
        <v>5.4</v>
      </c>
      <c r="J35" s="10" t="n">
        <v>4</v>
      </c>
      <c r="K35" s="10" t="n">
        <v>13.2</v>
      </c>
      <c r="L35" s="10" t="n">
        <v>9.4</v>
      </c>
      <c r="M35" s="10" t="n">
        <v>19</v>
      </c>
      <c r="N35" s="10" t="n">
        <v>7.6</v>
      </c>
      <c r="O35" s="10" t="n">
        <v>10.6</v>
      </c>
      <c r="P35" s="10" t="n">
        <v>9.9</v>
      </c>
      <c r="Q35" s="10" t="n">
        <v>13.5</v>
      </c>
    </row>
    <row r="36">
      <c r="A36" s="11" t="n">
        <v>7</v>
      </c>
      <c r="B36" s="10" t="n">
        <v>0.7</v>
      </c>
      <c r="C36" s="10" t="n">
        <v>2.4</v>
      </c>
      <c r="D36" s="10" t="n">
        <v>4.1</v>
      </c>
      <c r="E36" s="10" t="n">
        <v>4.4</v>
      </c>
      <c r="F36" s="10" t="n">
        <v>0.7</v>
      </c>
      <c r="G36" s="10" t="n">
        <v>3.2</v>
      </c>
      <c r="H36" s="10" t="n">
        <v>3</v>
      </c>
      <c r="I36" s="10" t="n">
        <v>2.6</v>
      </c>
      <c r="J36" s="10" t="n">
        <v>4</v>
      </c>
      <c r="K36" s="10" t="n">
        <v>6.2</v>
      </c>
      <c r="L36" s="10" t="n">
        <v>3.8</v>
      </c>
      <c r="M36" s="10" t="n">
        <v>6.3</v>
      </c>
      <c r="N36" s="10" t="n">
        <v>2.8</v>
      </c>
      <c r="O36" s="10" t="n">
        <v>5.5</v>
      </c>
      <c r="P36" s="10" t="n">
        <v>7.4</v>
      </c>
      <c r="Q36" s="10" t="n">
        <v>6.3</v>
      </c>
    </row>
    <row r="37">
      <c r="A37" s="11" t="n">
        <v>8</v>
      </c>
      <c r="B37" s="10" t="n">
        <v>2.5</v>
      </c>
      <c r="C37" s="10" t="n">
        <v>2.9</v>
      </c>
      <c r="D37" s="10" t="n">
        <v>4.5</v>
      </c>
      <c r="E37" s="10" t="n">
        <v>6.4</v>
      </c>
      <c r="F37" s="10" t="n">
        <v>1.5</v>
      </c>
      <c r="G37" s="10" t="n">
        <v>2.6</v>
      </c>
      <c r="H37" s="10" t="n">
        <v>4.9</v>
      </c>
      <c r="I37" s="10" t="n">
        <v>7.2</v>
      </c>
      <c r="J37" s="10" t="n">
        <v>4.8</v>
      </c>
      <c r="K37" s="10" t="n">
        <v>11.4</v>
      </c>
      <c r="L37" s="10" t="n">
        <v>10.4</v>
      </c>
      <c r="M37" s="10" t="n">
        <v>15.3</v>
      </c>
      <c r="N37" s="10" t="n">
        <v>9.1</v>
      </c>
      <c r="O37" s="10" t="n">
        <v>11.3</v>
      </c>
      <c r="P37" s="10" t="n">
        <v>11.3</v>
      </c>
      <c r="Q37" s="10" t="n">
        <v>21.8</v>
      </c>
    </row>
    <row r="39">
      <c r="A39" s="13" t="inlineStr">
        <is>
          <t>Target coarse field, cells (1,1) (1,2) (2,1) (2,2)</t>
        </is>
      </c>
      <c r="B39" s="10" t="n">
        <v>3.3</v>
      </c>
      <c r="C39" s="10" t="n">
        <v>6.3</v>
      </c>
      <c r="D39" s="10" t="n">
        <v>8.199999999999999</v>
      </c>
      <c r="E39" s="10" t="n">
        <v>13.6</v>
      </c>
    </row>
    <row r="40">
      <c r="A40" s="13" t="inlineStr">
        <is>
          <t>Truth fine field (only to check)</t>
        </is>
      </c>
      <c r="B40" s="10" t="n">
        <v>1.7</v>
      </c>
      <c r="C40" s="10" t="n">
        <v>4.4</v>
      </c>
      <c r="D40" s="10" t="n">
        <v>5.2</v>
      </c>
      <c r="E40" s="10" t="n">
        <v>5.3</v>
      </c>
      <c r="F40" s="10" t="n">
        <v>1.9</v>
      </c>
      <c r="G40" s="10" t="n">
        <v>4.4</v>
      </c>
      <c r="H40" s="10" t="n">
        <v>5.9</v>
      </c>
      <c r="I40" s="10" t="n">
        <v>10</v>
      </c>
      <c r="J40" s="10" t="n">
        <v>5.6</v>
      </c>
      <c r="K40" s="10" t="n">
        <v>7.2</v>
      </c>
      <c r="L40" s="10" t="n">
        <v>15.1</v>
      </c>
      <c r="M40" s="10" t="n">
        <v>19.4</v>
      </c>
      <c r="N40" s="10" t="n">
        <v>5.1</v>
      </c>
      <c r="O40" s="10" t="n">
        <v>14.8</v>
      </c>
      <c r="P40" s="10" t="n">
        <v>9.9</v>
      </c>
      <c r="Q40" s="10" t="n">
        <v>7.3</v>
      </c>
    </row>
    <row r="42">
      <c r="A42" s="13" t="inlineStr">
        <is>
          <t>Ridge lambda (mm2/day2)</t>
        </is>
      </c>
      <c r="B42" s="12" t="n">
        <v>5</v>
      </c>
    </row>
  </sheetData>
  <conditionalFormatting sqref="B6:E9">
    <cfRule type="colorScale" priority="1">
      <colorScale>
        <cfvo type="min"/>
        <cfvo type="max"/>
        <color rgb="00FFFFFF"/>
        <color rgb="002F75B5"/>
      </colorScale>
    </cfRule>
  </conditionalFormatting>
  <conditionalFormatting sqref="B22:E25">
    <cfRule type="colorScale" priority="2">
      <colorScale>
        <cfvo type="min"/>
        <cfvo type="max"/>
        <color rgb="00FFFFFF"/>
        <color rgb="002F75B5"/>
      </colorScale>
    </cfRule>
  </conditionalFormatting>
  <conditionalFormatting sqref="H22:K25">
    <cfRule type="colorScale" priority="3">
      <colorScale>
        <cfvo type="min"/>
        <cfvo type="max"/>
        <color rgb="00F8696B"/>
        <color rgb="0063BE7B"/>
      </colorScale>
    </cfRule>
  </conditionalFormatting>
  <conditionalFormatting sqref="B30:Q37">
    <cfRule type="colorScale" priority="4">
      <colorScale>
        <cfvo type="min"/>
        <cfvo type="max"/>
        <color rgb="00FFFFFF"/>
        <color rgb="002F75B5"/>
      </colorScale>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6" t="inlineStr">
        <is>
          <t>Bilinear interpolation: linear in x, then linear in y; equal to the area-weighted mean of the 4 corners</t>
        </is>
      </c>
    </row>
    <row r="2">
      <c r="A2" t="inlineStr">
        <is>
          <t>x runs along columns, y along rows. (i0, j0) is the lower-left node of the cell that holds the point; tx, ty in [0,1] are the fractions of the way across it.</t>
        </is>
      </c>
    </row>
    <row r="4" ht="45" customHeight="1">
      <c r="A4" s="8" t="inlineStr">
        <is>
          <t>id</t>
        </is>
      </c>
      <c r="B4" s="8" t="inlineStr">
        <is>
          <t>x</t>
        </is>
      </c>
      <c r="C4" s="8" t="inlineStr">
        <is>
          <t>y</t>
        </is>
      </c>
      <c r="D4" s="8" t="inlineStr">
        <is>
          <t>i0</t>
        </is>
      </c>
      <c r="E4" s="8" t="inlineStr">
        <is>
          <t>j0</t>
        </is>
      </c>
      <c r="F4" s="8" t="inlineStr">
        <is>
          <t>tx</t>
        </is>
      </c>
      <c r="G4" s="8" t="inlineStr">
        <is>
          <t>ty</t>
        </is>
      </c>
      <c r="H4" s="8" t="inlineStr">
        <is>
          <t>w00</t>
        </is>
      </c>
      <c r="I4" s="8" t="inlineStr">
        <is>
          <t>w10</t>
        </is>
      </c>
      <c r="J4" s="8" t="inlineStr">
        <is>
          <t>w01</t>
        </is>
      </c>
      <c r="K4" s="8" t="inlineStr">
        <is>
          <t>w11</t>
        </is>
      </c>
      <c r="L4" s="8" t="inlineStr">
        <is>
          <t>sum w</t>
        </is>
      </c>
      <c r="M4" s="8" t="inlineStr">
        <is>
          <t>z00</t>
        </is>
      </c>
      <c r="N4" s="8" t="inlineStr">
        <is>
          <t>z10</t>
        </is>
      </c>
      <c r="O4" s="8" t="inlineStr">
        <is>
          <t>z01</t>
        </is>
      </c>
      <c r="P4" s="8" t="inlineStr">
        <is>
          <t>z11</t>
        </is>
      </c>
      <c r="Q4" s="8" t="inlineStr">
        <is>
          <t>z bottom (x first)</t>
        </is>
      </c>
      <c r="R4" s="8" t="inlineStr">
        <is>
          <t>z top (x first)</t>
        </is>
      </c>
      <c r="S4" s="8" t="inlineStr">
        <is>
          <t>z two-step</t>
        </is>
      </c>
      <c r="T4" s="8" t="inlineStr">
        <is>
          <t>z four-weight</t>
        </is>
      </c>
      <c r="U4" s="8" t="inlineStr">
        <is>
          <t>two-step minus four-weight</t>
        </is>
      </c>
      <c r="V4" s="8" t="inlineStr">
        <is>
          <t>nearest neighbour</t>
        </is>
      </c>
      <c r="W4" s="8" t="inlineStr">
        <is>
          <t>nearest minus bilinear</t>
        </is>
      </c>
    </row>
    <row r="5">
      <c r="A5" s="14">
        <f>Data!G6</f>
        <v/>
      </c>
      <c r="B5" s="15">
        <f>Data!H6</f>
        <v/>
      </c>
      <c r="C5" s="15">
        <f>Data!I6</f>
        <v/>
      </c>
      <c r="D5" s="14">
        <f>MIN(INT(B5),COLUMNS(Data!$B$6:$E$9)-2)</f>
        <v/>
      </c>
      <c r="E5" s="14">
        <f>MIN(INT(C5),ROWS(Data!$B$6:$E$9)-2)</f>
        <v/>
      </c>
      <c r="F5" s="15">
        <f>B5-D5</f>
        <v/>
      </c>
      <c r="G5" s="15">
        <f>C5-E5</f>
        <v/>
      </c>
      <c r="H5" s="16">
        <f>(1-F5)*(1-G5)</f>
        <v/>
      </c>
      <c r="I5" s="16">
        <f>F5*(1-G5)</f>
        <v/>
      </c>
      <c r="J5" s="16">
        <f>(1-F5)*G5</f>
        <v/>
      </c>
      <c r="K5" s="16">
        <f>F5*G5</f>
        <v/>
      </c>
      <c r="L5" s="16">
        <f>SUM(H5:K5)</f>
        <v/>
      </c>
      <c r="M5" s="17">
        <f>INDEX(Data!$B$6:$E$9,E5+1,D5+1)</f>
        <v/>
      </c>
      <c r="N5" s="17">
        <f>INDEX(Data!$B$6:$E$9,E5+1,D5+2)</f>
        <v/>
      </c>
      <c r="O5" s="17">
        <f>INDEX(Data!$B$6:$E$9,E5+2,D5+1)</f>
        <v/>
      </c>
      <c r="P5" s="17">
        <f>INDEX(Data!$B$6:$E$9,E5+2,D5+2)</f>
        <v/>
      </c>
      <c r="Q5" s="17">
        <f>(1-F5)*M5+F5*N5</f>
        <v/>
      </c>
      <c r="R5" s="17">
        <f>(1-F5)*O5+F5*P5</f>
        <v/>
      </c>
      <c r="S5" s="17">
        <f>(1-G5)*Q5+G5*R5</f>
        <v/>
      </c>
      <c r="T5" s="17">
        <f>SUMPRODUCT(H5:K5,M5:P5)</f>
        <v/>
      </c>
      <c r="U5" s="16">
        <f>S5-T5</f>
        <v/>
      </c>
      <c r="V5" s="17">
        <f>INDEX(Data!$B$6:$E$9,INT(C5+0.5)+1,INT(B5+0.5)+1)</f>
        <v/>
      </c>
      <c r="W5" s="17">
        <f>V5-T5</f>
        <v/>
      </c>
    </row>
    <row r="6">
      <c r="A6" s="14">
        <f>Data!G7</f>
        <v/>
      </c>
      <c r="B6" s="15">
        <f>Data!H7</f>
        <v/>
      </c>
      <c r="C6" s="15">
        <f>Data!I7</f>
        <v/>
      </c>
      <c r="D6" s="14">
        <f>MIN(INT(B6),COLUMNS(Data!$B$6:$E$9)-2)</f>
        <v/>
      </c>
      <c r="E6" s="14">
        <f>MIN(INT(C6),ROWS(Data!$B$6:$E$9)-2)</f>
        <v/>
      </c>
      <c r="F6" s="15">
        <f>B6-D6</f>
        <v/>
      </c>
      <c r="G6" s="15">
        <f>C6-E6</f>
        <v/>
      </c>
      <c r="H6" s="16">
        <f>(1-F6)*(1-G6)</f>
        <v/>
      </c>
      <c r="I6" s="16">
        <f>F6*(1-G6)</f>
        <v/>
      </c>
      <c r="J6" s="16">
        <f>(1-F6)*G6</f>
        <v/>
      </c>
      <c r="K6" s="16">
        <f>F6*G6</f>
        <v/>
      </c>
      <c r="L6" s="16">
        <f>SUM(H6:K6)</f>
        <v/>
      </c>
      <c r="M6" s="17">
        <f>INDEX(Data!$B$6:$E$9,E6+1,D6+1)</f>
        <v/>
      </c>
      <c r="N6" s="17">
        <f>INDEX(Data!$B$6:$E$9,E6+1,D6+2)</f>
        <v/>
      </c>
      <c r="O6" s="17">
        <f>INDEX(Data!$B$6:$E$9,E6+2,D6+1)</f>
        <v/>
      </c>
      <c r="P6" s="17">
        <f>INDEX(Data!$B$6:$E$9,E6+2,D6+2)</f>
        <v/>
      </c>
      <c r="Q6" s="17">
        <f>(1-F6)*M6+F6*N6</f>
        <v/>
      </c>
      <c r="R6" s="17">
        <f>(1-F6)*O6+F6*P6</f>
        <v/>
      </c>
      <c r="S6" s="17">
        <f>(1-G6)*Q6+G6*R6</f>
        <v/>
      </c>
      <c r="T6" s="17">
        <f>SUMPRODUCT(H6:K6,M6:P6)</f>
        <v/>
      </c>
      <c r="U6" s="16">
        <f>S6-T6</f>
        <v/>
      </c>
      <c r="V6" s="17">
        <f>INDEX(Data!$B$6:$E$9,INT(C6+0.5)+1,INT(B6+0.5)+1)</f>
        <v/>
      </c>
      <c r="W6" s="17">
        <f>V6-T6</f>
        <v/>
      </c>
    </row>
    <row r="7">
      <c r="A7" s="14">
        <f>Data!G8</f>
        <v/>
      </c>
      <c r="B7" s="15">
        <f>Data!H8</f>
        <v/>
      </c>
      <c r="C7" s="15">
        <f>Data!I8</f>
        <v/>
      </c>
      <c r="D7" s="14">
        <f>MIN(INT(B7),COLUMNS(Data!$B$6:$E$9)-2)</f>
        <v/>
      </c>
      <c r="E7" s="14">
        <f>MIN(INT(C7),ROWS(Data!$B$6:$E$9)-2)</f>
        <v/>
      </c>
      <c r="F7" s="15">
        <f>B7-D7</f>
        <v/>
      </c>
      <c r="G7" s="15">
        <f>C7-E7</f>
        <v/>
      </c>
      <c r="H7" s="16">
        <f>(1-F7)*(1-G7)</f>
        <v/>
      </c>
      <c r="I7" s="16">
        <f>F7*(1-G7)</f>
        <v/>
      </c>
      <c r="J7" s="16">
        <f>(1-F7)*G7</f>
        <v/>
      </c>
      <c r="K7" s="16">
        <f>F7*G7</f>
        <v/>
      </c>
      <c r="L7" s="16">
        <f>SUM(H7:K7)</f>
        <v/>
      </c>
      <c r="M7" s="17">
        <f>INDEX(Data!$B$6:$E$9,E7+1,D7+1)</f>
        <v/>
      </c>
      <c r="N7" s="17">
        <f>INDEX(Data!$B$6:$E$9,E7+1,D7+2)</f>
        <v/>
      </c>
      <c r="O7" s="17">
        <f>INDEX(Data!$B$6:$E$9,E7+2,D7+1)</f>
        <v/>
      </c>
      <c r="P7" s="17">
        <f>INDEX(Data!$B$6:$E$9,E7+2,D7+2)</f>
        <v/>
      </c>
      <c r="Q7" s="17">
        <f>(1-F7)*M7+F7*N7</f>
        <v/>
      </c>
      <c r="R7" s="17">
        <f>(1-F7)*O7+F7*P7</f>
        <v/>
      </c>
      <c r="S7" s="17">
        <f>(1-G7)*Q7+G7*R7</f>
        <v/>
      </c>
      <c r="T7" s="17">
        <f>SUMPRODUCT(H7:K7,M7:P7)</f>
        <v/>
      </c>
      <c r="U7" s="16">
        <f>S7-T7</f>
        <v/>
      </c>
      <c r="V7" s="17">
        <f>INDEX(Data!$B$6:$E$9,INT(C7+0.5)+1,INT(B7+0.5)+1)</f>
        <v/>
      </c>
      <c r="W7" s="17">
        <f>V7-T7</f>
        <v/>
      </c>
    </row>
    <row r="8">
      <c r="A8" s="14">
        <f>Data!G9</f>
        <v/>
      </c>
      <c r="B8" s="15">
        <f>Data!H9</f>
        <v/>
      </c>
      <c r="C8" s="15">
        <f>Data!I9</f>
        <v/>
      </c>
      <c r="D8" s="14">
        <f>MIN(INT(B8),COLUMNS(Data!$B$6:$E$9)-2)</f>
        <v/>
      </c>
      <c r="E8" s="14">
        <f>MIN(INT(C8),ROWS(Data!$B$6:$E$9)-2)</f>
        <v/>
      </c>
      <c r="F8" s="15">
        <f>B8-D8</f>
        <v/>
      </c>
      <c r="G8" s="15">
        <f>C8-E8</f>
        <v/>
      </c>
      <c r="H8" s="16">
        <f>(1-F8)*(1-G8)</f>
        <v/>
      </c>
      <c r="I8" s="16">
        <f>F8*(1-G8)</f>
        <v/>
      </c>
      <c r="J8" s="16">
        <f>(1-F8)*G8</f>
        <v/>
      </c>
      <c r="K8" s="16">
        <f>F8*G8</f>
        <v/>
      </c>
      <c r="L8" s="16">
        <f>SUM(H8:K8)</f>
        <v/>
      </c>
      <c r="M8" s="17">
        <f>INDEX(Data!$B$6:$E$9,E8+1,D8+1)</f>
        <v/>
      </c>
      <c r="N8" s="17">
        <f>INDEX(Data!$B$6:$E$9,E8+1,D8+2)</f>
        <v/>
      </c>
      <c r="O8" s="17">
        <f>INDEX(Data!$B$6:$E$9,E8+2,D8+1)</f>
        <v/>
      </c>
      <c r="P8" s="17">
        <f>INDEX(Data!$B$6:$E$9,E8+2,D8+2)</f>
        <v/>
      </c>
      <c r="Q8" s="17">
        <f>(1-F8)*M8+F8*N8</f>
        <v/>
      </c>
      <c r="R8" s="17">
        <f>(1-F8)*O8+F8*P8</f>
        <v/>
      </c>
      <c r="S8" s="17">
        <f>(1-G8)*Q8+G8*R8</f>
        <v/>
      </c>
      <c r="T8" s="17">
        <f>SUMPRODUCT(H8:K8,M8:P8)</f>
        <v/>
      </c>
      <c r="U8" s="16">
        <f>S8-T8</f>
        <v/>
      </c>
      <c r="V8" s="17">
        <f>INDEX(Data!$B$6:$E$9,INT(C8+0.5)+1,INT(B8+0.5)+1)</f>
        <v/>
      </c>
      <c r="W8" s="17">
        <f>V8-T8</f>
        <v/>
      </c>
    </row>
    <row r="9">
      <c r="A9" s="14">
        <f>Data!G10</f>
        <v/>
      </c>
      <c r="B9" s="15">
        <f>Data!H10</f>
        <v/>
      </c>
      <c r="C9" s="15">
        <f>Data!I10</f>
        <v/>
      </c>
      <c r="D9" s="14">
        <f>MIN(INT(B9),COLUMNS(Data!$B$6:$E$9)-2)</f>
        <v/>
      </c>
      <c r="E9" s="14">
        <f>MIN(INT(C9),ROWS(Data!$B$6:$E$9)-2)</f>
        <v/>
      </c>
      <c r="F9" s="15">
        <f>B9-D9</f>
        <v/>
      </c>
      <c r="G9" s="15">
        <f>C9-E9</f>
        <v/>
      </c>
      <c r="H9" s="16">
        <f>(1-F9)*(1-G9)</f>
        <v/>
      </c>
      <c r="I9" s="16">
        <f>F9*(1-G9)</f>
        <v/>
      </c>
      <c r="J9" s="16">
        <f>(1-F9)*G9</f>
        <v/>
      </c>
      <c r="K9" s="16">
        <f>F9*G9</f>
        <v/>
      </c>
      <c r="L9" s="16">
        <f>SUM(H9:K9)</f>
        <v/>
      </c>
      <c r="M9" s="17">
        <f>INDEX(Data!$B$6:$E$9,E9+1,D9+1)</f>
        <v/>
      </c>
      <c r="N9" s="17">
        <f>INDEX(Data!$B$6:$E$9,E9+1,D9+2)</f>
        <v/>
      </c>
      <c r="O9" s="17">
        <f>INDEX(Data!$B$6:$E$9,E9+2,D9+1)</f>
        <v/>
      </c>
      <c r="P9" s="17">
        <f>INDEX(Data!$B$6:$E$9,E9+2,D9+2)</f>
        <v/>
      </c>
      <c r="Q9" s="17">
        <f>(1-F9)*M9+F9*N9</f>
        <v/>
      </c>
      <c r="R9" s="17">
        <f>(1-F9)*O9+F9*P9</f>
        <v/>
      </c>
      <c r="S9" s="17">
        <f>(1-G9)*Q9+G9*R9</f>
        <v/>
      </c>
      <c r="T9" s="17">
        <f>SUMPRODUCT(H9:K9,M9:P9)</f>
        <v/>
      </c>
      <c r="U9" s="16">
        <f>S9-T9</f>
        <v/>
      </c>
      <c r="V9" s="17">
        <f>INDEX(Data!$B$6:$E$9,INT(C9+0.5)+1,INT(B9+0.5)+1)</f>
        <v/>
      </c>
      <c r="W9" s="17">
        <f>V9-T9</f>
        <v/>
      </c>
    </row>
    <row r="10">
      <c r="A10" s="14">
        <f>Data!G11</f>
        <v/>
      </c>
      <c r="B10" s="15">
        <f>Data!H11</f>
        <v/>
      </c>
      <c r="C10" s="15">
        <f>Data!I11</f>
        <v/>
      </c>
      <c r="D10" s="14">
        <f>MIN(INT(B10),COLUMNS(Data!$B$6:$E$9)-2)</f>
        <v/>
      </c>
      <c r="E10" s="14">
        <f>MIN(INT(C10),ROWS(Data!$B$6:$E$9)-2)</f>
        <v/>
      </c>
      <c r="F10" s="15">
        <f>B10-D10</f>
        <v/>
      </c>
      <c r="G10" s="15">
        <f>C10-E10</f>
        <v/>
      </c>
      <c r="H10" s="16">
        <f>(1-F10)*(1-G10)</f>
        <v/>
      </c>
      <c r="I10" s="16">
        <f>F10*(1-G10)</f>
        <v/>
      </c>
      <c r="J10" s="16">
        <f>(1-F10)*G10</f>
        <v/>
      </c>
      <c r="K10" s="16">
        <f>F10*G10</f>
        <v/>
      </c>
      <c r="L10" s="16">
        <f>SUM(H10:K10)</f>
        <v/>
      </c>
      <c r="M10" s="17">
        <f>INDEX(Data!$B$6:$E$9,E10+1,D10+1)</f>
        <v/>
      </c>
      <c r="N10" s="17">
        <f>INDEX(Data!$B$6:$E$9,E10+1,D10+2)</f>
        <v/>
      </c>
      <c r="O10" s="17">
        <f>INDEX(Data!$B$6:$E$9,E10+2,D10+1)</f>
        <v/>
      </c>
      <c r="P10" s="17">
        <f>INDEX(Data!$B$6:$E$9,E10+2,D10+2)</f>
        <v/>
      </c>
      <c r="Q10" s="17">
        <f>(1-F10)*M10+F10*N10</f>
        <v/>
      </c>
      <c r="R10" s="17">
        <f>(1-F10)*O10+F10*P10</f>
        <v/>
      </c>
      <c r="S10" s="17">
        <f>(1-G10)*Q10+G10*R10</f>
        <v/>
      </c>
      <c r="T10" s="17">
        <f>SUMPRODUCT(H10:K10,M10:P10)</f>
        <v/>
      </c>
      <c r="U10" s="16">
        <f>S10-T10</f>
        <v/>
      </c>
      <c r="V10" s="17">
        <f>INDEX(Data!$B$6:$E$9,INT(C10+0.5)+1,INT(B10+0.5)+1)</f>
        <v/>
      </c>
      <c r="W10" s="17">
        <f>V10-T10</f>
        <v/>
      </c>
    </row>
    <row r="12">
      <c r="A12" s="7" t="inlineStr">
        <is>
          <t>Interpolation adds no information: the results stay inside the range of the coarse values (smoothness, no new extremes)</t>
        </is>
      </c>
    </row>
    <row r="13">
      <c r="A13" s="13" t="inlineStr">
        <is>
          <t>Smallest coarse value</t>
        </is>
      </c>
      <c r="E13" s="17">
        <f>MIN(Data!$B$6:$E$9)</f>
        <v/>
      </c>
    </row>
    <row r="14">
      <c r="A14" s="13" t="inlineStr">
        <is>
          <t>Largest coarse value</t>
        </is>
      </c>
      <c r="E14" s="17">
        <f>MAX(Data!$B$6:$E$9)</f>
        <v/>
      </c>
    </row>
    <row r="15">
      <c r="A15" s="13" t="inlineStr">
        <is>
          <t>Smallest interpolated value</t>
        </is>
      </c>
      <c r="E15" s="17">
        <f>MIN(T5:T10)</f>
        <v/>
      </c>
    </row>
    <row r="16">
      <c r="A16" s="13" t="inlineStr">
        <is>
          <t>Largest interpolated value</t>
        </is>
      </c>
      <c r="E16" s="17">
        <f>MAX(T5:T10)</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6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6" t="inlineStr">
        <is>
          <t>BCSD, tiny example: 2x2 coarse to 4x4 fine (quantile mapping assumed done: the coarse GCM field is already bias corrected)</t>
        </is>
      </c>
    </row>
    <row r="2">
      <c r="A2" t="inlineStr">
        <is>
          <t>Rainfall: MULTIPLICATIVE scaling (factor = today / climatology). Temperature (lower part): ADDITIVE scaling (anomaly = today - climatology).</t>
        </is>
      </c>
    </row>
    <row r="4">
      <c r="A4" s="7" t="inlineStr">
        <is>
          <t>Step 0. Inputs (links to Data)</t>
        </is>
      </c>
    </row>
    <row r="5">
      <c r="A5" s="13" t="inlineStr">
        <is>
          <t>Coarse clim. Ybar (mm/day)</t>
        </is>
      </c>
      <c r="E5" s="13" t="inlineStr">
        <is>
          <t>BC-GCM coarse today y (mm/day)</t>
        </is>
      </c>
      <c r="I5" s="13" t="inlineStr">
        <is>
          <t>Fine clim. xbar (mm/day)</t>
        </is>
      </c>
    </row>
    <row r="6">
      <c r="B6" s="15">
        <f>Data!B14</f>
        <v/>
      </c>
      <c r="C6" s="15">
        <f>Data!C14</f>
        <v/>
      </c>
      <c r="F6" s="15">
        <f>Data!B18</f>
        <v/>
      </c>
      <c r="G6" s="15">
        <f>Data!C18</f>
        <v/>
      </c>
      <c r="J6" s="15">
        <f>Data!B22</f>
        <v/>
      </c>
      <c r="K6" s="15">
        <f>Data!C22</f>
        <v/>
      </c>
      <c r="L6" s="15">
        <f>Data!D22</f>
        <v/>
      </c>
      <c r="M6" s="15">
        <f>Data!E22</f>
        <v/>
      </c>
    </row>
    <row r="7">
      <c r="B7" s="15">
        <f>Data!B15</f>
        <v/>
      </c>
      <c r="C7" s="15">
        <f>Data!C15</f>
        <v/>
      </c>
      <c r="F7" s="15">
        <f>Data!B19</f>
        <v/>
      </c>
      <c r="G7" s="15">
        <f>Data!C19</f>
        <v/>
      </c>
      <c r="J7" s="15">
        <f>Data!B23</f>
        <v/>
      </c>
      <c r="K7" s="15">
        <f>Data!C23</f>
        <v/>
      </c>
      <c r="L7" s="15">
        <f>Data!D23</f>
        <v/>
      </c>
      <c r="M7" s="15">
        <f>Data!E23</f>
        <v/>
      </c>
    </row>
    <row r="8">
      <c r="J8" s="15">
        <f>Data!B24</f>
        <v/>
      </c>
      <c r="K8" s="15">
        <f>Data!C24</f>
        <v/>
      </c>
      <c r="L8" s="15">
        <f>Data!D24</f>
        <v/>
      </c>
      <c r="M8" s="15">
        <f>Data!E24</f>
        <v/>
      </c>
    </row>
    <row r="9">
      <c r="A9" s="13" t="inlineStr">
        <is>
          <t>Check: block means of xbar (= Ybar?)</t>
        </is>
      </c>
      <c r="J9" s="15">
        <f>Data!B25</f>
        <v/>
      </c>
      <c r="K9" s="15">
        <f>Data!C25</f>
        <v/>
      </c>
      <c r="L9" s="15">
        <f>Data!D25</f>
        <v/>
      </c>
      <c r="M9" s="15">
        <f>Data!E25</f>
        <v/>
      </c>
    </row>
    <row r="10">
      <c r="B10" s="15">
        <f>AVERAGE(J6:K7)</f>
        <v/>
      </c>
      <c r="C10" s="15">
        <f>AVERAGE(L6:M7)</f>
        <v/>
      </c>
    </row>
    <row r="11">
      <c r="B11" s="15">
        <f>AVERAGE(J8:K9)</f>
        <v/>
      </c>
      <c r="C11" s="15">
        <f>AVERAGE(L8:M9)</f>
        <v/>
      </c>
    </row>
    <row r="13">
      <c r="A13" s="7" t="inlineStr">
        <is>
          <t>Step 1. Factor R = y / Ybar (&gt;1: wetter than usual)</t>
        </is>
      </c>
    </row>
    <row r="14">
      <c r="B14" s="17">
        <f>F6/B6</f>
        <v/>
      </c>
      <c r="C14" s="17">
        <f>G6/C6</f>
        <v/>
      </c>
    </row>
    <row r="15">
      <c r="B15" s="17">
        <f>F7/B7</f>
        <v/>
      </c>
      <c r="C15" s="17">
        <f>G7/C7</f>
        <v/>
      </c>
    </row>
    <row r="17">
      <c r="A17" s="7" t="inlineStr">
        <is>
          <t>Step 2. Interpolation weights along one axis (fine cell centres vs coarse cell centres)</t>
        </is>
      </c>
    </row>
    <row r="18">
      <c r="A18" s="13" t="inlineStr">
        <is>
          <t>Refinement factor f (fine cells per coarse cell)</t>
        </is>
      </c>
      <c r="C18" s="11" t="n">
        <v>2</v>
      </c>
    </row>
    <row r="19">
      <c r="A19" s="13" t="inlineStr">
        <is>
          <t>First coarse centre c0 = (f-1)/2 (fine-cell units)</t>
        </is>
      </c>
      <c r="C19" s="15">
        <f>(C18-1)/2</f>
        <v/>
      </c>
    </row>
    <row r="20">
      <c r="A20" s="13" t="inlineStr">
        <is>
          <t>Second coarse centre c1 = c0 + f</t>
        </is>
      </c>
      <c r="C20" s="15">
        <f>C19+C18</f>
        <v/>
      </c>
    </row>
    <row r="21">
      <c r="A21" s="13" t="inlineStr">
        <is>
          <t>Fine cell centre index xi</t>
        </is>
      </c>
      <c r="B21" s="11" t="n">
        <v>0</v>
      </c>
      <c r="C21" s="11" t="n">
        <v>1</v>
      </c>
      <c r="D21" s="11" t="n">
        <v>2</v>
      </c>
      <c r="E21" s="11" t="n">
        <v>3</v>
      </c>
    </row>
    <row r="22">
      <c r="A22" s="13" t="inlineStr">
        <is>
          <t>Weight t = clip((xi - c0)/(c1 - c0), 0, 1)</t>
        </is>
      </c>
      <c r="B22" s="15">
        <f>MIN(1,MAX(0,(B21-$C$19)/($C$20-$C$19)))</f>
        <v/>
      </c>
      <c r="C22" s="15">
        <f>MIN(1,MAX(0,(C21-$C$19)/($C$20-$C$19)))</f>
        <v/>
      </c>
      <c r="D22" s="15">
        <f>MIN(1,MAX(0,(D21-$C$19)/($C$20-$C$19)))</f>
        <v/>
      </c>
      <c r="E22" s="15">
        <f>MIN(1,MAX(0,(E21-$C$19)/($C$20-$C$19)))</f>
        <v/>
      </c>
    </row>
    <row r="24">
      <c r="A24" s="7" t="inlineStr">
        <is>
          <t>Step 3. Interpolated factor R_f (along x with t, then along y with t_y)</t>
        </is>
      </c>
      <c r="F24" s="8" t="inlineStr">
        <is>
          <t>t_y (row)</t>
        </is>
      </c>
    </row>
    <row r="25">
      <c r="A25" s="11" t="n">
        <v>0</v>
      </c>
      <c r="B25" s="17">
        <f>(1-$F25)*((1-B$22)*$B$14+B$22*$C$14)+$F25*((1-B$22)*$B$15+B$22*$C$15)</f>
        <v/>
      </c>
      <c r="C25" s="17">
        <f>(1-$F25)*((1-C$22)*$B$14+C$22*$C$14)+$F25*((1-C$22)*$B$15+C$22*$C$15)</f>
        <v/>
      </c>
      <c r="D25" s="17">
        <f>(1-$F25)*((1-D$22)*$B$14+D$22*$C$14)+$F25*((1-D$22)*$B$15+D$22*$C$15)</f>
        <v/>
      </c>
      <c r="E25" s="17">
        <f>(1-$F25)*((1-E$22)*$B$14+E$22*$C$14)+$F25*((1-E$22)*$B$15+E$22*$C$15)</f>
        <v/>
      </c>
      <c r="F25" s="15">
        <f>INDEX($B$22:$E$22,A25+1)</f>
        <v/>
      </c>
    </row>
    <row r="26">
      <c r="A26" s="11" t="n">
        <v>1</v>
      </c>
      <c r="B26" s="17">
        <f>(1-$F26)*((1-B$22)*$B$14+B$22*$C$14)+$F26*((1-B$22)*$B$15+B$22*$C$15)</f>
        <v/>
      </c>
      <c r="C26" s="17">
        <f>(1-$F26)*((1-C$22)*$B$14+C$22*$C$14)+$F26*((1-C$22)*$B$15+C$22*$C$15)</f>
        <v/>
      </c>
      <c r="D26" s="17">
        <f>(1-$F26)*((1-D$22)*$B$14+D$22*$C$14)+$F26*((1-D$22)*$B$15+D$22*$C$15)</f>
        <v/>
      </c>
      <c r="E26" s="17">
        <f>(1-$F26)*((1-E$22)*$B$14+E$22*$C$14)+$F26*((1-E$22)*$B$15+E$22*$C$15)</f>
        <v/>
      </c>
      <c r="F26" s="15">
        <f>INDEX($B$22:$E$22,A26+1)</f>
        <v/>
      </c>
    </row>
    <row r="27">
      <c r="A27" s="11" t="n">
        <v>2</v>
      </c>
      <c r="B27" s="17">
        <f>(1-$F27)*((1-B$22)*$B$14+B$22*$C$14)+$F27*((1-B$22)*$B$15+B$22*$C$15)</f>
        <v/>
      </c>
      <c r="C27" s="17">
        <f>(1-$F27)*((1-C$22)*$B$14+C$22*$C$14)+$F27*((1-C$22)*$B$15+C$22*$C$15)</f>
        <v/>
      </c>
      <c r="D27" s="17">
        <f>(1-$F27)*((1-D$22)*$B$14+D$22*$C$14)+$F27*((1-D$22)*$B$15+D$22*$C$15)</f>
        <v/>
      </c>
      <c r="E27" s="17">
        <f>(1-$F27)*((1-E$22)*$B$14+E$22*$C$14)+$F27*((1-E$22)*$B$15+E$22*$C$15)</f>
        <v/>
      </c>
      <c r="F27" s="15">
        <f>INDEX($B$22:$E$22,A27+1)</f>
        <v/>
      </c>
    </row>
    <row r="28">
      <c r="A28" s="11" t="n">
        <v>3</v>
      </c>
      <c r="B28" s="17">
        <f>(1-$F28)*((1-B$22)*$B$14+B$22*$C$14)+$F28*((1-B$22)*$B$15+B$22*$C$15)</f>
        <v/>
      </c>
      <c r="C28" s="17">
        <f>(1-$F28)*((1-C$22)*$B$14+C$22*$C$14)+$F28*((1-C$22)*$B$15+C$22*$C$15)</f>
        <v/>
      </c>
      <c r="D28" s="17">
        <f>(1-$F28)*((1-D$22)*$B$14+D$22*$C$14)+$F28*((1-D$22)*$B$15+D$22*$C$15)</f>
        <v/>
      </c>
      <c r="E28" s="17">
        <f>(1-$F28)*((1-E$22)*$B$14+E$22*$C$14)+$F28*((1-E$22)*$B$15+E$22*$C$15)</f>
        <v/>
      </c>
      <c r="F28" s="15">
        <f>INDEX($B$22:$E$22,A28+1)</f>
        <v/>
      </c>
    </row>
    <row r="30">
      <c r="A30" s="7" t="inlineStr">
        <is>
          <t>Step 4. Downscaled rainfall P = R_f x xbar (mm/day)</t>
        </is>
      </c>
      <c r="G30" s="13" t="inlineStr">
        <is>
          <t>For comparison: plain bilinear interpolation of y (no climatology)</t>
        </is>
      </c>
    </row>
    <row r="31">
      <c r="B31" s="15">
        <f>B25*J6</f>
        <v/>
      </c>
      <c r="C31" s="15">
        <f>C25*K6</f>
        <v/>
      </c>
      <c r="D31" s="15">
        <f>D25*L6</f>
        <v/>
      </c>
      <c r="E31" s="15">
        <f>E25*M6</f>
        <v/>
      </c>
      <c r="H31" s="15">
        <f>(1-$F25)*((1-B$22)*$F$6+B$22*$G$6)+$F25*((1-B$22)*$F$7+B$22*$G$7)</f>
        <v/>
      </c>
      <c r="I31" s="15">
        <f>(1-$F25)*((1-C$22)*$F$6+C$22*$G$6)+$F25*((1-C$22)*$F$7+C$22*$G$7)</f>
        <v/>
      </c>
      <c r="J31" s="15">
        <f>(1-$F25)*((1-D$22)*$F$6+D$22*$G$6)+$F25*((1-D$22)*$F$7+D$22*$G$7)</f>
        <v/>
      </c>
      <c r="K31" s="15">
        <f>(1-$F25)*((1-E$22)*$F$6+E$22*$G$6)+$F25*((1-E$22)*$F$7+E$22*$G$7)</f>
        <v/>
      </c>
    </row>
    <row r="32">
      <c r="B32" s="15">
        <f>B26*J7</f>
        <v/>
      </c>
      <c r="C32" s="15">
        <f>C26*K7</f>
        <v/>
      </c>
      <c r="D32" s="15">
        <f>D26*L7</f>
        <v/>
      </c>
      <c r="E32" s="15">
        <f>E26*M7</f>
        <v/>
      </c>
      <c r="H32" s="15">
        <f>(1-$F26)*((1-B$22)*$F$6+B$22*$G$6)+$F26*((1-B$22)*$F$7+B$22*$G$7)</f>
        <v/>
      </c>
      <c r="I32" s="15">
        <f>(1-$F26)*((1-C$22)*$F$6+C$22*$G$6)+$F26*((1-C$22)*$F$7+C$22*$G$7)</f>
        <v/>
      </c>
      <c r="J32" s="15">
        <f>(1-$F26)*((1-D$22)*$F$6+D$22*$G$6)+$F26*((1-D$22)*$F$7+D$22*$G$7)</f>
        <v/>
      </c>
      <c r="K32" s="15">
        <f>(1-$F26)*((1-E$22)*$F$6+E$22*$G$6)+$F26*((1-E$22)*$F$7+E$22*$G$7)</f>
        <v/>
      </c>
    </row>
    <row r="33">
      <c r="B33" s="15">
        <f>B27*J8</f>
        <v/>
      </c>
      <c r="C33" s="15">
        <f>C27*K8</f>
        <v/>
      </c>
      <c r="D33" s="15">
        <f>D27*L8</f>
        <v/>
      </c>
      <c r="E33" s="15">
        <f>E27*M8</f>
        <v/>
      </c>
      <c r="H33" s="15">
        <f>(1-$F27)*((1-B$22)*$F$6+B$22*$G$6)+$F27*((1-B$22)*$F$7+B$22*$G$7)</f>
        <v/>
      </c>
      <c r="I33" s="15">
        <f>(1-$F27)*((1-C$22)*$F$6+C$22*$G$6)+$F27*((1-C$22)*$F$7+C$22*$G$7)</f>
        <v/>
      </c>
      <c r="J33" s="15">
        <f>(1-$F27)*((1-D$22)*$F$6+D$22*$G$6)+$F27*((1-D$22)*$F$7+D$22*$G$7)</f>
        <v/>
      </c>
      <c r="K33" s="15">
        <f>(1-$F27)*((1-E$22)*$F$6+E$22*$G$6)+$F27*((1-E$22)*$F$7+E$22*$G$7)</f>
        <v/>
      </c>
    </row>
    <row r="34">
      <c r="B34" s="15">
        <f>B28*J9</f>
        <v/>
      </c>
      <c r="C34" s="15">
        <f>C28*K9</f>
        <v/>
      </c>
      <c r="D34" s="15">
        <f>D28*L9</f>
        <v/>
      </c>
      <c r="E34" s="15">
        <f>E28*M9</f>
        <v/>
      </c>
      <c r="H34" s="15">
        <f>(1-$F28)*((1-B$22)*$F$6+B$22*$G$6)+$F28*((1-B$22)*$F$7+B$22*$G$7)</f>
        <v/>
      </c>
      <c r="I34" s="15">
        <f>(1-$F28)*((1-C$22)*$F$6+C$22*$G$6)+$F28*((1-C$22)*$F$7+C$22*$G$7)</f>
        <v/>
      </c>
      <c r="J34" s="15">
        <f>(1-$F28)*((1-D$22)*$F$6+D$22*$G$6)+$F28*((1-D$22)*$F$7+D$22*$G$7)</f>
        <v/>
      </c>
      <c r="K34" s="15">
        <f>(1-$F28)*((1-E$22)*$F$6+E$22*$G$6)+$F28*((1-E$22)*$F$7+E$22*$G$7)</f>
        <v/>
      </c>
    </row>
    <row r="36">
      <c r="A36" s="7" t="inlineStr">
        <is>
          <t>Step 5. Check: block means of P, and minus y</t>
        </is>
      </c>
      <c r="E36" s="13" t="inlineStr">
        <is>
          <t>difference:</t>
        </is>
      </c>
    </row>
    <row r="37">
      <c r="B37" s="15">
        <f>AVERAGE(B31:C32)</f>
        <v/>
      </c>
      <c r="C37" s="15">
        <f>AVERAGE(D31:E32)</f>
        <v/>
      </c>
      <c r="F37" s="15">
        <f>B37-F6</f>
        <v/>
      </c>
      <c r="G37" s="15">
        <f>C37-G6</f>
        <v/>
      </c>
    </row>
    <row r="38">
      <c r="B38" s="15">
        <f>AVERAGE(B33:C34)</f>
        <v/>
      </c>
      <c r="C38" s="15">
        <f>AVERAGE(D33:E34)</f>
        <v/>
      </c>
      <c r="F38" s="15">
        <f>B38-F7</f>
        <v/>
      </c>
      <c r="G38" s="15">
        <f>C38-G7</f>
        <v/>
      </c>
    </row>
    <row r="40">
      <c r="A40" s="7" t="inlineStr">
        <is>
          <t>Temperature, additive version</t>
        </is>
      </c>
    </row>
    <row r="41">
      <c r="A41" s="13" t="inlineStr">
        <is>
          <t>Coarse clim. Tbar (degC)</t>
        </is>
      </c>
      <c r="E41" s="13" t="inlineStr">
        <is>
          <t>BC-GCM T today (degC)</t>
        </is>
      </c>
      <c r="I41" s="13" t="inlineStr">
        <is>
          <t>Fine clim. T (degC)</t>
        </is>
      </c>
    </row>
    <row r="42">
      <c r="B42" s="18">
        <f>Data!H14</f>
        <v/>
      </c>
      <c r="C42" s="18">
        <f>Data!I14</f>
        <v/>
      </c>
      <c r="F42" s="18">
        <f>Data!H18</f>
        <v/>
      </c>
      <c r="G42" s="18">
        <f>Data!I18</f>
        <v/>
      </c>
      <c r="J42" s="18">
        <f>Data!H22</f>
        <v/>
      </c>
      <c r="K42" s="18">
        <f>Data!I22</f>
        <v/>
      </c>
      <c r="L42" s="18">
        <f>Data!J22</f>
        <v/>
      </c>
      <c r="M42" s="18">
        <f>Data!K22</f>
        <v/>
      </c>
    </row>
    <row r="43">
      <c r="B43" s="18">
        <f>Data!H15</f>
        <v/>
      </c>
      <c r="C43" s="18">
        <f>Data!I15</f>
        <v/>
      </c>
      <c r="F43" s="18">
        <f>Data!H19</f>
        <v/>
      </c>
      <c r="G43" s="18">
        <f>Data!I19</f>
        <v/>
      </c>
      <c r="J43" s="18">
        <f>Data!H23</f>
        <v/>
      </c>
      <c r="K43" s="18">
        <f>Data!I23</f>
        <v/>
      </c>
      <c r="L43" s="18">
        <f>Data!J23</f>
        <v/>
      </c>
      <c r="M43" s="18">
        <f>Data!K23</f>
        <v/>
      </c>
    </row>
    <row r="44">
      <c r="J44" s="18">
        <f>Data!H24</f>
        <v/>
      </c>
      <c r="K44" s="18">
        <f>Data!I24</f>
        <v/>
      </c>
      <c r="L44" s="18">
        <f>Data!J24</f>
        <v/>
      </c>
      <c r="M44" s="18">
        <f>Data!K24</f>
        <v/>
      </c>
    </row>
    <row r="45">
      <c r="J45" s="18">
        <f>Data!H25</f>
        <v/>
      </c>
      <c r="K45" s="18">
        <f>Data!I25</f>
        <v/>
      </c>
      <c r="L45" s="18">
        <f>Data!J25</f>
        <v/>
      </c>
      <c r="M45" s="18">
        <f>Data!K25</f>
        <v/>
      </c>
    </row>
    <row r="47">
      <c r="A47" s="13" t="inlineStr">
        <is>
          <t>Anomaly A = y - Tbar (K)</t>
        </is>
      </c>
    </row>
    <row r="48">
      <c r="B48" s="18">
        <f>F42-B42</f>
        <v/>
      </c>
      <c r="C48" s="18">
        <f>G42-C42</f>
        <v/>
      </c>
    </row>
    <row r="49">
      <c r="B49" s="18">
        <f>F43-B43</f>
        <v/>
      </c>
      <c r="C49" s="18">
        <f>G43-C43</f>
        <v/>
      </c>
    </row>
    <row r="51">
      <c r="A51" s="13" t="inlineStr">
        <is>
          <t>Interpolated anomaly A_f (same weights as Step 3)</t>
        </is>
      </c>
    </row>
    <row r="52">
      <c r="B52" s="15">
        <f>(1-$F25)*((1-B$22)*$B$48+B$22*$C$48)+$F25*((1-B$22)*$B$49+B$22*$C$49)</f>
        <v/>
      </c>
      <c r="C52" s="15">
        <f>(1-$F25)*((1-C$22)*$B$48+C$22*$C$48)+$F25*((1-C$22)*$B$49+C$22*$C$49)</f>
        <v/>
      </c>
      <c r="D52" s="15">
        <f>(1-$F25)*((1-D$22)*$B$48+D$22*$C$48)+$F25*((1-D$22)*$B$49+D$22*$C$49)</f>
        <v/>
      </c>
      <c r="E52" s="15">
        <f>(1-$F25)*((1-E$22)*$B$48+E$22*$C$48)+$F25*((1-E$22)*$B$49+E$22*$C$49)</f>
        <v/>
      </c>
    </row>
    <row r="53">
      <c r="B53" s="15">
        <f>(1-$F26)*((1-B$22)*$B$48+B$22*$C$48)+$F26*((1-B$22)*$B$49+B$22*$C$49)</f>
        <v/>
      </c>
      <c r="C53" s="15">
        <f>(1-$F26)*((1-C$22)*$B$48+C$22*$C$48)+$F26*((1-C$22)*$B$49+C$22*$C$49)</f>
        <v/>
      </c>
      <c r="D53" s="15">
        <f>(1-$F26)*((1-D$22)*$B$48+D$22*$C$48)+$F26*((1-D$22)*$B$49+D$22*$C$49)</f>
        <v/>
      </c>
      <c r="E53" s="15">
        <f>(1-$F26)*((1-E$22)*$B$48+E$22*$C$48)+$F26*((1-E$22)*$B$49+E$22*$C$49)</f>
        <v/>
      </c>
    </row>
    <row r="54">
      <c r="B54" s="15">
        <f>(1-$F27)*((1-B$22)*$B$48+B$22*$C$48)+$F27*((1-B$22)*$B$49+B$22*$C$49)</f>
        <v/>
      </c>
      <c r="C54" s="15">
        <f>(1-$F27)*((1-C$22)*$B$48+C$22*$C$48)+$F27*((1-C$22)*$B$49+C$22*$C$49)</f>
        <v/>
      </c>
      <c r="D54" s="15">
        <f>(1-$F27)*((1-D$22)*$B$48+D$22*$C$48)+$F27*((1-D$22)*$B$49+D$22*$C$49)</f>
        <v/>
      </c>
      <c r="E54" s="15">
        <f>(1-$F27)*((1-E$22)*$B$48+E$22*$C$48)+$F27*((1-E$22)*$B$49+E$22*$C$49)</f>
        <v/>
      </c>
    </row>
    <row r="55">
      <c r="B55" s="15">
        <f>(1-$F28)*((1-B$22)*$B$48+B$22*$C$48)+$F28*((1-B$22)*$B$49+B$22*$C$49)</f>
        <v/>
      </c>
      <c r="C55" s="15">
        <f>(1-$F28)*((1-C$22)*$B$48+C$22*$C$48)+$F28*((1-C$22)*$B$49+C$22*$C$49)</f>
        <v/>
      </c>
      <c r="D55" s="15">
        <f>(1-$F28)*((1-D$22)*$B$48+D$22*$C$48)+$F28*((1-D$22)*$B$49+D$22*$C$49)</f>
        <v/>
      </c>
      <c r="E55" s="15">
        <f>(1-$F28)*((1-E$22)*$B$48+E$22*$C$48)+$F28*((1-E$22)*$B$49+E$22*$C$49)</f>
        <v/>
      </c>
    </row>
    <row r="57">
      <c r="A57" s="13" t="inlineStr">
        <is>
          <t>Downscaled T = fine clim + A_f (degC)</t>
        </is>
      </c>
      <c r="G57" s="13" t="inlineStr">
        <is>
          <t>Block means of T, minus y</t>
        </is>
      </c>
    </row>
    <row r="58">
      <c r="B58" s="15">
        <f>J42+B52</f>
        <v/>
      </c>
      <c r="C58" s="15">
        <f>K42+C52</f>
        <v/>
      </c>
      <c r="D58" s="15">
        <f>L42+D52</f>
        <v/>
      </c>
      <c r="E58" s="15">
        <f>M42+E52</f>
        <v/>
      </c>
      <c r="H58" s="15">
        <f>AVERAGE(B58:C59)-F42</f>
        <v/>
      </c>
      <c r="I58" s="15">
        <f>AVERAGE(D58:E59)-G42</f>
        <v/>
      </c>
    </row>
    <row r="59">
      <c r="B59" s="15">
        <f>J43+B53</f>
        <v/>
      </c>
      <c r="C59" s="15">
        <f>K43+C53</f>
        <v/>
      </c>
      <c r="D59" s="15">
        <f>L43+D53</f>
        <v/>
      </c>
      <c r="E59" s="15">
        <f>M43+E53</f>
        <v/>
      </c>
      <c r="H59" s="15">
        <f>AVERAGE(B60:C61)-F43</f>
        <v/>
      </c>
      <c r="I59" s="15">
        <f>AVERAGE(D60:E61)-G43</f>
        <v/>
      </c>
    </row>
    <row r="60">
      <c r="B60" s="15">
        <f>J44+B54</f>
        <v/>
      </c>
      <c r="C60" s="15">
        <f>K44+C54</f>
        <v/>
      </c>
      <c r="D60" s="15">
        <f>L44+D54</f>
        <v/>
      </c>
      <c r="E60" s="15">
        <f>M44+E54</f>
        <v/>
      </c>
    </row>
    <row r="61">
      <c r="B61" s="15">
        <f>J45+B55</f>
        <v/>
      </c>
      <c r="C61" s="15">
        <f>K45+C55</f>
        <v/>
      </c>
      <c r="D61" s="15">
        <f>L45+D55</f>
        <v/>
      </c>
      <c r="E61" s="15">
        <f>M45+E55</f>
        <v/>
      </c>
    </row>
  </sheetData>
  <conditionalFormatting sqref="B14:C15">
    <cfRule type="colorScale" priority="1">
      <colorScale>
        <cfvo type="min"/>
        <cfvo type="max"/>
        <color rgb="00FFFFFF"/>
        <color rgb="002F75B5"/>
      </colorScale>
    </cfRule>
  </conditionalFormatting>
  <conditionalFormatting sqref="B25:E28">
    <cfRule type="colorScale" priority="2">
      <colorScale>
        <cfvo type="min"/>
        <cfvo type="max"/>
        <color rgb="00FFFFFF"/>
        <color rgb="002F75B5"/>
      </colorScale>
    </cfRule>
  </conditionalFormatting>
  <conditionalFormatting sqref="B31:E34">
    <cfRule type="colorScale" priority="3">
      <colorScale>
        <cfvo type="min"/>
        <cfvo type="max"/>
        <color rgb="00FFFFFF"/>
        <color rgb="002F75B5"/>
      </colorScale>
    </cfRule>
  </conditionalFormatting>
  <conditionalFormatting sqref="H31:K34">
    <cfRule type="colorScale" priority="4">
      <colorScale>
        <cfvo type="min"/>
        <cfvo type="max"/>
        <color rgb="00FFFFFF"/>
        <color rgb="002F75B5"/>
      </colorScale>
    </cfRule>
  </conditionalFormatting>
  <conditionalFormatting sqref="B58:E61">
    <cfRule type="colorScale" priority="5">
      <colorScale>
        <cfvo type="min"/>
        <cfvo type="max"/>
        <color rgb="00F8696B"/>
        <color rgb="0063BE7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7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6" t="inlineStr">
        <is>
          <t>Constructed analogues: today's coarse field as a combination of the coarse fields of N=3 similar days; reuse the weights on their fine fields</t>
        </is>
      </c>
    </row>
    <row r="2">
      <c r="A2" t="inlineStr">
        <is>
          <t>q = 4 coarse cells, p = 16 fine cells, library of H = 8 days. No intercept: weights by plain least squares (LINEST) or ridge (MMULT/MINVERSE).</t>
        </is>
      </c>
    </row>
    <row r="4">
      <c r="A4" s="7" t="inlineStr">
        <is>
          <t>Step 1. Coarse fields of the library days (mean of each 2x2 block of the fine field) and RMSE to today's target</t>
        </is>
      </c>
    </row>
    <row r="5" ht="32" customHeight="1">
      <c r="A5" s="8" t="inlineStr">
        <is>
          <t>day</t>
        </is>
      </c>
      <c r="B5" s="8" t="inlineStr">
        <is>
          <t>cell 1</t>
        </is>
      </c>
      <c r="C5" s="8" t="inlineStr">
        <is>
          <t>cell 2</t>
        </is>
      </c>
      <c r="D5" s="8" t="inlineStr">
        <is>
          <t>cell 3</t>
        </is>
      </c>
      <c r="E5" s="8" t="inlineStr">
        <is>
          <t>cell 4</t>
        </is>
      </c>
      <c r="F5" s="8" t="inlineStr">
        <is>
          <t>RMSE to target</t>
        </is>
      </c>
      <c r="G5" s="8" t="inlineStr">
        <is>
          <t>rank (1 = most similar)</t>
        </is>
      </c>
    </row>
    <row r="6">
      <c r="A6" s="14">
        <f>Data!A30</f>
        <v/>
      </c>
      <c r="B6" s="15">
        <f>AVERAGE(Data!B30,Data!C30,Data!F30,Data!G30)</f>
        <v/>
      </c>
      <c r="C6" s="15">
        <f>AVERAGE(Data!D30,Data!E30,Data!H30,Data!I30)</f>
        <v/>
      </c>
      <c r="D6" s="15">
        <f>AVERAGE(Data!J30,Data!K30,Data!N30,Data!O30)</f>
        <v/>
      </c>
      <c r="E6" s="15">
        <f>AVERAGE(Data!L30,Data!M30,Data!P30,Data!Q30)</f>
        <v/>
      </c>
      <c r="F6" s="17">
        <f>SQRT(SUMPRODUCT((B6:E6-Data!$B$39:$E$39)^2)/COLUMNS(B6:E6))</f>
        <v/>
      </c>
      <c r="G6" s="14">
        <f>RANK(F6,$F$6:$F$13,1)</f>
        <v/>
      </c>
    </row>
    <row r="7">
      <c r="A7" s="14">
        <f>Data!A31</f>
        <v/>
      </c>
      <c r="B7" s="15">
        <f>AVERAGE(Data!B31,Data!C31,Data!F31,Data!G31)</f>
        <v/>
      </c>
      <c r="C7" s="15">
        <f>AVERAGE(Data!D31,Data!E31,Data!H31,Data!I31)</f>
        <v/>
      </c>
      <c r="D7" s="15">
        <f>AVERAGE(Data!J31,Data!K31,Data!N31,Data!O31)</f>
        <v/>
      </c>
      <c r="E7" s="15">
        <f>AVERAGE(Data!L31,Data!M31,Data!P31,Data!Q31)</f>
        <v/>
      </c>
      <c r="F7" s="17">
        <f>SQRT(SUMPRODUCT((B7:E7-Data!$B$39:$E$39)^2)/COLUMNS(B7:E7))</f>
        <v/>
      </c>
      <c r="G7" s="14">
        <f>RANK(F7,$F$6:$F$13,1)</f>
        <v/>
      </c>
    </row>
    <row r="8">
      <c r="A8" s="14">
        <f>Data!A32</f>
        <v/>
      </c>
      <c r="B8" s="15">
        <f>AVERAGE(Data!B32,Data!C32,Data!F32,Data!G32)</f>
        <v/>
      </c>
      <c r="C8" s="15">
        <f>AVERAGE(Data!D32,Data!E32,Data!H32,Data!I32)</f>
        <v/>
      </c>
      <c r="D8" s="15">
        <f>AVERAGE(Data!J32,Data!K32,Data!N32,Data!O32)</f>
        <v/>
      </c>
      <c r="E8" s="15">
        <f>AVERAGE(Data!L32,Data!M32,Data!P32,Data!Q32)</f>
        <v/>
      </c>
      <c r="F8" s="17">
        <f>SQRT(SUMPRODUCT((B8:E8-Data!$B$39:$E$39)^2)/COLUMNS(B8:E8))</f>
        <v/>
      </c>
      <c r="G8" s="14">
        <f>RANK(F8,$F$6:$F$13,1)</f>
        <v/>
      </c>
    </row>
    <row r="9">
      <c r="A9" s="14">
        <f>Data!A33</f>
        <v/>
      </c>
      <c r="B9" s="15">
        <f>AVERAGE(Data!B33,Data!C33,Data!F33,Data!G33)</f>
        <v/>
      </c>
      <c r="C9" s="15">
        <f>AVERAGE(Data!D33,Data!E33,Data!H33,Data!I33)</f>
        <v/>
      </c>
      <c r="D9" s="15">
        <f>AVERAGE(Data!J33,Data!K33,Data!N33,Data!O33)</f>
        <v/>
      </c>
      <c r="E9" s="15">
        <f>AVERAGE(Data!L33,Data!M33,Data!P33,Data!Q33)</f>
        <v/>
      </c>
      <c r="F9" s="17">
        <f>SQRT(SUMPRODUCT((B9:E9-Data!$B$39:$E$39)^2)/COLUMNS(B9:E9))</f>
        <v/>
      </c>
      <c r="G9" s="14">
        <f>RANK(F9,$F$6:$F$13,1)</f>
        <v/>
      </c>
    </row>
    <row r="10">
      <c r="A10" s="14">
        <f>Data!A34</f>
        <v/>
      </c>
      <c r="B10" s="15">
        <f>AVERAGE(Data!B34,Data!C34,Data!F34,Data!G34)</f>
        <v/>
      </c>
      <c r="C10" s="15">
        <f>AVERAGE(Data!D34,Data!E34,Data!H34,Data!I34)</f>
        <v/>
      </c>
      <c r="D10" s="15">
        <f>AVERAGE(Data!J34,Data!K34,Data!N34,Data!O34)</f>
        <v/>
      </c>
      <c r="E10" s="15">
        <f>AVERAGE(Data!L34,Data!M34,Data!P34,Data!Q34)</f>
        <v/>
      </c>
      <c r="F10" s="17">
        <f>SQRT(SUMPRODUCT((B10:E10-Data!$B$39:$E$39)^2)/COLUMNS(B10:E10))</f>
        <v/>
      </c>
      <c r="G10" s="14">
        <f>RANK(F10,$F$6:$F$13,1)</f>
        <v/>
      </c>
    </row>
    <row r="11">
      <c r="A11" s="14">
        <f>Data!A35</f>
        <v/>
      </c>
      <c r="B11" s="15">
        <f>AVERAGE(Data!B35,Data!C35,Data!F35,Data!G35)</f>
        <v/>
      </c>
      <c r="C11" s="15">
        <f>AVERAGE(Data!D35,Data!E35,Data!H35,Data!I35)</f>
        <v/>
      </c>
      <c r="D11" s="15">
        <f>AVERAGE(Data!J35,Data!K35,Data!N35,Data!O35)</f>
        <v/>
      </c>
      <c r="E11" s="15">
        <f>AVERAGE(Data!L35,Data!M35,Data!P35,Data!Q35)</f>
        <v/>
      </c>
      <c r="F11" s="17">
        <f>SQRT(SUMPRODUCT((B11:E11-Data!$B$39:$E$39)^2)/COLUMNS(B11:E11))</f>
        <v/>
      </c>
      <c r="G11" s="14">
        <f>RANK(F11,$F$6:$F$13,1)</f>
        <v/>
      </c>
    </row>
    <row r="12">
      <c r="A12" s="14">
        <f>Data!A36</f>
        <v/>
      </c>
      <c r="B12" s="15">
        <f>AVERAGE(Data!B36,Data!C36,Data!F36,Data!G36)</f>
        <v/>
      </c>
      <c r="C12" s="15">
        <f>AVERAGE(Data!D36,Data!E36,Data!H36,Data!I36)</f>
        <v/>
      </c>
      <c r="D12" s="15">
        <f>AVERAGE(Data!J36,Data!K36,Data!N36,Data!O36)</f>
        <v/>
      </c>
      <c r="E12" s="15">
        <f>AVERAGE(Data!L36,Data!M36,Data!P36,Data!Q36)</f>
        <v/>
      </c>
      <c r="F12" s="17">
        <f>SQRT(SUMPRODUCT((B12:E12-Data!$B$39:$E$39)^2)/COLUMNS(B12:E12))</f>
        <v/>
      </c>
      <c r="G12" s="14">
        <f>RANK(F12,$F$6:$F$13,1)</f>
        <v/>
      </c>
    </row>
    <row r="13">
      <c r="A13" s="14">
        <f>Data!A37</f>
        <v/>
      </c>
      <c r="B13" s="15">
        <f>AVERAGE(Data!B37,Data!C37,Data!F37,Data!G37)</f>
        <v/>
      </c>
      <c r="C13" s="15">
        <f>AVERAGE(Data!D37,Data!E37,Data!H37,Data!I37)</f>
        <v/>
      </c>
      <c r="D13" s="15">
        <f>AVERAGE(Data!J37,Data!K37,Data!N37,Data!O37)</f>
        <v/>
      </c>
      <c r="E13" s="15">
        <f>AVERAGE(Data!L37,Data!M37,Data!P37,Data!Q37)</f>
        <v/>
      </c>
      <c r="F13" s="17">
        <f>SQRT(SUMPRODUCT((B13:E13-Data!$B$39:$E$39)^2)/COLUMNS(B13:E13))</f>
        <v/>
      </c>
      <c r="G13" s="14">
        <f>RANK(F13,$F$6:$F$13,1)</f>
        <v/>
      </c>
    </row>
    <row r="15">
      <c r="A15" s="13" t="inlineStr">
        <is>
          <t>Target y (BC-GCM)</t>
        </is>
      </c>
      <c r="B15" s="15">
        <f>Data!B39</f>
        <v/>
      </c>
      <c r="C15" s="15">
        <f>Data!C39</f>
        <v/>
      </c>
      <c r="D15" s="15">
        <f>Data!D39</f>
        <v/>
      </c>
      <c r="E15" s="15">
        <f>Data!E39</f>
        <v/>
      </c>
    </row>
    <row r="17">
      <c r="A17" s="7" t="inlineStr">
        <is>
          <t>Step 2. The N = 3 best analogue days</t>
        </is>
      </c>
    </row>
    <row r="18">
      <c r="A18" s="13" t="inlineStr">
        <is>
          <t>k</t>
        </is>
      </c>
      <c r="B18" s="11" t="n">
        <v>1</v>
      </c>
      <c r="C18" s="11" t="n">
        <v>2</v>
      </c>
      <c r="D18" s="11" t="n">
        <v>3</v>
      </c>
    </row>
    <row r="19">
      <c r="A19" s="13" t="inlineStr">
        <is>
          <t>day index</t>
        </is>
      </c>
      <c r="B19" s="14">
        <f>MATCH(B18,$G$6:$G$13,0)</f>
        <v/>
      </c>
      <c r="C19" s="14">
        <f>MATCH(C18,$G$6:$G$13,0)</f>
        <v/>
      </c>
      <c r="D19" s="14">
        <f>MATCH(D18,$G$6:$G$13,0)</f>
        <v/>
      </c>
    </row>
    <row r="20">
      <c r="A20" s="13" t="inlineStr">
        <is>
          <t>RMSE</t>
        </is>
      </c>
      <c r="B20" s="17">
        <f>INDEX($F$6:$F$13,B19)</f>
        <v/>
      </c>
      <c r="C20" s="17">
        <f>INDEX($F$6:$F$13,C19)</f>
        <v/>
      </c>
      <c r="D20" s="17">
        <f>INDEX($F$6:$F$13,D19)</f>
        <v/>
      </c>
    </row>
    <row r="22">
      <c r="A22" s="7" t="inlineStr">
        <is>
          <t>Step 3. Y (q x N): coarse fields of the chosen days as columns; y: target</t>
        </is>
      </c>
    </row>
    <row r="23">
      <c r="A23" s="8" t="inlineStr">
        <is>
          <t>cell</t>
        </is>
      </c>
      <c r="B23" s="8" t="inlineStr">
        <is>
          <t>day k=1</t>
        </is>
      </c>
      <c r="C23" s="8" t="inlineStr">
        <is>
          <t>day k=2</t>
        </is>
      </c>
      <c r="D23" s="8" t="inlineStr">
        <is>
          <t>day k=3</t>
        </is>
      </c>
      <c r="E23" s="8" t="inlineStr">
        <is>
          <t>y (target)</t>
        </is>
      </c>
    </row>
    <row r="24">
      <c r="A24" s="11" t="n">
        <v>1</v>
      </c>
      <c r="B24" s="15">
        <f>INDEX($B$6:$E$13,B$19,$A24)</f>
        <v/>
      </c>
      <c r="C24" s="15">
        <f>INDEX($B$6:$E$13,C$19,$A24)</f>
        <v/>
      </c>
      <c r="D24" s="15">
        <f>INDEX($B$6:$E$13,D$19,$A24)</f>
        <v/>
      </c>
      <c r="E24" s="15">
        <f>INDEX($B$15:$E$15,A24)</f>
        <v/>
      </c>
    </row>
    <row r="25">
      <c r="A25" s="11" t="n">
        <v>2</v>
      </c>
      <c r="B25" s="15">
        <f>INDEX($B$6:$E$13,B$19,$A25)</f>
        <v/>
      </c>
      <c r="C25" s="15">
        <f>INDEX($B$6:$E$13,C$19,$A25)</f>
        <v/>
      </c>
      <c r="D25" s="15">
        <f>INDEX($B$6:$E$13,D$19,$A25)</f>
        <v/>
      </c>
      <c r="E25" s="15">
        <f>INDEX($B$15:$E$15,A25)</f>
        <v/>
      </c>
    </row>
    <row r="26">
      <c r="A26" s="11" t="n">
        <v>3</v>
      </c>
      <c r="B26" s="15">
        <f>INDEX($B$6:$E$13,B$19,$A26)</f>
        <v/>
      </c>
      <c r="C26" s="15">
        <f>INDEX($B$6:$E$13,C$19,$A26)</f>
        <v/>
      </c>
      <c r="D26" s="15">
        <f>INDEX($B$6:$E$13,D$19,$A26)</f>
        <v/>
      </c>
      <c r="E26" s="15">
        <f>INDEX($B$15:$E$15,A26)</f>
        <v/>
      </c>
    </row>
    <row r="27">
      <c r="A27" s="11" t="n">
        <v>4</v>
      </c>
      <c r="B27" s="15">
        <f>INDEX($B$6:$E$13,B$19,$A27)</f>
        <v/>
      </c>
      <c r="C27" s="15">
        <f>INDEX($B$6:$E$13,C$19,$A27)</f>
        <v/>
      </c>
      <c r="D27" s="15">
        <f>INDEX($B$6:$E$13,D$19,$A27)</f>
        <v/>
      </c>
      <c r="E27" s="15">
        <f>INDEX($B$15:$E$15,A27)</f>
        <v/>
      </c>
    </row>
    <row r="29">
      <c r="A29" s="13" t="inlineStr">
        <is>
          <t>Y'Y (N x N)</t>
        </is>
      </c>
      <c r="B29" t="n"/>
      <c r="F29" s="13" t="inlineStr">
        <is>
          <t>Y'y (N x 1)</t>
        </is>
      </c>
    </row>
    <row r="30">
      <c r="B30" s="15">
        <f t="array" ref="B30:D32">MMULT(TRANSPOSE(B24:D27),B24:D27)</f>
        <v/>
      </c>
      <c r="C30" s="15" t="n"/>
      <c r="D30" s="15" t="n"/>
      <c r="F30" s="15">
        <f t="array" ref="F30:F32">MMULT(TRANSPOSE(B24:D27),E24:E27)</f>
        <v/>
      </c>
    </row>
    <row r="31">
      <c r="B31" s="15" t="n"/>
      <c r="C31" s="15" t="n"/>
      <c r="D31" s="15" t="n"/>
      <c r="F31" s="15" t="n"/>
    </row>
    <row r="32">
      <c r="B32" s="15" t="n"/>
      <c r="C32" s="15" t="n"/>
      <c r="D32" s="15" t="n"/>
      <c r="F32" s="15" t="n"/>
    </row>
    <row r="34">
      <c r="A34" s="7" t="inlineStr">
        <is>
          <t>Ridge: G = Y'Y + lambda I   (lambda from Data)</t>
        </is>
      </c>
    </row>
    <row r="35">
      <c r="A35" s="13" t="inlineStr">
        <is>
          <t>lambda</t>
        </is>
      </c>
      <c r="B35" s="15">
        <f>Data!B42</f>
        <v/>
      </c>
      <c r="F35" s="13" t="inlineStr">
        <is>
          <t>G inverse</t>
        </is>
      </c>
    </row>
    <row r="36">
      <c r="B36" s="15">
        <f>B30+$B$35</f>
        <v/>
      </c>
      <c r="C36" s="15">
        <f>C30</f>
        <v/>
      </c>
      <c r="D36" s="15">
        <f>D30</f>
        <v/>
      </c>
      <c r="F36" s="16">
        <f t="array" ref="F36:H38">MINVERSE(B36:D38)</f>
        <v/>
      </c>
      <c r="G36" s="16" t="n"/>
      <c r="H36" s="16" t="n"/>
    </row>
    <row r="37">
      <c r="B37" s="15">
        <f>B31</f>
        <v/>
      </c>
      <c r="C37" s="15">
        <f>C31+$B$35</f>
        <v/>
      </c>
      <c r="D37" s="15">
        <f>D31</f>
        <v/>
      </c>
      <c r="F37" s="16" t="n"/>
      <c r="G37" s="16" t="n"/>
      <c r="H37" s="16" t="n"/>
    </row>
    <row r="38">
      <c r="B38" s="15">
        <f>B32</f>
        <v/>
      </c>
      <c r="C38" s="15">
        <f>C32</f>
        <v/>
      </c>
      <c r="D38" s="15">
        <f>D32+$B$35</f>
        <v/>
      </c>
      <c r="F38" s="16" t="n"/>
      <c r="G38" s="16" t="n"/>
      <c r="H38" s="16" t="n"/>
    </row>
    <row r="40">
      <c r="A40" s="7" t="inlineStr">
        <is>
          <t>Step 4. Weights</t>
        </is>
      </c>
    </row>
    <row r="41" ht="32" customHeight="1">
      <c r="A41" s="8" t="inlineStr">
        <is>
          <t>k</t>
        </is>
      </c>
      <c r="B41" s="8" t="inlineStr">
        <is>
          <t>plain LS (LINEST)</t>
        </is>
      </c>
      <c r="C41" s="8" t="inlineStr">
        <is>
          <t>plain LS (normal equations)</t>
        </is>
      </c>
      <c r="D41" s="8" t="inlineStr">
        <is>
          <t>ridge (MMULT, MINVERSE)</t>
        </is>
      </c>
    </row>
    <row r="42">
      <c r="A42" s="11" t="n">
        <v>1</v>
      </c>
      <c r="B42" s="16">
        <f>INDEX(LINEST($E$24:$E$27,$B$24:$D$27,FALSE,FALSE),1,COLUMNS($B$24:$D$24)+1-A42)</f>
        <v/>
      </c>
      <c r="C42" s="16">
        <f t="array" ref="C42:C44">MMULT(MINVERSE(B30:D32),F30:F32)</f>
        <v/>
      </c>
      <c r="D42" s="16">
        <f t="array" ref="D42:D44">MMULT(F36:H38,F30:F32)</f>
        <v/>
      </c>
    </row>
    <row r="43">
      <c r="A43" s="11" t="n">
        <v>2</v>
      </c>
      <c r="B43" s="16">
        <f>INDEX(LINEST($E$24:$E$27,$B$24:$D$27,FALSE,FALSE),1,COLUMNS($B$24:$D$24)+1-A43)</f>
        <v/>
      </c>
      <c r="C43" s="16" t="n"/>
      <c r="D43" s="16" t="n"/>
    </row>
    <row r="44">
      <c r="A44" s="11" t="n">
        <v>3</v>
      </c>
      <c r="B44" s="16">
        <f>INDEX(LINEST($E$24:$E$27,$B$24:$D$27,FALSE,FALSE),1,COLUMNS($B$24:$D$24)+1-A44)</f>
        <v/>
      </c>
      <c r="C44" s="16" t="n"/>
      <c r="D44" s="16" t="n"/>
    </row>
    <row r="45">
      <c r="A45" s="13" t="inlineStr">
        <is>
          <t>sum of weights</t>
        </is>
      </c>
      <c r="B45" s="16">
        <f>SUM(B42:B44)</f>
        <v/>
      </c>
      <c r="C45" s="16">
        <f>SUM(C42:C44)</f>
        <v/>
      </c>
      <c r="D45" s="16">
        <f>SUM(D42:D44)</f>
        <v/>
      </c>
    </row>
    <row r="47">
      <c r="A47" s="7" t="inlineStr">
        <is>
          <t>Step 5. Same weights on the FINE fields of the chosen days</t>
        </is>
      </c>
    </row>
    <row r="48" ht="32" customHeight="1">
      <c r="A48" s="8" t="inlineStr">
        <is>
          <t>fine cell</t>
        </is>
      </c>
      <c r="B48" s="8" t="inlineStr">
        <is>
          <t>row</t>
        </is>
      </c>
      <c r="C48" s="8" t="inlineStr">
        <is>
          <t>col</t>
        </is>
      </c>
      <c r="D48" s="8" t="inlineStr">
        <is>
          <t>fine, day k=1</t>
        </is>
      </c>
      <c r="E48" s="8" t="inlineStr">
        <is>
          <t>fine, day k=2</t>
        </is>
      </c>
      <c r="F48" s="8" t="inlineStr">
        <is>
          <t>fine, day k=3</t>
        </is>
      </c>
      <c r="G48" s="8" t="inlineStr">
        <is>
          <t>plain LS</t>
        </is>
      </c>
      <c r="H48" s="8" t="inlineStr">
        <is>
          <t>ridge</t>
        </is>
      </c>
      <c r="I48" s="8" t="inlineStr">
        <is>
          <t>truth</t>
        </is>
      </c>
      <c r="J48" s="8" t="inlineStr">
        <is>
          <t>error ridge</t>
        </is>
      </c>
      <c r="K48" s="8" t="inlineStr">
        <is>
          <t>error plain</t>
        </is>
      </c>
    </row>
    <row r="49">
      <c r="A49" s="11" t="n">
        <v>1</v>
      </c>
      <c r="B49" s="14">
        <f>INT((A49-1)/4)</f>
        <v/>
      </c>
      <c r="C49" s="14">
        <f>MOD(A49-1,4)</f>
        <v/>
      </c>
      <c r="D49" s="18">
        <f>INDEX(Data!$B$30:$Q$37,B$19,$A49)</f>
        <v/>
      </c>
      <c r="E49" s="18">
        <f>INDEX(Data!$B$30:$Q$37,C$19,$A49)</f>
        <v/>
      </c>
      <c r="F49" s="18">
        <f>INDEX(Data!$B$30:$Q$37,D$19,$A49)</f>
        <v/>
      </c>
      <c r="G49" s="15">
        <f>D49*$B$42+E49*$B$43+F49*$B$44</f>
        <v/>
      </c>
      <c r="H49" s="15">
        <f>D49*$D$42+E49*$D$43+F49*$D$44</f>
        <v/>
      </c>
      <c r="I49" s="18">
        <f>INDEX(Data!$B$40:$Q$40,A49)</f>
        <v/>
      </c>
      <c r="J49" s="15">
        <f>H49-I49</f>
        <v/>
      </c>
      <c r="K49" s="15">
        <f>G49-I49</f>
        <v/>
      </c>
    </row>
    <row r="50">
      <c r="A50" s="11" t="n">
        <v>2</v>
      </c>
      <c r="B50" s="14">
        <f>INT((A50-1)/4)</f>
        <v/>
      </c>
      <c r="C50" s="14">
        <f>MOD(A50-1,4)</f>
        <v/>
      </c>
      <c r="D50" s="18">
        <f>INDEX(Data!$B$30:$Q$37,B$19,$A50)</f>
        <v/>
      </c>
      <c r="E50" s="18">
        <f>INDEX(Data!$B$30:$Q$37,C$19,$A50)</f>
        <v/>
      </c>
      <c r="F50" s="18">
        <f>INDEX(Data!$B$30:$Q$37,D$19,$A50)</f>
        <v/>
      </c>
      <c r="G50" s="15">
        <f>D50*$B$42+E50*$B$43+F50*$B$44</f>
        <v/>
      </c>
      <c r="H50" s="15">
        <f>D50*$D$42+E50*$D$43+F50*$D$44</f>
        <v/>
      </c>
      <c r="I50" s="18">
        <f>INDEX(Data!$B$40:$Q$40,A50)</f>
        <v/>
      </c>
      <c r="J50" s="15">
        <f>H50-I50</f>
        <v/>
      </c>
      <c r="K50" s="15">
        <f>G50-I50</f>
        <v/>
      </c>
    </row>
    <row r="51">
      <c r="A51" s="11" t="n">
        <v>3</v>
      </c>
      <c r="B51" s="14">
        <f>INT((A51-1)/4)</f>
        <v/>
      </c>
      <c r="C51" s="14">
        <f>MOD(A51-1,4)</f>
        <v/>
      </c>
      <c r="D51" s="18">
        <f>INDEX(Data!$B$30:$Q$37,B$19,$A51)</f>
        <v/>
      </c>
      <c r="E51" s="18">
        <f>INDEX(Data!$B$30:$Q$37,C$19,$A51)</f>
        <v/>
      </c>
      <c r="F51" s="18">
        <f>INDEX(Data!$B$30:$Q$37,D$19,$A51)</f>
        <v/>
      </c>
      <c r="G51" s="15">
        <f>D51*$B$42+E51*$B$43+F51*$B$44</f>
        <v/>
      </c>
      <c r="H51" s="15">
        <f>D51*$D$42+E51*$D$43+F51*$D$44</f>
        <v/>
      </c>
      <c r="I51" s="18">
        <f>INDEX(Data!$B$40:$Q$40,A51)</f>
        <v/>
      </c>
      <c r="J51" s="15">
        <f>H51-I51</f>
        <v/>
      </c>
      <c r="K51" s="15">
        <f>G51-I51</f>
        <v/>
      </c>
    </row>
    <row r="52">
      <c r="A52" s="11" t="n">
        <v>4</v>
      </c>
      <c r="B52" s="14">
        <f>INT((A52-1)/4)</f>
        <v/>
      </c>
      <c r="C52" s="14">
        <f>MOD(A52-1,4)</f>
        <v/>
      </c>
      <c r="D52" s="18">
        <f>INDEX(Data!$B$30:$Q$37,B$19,$A52)</f>
        <v/>
      </c>
      <c r="E52" s="18">
        <f>INDEX(Data!$B$30:$Q$37,C$19,$A52)</f>
        <v/>
      </c>
      <c r="F52" s="18">
        <f>INDEX(Data!$B$30:$Q$37,D$19,$A52)</f>
        <v/>
      </c>
      <c r="G52" s="15">
        <f>D52*$B$42+E52*$B$43+F52*$B$44</f>
        <v/>
      </c>
      <c r="H52" s="15">
        <f>D52*$D$42+E52*$D$43+F52*$D$44</f>
        <v/>
      </c>
      <c r="I52" s="18">
        <f>INDEX(Data!$B$40:$Q$40,A52)</f>
        <v/>
      </c>
      <c r="J52" s="15">
        <f>H52-I52</f>
        <v/>
      </c>
      <c r="K52" s="15">
        <f>G52-I52</f>
        <v/>
      </c>
    </row>
    <row r="53">
      <c r="A53" s="11" t="n">
        <v>5</v>
      </c>
      <c r="B53" s="14">
        <f>INT((A53-1)/4)</f>
        <v/>
      </c>
      <c r="C53" s="14">
        <f>MOD(A53-1,4)</f>
        <v/>
      </c>
      <c r="D53" s="18">
        <f>INDEX(Data!$B$30:$Q$37,B$19,$A53)</f>
        <v/>
      </c>
      <c r="E53" s="18">
        <f>INDEX(Data!$B$30:$Q$37,C$19,$A53)</f>
        <v/>
      </c>
      <c r="F53" s="18">
        <f>INDEX(Data!$B$30:$Q$37,D$19,$A53)</f>
        <v/>
      </c>
      <c r="G53" s="15">
        <f>D53*$B$42+E53*$B$43+F53*$B$44</f>
        <v/>
      </c>
      <c r="H53" s="15">
        <f>D53*$D$42+E53*$D$43+F53*$D$44</f>
        <v/>
      </c>
      <c r="I53" s="18">
        <f>INDEX(Data!$B$40:$Q$40,A53)</f>
        <v/>
      </c>
      <c r="J53" s="15">
        <f>H53-I53</f>
        <v/>
      </c>
      <c r="K53" s="15">
        <f>G53-I53</f>
        <v/>
      </c>
    </row>
    <row r="54">
      <c r="A54" s="11" t="n">
        <v>6</v>
      </c>
      <c r="B54" s="14">
        <f>INT((A54-1)/4)</f>
        <v/>
      </c>
      <c r="C54" s="14">
        <f>MOD(A54-1,4)</f>
        <v/>
      </c>
      <c r="D54" s="18">
        <f>INDEX(Data!$B$30:$Q$37,B$19,$A54)</f>
        <v/>
      </c>
      <c r="E54" s="18">
        <f>INDEX(Data!$B$30:$Q$37,C$19,$A54)</f>
        <v/>
      </c>
      <c r="F54" s="18">
        <f>INDEX(Data!$B$30:$Q$37,D$19,$A54)</f>
        <v/>
      </c>
      <c r="G54" s="15">
        <f>D54*$B$42+E54*$B$43+F54*$B$44</f>
        <v/>
      </c>
      <c r="H54" s="15">
        <f>D54*$D$42+E54*$D$43+F54*$D$44</f>
        <v/>
      </c>
      <c r="I54" s="18">
        <f>INDEX(Data!$B$40:$Q$40,A54)</f>
        <v/>
      </c>
      <c r="J54" s="15">
        <f>H54-I54</f>
        <v/>
      </c>
      <c r="K54" s="15">
        <f>G54-I54</f>
        <v/>
      </c>
    </row>
    <row r="55">
      <c r="A55" s="11" t="n">
        <v>7</v>
      </c>
      <c r="B55" s="14">
        <f>INT((A55-1)/4)</f>
        <v/>
      </c>
      <c r="C55" s="14">
        <f>MOD(A55-1,4)</f>
        <v/>
      </c>
      <c r="D55" s="18">
        <f>INDEX(Data!$B$30:$Q$37,B$19,$A55)</f>
        <v/>
      </c>
      <c r="E55" s="18">
        <f>INDEX(Data!$B$30:$Q$37,C$19,$A55)</f>
        <v/>
      </c>
      <c r="F55" s="18">
        <f>INDEX(Data!$B$30:$Q$37,D$19,$A55)</f>
        <v/>
      </c>
      <c r="G55" s="15">
        <f>D55*$B$42+E55*$B$43+F55*$B$44</f>
        <v/>
      </c>
      <c r="H55" s="15">
        <f>D55*$D$42+E55*$D$43+F55*$D$44</f>
        <v/>
      </c>
      <c r="I55" s="18">
        <f>INDEX(Data!$B$40:$Q$40,A55)</f>
        <v/>
      </c>
      <c r="J55" s="15">
        <f>H55-I55</f>
        <v/>
      </c>
      <c r="K55" s="15">
        <f>G55-I55</f>
        <v/>
      </c>
    </row>
    <row r="56">
      <c r="A56" s="11" t="n">
        <v>8</v>
      </c>
      <c r="B56" s="14">
        <f>INT((A56-1)/4)</f>
        <v/>
      </c>
      <c r="C56" s="14">
        <f>MOD(A56-1,4)</f>
        <v/>
      </c>
      <c r="D56" s="18">
        <f>INDEX(Data!$B$30:$Q$37,B$19,$A56)</f>
        <v/>
      </c>
      <c r="E56" s="18">
        <f>INDEX(Data!$B$30:$Q$37,C$19,$A56)</f>
        <v/>
      </c>
      <c r="F56" s="18">
        <f>INDEX(Data!$B$30:$Q$37,D$19,$A56)</f>
        <v/>
      </c>
      <c r="G56" s="15">
        <f>D56*$B$42+E56*$B$43+F56*$B$44</f>
        <v/>
      </c>
      <c r="H56" s="15">
        <f>D56*$D$42+E56*$D$43+F56*$D$44</f>
        <v/>
      </c>
      <c r="I56" s="18">
        <f>INDEX(Data!$B$40:$Q$40,A56)</f>
        <v/>
      </c>
      <c r="J56" s="15">
        <f>H56-I56</f>
        <v/>
      </c>
      <c r="K56" s="15">
        <f>G56-I56</f>
        <v/>
      </c>
    </row>
    <row r="57">
      <c r="A57" s="11" t="n">
        <v>9</v>
      </c>
      <c r="B57" s="14">
        <f>INT((A57-1)/4)</f>
        <v/>
      </c>
      <c r="C57" s="14">
        <f>MOD(A57-1,4)</f>
        <v/>
      </c>
      <c r="D57" s="18">
        <f>INDEX(Data!$B$30:$Q$37,B$19,$A57)</f>
        <v/>
      </c>
      <c r="E57" s="18">
        <f>INDEX(Data!$B$30:$Q$37,C$19,$A57)</f>
        <v/>
      </c>
      <c r="F57" s="18">
        <f>INDEX(Data!$B$30:$Q$37,D$19,$A57)</f>
        <v/>
      </c>
      <c r="G57" s="15">
        <f>D57*$B$42+E57*$B$43+F57*$B$44</f>
        <v/>
      </c>
      <c r="H57" s="15">
        <f>D57*$D$42+E57*$D$43+F57*$D$44</f>
        <v/>
      </c>
      <c r="I57" s="18">
        <f>INDEX(Data!$B$40:$Q$40,A57)</f>
        <v/>
      </c>
      <c r="J57" s="15">
        <f>H57-I57</f>
        <v/>
      </c>
      <c r="K57" s="15">
        <f>G57-I57</f>
        <v/>
      </c>
    </row>
    <row r="58">
      <c r="A58" s="11" t="n">
        <v>10</v>
      </c>
      <c r="B58" s="14">
        <f>INT((A58-1)/4)</f>
        <v/>
      </c>
      <c r="C58" s="14">
        <f>MOD(A58-1,4)</f>
        <v/>
      </c>
      <c r="D58" s="18">
        <f>INDEX(Data!$B$30:$Q$37,B$19,$A58)</f>
        <v/>
      </c>
      <c r="E58" s="18">
        <f>INDEX(Data!$B$30:$Q$37,C$19,$A58)</f>
        <v/>
      </c>
      <c r="F58" s="18">
        <f>INDEX(Data!$B$30:$Q$37,D$19,$A58)</f>
        <v/>
      </c>
      <c r="G58" s="15">
        <f>D58*$B$42+E58*$B$43+F58*$B$44</f>
        <v/>
      </c>
      <c r="H58" s="15">
        <f>D58*$D$42+E58*$D$43+F58*$D$44</f>
        <v/>
      </c>
      <c r="I58" s="18">
        <f>INDEX(Data!$B$40:$Q$40,A58)</f>
        <v/>
      </c>
      <c r="J58" s="15">
        <f>H58-I58</f>
        <v/>
      </c>
      <c r="K58" s="15">
        <f>G58-I58</f>
        <v/>
      </c>
    </row>
    <row r="59">
      <c r="A59" s="11" t="n">
        <v>11</v>
      </c>
      <c r="B59" s="14">
        <f>INT((A59-1)/4)</f>
        <v/>
      </c>
      <c r="C59" s="14">
        <f>MOD(A59-1,4)</f>
        <v/>
      </c>
      <c r="D59" s="18">
        <f>INDEX(Data!$B$30:$Q$37,B$19,$A59)</f>
        <v/>
      </c>
      <c r="E59" s="18">
        <f>INDEX(Data!$B$30:$Q$37,C$19,$A59)</f>
        <v/>
      </c>
      <c r="F59" s="18">
        <f>INDEX(Data!$B$30:$Q$37,D$19,$A59)</f>
        <v/>
      </c>
      <c r="G59" s="15">
        <f>D59*$B$42+E59*$B$43+F59*$B$44</f>
        <v/>
      </c>
      <c r="H59" s="15">
        <f>D59*$D$42+E59*$D$43+F59*$D$44</f>
        <v/>
      </c>
      <c r="I59" s="18">
        <f>INDEX(Data!$B$40:$Q$40,A59)</f>
        <v/>
      </c>
      <c r="J59" s="15">
        <f>H59-I59</f>
        <v/>
      </c>
      <c r="K59" s="15">
        <f>G59-I59</f>
        <v/>
      </c>
    </row>
    <row r="60">
      <c r="A60" s="11" t="n">
        <v>12</v>
      </c>
      <c r="B60" s="14">
        <f>INT((A60-1)/4)</f>
        <v/>
      </c>
      <c r="C60" s="14">
        <f>MOD(A60-1,4)</f>
        <v/>
      </c>
      <c r="D60" s="18">
        <f>INDEX(Data!$B$30:$Q$37,B$19,$A60)</f>
        <v/>
      </c>
      <c r="E60" s="18">
        <f>INDEX(Data!$B$30:$Q$37,C$19,$A60)</f>
        <v/>
      </c>
      <c r="F60" s="18">
        <f>INDEX(Data!$B$30:$Q$37,D$19,$A60)</f>
        <v/>
      </c>
      <c r="G60" s="15">
        <f>D60*$B$42+E60*$B$43+F60*$B$44</f>
        <v/>
      </c>
      <c r="H60" s="15">
        <f>D60*$D$42+E60*$D$43+F60*$D$44</f>
        <v/>
      </c>
      <c r="I60" s="18">
        <f>INDEX(Data!$B$40:$Q$40,A60)</f>
        <v/>
      </c>
      <c r="J60" s="15">
        <f>H60-I60</f>
        <v/>
      </c>
      <c r="K60" s="15">
        <f>G60-I60</f>
        <v/>
      </c>
    </row>
    <row r="61">
      <c r="A61" s="11" t="n">
        <v>13</v>
      </c>
      <c r="B61" s="14">
        <f>INT((A61-1)/4)</f>
        <v/>
      </c>
      <c r="C61" s="14">
        <f>MOD(A61-1,4)</f>
        <v/>
      </c>
      <c r="D61" s="18">
        <f>INDEX(Data!$B$30:$Q$37,B$19,$A61)</f>
        <v/>
      </c>
      <c r="E61" s="18">
        <f>INDEX(Data!$B$30:$Q$37,C$19,$A61)</f>
        <v/>
      </c>
      <c r="F61" s="18">
        <f>INDEX(Data!$B$30:$Q$37,D$19,$A61)</f>
        <v/>
      </c>
      <c r="G61" s="15">
        <f>D61*$B$42+E61*$B$43+F61*$B$44</f>
        <v/>
      </c>
      <c r="H61" s="15">
        <f>D61*$D$42+E61*$D$43+F61*$D$44</f>
        <v/>
      </c>
      <c r="I61" s="18">
        <f>INDEX(Data!$B$40:$Q$40,A61)</f>
        <v/>
      </c>
      <c r="J61" s="15">
        <f>H61-I61</f>
        <v/>
      </c>
      <c r="K61" s="15">
        <f>G61-I61</f>
        <v/>
      </c>
    </row>
    <row r="62">
      <c r="A62" s="11" t="n">
        <v>14</v>
      </c>
      <c r="B62" s="14">
        <f>INT((A62-1)/4)</f>
        <v/>
      </c>
      <c r="C62" s="14">
        <f>MOD(A62-1,4)</f>
        <v/>
      </c>
      <c r="D62" s="18">
        <f>INDEX(Data!$B$30:$Q$37,B$19,$A62)</f>
        <v/>
      </c>
      <c r="E62" s="18">
        <f>INDEX(Data!$B$30:$Q$37,C$19,$A62)</f>
        <v/>
      </c>
      <c r="F62" s="18">
        <f>INDEX(Data!$B$30:$Q$37,D$19,$A62)</f>
        <v/>
      </c>
      <c r="G62" s="15">
        <f>D62*$B$42+E62*$B$43+F62*$B$44</f>
        <v/>
      </c>
      <c r="H62" s="15">
        <f>D62*$D$42+E62*$D$43+F62*$D$44</f>
        <v/>
      </c>
      <c r="I62" s="18">
        <f>INDEX(Data!$B$40:$Q$40,A62)</f>
        <v/>
      </c>
      <c r="J62" s="15">
        <f>H62-I62</f>
        <v/>
      </c>
      <c r="K62" s="15">
        <f>G62-I62</f>
        <v/>
      </c>
    </row>
    <row r="63">
      <c r="A63" s="11" t="n">
        <v>15</v>
      </c>
      <c r="B63" s="14">
        <f>INT((A63-1)/4)</f>
        <v/>
      </c>
      <c r="C63" s="14">
        <f>MOD(A63-1,4)</f>
        <v/>
      </c>
      <c r="D63" s="18">
        <f>INDEX(Data!$B$30:$Q$37,B$19,$A63)</f>
        <v/>
      </c>
      <c r="E63" s="18">
        <f>INDEX(Data!$B$30:$Q$37,C$19,$A63)</f>
        <v/>
      </c>
      <c r="F63" s="18">
        <f>INDEX(Data!$B$30:$Q$37,D$19,$A63)</f>
        <v/>
      </c>
      <c r="G63" s="15">
        <f>D63*$B$42+E63*$B$43+F63*$B$44</f>
        <v/>
      </c>
      <c r="H63" s="15">
        <f>D63*$D$42+E63*$D$43+F63*$D$44</f>
        <v/>
      </c>
      <c r="I63" s="18">
        <f>INDEX(Data!$B$40:$Q$40,A63)</f>
        <v/>
      </c>
      <c r="J63" s="15">
        <f>H63-I63</f>
        <v/>
      </c>
      <c r="K63" s="15">
        <f>G63-I63</f>
        <v/>
      </c>
    </row>
    <row r="64">
      <c r="A64" s="11" t="n">
        <v>16</v>
      </c>
      <c r="B64" s="14">
        <f>INT((A64-1)/4)</f>
        <v/>
      </c>
      <c r="C64" s="14">
        <f>MOD(A64-1,4)</f>
        <v/>
      </c>
      <c r="D64" s="18">
        <f>INDEX(Data!$B$30:$Q$37,B$19,$A64)</f>
        <v/>
      </c>
      <c r="E64" s="18">
        <f>INDEX(Data!$B$30:$Q$37,C$19,$A64)</f>
        <v/>
      </c>
      <c r="F64" s="18">
        <f>INDEX(Data!$B$30:$Q$37,D$19,$A64)</f>
        <v/>
      </c>
      <c r="G64" s="15">
        <f>D64*$B$42+E64*$B$43+F64*$B$44</f>
        <v/>
      </c>
      <c r="H64" s="15">
        <f>D64*$D$42+E64*$D$43+F64*$D$44</f>
        <v/>
      </c>
      <c r="I64" s="18">
        <f>INDEX(Data!$B$40:$Q$40,A64)</f>
        <v/>
      </c>
      <c r="J64" s="15">
        <f>H64-I64</f>
        <v/>
      </c>
      <c r="K64" s="15">
        <f>G64-I64</f>
        <v/>
      </c>
    </row>
    <row r="66">
      <c r="A66" s="7" t="inlineStr">
        <is>
          <t>RMSE vs truth (mm/day): best single analogue (D), plain LS (G), ridge (H)</t>
        </is>
      </c>
      <c r="D66" s="17">
        <f>SQRT(SUMXMY2(D49:D64,I49:I64)/COUNT(I49:I64))</f>
        <v/>
      </c>
      <c r="G66" s="17">
        <f>SQRT(SUMXMY2(G49:G64,I49:I64)/COUNT(I49:I64))</f>
        <v/>
      </c>
      <c r="H66" s="17">
        <f>SQRT(SUMXMY2(H49:H64,I49:I64)/COUNT(I49:I64))</f>
        <v/>
      </c>
    </row>
    <row r="67">
      <c r="A67" s="13" t="inlineStr">
        <is>
          <t>Mean of ridge field (H) vs mean of target y (I)</t>
        </is>
      </c>
      <c r="H67" s="17">
        <f>AVERAGE(H49:H64)</f>
        <v/>
      </c>
      <c r="I67" s="17">
        <f>AVERAGE(B15:E15)</f>
        <v/>
      </c>
    </row>
    <row r="69">
      <c r="A69" s="7" t="inlineStr">
        <is>
          <t>Maps (row x col): ridge estimate (left) and truth (right)</t>
        </is>
      </c>
    </row>
    <row r="70">
      <c r="B70" s="11" t="n">
        <v>0</v>
      </c>
      <c r="C70" s="11" t="n">
        <v>1</v>
      </c>
      <c r="D70" s="11" t="n">
        <v>2</v>
      </c>
      <c r="E70" s="11" t="n">
        <v>3</v>
      </c>
      <c r="H70" s="11" t="n">
        <v>0</v>
      </c>
      <c r="I70" s="11" t="n">
        <v>1</v>
      </c>
      <c r="J70" s="11" t="n">
        <v>2</v>
      </c>
      <c r="K70" s="11" t="n">
        <v>3</v>
      </c>
    </row>
    <row r="71">
      <c r="A71" s="11" t="n">
        <v>0</v>
      </c>
      <c r="B71" s="18">
        <f>INDEX($H$49:$H$64,4*$A71+B$70+1)</f>
        <v/>
      </c>
      <c r="C71" s="18">
        <f>INDEX($H$49:$H$64,4*$A71+C$70+1)</f>
        <v/>
      </c>
      <c r="D71" s="18">
        <f>INDEX($H$49:$H$64,4*$A71+D$70+1)</f>
        <v/>
      </c>
      <c r="E71" s="18">
        <f>INDEX($H$49:$H$64,4*$A71+E$70+1)</f>
        <v/>
      </c>
      <c r="G71" s="11" t="n">
        <v>0</v>
      </c>
      <c r="H71" s="18">
        <f>INDEX($I$49:$I$64,4*$G71+H$70+1)</f>
        <v/>
      </c>
      <c r="I71" s="18">
        <f>INDEX($I$49:$I$64,4*$G71+I$70+1)</f>
        <v/>
      </c>
      <c r="J71" s="18">
        <f>INDEX($I$49:$I$64,4*$G71+J$70+1)</f>
        <v/>
      </c>
      <c r="K71" s="18">
        <f>INDEX($I$49:$I$64,4*$G71+K$70+1)</f>
        <v/>
      </c>
    </row>
    <row r="72">
      <c r="A72" s="11" t="n">
        <v>1</v>
      </c>
      <c r="B72" s="18">
        <f>INDEX($H$49:$H$64,4*$A72+B$70+1)</f>
        <v/>
      </c>
      <c r="C72" s="18">
        <f>INDEX($H$49:$H$64,4*$A72+C$70+1)</f>
        <v/>
      </c>
      <c r="D72" s="18">
        <f>INDEX($H$49:$H$64,4*$A72+D$70+1)</f>
        <v/>
      </c>
      <c r="E72" s="18">
        <f>INDEX($H$49:$H$64,4*$A72+E$70+1)</f>
        <v/>
      </c>
      <c r="G72" s="11" t="n">
        <v>1</v>
      </c>
      <c r="H72" s="18">
        <f>INDEX($I$49:$I$64,4*$G72+H$70+1)</f>
        <v/>
      </c>
      <c r="I72" s="18">
        <f>INDEX($I$49:$I$64,4*$G72+I$70+1)</f>
        <v/>
      </c>
      <c r="J72" s="18">
        <f>INDEX($I$49:$I$64,4*$G72+J$70+1)</f>
        <v/>
      </c>
      <c r="K72" s="18">
        <f>INDEX($I$49:$I$64,4*$G72+K$70+1)</f>
        <v/>
      </c>
    </row>
    <row r="73">
      <c r="A73" s="11" t="n">
        <v>2</v>
      </c>
      <c r="B73" s="18">
        <f>INDEX($H$49:$H$64,4*$A73+B$70+1)</f>
        <v/>
      </c>
      <c r="C73" s="18">
        <f>INDEX($H$49:$H$64,4*$A73+C$70+1)</f>
        <v/>
      </c>
      <c r="D73" s="18">
        <f>INDEX($H$49:$H$64,4*$A73+D$70+1)</f>
        <v/>
      </c>
      <c r="E73" s="18">
        <f>INDEX($H$49:$H$64,4*$A73+E$70+1)</f>
        <v/>
      </c>
      <c r="G73" s="11" t="n">
        <v>2</v>
      </c>
      <c r="H73" s="18">
        <f>INDEX($I$49:$I$64,4*$G73+H$70+1)</f>
        <v/>
      </c>
      <c r="I73" s="18">
        <f>INDEX($I$49:$I$64,4*$G73+I$70+1)</f>
        <v/>
      </c>
      <c r="J73" s="18">
        <f>INDEX($I$49:$I$64,4*$G73+J$70+1)</f>
        <v/>
      </c>
      <c r="K73" s="18">
        <f>INDEX($I$49:$I$64,4*$G73+K$70+1)</f>
        <v/>
      </c>
    </row>
    <row r="74">
      <c r="A74" s="11" t="n">
        <v>3</v>
      </c>
      <c r="B74" s="18">
        <f>INDEX($H$49:$H$64,4*$A74+B$70+1)</f>
        <v/>
      </c>
      <c r="C74" s="18">
        <f>INDEX($H$49:$H$64,4*$A74+C$70+1)</f>
        <v/>
      </c>
      <c r="D74" s="18">
        <f>INDEX($H$49:$H$64,4*$A74+D$70+1)</f>
        <v/>
      </c>
      <c r="E74" s="18">
        <f>INDEX($H$49:$H$64,4*$A74+E$70+1)</f>
        <v/>
      </c>
      <c r="G74" s="11" t="n">
        <v>3</v>
      </c>
      <c r="H74" s="18">
        <f>INDEX($I$49:$I$64,4*$G74+H$70+1)</f>
        <v/>
      </c>
      <c r="I74" s="18">
        <f>INDEX($I$49:$I$64,4*$G74+I$70+1)</f>
        <v/>
      </c>
      <c r="J74" s="18">
        <f>INDEX($I$49:$I$64,4*$G74+J$70+1)</f>
        <v/>
      </c>
      <c r="K74" s="18">
        <f>INDEX($I$49:$I$64,4*$G74+K$70+1)</f>
        <v/>
      </c>
    </row>
  </sheetData>
  <conditionalFormatting sqref="B71:E74">
    <cfRule type="colorScale" priority="1">
      <colorScale>
        <cfvo type="min"/>
        <cfvo type="max"/>
        <color rgb="00FFFFFF"/>
        <color rgb="002F75B5"/>
      </colorScale>
    </cfRule>
  </conditionalFormatting>
  <conditionalFormatting sqref="H71:K74">
    <cfRule type="colorScale" priority="2">
      <colorScale>
        <cfvo type="min"/>
        <cfvo type="max"/>
        <color rgb="00FFFFFF"/>
        <color rgb="002F75B5"/>
      </colorScale>
    </cfRule>
  </conditionalFormatting>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2026-10-15T11:01:33Z</dcterms:created>
  <dcterms:modified xmlns:dcterms="http://purl.org/dc/terms/" xmlns:xsi="http://www.w3.org/2001/XMLSchema-instance" xsi:type="dcterms:W3CDTF">2026-10-15T11:01:33Z</dcterms:modified>
</cp:coreProperties>
</file>