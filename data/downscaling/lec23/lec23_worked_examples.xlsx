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Bilinear" sheetId="3" state="visible" r:id="rId3"/>
    <sheet xmlns:r="http://schemas.openxmlformats.org/officeDocument/2006/relationships" name="BCSD" sheetId="4" state="visible" r:id="rId4"/>
    <sheet xmlns:r="http://schemas.openxmlformats.org/officeDocument/2006/relationships" name="BC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</font>
    <font>
      <name val="Calibri"/>
      <b val="1"/>
    </font>
    <font>
      <name val="Calibri"/>
      <color rgb="00000000"/>
    </font>
    <font>
      <name val="Calibri"/>
      <color rgb="000000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2" fontId="5" fillId="0" borderId="0" pivotButton="0" quotePrefix="0" xfId="0"/>
    <xf numFmtId="0" fontId="3" fillId="0" borderId="0" pivotButton="0" quotePrefix="0" xfId="0"/>
    <xf numFmtId="0" fontId="3" fillId="3" borderId="0" applyAlignment="1" pivotButton="0" quotePrefix="0" xfId="0">
      <alignment horizontal="center" wrapText="1"/>
    </xf>
    <xf numFmtId="164" fontId="5" fillId="0" borderId="0" pivotButton="0" quotePrefix="0" xfId="0"/>
    <xf numFmtId="1" fontId="5" fillId="0" borderId="0" pivotButton="0" quotePrefix="0" xfId="0"/>
    <xf numFmtId="165" fontId="5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166" fontId="4" fillId="4" borderId="0" pivotButton="0" quotePrefix="0" xfId="0"/>
    <xf numFmtId="1" fontId="4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Lecture 23</author>
  </authors>
  <commentList>
    <comment ref="B5" authorId="0" shapeId="0">
      <text>
        <t>Weight of the western column in Eq. 9.1: (a2 - a_p)/(a2 - a1).</t>
      </text>
    </comment>
    <comment ref="B18" authorId="0" shapeId="0">
      <text>
        <t>Eq. 9.3: row vector times the 2 x 2 matrix of z(a_i,b_j) times the column vector, divided by (a2-a1)(b2-b1). Must equal B17.</t>
      </text>
    </comment>
    <comment ref="B26" authorId="0" shapeId="0">
      <text>
        <t>Value of the nearest coarse cell centre (ties go to the west and south cell).</t>
      </text>
    </comment>
    <comment ref="G35" authorId="0" shapeId="0">
      <text>
        <t>Fine cell X7 (row 2, column 3): equals B17.</t>
      </text>
    </comment>
  </commentList>
</comments>
</file>

<file path=xl/comments/comment2.xml><?xml version="1.0" encoding="utf-8"?>
<comments xmlns="http://schemas.openxmlformats.org/spreadsheetml/2006/main">
  <authors>
    <author>Lecture 23</author>
  </authors>
  <commentList>
    <comment ref="B5" authorId="0" shapeId="0">
      <text>
        <t>Ratio of the (bias-corrected) coarse GCM value to the observed coarse mean. mu_y_obs,i is the mean over the H observed years (Eq. 9.5).</t>
      </text>
    </comment>
    <comment ref="D20" authorId="0" shapeId="0">
      <text>
        <t>X_GCM,7: multiply the interpolated ratio R_7 by the observed fine mean mu_x_obs,7 (Eq. 9.6).</t>
      </text>
    </comment>
  </commentList>
</comments>
</file>

<file path=xl/comments/comment3.xml><?xml version="1.0" encoding="utf-8"?>
<comments xmlns="http://schemas.openxmlformats.org/spreadsheetml/2006/main">
  <authors>
    <author>Lecture 23</author>
  </authors>
  <commentList>
    <comment ref="F5" authorId="0" shapeId="0">
      <text>
        <t>RMSE over the q = 4 coarse cells, Eq. 9.8.</t>
      </text>
    </comment>
    <comment ref="B14" authorId="0" shapeId="0">
      <text>
        <t>Target coarse field, the mean of the four fine cells of the target year in Data (row 38).</t>
      </text>
    </comment>
    <comment ref="H22" authorId="0" shapeId="0">
      <text>
        <t>Normal equations with an intercept and no ridge term, Eq. 9.9. A_0 multiplies the column of ones.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Lecture 23: Spatial downscaling. Companion workbook (CE524 Applied Hydroclimatology)</t>
        </is>
      </c>
    </row>
    <row r="2">
      <c r="A2" s="2" t="inlineStr"/>
    </row>
    <row r="3">
      <c r="A3" s="2" t="inlineStr">
        <is>
          <t>Purpose: the hand-solved example of the lecture with live formulas, in the notation of Lee and Singh (2019), Chapter 9: (1) bilinear interpolation of one fine cell (Eqs. 9.1-9.3) and (2) one BCSD step from a 2 x 2 coarse to a 4 x 4 fine grid (Eqs. 9.4-9.7), plus (3) a small constructed-analogue (BCCA) fit with an intercept and no ridge term (Eqs. 9.8-9.11).</t>
        </is>
      </c>
    </row>
    <row r="4">
      <c r="A4" s="2" t="inlineStr">
        <is>
          <t>ALL NUMBERS ARE SYNTHETIC, invented for teaching. To use real data, replace the blue cells on the sheet Data.</t>
        </is>
      </c>
    </row>
    <row r="5">
      <c r="A5" s="2" t="inlineStr"/>
    </row>
    <row r="6">
      <c r="A6" s="2" t="inlineStr">
        <is>
          <t>Colour code: BLUE font = input (type over it). BLACK font = formula. Yellow bars = section headings, blue shading = column headings. Hover over a cell with a red corner to read a note on its formula.</t>
        </is>
      </c>
    </row>
    <row r="7">
      <c r="A7" s="2" t="inlineStr"/>
    </row>
    <row r="8">
      <c r="A8" s="3" t="inlineStr">
        <is>
          <t>Sheets</t>
        </is>
      </c>
    </row>
    <row r="9">
      <c r="A9" s="2" t="inlineStr">
        <is>
          <t>Data: all inputs. Coordinates a (longitude) and b (latitude) in degrees; y_GCM, mu_y_obs, mu_x_obs for the hand example; 8 library years of fine data x_obs and the target year for BCCA.</t>
        </is>
      </c>
    </row>
    <row r="10">
      <c r="A10" s="2" t="inlineStr">
        <is>
          <t>Bilinear: the same problem as the lecture's hand example (fine point X7 from the four coarse cells Y1..Y4), then the whole 4 x 4 fine grid; nearest neighbour for comparison.</t>
        </is>
      </c>
    </row>
    <row r="11">
      <c r="A11" s="2" t="inlineStr">
        <is>
          <t>BCSD: R_i = y_GCM,i / mu_y_obs,i, interpolation of R_i to R_j, X_GCM,j = R_j * mu_x_obs,j for all 16 fine cells; cell X7 is shaded and recomputed step by step.</t>
        </is>
      </c>
    </row>
    <row r="12">
      <c r="A12" s="2" t="inlineStr">
        <is>
          <t>BCCA: 8 library years, RMSE_h, the K = 2 closest years, A = (y^T y)^-1 y^T y_GCM with an intercept column, X_GCM = x A.</t>
        </is>
      </c>
    </row>
    <row r="13">
      <c r="A13" s="2" t="inlineStr"/>
    </row>
    <row r="14">
      <c r="A14" s="2" t="inlineStr">
        <is>
          <t>Grid numbering: coarse cells Y1 (SW), Y2 (SE), Y3 (NW), Y4 (NE); fine cell X_j with j = 4*(row-1) + column, row 1 = southernmost row, column 1 = westernmost column. Outside the coarse cell centres the interpolation takes the nearest coarse value (no extrapolation).</t>
        </is>
      </c>
    </row>
    <row r="15">
      <c r="A15" s="2" t="inlineStr">
        <is>
          <t>Only widely used functions (AVERAGE, SQRT, SUMXMY2, RANK, MATCH, INDEX, MIN, MAX, IF, ABS, MMULT, MINVERSE, TRANSPOSE). The matrix formulas are legacy array formulas. The file carries no stored results: Excel computes them on opening (press F9 if cells look empty). The same numbers are reproduced in lecture-23-spatial-downscaling.ipynb.</t>
        </is>
      </c>
    </row>
    <row r="18">
      <c r="A18" s="4" t="inlineStr">
        <is>
          <t>Example of an input (blue):</t>
        </is>
      </c>
      <c r="B18" s="5" t="n">
        <v>1</v>
      </c>
    </row>
    <row r="19">
      <c r="A19" s="4" t="inlineStr">
        <is>
          <t>Example of a formula (black):</t>
        </is>
      </c>
      <c r="B19" s="4">
        <f>B18*2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6" t="inlineStr">
        <is>
          <t>Data: synthetic inputs (blue = input)</t>
        </is>
      </c>
    </row>
    <row r="3">
      <c r="A3" s="7" t="inlineStr">
        <is>
          <t>A. Geometry (degrees)</t>
        </is>
      </c>
    </row>
    <row r="4">
      <c r="A4" s="4" t="inlineStr">
        <is>
          <t>a1 (west coarse centre)</t>
        </is>
      </c>
      <c r="B4" s="8" t="n">
        <v>77.5</v>
      </c>
      <c r="D4" s="9" t="inlineStr">
        <is>
          <t>fine cell centres</t>
        </is>
      </c>
    </row>
    <row r="5">
      <c r="A5" s="4" t="inlineStr">
        <is>
          <t>a2 (east coarse centre)</t>
        </is>
      </c>
      <c r="B5" s="8" t="n">
        <v>78.5</v>
      </c>
      <c r="D5" s="4" t="inlineStr">
        <is>
          <t>a_f (col 1..4)</t>
        </is>
      </c>
      <c r="E5" s="8" t="n">
        <v>77.25</v>
      </c>
      <c r="F5" s="8" t="n">
        <v>77.75</v>
      </c>
      <c r="G5" s="8" t="n">
        <v>78.25</v>
      </c>
      <c r="H5" s="8" t="n">
        <v>78.75</v>
      </c>
    </row>
    <row r="6">
      <c r="A6" s="4" t="inlineStr">
        <is>
          <t>b1 (south coarse centre)</t>
        </is>
      </c>
      <c r="B6" s="8" t="n">
        <v>29.5</v>
      </c>
      <c r="D6" s="4" t="inlineStr">
        <is>
          <t>b_f (row 1..4)</t>
        </is>
      </c>
      <c r="E6" s="8" t="n">
        <v>29.25</v>
      </c>
      <c r="F6" s="8" t="n">
        <v>29.75</v>
      </c>
      <c r="G6" s="8" t="n">
        <v>30.25</v>
      </c>
      <c r="H6" s="8" t="n">
        <v>30.75</v>
      </c>
    </row>
    <row r="7">
      <c r="A7" s="4" t="inlineStr">
        <is>
          <t>b2 (north coarse centre)</t>
        </is>
      </c>
      <c r="B7" s="8" t="n">
        <v>30.5</v>
      </c>
    </row>
    <row r="8">
      <c r="A8" s="4" t="inlineStr">
        <is>
          <t>a_p (point, fine cell X7)</t>
        </is>
      </c>
      <c r="B8" s="8" t="n">
        <v>78.25</v>
      </c>
    </row>
    <row r="9">
      <c r="A9" s="4" t="inlineStr">
        <is>
          <t>b_p (point, fine cell X7)</t>
        </is>
      </c>
      <c r="B9" s="8" t="n">
        <v>29.75</v>
      </c>
    </row>
    <row r="11">
      <c r="A11" s="7" t="inlineStr">
        <is>
          <t>B. Hand example (mm/day). Coarse cells: Y1 (a1,b1), Y2 (a2,b1), Y3 (a1,b2), Y4 (a2,b2)</t>
        </is>
      </c>
    </row>
    <row r="12">
      <c r="A12" s="9" t="inlineStr">
        <is>
          <t>y_GCM,i</t>
        </is>
      </c>
      <c r="B12" s="10" t="inlineStr">
        <is>
          <t>a1 (west)</t>
        </is>
      </c>
      <c r="C12" s="10" t="inlineStr">
        <is>
          <t>a2 (east)</t>
        </is>
      </c>
    </row>
    <row r="13">
      <c r="A13" s="4" t="inlineStr">
        <is>
          <t>b1 (south)</t>
        </is>
      </c>
      <c r="B13" s="8" t="n">
        <v>3</v>
      </c>
      <c r="C13" s="8" t="n">
        <v>5</v>
      </c>
    </row>
    <row r="14">
      <c r="A14" s="4" t="inlineStr">
        <is>
          <t>b2 (north)</t>
        </is>
      </c>
      <c r="B14" s="8" t="n">
        <v>4.5</v>
      </c>
      <c r="C14" s="8" t="n">
        <v>2</v>
      </c>
    </row>
    <row r="16">
      <c r="A16" s="9" t="inlineStr">
        <is>
          <t>mu_y_obs,i</t>
        </is>
      </c>
      <c r="B16" s="10" t="inlineStr">
        <is>
          <t>a1 (west)</t>
        </is>
      </c>
      <c r="C16" s="10" t="inlineStr">
        <is>
          <t>a2 (east)</t>
        </is>
      </c>
    </row>
    <row r="17">
      <c r="A17" s="4" t="inlineStr">
        <is>
          <t>b1 (south)</t>
        </is>
      </c>
      <c r="B17" s="8" t="n">
        <v>2.5</v>
      </c>
      <c r="C17" s="8" t="n">
        <v>4</v>
      </c>
    </row>
    <row r="18">
      <c r="A18" s="4" t="inlineStr">
        <is>
          <t>b2 (north)</t>
        </is>
      </c>
      <c r="B18" s="8" t="n">
        <v>3</v>
      </c>
      <c r="C18" s="8" t="n">
        <v>2.5</v>
      </c>
    </row>
    <row r="20">
      <c r="A20" s="9" t="inlineStr">
        <is>
          <t>mu_x_obs,j (4 x 4; row 1 = south)</t>
        </is>
      </c>
      <c r="B20" s="10" t="inlineStr">
        <is>
          <t>col 1</t>
        </is>
      </c>
      <c r="C20" s="10" t="inlineStr">
        <is>
          <t>col 2</t>
        </is>
      </c>
      <c r="D20" s="10" t="inlineStr">
        <is>
          <t>col 3</t>
        </is>
      </c>
      <c r="E20" s="10" t="inlineStr">
        <is>
          <t>col 4</t>
        </is>
      </c>
    </row>
    <row r="21">
      <c r="A21" s="4" t="inlineStr">
        <is>
          <t>row 1</t>
        </is>
      </c>
      <c r="B21" s="11" t="n">
        <v>1.6</v>
      </c>
      <c r="C21" s="11" t="n">
        <v>3.4</v>
      </c>
      <c r="D21" s="11" t="n">
        <v>4.2</v>
      </c>
      <c r="E21" s="11" t="n">
        <v>3.8</v>
      </c>
    </row>
    <row r="22">
      <c r="A22" s="4" t="inlineStr">
        <is>
          <t>row 2</t>
        </is>
      </c>
      <c r="B22" s="11" t="n">
        <v>1.9</v>
      </c>
      <c r="C22" s="11" t="n">
        <v>3.1</v>
      </c>
      <c r="D22" s="11" t="n">
        <v>3.6</v>
      </c>
      <c r="E22" s="11" t="n">
        <v>4.4</v>
      </c>
    </row>
    <row r="23">
      <c r="A23" s="4" t="inlineStr">
        <is>
          <t>row 3</t>
        </is>
      </c>
      <c r="B23" s="11" t="n">
        <v>2.4</v>
      </c>
      <c r="C23" s="11" t="n">
        <v>3.8</v>
      </c>
      <c r="D23" s="11" t="n">
        <v>2.1</v>
      </c>
      <c r="E23" s="11" t="n">
        <v>2.5</v>
      </c>
    </row>
    <row r="24">
      <c r="A24" s="4" t="inlineStr">
        <is>
          <t>row 4</t>
        </is>
      </c>
      <c r="B24" s="11" t="n">
        <v>2.2</v>
      </c>
      <c r="C24" s="11" t="n">
        <v>3.6</v>
      </c>
      <c r="D24" s="11" t="n">
        <v>1.9</v>
      </c>
      <c r="E24" s="11" t="n">
        <v>3.5</v>
      </c>
    </row>
    <row r="27">
      <c r="A27" s="7" t="inlineStr">
        <is>
          <t>C. BCCA library: x_obs,j for years h = 1..8 (fine cell id j = 1..16, row by row from the south), mm/day</t>
        </is>
      </c>
    </row>
    <row r="28">
      <c r="A28" s="10" t="inlineStr">
        <is>
          <t>h</t>
        </is>
      </c>
      <c r="B28" s="10" t="n">
        <v>1</v>
      </c>
      <c r="C28" s="10" t="n">
        <v>2</v>
      </c>
      <c r="D28" s="10" t="n">
        <v>3</v>
      </c>
      <c r="E28" s="10" t="n">
        <v>4</v>
      </c>
      <c r="F28" s="10" t="n">
        <v>5</v>
      </c>
      <c r="G28" s="10" t="n">
        <v>6</v>
      </c>
      <c r="H28" s="10" t="n">
        <v>7</v>
      </c>
      <c r="I28" s="10" t="n">
        <v>8</v>
      </c>
      <c r="J28" s="10" t="n">
        <v>9</v>
      </c>
      <c r="K28" s="10" t="n">
        <v>10</v>
      </c>
      <c r="L28" s="10" t="n">
        <v>11</v>
      </c>
      <c r="M28" s="10" t="n">
        <v>12</v>
      </c>
      <c r="N28" s="10" t="n">
        <v>13</v>
      </c>
      <c r="O28" s="10" t="n">
        <v>14</v>
      </c>
      <c r="P28" s="10" t="n">
        <v>15</v>
      </c>
      <c r="Q28" s="10" t="n">
        <v>16</v>
      </c>
    </row>
    <row r="29">
      <c r="A29" s="12" t="n">
        <v>1</v>
      </c>
      <c r="B29" s="13" t="n">
        <v>1.886</v>
      </c>
      <c r="C29" s="13" t="n">
        <v>3.343</v>
      </c>
      <c r="D29" s="13" t="n">
        <v>2.934</v>
      </c>
      <c r="E29" s="13" t="n">
        <v>1.202</v>
      </c>
      <c r="F29" s="13" t="n">
        <v>1.365</v>
      </c>
      <c r="G29" s="13" t="n">
        <v>2.046</v>
      </c>
      <c r="H29" s="13" t="n">
        <v>2.175</v>
      </c>
      <c r="I29" s="13" t="n">
        <v>2.297</v>
      </c>
      <c r="J29" s="13" t="n">
        <v>0.619</v>
      </c>
      <c r="K29" s="13" t="n">
        <v>2.216</v>
      </c>
      <c r="L29" s="13" t="n">
        <v>1.336</v>
      </c>
      <c r="M29" s="13" t="n">
        <v>1.305</v>
      </c>
      <c r="N29" s="13" t="n">
        <v>1.394</v>
      </c>
      <c r="O29" s="13" t="n">
        <v>2.879</v>
      </c>
      <c r="P29" s="13" t="n">
        <v>1.993</v>
      </c>
      <c r="Q29" s="13" t="n">
        <v>3.576</v>
      </c>
    </row>
    <row r="30">
      <c r="A30" s="12" t="n">
        <v>2</v>
      </c>
      <c r="B30" s="13" t="n">
        <v>1.899</v>
      </c>
      <c r="C30" s="13" t="n">
        <v>5.005</v>
      </c>
      <c r="D30" s="13" t="n">
        <v>6.826</v>
      </c>
      <c r="E30" s="13" t="n">
        <v>5.085</v>
      </c>
      <c r="F30" s="13" t="n">
        <v>2.348</v>
      </c>
      <c r="G30" s="13" t="n">
        <v>3.679</v>
      </c>
      <c r="H30" s="13" t="n">
        <v>4.466</v>
      </c>
      <c r="I30" s="13" t="n">
        <v>6.135</v>
      </c>
      <c r="J30" s="13" t="n">
        <v>1.995</v>
      </c>
      <c r="K30" s="13" t="n">
        <v>8.162000000000001</v>
      </c>
      <c r="L30" s="13" t="n">
        <v>2.393</v>
      </c>
      <c r="M30" s="13" t="n">
        <v>2.61</v>
      </c>
      <c r="N30" s="13" t="n">
        <v>3.074</v>
      </c>
      <c r="O30" s="13" t="n">
        <v>3.031</v>
      </c>
      <c r="P30" s="13" t="n">
        <v>1.914</v>
      </c>
      <c r="Q30" s="13" t="n">
        <v>4.91</v>
      </c>
    </row>
    <row r="31">
      <c r="A31" s="12" t="n">
        <v>3</v>
      </c>
      <c r="B31" s="13" t="n">
        <v>1.323</v>
      </c>
      <c r="C31" s="13" t="n">
        <v>2.202</v>
      </c>
      <c r="D31" s="13" t="n">
        <v>2.268</v>
      </c>
      <c r="E31" s="13" t="n">
        <v>3.055</v>
      </c>
      <c r="F31" s="13" t="n">
        <v>2.333</v>
      </c>
      <c r="G31" s="13" t="n">
        <v>2.066</v>
      </c>
      <c r="H31" s="13" t="n">
        <v>2.541</v>
      </c>
      <c r="I31" s="13" t="n">
        <v>4.289</v>
      </c>
      <c r="J31" s="13" t="n">
        <v>3.18</v>
      </c>
      <c r="K31" s="13" t="n">
        <v>5.171</v>
      </c>
      <c r="L31" s="13" t="n">
        <v>3.392</v>
      </c>
      <c r="M31" s="13" t="n">
        <v>2.198</v>
      </c>
      <c r="N31" s="13" t="n">
        <v>2.668</v>
      </c>
      <c r="O31" s="13" t="n">
        <v>4.32</v>
      </c>
      <c r="P31" s="13" t="n">
        <v>4.914</v>
      </c>
      <c r="Q31" s="13" t="n">
        <v>7.598</v>
      </c>
    </row>
    <row r="32">
      <c r="A32" s="12" t="n">
        <v>4</v>
      </c>
      <c r="B32" s="13" t="n">
        <v>0.431</v>
      </c>
      <c r="C32" s="13" t="n">
        <v>2.798</v>
      </c>
      <c r="D32" s="13" t="n">
        <v>3.665</v>
      </c>
      <c r="E32" s="13" t="n">
        <v>2.368</v>
      </c>
      <c r="F32" s="13" t="n">
        <v>0.776</v>
      </c>
      <c r="G32" s="13" t="n">
        <v>2.639</v>
      </c>
      <c r="H32" s="13" t="n">
        <v>2.635</v>
      </c>
      <c r="I32" s="13" t="n">
        <v>2.065</v>
      </c>
      <c r="J32" s="13" t="n">
        <v>0.659</v>
      </c>
      <c r="K32" s="13" t="n">
        <v>2.423</v>
      </c>
      <c r="L32" s="13" t="n">
        <v>0.915</v>
      </c>
      <c r="M32" s="13" t="n">
        <v>1.109</v>
      </c>
      <c r="N32" s="13" t="n">
        <v>0.771</v>
      </c>
      <c r="O32" s="13" t="n">
        <v>1.128</v>
      </c>
      <c r="P32" s="13" t="n">
        <v>0.825</v>
      </c>
      <c r="Q32" s="13" t="n">
        <v>1.681</v>
      </c>
    </row>
    <row r="33">
      <c r="A33" s="12" t="n">
        <v>5</v>
      </c>
      <c r="B33" s="13" t="n">
        <v>0.08699999999999999</v>
      </c>
      <c r="C33" s="13" t="n">
        <v>1.073</v>
      </c>
      <c r="D33" s="13" t="n">
        <v>2.77</v>
      </c>
      <c r="E33" s="13" t="n">
        <v>1.333</v>
      </c>
      <c r="F33" s="13" t="n">
        <v>0.844</v>
      </c>
      <c r="G33" s="13" t="n">
        <v>1.064</v>
      </c>
      <c r="H33" s="13" t="n">
        <v>1.211</v>
      </c>
      <c r="I33" s="13" t="n">
        <v>0.916</v>
      </c>
      <c r="J33" s="13" t="n">
        <v>1.603</v>
      </c>
      <c r="K33" s="13" t="n">
        <v>1.86</v>
      </c>
      <c r="L33" s="13" t="n">
        <v>1.239</v>
      </c>
      <c r="M33" s="13" t="n">
        <v>1.404</v>
      </c>
      <c r="N33" s="13" t="n">
        <v>0.725</v>
      </c>
      <c r="O33" s="13" t="n">
        <v>2.539</v>
      </c>
      <c r="P33" s="13" t="n">
        <v>2.373</v>
      </c>
      <c r="Q33" s="13" t="n">
        <v>3.738</v>
      </c>
    </row>
    <row r="34">
      <c r="A34" s="12" t="n">
        <v>6</v>
      </c>
      <c r="B34" s="13" t="n">
        <v>1.886</v>
      </c>
      <c r="C34" s="13" t="n">
        <v>2.996</v>
      </c>
      <c r="D34" s="13" t="n">
        <v>4.381</v>
      </c>
      <c r="E34" s="13" t="n">
        <v>3.96</v>
      </c>
      <c r="F34" s="13" t="n">
        <v>1.361</v>
      </c>
      <c r="G34" s="13" t="n">
        <v>1.366</v>
      </c>
      <c r="H34" s="13" t="n">
        <v>3.823</v>
      </c>
      <c r="I34" s="13" t="n">
        <v>3.197</v>
      </c>
      <c r="J34" s="13" t="n">
        <v>0.587</v>
      </c>
      <c r="K34" s="13" t="n">
        <v>1.197</v>
      </c>
      <c r="L34" s="13" t="n">
        <v>1.537</v>
      </c>
      <c r="M34" s="13" t="n">
        <v>2.011</v>
      </c>
      <c r="N34" s="13" t="n">
        <v>1.446</v>
      </c>
      <c r="O34" s="13" t="n">
        <v>2.154</v>
      </c>
      <c r="P34" s="13" t="n">
        <v>1.225</v>
      </c>
      <c r="Q34" s="13" t="n">
        <v>2.283</v>
      </c>
    </row>
    <row r="35">
      <c r="A35" s="12" t="n">
        <v>7</v>
      </c>
      <c r="B35" s="13" t="n">
        <v>1.861</v>
      </c>
      <c r="C35" s="13" t="n">
        <v>6.771</v>
      </c>
      <c r="D35" s="13" t="n">
        <v>7.347</v>
      </c>
      <c r="E35" s="13" t="n">
        <v>6.559</v>
      </c>
      <c r="F35" s="13" t="n">
        <v>2.514</v>
      </c>
      <c r="G35" s="13" t="n">
        <v>3.481</v>
      </c>
      <c r="H35" s="13" t="n">
        <v>6.388</v>
      </c>
      <c r="I35" s="13" t="n">
        <v>5.987</v>
      </c>
      <c r="J35" s="13" t="n">
        <v>1.566</v>
      </c>
      <c r="K35" s="13" t="n">
        <v>5.012</v>
      </c>
      <c r="L35" s="13" t="n">
        <v>3.103</v>
      </c>
      <c r="M35" s="13" t="n">
        <v>2.812</v>
      </c>
      <c r="N35" s="13" t="n">
        <v>2.003</v>
      </c>
      <c r="O35" s="13" t="n">
        <v>4.588</v>
      </c>
      <c r="P35" s="13" t="n">
        <v>2.342</v>
      </c>
      <c r="Q35" s="13" t="n">
        <v>2.868</v>
      </c>
    </row>
    <row r="36">
      <c r="A36" s="12" t="n">
        <v>8</v>
      </c>
      <c r="B36" s="13" t="n">
        <v>1.118</v>
      </c>
      <c r="C36" s="13" t="n">
        <v>2.364</v>
      </c>
      <c r="D36" s="13" t="n">
        <v>3.018</v>
      </c>
      <c r="E36" s="13" t="n">
        <v>3.546</v>
      </c>
      <c r="F36" s="13" t="n">
        <v>2.204</v>
      </c>
      <c r="G36" s="13" t="n">
        <v>3.229</v>
      </c>
      <c r="H36" s="13" t="n">
        <v>4.413</v>
      </c>
      <c r="I36" s="13" t="n">
        <v>4.707</v>
      </c>
      <c r="J36" s="13" t="n">
        <v>4.824</v>
      </c>
      <c r="K36" s="13" t="n">
        <v>4.404</v>
      </c>
      <c r="L36" s="13" t="n">
        <v>1.318</v>
      </c>
      <c r="M36" s="13" t="n">
        <v>1.838</v>
      </c>
      <c r="N36" s="13" t="n">
        <v>4.458</v>
      </c>
      <c r="O36" s="13" t="n">
        <v>5.681</v>
      </c>
      <c r="P36" s="13" t="n">
        <v>2.859</v>
      </c>
      <c r="Q36" s="13" t="n">
        <v>3.103</v>
      </c>
    </row>
    <row r="38">
      <c r="A38" s="4" t="inlineStr">
        <is>
          <t>Target year: fine field (used only to form y_GCM)</t>
        </is>
      </c>
      <c r="B38" s="13" t="n">
        <v>1.22</v>
      </c>
      <c r="C38" s="13" t="n">
        <v>3.076</v>
      </c>
      <c r="D38" s="13" t="n">
        <v>2.62</v>
      </c>
      <c r="E38" s="13" t="n">
        <v>2.115</v>
      </c>
      <c r="F38" s="13" t="n">
        <v>0.956</v>
      </c>
      <c r="G38" s="13" t="n">
        <v>2.118</v>
      </c>
      <c r="H38" s="13" t="n">
        <v>1.463</v>
      </c>
      <c r="I38" s="13" t="n">
        <v>2.19</v>
      </c>
      <c r="J38" s="13" t="n">
        <v>1.068</v>
      </c>
      <c r="K38" s="13" t="n">
        <v>3.747</v>
      </c>
      <c r="L38" s="13" t="n">
        <v>1.757</v>
      </c>
      <c r="M38" s="13" t="n">
        <v>1.127</v>
      </c>
      <c r="N38" s="13" t="n">
        <v>1.452</v>
      </c>
      <c r="O38" s="13" t="n">
        <v>2.999</v>
      </c>
      <c r="P38" s="13" t="n">
        <v>1.759</v>
      </c>
      <c r="Q38" s="13" t="n">
        <v>2.405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6" t="inlineStr">
        <is>
          <t>Bilinear interpolation of the point (a_p, b_p) (Eqs. 9.1 to 9.3), then of the whole fine grid</t>
        </is>
      </c>
    </row>
    <row r="3">
      <c r="A3" s="7" t="inlineStr">
        <is>
          <t>Step 1: fractions along a and b</t>
        </is>
      </c>
    </row>
    <row r="4">
      <c r="A4" s="4" t="inlineStr">
        <is>
          <t>a2 - a1</t>
        </is>
      </c>
      <c r="B4" s="14">
        <f>Data!B5-Data!B4</f>
        <v/>
      </c>
      <c r="D4" s="9" t="inlineStr">
        <is>
          <t>[a2-a_p, a_p-a1]</t>
        </is>
      </c>
    </row>
    <row r="5">
      <c r="A5" s="4" t="inlineStr">
        <is>
          <t>(a2 - a_p)/(a2 - a1)</t>
        </is>
      </c>
      <c r="B5" s="14">
        <f>(Data!B5-Data!B8)/(Data!B5-Data!B4)</f>
        <v/>
      </c>
      <c r="D5" s="15">
        <f>Data!B5-Data!B8</f>
        <v/>
      </c>
      <c r="E5" s="15">
        <f>Data!B8-Data!B4</f>
        <v/>
      </c>
    </row>
    <row r="6">
      <c r="A6" s="4" t="inlineStr">
        <is>
          <t>(a_p - a1)/(a2 - a1)</t>
        </is>
      </c>
      <c r="B6" s="14">
        <f>(Data!B8-Data!B4)/(Data!B5-Data!B4)</f>
        <v/>
      </c>
    </row>
    <row r="7">
      <c r="A7" s="4" t="inlineStr">
        <is>
          <t>(b2 - b_p)/(b2 - b1)</t>
        </is>
      </c>
      <c r="B7" s="14">
        <f>(Data!B7-Data!B9)/(Data!B7-Data!B6)</f>
        <v/>
      </c>
      <c r="D7" s="9" t="inlineStr">
        <is>
          <t>[[z11, z12],[z21, z22]]</t>
        </is>
      </c>
      <c r="G7" s="9" t="inlineStr">
        <is>
          <t>[b2-b_p; b_p-b1]</t>
        </is>
      </c>
    </row>
    <row r="8">
      <c r="A8" s="4" t="inlineStr">
        <is>
          <t>(b_p - b1)/(b2 - b1)</t>
        </is>
      </c>
      <c r="B8" s="14">
        <f>(Data!B9-Data!B6)/(Data!B7-Data!B6)</f>
        <v/>
      </c>
      <c r="D8" s="15">
        <f>B10</f>
        <v/>
      </c>
      <c r="E8" s="15">
        <f>B12</f>
        <v/>
      </c>
      <c r="G8" s="15">
        <f>Data!B7-Data!B9</f>
        <v/>
      </c>
    </row>
    <row r="9">
      <c r="A9" s="7" t="inlineStr">
        <is>
          <t>Step 2: the four coarse values z(a_i, b_j)</t>
        </is>
      </c>
      <c r="D9" s="15">
        <f>B11</f>
        <v/>
      </c>
      <c r="E9" s="15">
        <f>B13</f>
        <v/>
      </c>
      <c r="G9" s="15">
        <f>Data!B9-Data!B6</f>
        <v/>
      </c>
    </row>
    <row r="10">
      <c r="A10" s="4" t="inlineStr">
        <is>
          <t>z11 = z(a1,b1) = Y1</t>
        </is>
      </c>
      <c r="B10" s="15">
        <f>Data!B13</f>
        <v/>
      </c>
    </row>
    <row r="11">
      <c r="A11" s="4" t="inlineStr">
        <is>
          <t>z21 = z(a2,b1) = Y2</t>
        </is>
      </c>
      <c r="B11" s="15">
        <f>Data!C13</f>
        <v/>
      </c>
    </row>
    <row r="12">
      <c r="A12" s="4" t="inlineStr">
        <is>
          <t>z12 = z(a1,b2) = Y3</t>
        </is>
      </c>
      <c r="B12" s="15">
        <f>Data!B14</f>
        <v/>
      </c>
    </row>
    <row r="13">
      <c r="A13" s="4" t="inlineStr">
        <is>
          <t>z22 = z(a2,b2) = Y4</t>
        </is>
      </c>
      <c r="B13" s="15">
        <f>Data!C14</f>
        <v/>
      </c>
    </row>
    <row r="14">
      <c r="A14" s="7" t="inlineStr">
        <is>
          <t>Step 3: along a at b1 and b2, then along b</t>
        </is>
      </c>
    </row>
    <row r="15">
      <c r="A15" s="4" t="inlineStr">
        <is>
          <t>z(a_p,b1)  [Eq. 9.1]</t>
        </is>
      </c>
      <c r="B15" s="14">
        <f>B5*B10+B6*B11</f>
        <v/>
      </c>
    </row>
    <row r="16">
      <c r="A16" s="4" t="inlineStr">
        <is>
          <t>z(a_p,b2)  [Eq. 9.2]</t>
        </is>
      </c>
      <c r="B16" s="14">
        <f>B5*B12+B6*B13</f>
        <v/>
      </c>
    </row>
    <row r="17">
      <c r="A17" s="9" t="inlineStr">
        <is>
          <t>z(a_p,b_p) [Eq. 9.3, two steps]</t>
        </is>
      </c>
      <c r="B17" s="14">
        <f>B7*B15+B8*B16</f>
        <v/>
      </c>
    </row>
    <row r="18">
      <c r="A18" s="9" t="inlineStr">
        <is>
          <t>z(a_p,b_p) [Eq. 9.3, matrix form]</t>
        </is>
      </c>
      <c r="B18" s="14">
        <f t="array" ref="B18">MMULT(MMULT(D5:E5,D8:E9),G8:G9)/((Data!B5-Data!B4)*(Data!B7-Data!B6))</f>
        <v/>
      </c>
    </row>
    <row r="19">
      <c r="A19" s="7" t="inlineStr">
        <is>
          <t>Weights (sum must be 1)</t>
        </is>
      </c>
    </row>
    <row r="20">
      <c r="A20" s="4" t="inlineStr">
        <is>
          <t>w11 = wa1*wb1</t>
        </is>
      </c>
      <c r="B20" s="14">
        <f>B5*B7</f>
        <v/>
      </c>
    </row>
    <row r="21">
      <c r="A21" s="4" t="inlineStr">
        <is>
          <t>w21 = wa2*wb1</t>
        </is>
      </c>
      <c r="B21" s="14">
        <f>B6*B7</f>
        <v/>
      </c>
    </row>
    <row r="22">
      <c r="A22" s="4" t="inlineStr">
        <is>
          <t>w12 = wa1*wb2</t>
        </is>
      </c>
      <c r="B22" s="14">
        <f>B5*B8</f>
        <v/>
      </c>
    </row>
    <row r="23">
      <c r="A23" s="4" t="inlineStr">
        <is>
          <t>w22 = wa2*wb2</t>
        </is>
      </c>
      <c r="B23" s="14">
        <f>B6*B8</f>
        <v/>
      </c>
    </row>
    <row r="24">
      <c r="A24" s="4" t="inlineStr">
        <is>
          <t>sum of weights</t>
        </is>
      </c>
      <c r="B24" s="14">
        <f>SUM(B20:B23)</f>
        <v/>
      </c>
    </row>
    <row r="25">
      <c r="A25" s="4" t="inlineStr">
        <is>
          <t>four-weight value</t>
        </is>
      </c>
      <c r="B25" s="14">
        <f>B20*B10+B21*B11+B22*B12+B23*B13</f>
        <v/>
      </c>
    </row>
    <row r="26">
      <c r="A26" s="9" t="inlineStr">
        <is>
          <t>Nearest neighbour value</t>
        </is>
      </c>
      <c r="B26" s="15">
        <f>IF(ABS(Data!B8-Data!B4)&lt;=ABS(Data!B8-Data!B5),IF(ABS(Data!B9-Data!B6)&lt;=ABS(Data!B9-Data!B7),B10,B12),IF(ABS(Data!B9-Data!B6)&lt;=ABS(Data!B9-Data!B7),B11,B13))</f>
        <v/>
      </c>
    </row>
    <row r="28">
      <c r="A28" s="7" t="inlineStr">
        <is>
          <t>Whole fine grid: y_GCM interpolated to the 16 fine cells (same formula; fine centres outside the coarse centres take the nearest value)</t>
        </is>
      </c>
    </row>
    <row r="29">
      <c r="D29" s="4" t="inlineStr">
        <is>
          <t>a_f clamped</t>
        </is>
      </c>
      <c r="E29" s="16">
        <f>MIN(MAX(Data!E5,Data!$B$4),Data!$B$5)</f>
        <v/>
      </c>
      <c r="F29" s="16">
        <f>MIN(MAX(Data!F5,Data!$B$4),Data!$B$5)</f>
        <v/>
      </c>
      <c r="G29" s="16">
        <f>MIN(MAX(Data!G5,Data!$B$4),Data!$B$5)</f>
        <v/>
      </c>
      <c r="H29" s="16">
        <f>MIN(MAX(Data!H5,Data!$B$4),Data!$B$5)</f>
        <v/>
      </c>
    </row>
    <row r="30">
      <c r="D30" s="4" t="inlineStr">
        <is>
          <t>wa1</t>
        </is>
      </c>
      <c r="E30" s="16">
        <f>(Data!$B$5-E29)/(Data!$B$5-Data!$B$4)</f>
        <v/>
      </c>
      <c r="F30" s="16">
        <f>(Data!$B$5-F29)/(Data!$B$5-Data!$B$4)</f>
        <v/>
      </c>
      <c r="G30" s="16">
        <f>(Data!$B$5-G29)/(Data!$B$5-Data!$B$4)</f>
        <v/>
      </c>
      <c r="H30" s="16">
        <f>(Data!$B$5-H29)/(Data!$B$5-Data!$B$4)</f>
        <v/>
      </c>
    </row>
    <row r="31">
      <c r="D31" s="4" t="inlineStr">
        <is>
          <t>wa2</t>
        </is>
      </c>
      <c r="E31" s="16">
        <f>(E29-Data!$B$4)/(Data!$B$5-Data!$B$4)</f>
        <v/>
      </c>
      <c r="F31" s="16">
        <f>(F29-Data!$B$4)/(Data!$B$5-Data!$B$4)</f>
        <v/>
      </c>
      <c r="G31" s="16">
        <f>(G29-Data!$B$4)/(Data!$B$5-Data!$B$4)</f>
        <v/>
      </c>
      <c r="H31" s="16">
        <f>(H29-Data!$B$4)/(Data!$B$5-Data!$B$4)</f>
        <v/>
      </c>
    </row>
    <row r="33">
      <c r="B33" s="10" t="inlineStr">
        <is>
          <t>b_f clamped</t>
        </is>
      </c>
      <c r="C33" s="10" t="inlineStr">
        <is>
          <t>wb1</t>
        </is>
      </c>
      <c r="D33" s="10" t="inlineStr">
        <is>
          <t>wb2</t>
        </is>
      </c>
      <c r="E33" s="10" t="inlineStr">
        <is>
          <t>col 1</t>
        </is>
      </c>
      <c r="F33" s="10" t="inlineStr">
        <is>
          <t>col 2</t>
        </is>
      </c>
      <c r="G33" s="10" t="inlineStr">
        <is>
          <t>col 3</t>
        </is>
      </c>
      <c r="H33" s="10" t="inlineStr">
        <is>
          <t>col 4</t>
        </is>
      </c>
    </row>
    <row r="34">
      <c r="A34" s="9" t="inlineStr">
        <is>
          <t>row 1</t>
        </is>
      </c>
      <c r="B34" s="16">
        <f>MIN(MAX(Data!E6,Data!$B$6),Data!$B$7)</f>
        <v/>
      </c>
      <c r="C34" s="16">
        <f>(Data!$B$7-B34)/(Data!$B$7-Data!$B$6)</f>
        <v/>
      </c>
      <c r="D34" s="16">
        <f>1-C34</f>
        <v/>
      </c>
      <c r="E34" s="14">
        <f>C34*(E$30*$B$10+E$31*$B$11)+D34*(E$30*$B$12+E$31*$B$13)</f>
        <v/>
      </c>
      <c r="F34" s="14">
        <f>C34*(F$30*$B$10+F$31*$B$11)+D34*(F$30*$B$12+F$31*$B$13)</f>
        <v/>
      </c>
      <c r="G34" s="14">
        <f>C34*(G$30*$B$10+G$31*$B$11)+D34*(G$30*$B$12+G$31*$B$13)</f>
        <v/>
      </c>
      <c r="H34" s="14">
        <f>C34*(H$30*$B$10+H$31*$B$11)+D34*(H$30*$B$12+H$31*$B$13)</f>
        <v/>
      </c>
    </row>
    <row r="35">
      <c r="A35" s="9" t="inlineStr">
        <is>
          <t>row 2</t>
        </is>
      </c>
      <c r="B35" s="16">
        <f>MIN(MAX(Data!F6,Data!$B$6),Data!$B$7)</f>
        <v/>
      </c>
      <c r="C35" s="16">
        <f>(Data!$B$7-B35)/(Data!$B$7-Data!$B$6)</f>
        <v/>
      </c>
      <c r="D35" s="16">
        <f>1-C35</f>
        <v/>
      </c>
      <c r="E35" s="14">
        <f>C35*(E$30*$B$10+E$31*$B$11)+D35*(E$30*$B$12+E$31*$B$13)</f>
        <v/>
      </c>
      <c r="F35" s="14">
        <f>C35*(F$30*$B$10+F$31*$B$11)+D35*(F$30*$B$12+F$31*$B$13)</f>
        <v/>
      </c>
      <c r="G35" s="17">
        <f>C35*(G$30*$B$10+G$31*$B$11)+D35*(G$30*$B$12+G$31*$B$13)</f>
        <v/>
      </c>
      <c r="H35" s="14">
        <f>C35*(H$30*$B$10+H$31*$B$11)+D35*(H$30*$B$12+H$31*$B$13)</f>
        <v/>
      </c>
    </row>
    <row r="36">
      <c r="A36" s="9" t="inlineStr">
        <is>
          <t>row 3</t>
        </is>
      </c>
      <c r="B36" s="16">
        <f>MIN(MAX(Data!G6,Data!$B$6),Data!$B$7)</f>
        <v/>
      </c>
      <c r="C36" s="16">
        <f>(Data!$B$7-B36)/(Data!$B$7-Data!$B$6)</f>
        <v/>
      </c>
      <c r="D36" s="16">
        <f>1-C36</f>
        <v/>
      </c>
      <c r="E36" s="14">
        <f>C36*(E$30*$B$10+E$31*$B$11)+D36*(E$30*$B$12+E$31*$B$13)</f>
        <v/>
      </c>
      <c r="F36" s="14">
        <f>C36*(F$30*$B$10+F$31*$B$11)+D36*(F$30*$B$12+F$31*$B$13)</f>
        <v/>
      </c>
      <c r="G36" s="14">
        <f>C36*(G$30*$B$10+G$31*$B$11)+D36*(G$30*$B$12+G$31*$B$13)</f>
        <v/>
      </c>
      <c r="H36" s="14">
        <f>C36*(H$30*$B$10+H$31*$B$11)+D36*(H$30*$B$12+H$31*$B$13)</f>
        <v/>
      </c>
    </row>
    <row r="37">
      <c r="A37" s="9" t="inlineStr">
        <is>
          <t>row 4</t>
        </is>
      </c>
      <c r="B37" s="16">
        <f>MIN(MAX(Data!H6,Data!$B$6),Data!$B$7)</f>
        <v/>
      </c>
      <c r="C37" s="16">
        <f>(Data!$B$7-B37)/(Data!$B$7-Data!$B$6)</f>
        <v/>
      </c>
      <c r="D37" s="16">
        <f>1-C37</f>
        <v/>
      </c>
      <c r="E37" s="14">
        <f>C37*(E$30*$B$10+E$31*$B$11)+D37*(E$30*$B$12+E$31*$B$13)</f>
        <v/>
      </c>
      <c r="F37" s="14">
        <f>C37*(F$30*$B$10+F$31*$B$11)+D37*(F$30*$B$12+F$31*$B$13)</f>
        <v/>
      </c>
      <c r="G37" s="14">
        <f>C37*(G$30*$B$10+G$31*$B$11)+D37*(G$30*$B$12+G$31*$B$13)</f>
        <v/>
      </c>
      <c r="H37" s="14">
        <f>C37*(H$30*$B$10+H$31*$B$11)+D37*(H$30*$B$12+H$31*$B$13)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6" t="inlineStr">
        <is>
          <t>BCSD, one step from a 2 x 2 coarse to a 4 x 4 fine grid (Eqs. 9.4 to 9.7)</t>
        </is>
      </c>
    </row>
    <row r="3">
      <c r="A3" s="7" t="inlineStr">
        <is>
          <t>Step 1: R_i = y_GCM,i / mu_y_obs,i  (Eq. 9.4)</t>
        </is>
      </c>
    </row>
    <row r="4">
      <c r="B4" s="10" t="inlineStr">
        <is>
          <t>a1</t>
        </is>
      </c>
      <c r="C4" s="10" t="inlineStr">
        <is>
          <t>a2</t>
        </is>
      </c>
    </row>
    <row r="5">
      <c r="A5" s="4" t="inlineStr">
        <is>
          <t>b1 (Y1, Y2)</t>
        </is>
      </c>
      <c r="B5" s="14">
        <f>Data!B13/Data!B17</f>
        <v/>
      </c>
      <c r="C5" s="14">
        <f>Data!C13/Data!C17</f>
        <v/>
      </c>
    </row>
    <row r="6">
      <c r="A6" s="4" t="inlineStr">
        <is>
          <t>b2 (Y3, Y4)</t>
        </is>
      </c>
      <c r="B6" s="14">
        <f>Data!B14/Data!B18</f>
        <v/>
      </c>
      <c r="C6" s="14">
        <f>Data!C14/Data!C18</f>
        <v/>
      </c>
    </row>
    <row r="8">
      <c r="A8" s="7" t="inlineStr">
        <is>
          <t>Step 2: R_j, the ratio interpolated to the fine grid (bilinear, weights from the sheet Bilinear)</t>
        </is>
      </c>
    </row>
    <row r="9">
      <c r="B9" s="10" t="inlineStr">
        <is>
          <t>col 1</t>
        </is>
      </c>
      <c r="C9" s="10" t="inlineStr">
        <is>
          <t>col 2</t>
        </is>
      </c>
      <c r="D9" s="10" t="inlineStr">
        <is>
          <t>col 3</t>
        </is>
      </c>
      <c r="E9" s="10" t="inlineStr">
        <is>
          <t>col 4</t>
        </is>
      </c>
    </row>
    <row r="10">
      <c r="A10" s="4" t="inlineStr">
        <is>
          <t>row 1</t>
        </is>
      </c>
      <c r="B10" s="14">
        <f>Bilinear!$C34*(Bilinear!E$30*$B$5+Bilinear!E$31*$C$5)+Bilinear!$D34*(Bilinear!E$30*$B$6+Bilinear!E$31*$C$6)</f>
        <v/>
      </c>
      <c r="C10" s="14">
        <f>Bilinear!$C34*(Bilinear!F$30*$B$5+Bilinear!F$31*$C$5)+Bilinear!$D34*(Bilinear!F$30*$B$6+Bilinear!F$31*$C$6)</f>
        <v/>
      </c>
      <c r="D10" s="14">
        <f>Bilinear!$C34*(Bilinear!G$30*$B$5+Bilinear!G$31*$C$5)+Bilinear!$D34*(Bilinear!G$30*$B$6+Bilinear!G$31*$C$6)</f>
        <v/>
      </c>
      <c r="E10" s="14">
        <f>Bilinear!$C34*(Bilinear!H$30*$B$5+Bilinear!H$31*$C$5)+Bilinear!$D34*(Bilinear!H$30*$B$6+Bilinear!H$31*$C$6)</f>
        <v/>
      </c>
    </row>
    <row r="11">
      <c r="A11" s="4" t="inlineStr">
        <is>
          <t>row 2</t>
        </is>
      </c>
      <c r="B11" s="14">
        <f>Bilinear!$C35*(Bilinear!E$30*$B$5+Bilinear!E$31*$C$5)+Bilinear!$D35*(Bilinear!E$30*$B$6+Bilinear!E$31*$C$6)</f>
        <v/>
      </c>
      <c r="C11" s="14">
        <f>Bilinear!$C35*(Bilinear!F$30*$B$5+Bilinear!F$31*$C$5)+Bilinear!$D35*(Bilinear!F$30*$B$6+Bilinear!F$31*$C$6)</f>
        <v/>
      </c>
      <c r="D11" s="17">
        <f>Bilinear!$C35*(Bilinear!G$30*$B$5+Bilinear!G$31*$C$5)+Bilinear!$D35*(Bilinear!G$30*$B$6+Bilinear!G$31*$C$6)</f>
        <v/>
      </c>
      <c r="E11" s="14">
        <f>Bilinear!$C35*(Bilinear!H$30*$B$5+Bilinear!H$31*$C$5)+Bilinear!$D35*(Bilinear!H$30*$B$6+Bilinear!H$31*$C$6)</f>
        <v/>
      </c>
    </row>
    <row r="12">
      <c r="A12" s="4" t="inlineStr">
        <is>
          <t>row 3</t>
        </is>
      </c>
      <c r="B12" s="14">
        <f>Bilinear!$C36*(Bilinear!E$30*$B$5+Bilinear!E$31*$C$5)+Bilinear!$D36*(Bilinear!E$30*$B$6+Bilinear!E$31*$C$6)</f>
        <v/>
      </c>
      <c r="C12" s="14">
        <f>Bilinear!$C36*(Bilinear!F$30*$B$5+Bilinear!F$31*$C$5)+Bilinear!$D36*(Bilinear!F$30*$B$6+Bilinear!F$31*$C$6)</f>
        <v/>
      </c>
      <c r="D12" s="14">
        <f>Bilinear!$C36*(Bilinear!G$30*$B$5+Bilinear!G$31*$C$5)+Bilinear!$D36*(Bilinear!G$30*$B$6+Bilinear!G$31*$C$6)</f>
        <v/>
      </c>
      <c r="E12" s="14">
        <f>Bilinear!$C36*(Bilinear!H$30*$B$5+Bilinear!H$31*$C$5)+Bilinear!$D36*(Bilinear!H$30*$B$6+Bilinear!H$31*$C$6)</f>
        <v/>
      </c>
    </row>
    <row r="13">
      <c r="A13" s="4" t="inlineStr">
        <is>
          <t>row 4</t>
        </is>
      </c>
      <c r="B13" s="14">
        <f>Bilinear!$C37*(Bilinear!E$30*$B$5+Bilinear!E$31*$C$5)+Bilinear!$D37*(Bilinear!E$30*$B$6+Bilinear!E$31*$C$6)</f>
        <v/>
      </c>
      <c r="C13" s="14">
        <f>Bilinear!$C37*(Bilinear!F$30*$B$5+Bilinear!F$31*$C$5)+Bilinear!$D37*(Bilinear!F$30*$B$6+Bilinear!F$31*$C$6)</f>
        <v/>
      </c>
      <c r="D13" s="14">
        <f>Bilinear!$C37*(Bilinear!G$30*$B$5+Bilinear!G$31*$C$5)+Bilinear!$D37*(Bilinear!G$30*$B$6+Bilinear!G$31*$C$6)</f>
        <v/>
      </c>
      <c r="E13" s="14">
        <f>Bilinear!$C37*(Bilinear!H$30*$B$5+Bilinear!H$31*$C$5)+Bilinear!$D37*(Bilinear!H$30*$B$6+Bilinear!H$31*$C$6)</f>
        <v/>
      </c>
    </row>
    <row r="17">
      <c r="A17" s="7" t="inlineStr">
        <is>
          <t>Step 3: X_GCM,j = R_j * mu_x_obs,j  (Eq. 9.6)</t>
        </is>
      </c>
    </row>
    <row r="18">
      <c r="B18" s="10" t="inlineStr">
        <is>
          <t>col 1</t>
        </is>
      </c>
      <c r="C18" s="10" t="inlineStr">
        <is>
          <t>col 2</t>
        </is>
      </c>
      <c r="D18" s="10" t="inlineStr">
        <is>
          <t>col 3</t>
        </is>
      </c>
      <c r="E18" s="10" t="inlineStr">
        <is>
          <t>col 4</t>
        </is>
      </c>
    </row>
    <row r="19">
      <c r="A19" s="4" t="inlineStr">
        <is>
          <t>row 1</t>
        </is>
      </c>
      <c r="B19" s="14">
        <f>B10*Data!B21</f>
        <v/>
      </c>
      <c r="C19" s="14">
        <f>C10*Data!C21</f>
        <v/>
      </c>
      <c r="D19" s="14">
        <f>D10*Data!D21</f>
        <v/>
      </c>
      <c r="E19" s="14">
        <f>E10*Data!E21</f>
        <v/>
      </c>
    </row>
    <row r="20">
      <c r="A20" s="4" t="inlineStr">
        <is>
          <t>row 2</t>
        </is>
      </c>
      <c r="B20" s="14">
        <f>B11*Data!B22</f>
        <v/>
      </c>
      <c r="C20" s="14">
        <f>C11*Data!C22</f>
        <v/>
      </c>
      <c r="D20" s="17">
        <f>D11*Data!D22</f>
        <v/>
      </c>
      <c r="E20" s="14">
        <f>E11*Data!E22</f>
        <v/>
      </c>
    </row>
    <row r="21">
      <c r="A21" s="4" t="inlineStr">
        <is>
          <t>row 3</t>
        </is>
      </c>
      <c r="B21" s="14">
        <f>B12*Data!B23</f>
        <v/>
      </c>
      <c r="C21" s="14">
        <f>C12*Data!C23</f>
        <v/>
      </c>
      <c r="D21" s="14">
        <f>D12*Data!D23</f>
        <v/>
      </c>
      <c r="E21" s="14">
        <f>E12*Data!E23</f>
        <v/>
      </c>
    </row>
    <row r="22">
      <c r="A22" s="4" t="inlineStr">
        <is>
          <t>row 4</t>
        </is>
      </c>
      <c r="B22" s="14">
        <f>B13*Data!B24</f>
        <v/>
      </c>
      <c r="C22" s="14">
        <f>C13*Data!C24</f>
        <v/>
      </c>
      <c r="D22" s="14">
        <f>D13*Data!D24</f>
        <v/>
      </c>
      <c r="E22" s="14">
        <f>E13*Data!E24</f>
        <v/>
      </c>
    </row>
    <row r="24">
      <c r="A24" s="7" t="inlineStr">
        <is>
          <t>Cell X7 recomputed in the steps of the lecture</t>
        </is>
      </c>
    </row>
    <row r="25">
      <c r="A25" s="4" t="inlineStr">
        <is>
          <t>R(a_p,b1)</t>
        </is>
      </c>
      <c r="B25" s="14">
        <f>Bilinear!B5*B5+Bilinear!B6*C5</f>
        <v/>
      </c>
    </row>
    <row r="26">
      <c r="A26" s="4" t="inlineStr">
        <is>
          <t>R(a_p,b2)</t>
        </is>
      </c>
      <c r="B26" s="14">
        <f>Bilinear!B5*B6+Bilinear!B6*C6</f>
        <v/>
      </c>
    </row>
    <row r="27">
      <c r="A27" s="4" t="inlineStr">
        <is>
          <t>R_7 = wb1*R(a_p,b1) + wb2*R(a_p,b2)</t>
        </is>
      </c>
      <c r="B27" s="14">
        <f>Bilinear!B7*B25+Bilinear!B8*B26</f>
        <v/>
      </c>
    </row>
    <row r="28">
      <c r="A28" s="4" t="inlineStr">
        <is>
          <t>mu_x_obs,7</t>
        </is>
      </c>
      <c r="B28" s="14">
        <f>Data!D22</f>
        <v/>
      </c>
    </row>
    <row r="29">
      <c r="A29" s="4" t="inlineStr">
        <is>
          <t>X_GCM,7 = R_7 * mu_x_obs,7</t>
        </is>
      </c>
      <c r="B29" s="14">
        <f>B27*B28</f>
        <v/>
      </c>
    </row>
    <row r="30">
      <c r="A30" s="4" t="inlineStr">
        <is>
          <t>for comparison: plain interpolation of y_GCM (Bilinear!B17)</t>
        </is>
      </c>
      <c r="B30" s="14">
        <f>Bilinear!B17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" t="inlineStr">
        <is>
          <t>BCCA: K = 2 constructed analogues, regression with intercept (Eqs. 9.8 to 9.11)</t>
        </is>
      </c>
    </row>
    <row r="2">
      <c r="A2" t="inlineStr">
        <is>
          <t>q = 4 coarse cells, p = 16 fine cells, H = 8 library years, K = 2 (fixed in this sheet). Coarse y_obs = mean of the four fine cells of each coarse cell.</t>
        </is>
      </c>
    </row>
    <row r="3">
      <c r="A3" s="7" t="inlineStr">
        <is>
          <t>Step 1: RMSE_h between y_GCM and each observed coarse field (Eq. 9.8)</t>
        </is>
      </c>
    </row>
    <row r="4">
      <c r="A4" s="10" t="inlineStr">
        <is>
          <t>h</t>
        </is>
      </c>
      <c r="B4" s="10" t="inlineStr">
        <is>
          <t>y_obs,1 (Y1)</t>
        </is>
      </c>
      <c r="C4" s="10" t="inlineStr">
        <is>
          <t>y_obs,2 (Y2)</t>
        </is>
      </c>
      <c r="D4" s="10" t="inlineStr">
        <is>
          <t>y_obs,3 (Y3)</t>
        </is>
      </c>
      <c r="E4" s="10" t="inlineStr">
        <is>
          <t>y_obs,4 (Y4)</t>
        </is>
      </c>
      <c r="F4" s="10" t="inlineStr">
        <is>
          <t>RMSE_h</t>
        </is>
      </c>
      <c r="G4" s="10" t="inlineStr">
        <is>
          <t>rank</t>
        </is>
      </c>
    </row>
    <row r="5">
      <c r="A5" s="9" t="n">
        <v>1</v>
      </c>
      <c r="B5" s="16">
        <f>AVERAGE(Data!B29,Data!C29,Data!F29,Data!G29)</f>
        <v/>
      </c>
      <c r="C5" s="16">
        <f>AVERAGE(Data!D29,Data!E29,Data!H29,Data!I29)</f>
        <v/>
      </c>
      <c r="D5" s="16">
        <f>AVERAGE(Data!J29,Data!K29,Data!N29,Data!O29)</f>
        <v/>
      </c>
      <c r="E5" s="16">
        <f>AVERAGE(Data!L29,Data!M29,Data!P29,Data!Q29)</f>
        <v/>
      </c>
      <c r="F5" s="14">
        <f>SQRT(SUMXMY2(B5:E5,$B$14:$E$14)/4)</f>
        <v/>
      </c>
      <c r="G5" s="18">
        <f>RANK(F5,$F$5:$F$12,1)</f>
        <v/>
      </c>
    </row>
    <row r="6">
      <c r="A6" s="9" t="n">
        <v>2</v>
      </c>
      <c r="B6" s="16">
        <f>AVERAGE(Data!B30,Data!C30,Data!F30,Data!G30)</f>
        <v/>
      </c>
      <c r="C6" s="16">
        <f>AVERAGE(Data!D30,Data!E30,Data!H30,Data!I30)</f>
        <v/>
      </c>
      <c r="D6" s="16">
        <f>AVERAGE(Data!J30,Data!K30,Data!N30,Data!O30)</f>
        <v/>
      </c>
      <c r="E6" s="16">
        <f>AVERAGE(Data!L30,Data!M30,Data!P30,Data!Q30)</f>
        <v/>
      </c>
      <c r="F6" s="14">
        <f>SQRT(SUMXMY2(B6:E6,$B$14:$E$14)/4)</f>
        <v/>
      </c>
      <c r="G6" s="18">
        <f>RANK(F6,$F$5:$F$12,1)</f>
        <v/>
      </c>
    </row>
    <row r="7">
      <c r="A7" s="9" t="n">
        <v>3</v>
      </c>
      <c r="B7" s="16">
        <f>AVERAGE(Data!B31,Data!C31,Data!F31,Data!G31)</f>
        <v/>
      </c>
      <c r="C7" s="16">
        <f>AVERAGE(Data!D31,Data!E31,Data!H31,Data!I31)</f>
        <v/>
      </c>
      <c r="D7" s="16">
        <f>AVERAGE(Data!J31,Data!K31,Data!N31,Data!O31)</f>
        <v/>
      </c>
      <c r="E7" s="16">
        <f>AVERAGE(Data!L31,Data!M31,Data!P31,Data!Q31)</f>
        <v/>
      </c>
      <c r="F7" s="14">
        <f>SQRT(SUMXMY2(B7:E7,$B$14:$E$14)/4)</f>
        <v/>
      </c>
      <c r="G7" s="18">
        <f>RANK(F7,$F$5:$F$12,1)</f>
        <v/>
      </c>
    </row>
    <row r="8">
      <c r="A8" s="9" t="n">
        <v>4</v>
      </c>
      <c r="B8" s="16">
        <f>AVERAGE(Data!B32,Data!C32,Data!F32,Data!G32)</f>
        <v/>
      </c>
      <c r="C8" s="16">
        <f>AVERAGE(Data!D32,Data!E32,Data!H32,Data!I32)</f>
        <v/>
      </c>
      <c r="D8" s="16">
        <f>AVERAGE(Data!J32,Data!K32,Data!N32,Data!O32)</f>
        <v/>
      </c>
      <c r="E8" s="16">
        <f>AVERAGE(Data!L32,Data!M32,Data!P32,Data!Q32)</f>
        <v/>
      </c>
      <c r="F8" s="14">
        <f>SQRT(SUMXMY2(B8:E8,$B$14:$E$14)/4)</f>
        <v/>
      </c>
      <c r="G8" s="18">
        <f>RANK(F8,$F$5:$F$12,1)</f>
        <v/>
      </c>
    </row>
    <row r="9">
      <c r="A9" s="9" t="n">
        <v>5</v>
      </c>
      <c r="B9" s="16">
        <f>AVERAGE(Data!B33,Data!C33,Data!F33,Data!G33)</f>
        <v/>
      </c>
      <c r="C9" s="16">
        <f>AVERAGE(Data!D33,Data!E33,Data!H33,Data!I33)</f>
        <v/>
      </c>
      <c r="D9" s="16">
        <f>AVERAGE(Data!J33,Data!K33,Data!N33,Data!O33)</f>
        <v/>
      </c>
      <c r="E9" s="16">
        <f>AVERAGE(Data!L33,Data!M33,Data!P33,Data!Q33)</f>
        <v/>
      </c>
      <c r="F9" s="14">
        <f>SQRT(SUMXMY2(B9:E9,$B$14:$E$14)/4)</f>
        <v/>
      </c>
      <c r="G9" s="18">
        <f>RANK(F9,$F$5:$F$12,1)</f>
        <v/>
      </c>
    </row>
    <row r="10">
      <c r="A10" s="9" t="n">
        <v>6</v>
      </c>
      <c r="B10" s="16">
        <f>AVERAGE(Data!B34,Data!C34,Data!F34,Data!G34)</f>
        <v/>
      </c>
      <c r="C10" s="16">
        <f>AVERAGE(Data!D34,Data!E34,Data!H34,Data!I34)</f>
        <v/>
      </c>
      <c r="D10" s="16">
        <f>AVERAGE(Data!J34,Data!K34,Data!N34,Data!O34)</f>
        <v/>
      </c>
      <c r="E10" s="16">
        <f>AVERAGE(Data!L34,Data!M34,Data!P34,Data!Q34)</f>
        <v/>
      </c>
      <c r="F10" s="14">
        <f>SQRT(SUMXMY2(B10:E10,$B$14:$E$14)/4)</f>
        <v/>
      </c>
      <c r="G10" s="18">
        <f>RANK(F10,$F$5:$F$12,1)</f>
        <v/>
      </c>
    </row>
    <row r="11">
      <c r="A11" s="9" t="n">
        <v>7</v>
      </c>
      <c r="B11" s="16">
        <f>AVERAGE(Data!B35,Data!C35,Data!F35,Data!G35)</f>
        <v/>
      </c>
      <c r="C11" s="16">
        <f>AVERAGE(Data!D35,Data!E35,Data!H35,Data!I35)</f>
        <v/>
      </c>
      <c r="D11" s="16">
        <f>AVERAGE(Data!J35,Data!K35,Data!N35,Data!O35)</f>
        <v/>
      </c>
      <c r="E11" s="16">
        <f>AVERAGE(Data!L35,Data!M35,Data!P35,Data!Q35)</f>
        <v/>
      </c>
      <c r="F11" s="14">
        <f>SQRT(SUMXMY2(B11:E11,$B$14:$E$14)/4)</f>
        <v/>
      </c>
      <c r="G11" s="18">
        <f>RANK(F11,$F$5:$F$12,1)</f>
        <v/>
      </c>
    </row>
    <row r="12">
      <c r="A12" s="9" t="n">
        <v>8</v>
      </c>
      <c r="B12" s="16">
        <f>AVERAGE(Data!B36,Data!C36,Data!F36,Data!G36)</f>
        <v/>
      </c>
      <c r="C12" s="16">
        <f>AVERAGE(Data!D36,Data!E36,Data!H36,Data!I36)</f>
        <v/>
      </c>
      <c r="D12" s="16">
        <f>AVERAGE(Data!J36,Data!K36,Data!N36,Data!O36)</f>
        <v/>
      </c>
      <c r="E12" s="16">
        <f>AVERAGE(Data!L36,Data!M36,Data!P36,Data!Q36)</f>
        <v/>
      </c>
      <c r="F12" s="14">
        <f>SQRT(SUMXMY2(B12:E12,$B$14:$E$14)/4)</f>
        <v/>
      </c>
      <c r="G12" s="18">
        <f>RANK(F12,$F$5:$F$12,1)</f>
        <v/>
      </c>
    </row>
    <row r="14">
      <c r="A14" s="9" t="inlineStr">
        <is>
          <t>y_GCM</t>
        </is>
      </c>
      <c r="B14" s="16">
        <f>AVERAGE(Data!B38,Data!C38,Data!F38,Data!G38)</f>
        <v/>
      </c>
      <c r="C14" s="16">
        <f>AVERAGE(Data!D38,Data!E38,Data!H38,Data!I38)</f>
        <v/>
      </c>
      <c r="D14" s="16">
        <f>AVERAGE(Data!J38,Data!K38,Data!N38,Data!O38)</f>
        <v/>
      </c>
      <c r="E14" s="16">
        <f>AVERAGE(Data!L38,Data!M38,Data!P38,Data!Q38)</f>
        <v/>
      </c>
    </row>
    <row r="16">
      <c r="A16" s="7" t="inlineStr">
        <is>
          <t>Step 2: the K = 2 years with the smallest RMSE_h</t>
        </is>
      </c>
    </row>
    <row r="17">
      <c r="A17" s="4" t="inlineStr">
        <is>
          <t>(1) year h</t>
        </is>
      </c>
      <c r="B17" s="18">
        <f>MATCH(1,$G$5:$G$12,0)</f>
        <v/>
      </c>
    </row>
    <row r="18">
      <c r="A18" s="4" t="inlineStr">
        <is>
          <t>(2) year h</t>
        </is>
      </c>
      <c r="B18" s="18">
        <f>MATCH(2,$G$5:$G$12,0)</f>
        <v/>
      </c>
    </row>
    <row r="20">
      <c r="A20" s="7" t="inlineStr">
        <is>
          <t>Step 3: y_obs (q x (K+1), first column of ones) and A = (y^T y)^-1 y^T y_GCM  (Eq. 9.9)</t>
        </is>
      </c>
    </row>
    <row r="21">
      <c r="A21" s="10" t="inlineStr">
        <is>
          <t>cell i</t>
        </is>
      </c>
      <c r="B21" s="10" t="inlineStr">
        <is>
          <t>1</t>
        </is>
      </c>
      <c r="C21" s="10" t="inlineStr">
        <is>
          <t>y_obs,i(1)</t>
        </is>
      </c>
      <c r="D21" s="10" t="inlineStr">
        <is>
          <t>y_obs,i(2)</t>
        </is>
      </c>
      <c r="E21" s="10" t="inlineStr">
        <is>
          <t>y_GCM,i</t>
        </is>
      </c>
      <c r="G21" s="10" t="inlineStr">
        <is>
          <t>A</t>
        </is>
      </c>
    </row>
    <row r="22">
      <c r="A22" s="9" t="inlineStr">
        <is>
          <t>Y1</t>
        </is>
      </c>
      <c r="B22" s="18" t="n">
        <v>1</v>
      </c>
      <c r="C22" s="16">
        <f>INDEX($B$5:$E$12,$B$17,1)</f>
        <v/>
      </c>
      <c r="D22" s="16">
        <f>INDEX($B$5:$E$12,$B$18,1)</f>
        <v/>
      </c>
      <c r="E22" s="16">
        <f>INDEX($B$14:$E$14,1)</f>
        <v/>
      </c>
      <c r="G22" s="4" t="inlineStr">
        <is>
          <t>A_0 (intercept)</t>
        </is>
      </c>
      <c r="H22" s="14">
        <f t="array" ref="H22:H24">MMULT(MINVERSE(MMULT(TRANSPOSE(B22:D25),B22:D25)),MMULT(TRANSPOSE(B22:D25),E22:E25))</f>
        <v/>
      </c>
    </row>
    <row r="23">
      <c r="A23" s="9" t="inlineStr">
        <is>
          <t>Y2</t>
        </is>
      </c>
      <c r="B23" s="18" t="n">
        <v>1</v>
      </c>
      <c r="C23" s="16">
        <f>INDEX($B$5:$E$12,$B$17,2)</f>
        <v/>
      </c>
      <c r="D23" s="16">
        <f>INDEX($B$5:$E$12,$B$18,2)</f>
        <v/>
      </c>
      <c r="E23" s="16">
        <f>INDEX($B$14:$E$14,2)</f>
        <v/>
      </c>
      <c r="G23" s="4" t="inlineStr">
        <is>
          <t>A_1</t>
        </is>
      </c>
      <c r="H23" s="19" t="n"/>
    </row>
    <row r="24">
      <c r="A24" s="9" t="inlineStr">
        <is>
          <t>Y3</t>
        </is>
      </c>
      <c r="B24" s="18" t="n">
        <v>1</v>
      </c>
      <c r="C24" s="16">
        <f>INDEX($B$5:$E$12,$B$17,3)</f>
        <v/>
      </c>
      <c r="D24" s="16">
        <f>INDEX($B$5:$E$12,$B$18,3)</f>
        <v/>
      </c>
      <c r="E24" s="16">
        <f>INDEX($B$14:$E$14,3)</f>
        <v/>
      </c>
      <c r="G24" s="4" t="inlineStr">
        <is>
          <t>A_2</t>
        </is>
      </c>
      <c r="H24" s="19" t="n"/>
    </row>
    <row r="25">
      <c r="A25" s="9" t="inlineStr">
        <is>
          <t>Y4</t>
        </is>
      </c>
      <c r="B25" s="18" t="n">
        <v>1</v>
      </c>
      <c r="C25" s="16">
        <f>INDEX($B$5:$E$12,$B$17,4)</f>
        <v/>
      </c>
      <c r="D25" s="16">
        <f>INDEX($B$5:$E$12,$B$18,4)</f>
        <v/>
      </c>
      <c r="E25" s="16">
        <f>INDEX($B$14:$E$14,4)</f>
        <v/>
      </c>
    </row>
    <row r="27">
      <c r="A27" s="7" t="inlineStr">
        <is>
          <t>Step 4: X_GCM = x_obs A  (Eqs. 9.10, 9.11); x_obs is p x (K+1)</t>
        </is>
      </c>
    </row>
    <row r="28">
      <c r="A28" s="10" t="inlineStr">
        <is>
          <t>cell j</t>
        </is>
      </c>
      <c r="B28" s="10" t="inlineStr">
        <is>
          <t>1</t>
        </is>
      </c>
      <c r="C28" s="10" t="inlineStr">
        <is>
          <t>x_obs,j(1)</t>
        </is>
      </c>
      <c r="D28" s="10" t="inlineStr">
        <is>
          <t>x_obs,j(2)</t>
        </is>
      </c>
      <c r="E28" s="10" t="inlineStr">
        <is>
          <t>X_GCM,j</t>
        </is>
      </c>
      <c r="G28" s="7" t="inlineStr">
        <is>
          <t>X_GCM as a 4 x 4 map (row 1 = south)</t>
        </is>
      </c>
    </row>
    <row r="29">
      <c r="A29" s="9" t="inlineStr">
        <is>
          <t>X1</t>
        </is>
      </c>
      <c r="B29" s="18" t="n">
        <v>1</v>
      </c>
      <c r="C29" s="16">
        <f>INDEX(Data!$B$29:$Q$36,$B$17,1)</f>
        <v/>
      </c>
      <c r="D29" s="16">
        <f>INDEX(Data!$B$29:$Q$36,$B$18,1)</f>
        <v/>
      </c>
      <c r="E29" s="16">
        <f t="array" ref="E29:E44">MMULT(B29:D44,H22:H24)</f>
        <v/>
      </c>
      <c r="H29" s="16">
        <f>INDEX($E$29:$E$44,1)</f>
        <v/>
      </c>
      <c r="I29" s="16">
        <f>INDEX($E$29:$E$44,2)</f>
        <v/>
      </c>
      <c r="J29" s="16">
        <f>INDEX($E$29:$E$44,3)</f>
        <v/>
      </c>
      <c r="K29" s="16">
        <f>INDEX($E$29:$E$44,4)</f>
        <v/>
      </c>
    </row>
    <row r="30">
      <c r="A30" s="9" t="inlineStr">
        <is>
          <t>X2</t>
        </is>
      </c>
      <c r="B30" s="18" t="n">
        <v>1</v>
      </c>
      <c r="C30" s="16">
        <f>INDEX(Data!$B$29:$Q$36,$B$17,2)</f>
        <v/>
      </c>
      <c r="D30" s="16">
        <f>INDEX(Data!$B$29:$Q$36,$B$18,2)</f>
        <v/>
      </c>
      <c r="E30" s="20" t="n"/>
      <c r="H30" s="16">
        <f>INDEX($E$29:$E$44,5)</f>
        <v/>
      </c>
      <c r="I30" s="16">
        <f>INDEX($E$29:$E$44,6)</f>
        <v/>
      </c>
      <c r="J30" s="16">
        <f>INDEX($E$29:$E$44,7)</f>
        <v/>
      </c>
      <c r="K30" s="16">
        <f>INDEX($E$29:$E$44,8)</f>
        <v/>
      </c>
    </row>
    <row r="31">
      <c r="A31" s="9" t="inlineStr">
        <is>
          <t>X3</t>
        </is>
      </c>
      <c r="B31" s="18" t="n">
        <v>1</v>
      </c>
      <c r="C31" s="16">
        <f>INDEX(Data!$B$29:$Q$36,$B$17,3)</f>
        <v/>
      </c>
      <c r="D31" s="16">
        <f>INDEX(Data!$B$29:$Q$36,$B$18,3)</f>
        <v/>
      </c>
      <c r="E31" s="20" t="n"/>
      <c r="H31" s="16">
        <f>INDEX($E$29:$E$44,9)</f>
        <v/>
      </c>
      <c r="I31" s="16">
        <f>INDEX($E$29:$E$44,10)</f>
        <v/>
      </c>
      <c r="J31" s="16">
        <f>INDEX($E$29:$E$44,11)</f>
        <v/>
      </c>
      <c r="K31" s="16">
        <f>INDEX($E$29:$E$44,12)</f>
        <v/>
      </c>
    </row>
    <row r="32">
      <c r="A32" s="9" t="inlineStr">
        <is>
          <t>X4</t>
        </is>
      </c>
      <c r="B32" s="18" t="n">
        <v>1</v>
      </c>
      <c r="C32" s="16">
        <f>INDEX(Data!$B$29:$Q$36,$B$17,4)</f>
        <v/>
      </c>
      <c r="D32" s="16">
        <f>INDEX(Data!$B$29:$Q$36,$B$18,4)</f>
        <v/>
      </c>
      <c r="E32" s="20" t="n"/>
      <c r="H32" s="16">
        <f>INDEX($E$29:$E$44,13)</f>
        <v/>
      </c>
      <c r="I32" s="16">
        <f>INDEX($E$29:$E$44,14)</f>
        <v/>
      </c>
      <c r="J32" s="16">
        <f>INDEX($E$29:$E$44,15)</f>
        <v/>
      </c>
      <c r="K32" s="16">
        <f>INDEX($E$29:$E$44,16)</f>
        <v/>
      </c>
    </row>
    <row r="33">
      <c r="A33" s="9" t="inlineStr">
        <is>
          <t>X5</t>
        </is>
      </c>
      <c r="B33" s="18" t="n">
        <v>1</v>
      </c>
      <c r="C33" s="16">
        <f>INDEX(Data!$B$29:$Q$36,$B$17,5)</f>
        <v/>
      </c>
      <c r="D33" s="16">
        <f>INDEX(Data!$B$29:$Q$36,$B$18,5)</f>
        <v/>
      </c>
      <c r="E33" s="20" t="n"/>
    </row>
    <row r="34">
      <c r="A34" s="9" t="inlineStr">
        <is>
          <t>X6</t>
        </is>
      </c>
      <c r="B34" s="18" t="n">
        <v>1</v>
      </c>
      <c r="C34" s="16">
        <f>INDEX(Data!$B$29:$Q$36,$B$17,6)</f>
        <v/>
      </c>
      <c r="D34" s="16">
        <f>INDEX(Data!$B$29:$Q$36,$B$18,6)</f>
        <v/>
      </c>
      <c r="E34" s="20" t="n"/>
      <c r="G34" s="4" t="inlineStr">
        <is>
          <t>truth (only to compare)</t>
        </is>
      </c>
    </row>
    <row r="35">
      <c r="A35" s="9" t="inlineStr">
        <is>
          <t>X7</t>
        </is>
      </c>
      <c r="B35" s="18" t="n">
        <v>1</v>
      </c>
      <c r="C35" s="16">
        <f>INDEX(Data!$B$29:$Q$36,$B$17,7)</f>
        <v/>
      </c>
      <c r="D35" s="16">
        <f>INDEX(Data!$B$29:$Q$36,$B$18,7)</f>
        <v/>
      </c>
      <c r="E35" s="20" t="n"/>
      <c r="H35" s="16">
        <f>Data!B38</f>
        <v/>
      </c>
      <c r="I35" s="16">
        <f>Data!C38</f>
        <v/>
      </c>
      <c r="J35" s="16">
        <f>Data!D38</f>
        <v/>
      </c>
      <c r="K35" s="16">
        <f>Data!E38</f>
        <v/>
      </c>
    </row>
    <row r="36">
      <c r="A36" s="9" t="inlineStr">
        <is>
          <t>X8</t>
        </is>
      </c>
      <c r="B36" s="18" t="n">
        <v>1</v>
      </c>
      <c r="C36" s="16">
        <f>INDEX(Data!$B$29:$Q$36,$B$17,8)</f>
        <v/>
      </c>
      <c r="D36" s="16">
        <f>INDEX(Data!$B$29:$Q$36,$B$18,8)</f>
        <v/>
      </c>
      <c r="E36" s="20" t="n"/>
      <c r="H36" s="16">
        <f>Data!F38</f>
        <v/>
      </c>
      <c r="I36" s="16">
        <f>Data!G38</f>
        <v/>
      </c>
      <c r="J36" s="16">
        <f>Data!H38</f>
        <v/>
      </c>
      <c r="K36" s="16">
        <f>Data!I38</f>
        <v/>
      </c>
    </row>
    <row r="37">
      <c r="A37" s="9" t="inlineStr">
        <is>
          <t>X9</t>
        </is>
      </c>
      <c r="B37" s="18" t="n">
        <v>1</v>
      </c>
      <c r="C37" s="16">
        <f>INDEX(Data!$B$29:$Q$36,$B$17,9)</f>
        <v/>
      </c>
      <c r="D37" s="16">
        <f>INDEX(Data!$B$29:$Q$36,$B$18,9)</f>
        <v/>
      </c>
      <c r="E37" s="20" t="n"/>
      <c r="H37" s="16">
        <f>Data!J38</f>
        <v/>
      </c>
      <c r="I37" s="16">
        <f>Data!K38</f>
        <v/>
      </c>
      <c r="J37" s="16">
        <f>Data!L38</f>
        <v/>
      </c>
      <c r="K37" s="16">
        <f>Data!M38</f>
        <v/>
      </c>
    </row>
    <row r="38">
      <c r="A38" s="9" t="inlineStr">
        <is>
          <t>X10</t>
        </is>
      </c>
      <c r="B38" s="18" t="n">
        <v>1</v>
      </c>
      <c r="C38" s="16">
        <f>INDEX(Data!$B$29:$Q$36,$B$17,10)</f>
        <v/>
      </c>
      <c r="D38" s="16">
        <f>INDEX(Data!$B$29:$Q$36,$B$18,10)</f>
        <v/>
      </c>
      <c r="E38" s="20" t="n"/>
      <c r="H38" s="16">
        <f>Data!N38</f>
        <v/>
      </c>
      <c r="I38" s="16">
        <f>Data!O38</f>
        <v/>
      </c>
      <c r="J38" s="16">
        <f>Data!P38</f>
        <v/>
      </c>
      <c r="K38" s="16">
        <f>Data!Q38</f>
        <v/>
      </c>
    </row>
    <row r="39">
      <c r="A39" s="9" t="inlineStr">
        <is>
          <t>X11</t>
        </is>
      </c>
      <c r="B39" s="18" t="n">
        <v>1</v>
      </c>
      <c r="C39" s="16">
        <f>INDEX(Data!$B$29:$Q$36,$B$17,11)</f>
        <v/>
      </c>
      <c r="D39" s="16">
        <f>INDEX(Data!$B$29:$Q$36,$B$18,11)</f>
        <v/>
      </c>
      <c r="E39" s="20" t="n"/>
    </row>
    <row r="40">
      <c r="A40" s="9" t="inlineStr">
        <is>
          <t>X12</t>
        </is>
      </c>
      <c r="B40" s="18" t="n">
        <v>1</v>
      </c>
      <c r="C40" s="16">
        <f>INDEX(Data!$B$29:$Q$36,$B$17,12)</f>
        <v/>
      </c>
      <c r="D40" s="16">
        <f>INDEX(Data!$B$29:$Q$36,$B$18,12)</f>
        <v/>
      </c>
      <c r="E40" s="20" t="n"/>
    </row>
    <row r="41">
      <c r="A41" s="9" t="inlineStr">
        <is>
          <t>X13</t>
        </is>
      </c>
      <c r="B41" s="18" t="n">
        <v>1</v>
      </c>
      <c r="C41" s="16">
        <f>INDEX(Data!$B$29:$Q$36,$B$17,13)</f>
        <v/>
      </c>
      <c r="D41" s="16">
        <f>INDEX(Data!$B$29:$Q$36,$B$18,13)</f>
        <v/>
      </c>
      <c r="E41" s="20" t="n"/>
    </row>
    <row r="42">
      <c r="A42" s="9" t="inlineStr">
        <is>
          <t>X14</t>
        </is>
      </c>
      <c r="B42" s="18" t="n">
        <v>1</v>
      </c>
      <c r="C42" s="16">
        <f>INDEX(Data!$B$29:$Q$36,$B$17,14)</f>
        <v/>
      </c>
      <c r="D42" s="16">
        <f>INDEX(Data!$B$29:$Q$36,$B$18,14)</f>
        <v/>
      </c>
      <c r="E42" s="20" t="n"/>
    </row>
    <row r="43">
      <c r="A43" s="9" t="inlineStr">
        <is>
          <t>X15</t>
        </is>
      </c>
      <c r="B43" s="18" t="n">
        <v>1</v>
      </c>
      <c r="C43" s="16">
        <f>INDEX(Data!$B$29:$Q$36,$B$17,15)</f>
        <v/>
      </c>
      <c r="D43" s="16">
        <f>INDEX(Data!$B$29:$Q$36,$B$18,15)</f>
        <v/>
      </c>
      <c r="E43" s="20" t="n"/>
    </row>
    <row r="44">
      <c r="A44" s="9" t="inlineStr">
        <is>
          <t>X16</t>
        </is>
      </c>
      <c r="B44" s="18" t="n">
        <v>1</v>
      </c>
      <c r="C44" s="16">
        <f>INDEX(Data!$B$29:$Q$36,$B$17,16)</f>
        <v/>
      </c>
      <c r="D44" s="16">
        <f>INDEX(Data!$B$29:$Q$36,$B$18,16)</f>
        <v/>
      </c>
      <c r="E44" s="20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2026-10-23T07:15:29Z</dcterms:created>
  <dcterms:modified xmlns:dcterms="http://purl.org/dc/terms/" xmlns:xsi="http://www.w3.org/2001/XMLSchema-instance" xsi:type="dcterms:W3CDTF">2026-10-23T07:15:29Z</dcterms:modified>
</cp:coreProperties>
</file>